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Projects\In_Progress\TWO PROJECTS DATASET\analytics_4_day_projects\Project_1_IT_Service_Desk_Analytics\data\"/>
    </mc:Choice>
  </mc:AlternateContent>
  <xr:revisionPtr revIDLastSave="0" documentId="8_{1C5A0C8A-9BDF-4E85-B695-3DCA75B7B3D9}" xr6:coauthVersionLast="47" xr6:coauthVersionMax="47" xr10:uidLastSave="{00000000-0000-0000-0000-000000000000}"/>
  <bookViews>
    <workbookView xWindow="-120" yWindow="-120" windowWidth="29040" windowHeight="15720" activeTab="1" xr2:uid="{28FDFBFA-DAA5-45E9-A664-9BAD96F06197}"/>
  </bookViews>
  <sheets>
    <sheet name="Sheet2" sheetId="3" r:id="rId1"/>
    <sheet name="Sheet3" sheetId="4" r:id="rId2"/>
    <sheet name="incidents" sheetId="1" r:id="rId3"/>
  </sheets>
  <calcPr calcId="0"/>
  <pivotCaches>
    <pivotCache cacheId="9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2" i="1" l="1"/>
  <c r="Q1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2" i="1"/>
</calcChain>
</file>

<file path=xl/sharedStrings.xml><?xml version="1.0" encoding="utf-8"?>
<sst xmlns="http://schemas.openxmlformats.org/spreadsheetml/2006/main" count="45035" uniqueCount="5068">
  <si>
    <t>Ticket_ID</t>
  </si>
  <si>
    <t>Created_Date</t>
  </si>
  <si>
    <t>Resolved_Date</t>
  </si>
  <si>
    <t>Priority</t>
  </si>
  <si>
    <t>Category</t>
  </si>
  <si>
    <t>Subcategory</t>
  </si>
  <si>
    <t>Assignment_Group</t>
  </si>
  <si>
    <t>Location</t>
  </si>
  <si>
    <t>Channel</t>
  </si>
  <si>
    <t>Status</t>
  </si>
  <si>
    <t>SLA_Hours</t>
  </si>
  <si>
    <t>Resolution_Hours</t>
  </si>
  <si>
    <t>Customer_Satisfaction</t>
  </si>
  <si>
    <t>Reopened</t>
  </si>
  <si>
    <t>INC100001</t>
  </si>
  <si>
    <t>Low</t>
  </si>
  <si>
    <t>Software</t>
  </si>
  <si>
    <t>License</t>
  </si>
  <si>
    <t>Service Desk</t>
  </si>
  <si>
    <t>Hyderabad</t>
  </si>
  <si>
    <t>Phone</t>
  </si>
  <si>
    <t>Resolved</t>
  </si>
  <si>
    <t>No</t>
  </si>
  <si>
    <t>INC100002</t>
  </si>
  <si>
    <t>Medium</t>
  </si>
  <si>
    <t>Access</t>
  </si>
  <si>
    <t>Permission</t>
  </si>
  <si>
    <t>Noida</t>
  </si>
  <si>
    <t>Chat</t>
  </si>
  <si>
    <t>In Progress</t>
  </si>
  <si>
    <t>INC100003</t>
  </si>
  <si>
    <t>Critical</t>
  </si>
  <si>
    <t>Network</t>
  </si>
  <si>
    <t>Link Down</t>
  </si>
  <si>
    <t>Access Management</t>
  </si>
  <si>
    <t>Mumbai</t>
  </si>
  <si>
    <t>Portal</t>
  </si>
  <si>
    <t>INC100004</t>
  </si>
  <si>
    <t>High</t>
  </si>
  <si>
    <t>Hardware</t>
  </si>
  <si>
    <t>Laptop</t>
  </si>
  <si>
    <t>Network Support</t>
  </si>
  <si>
    <t>INC100005</t>
  </si>
  <si>
    <t>Application Error</t>
  </si>
  <si>
    <t>Delhi</t>
  </si>
  <si>
    <t>Email</t>
  </si>
  <si>
    <t>Closed</t>
  </si>
  <si>
    <t>INC100006</t>
  </si>
  <si>
    <t>Password Reset</t>
  </si>
  <si>
    <t>INC100007</t>
  </si>
  <si>
    <t>Spam</t>
  </si>
  <si>
    <t>Application Support</t>
  </si>
  <si>
    <t>INC100008</t>
  </si>
  <si>
    <t>VPN Access</t>
  </si>
  <si>
    <t>Bengaluru</t>
  </si>
  <si>
    <t>INC100009</t>
  </si>
  <si>
    <t>Desktop Support</t>
  </si>
  <si>
    <t>INC100010</t>
  </si>
  <si>
    <t>Performance</t>
  </si>
  <si>
    <t>INC100011</t>
  </si>
  <si>
    <t>Installation</t>
  </si>
  <si>
    <t>Yes</t>
  </si>
  <si>
    <t>INC100012</t>
  </si>
  <si>
    <t>INC100013</t>
  </si>
  <si>
    <t>Packet Loss</t>
  </si>
  <si>
    <t>Gurugram</t>
  </si>
  <si>
    <t>INC100014</t>
  </si>
  <si>
    <t>INC100015</t>
  </si>
  <si>
    <t>INC100016</t>
  </si>
  <si>
    <t>INC100017</t>
  </si>
  <si>
    <t>Account Lock</t>
  </si>
  <si>
    <t>INC100018</t>
  </si>
  <si>
    <t>INC100019</t>
  </si>
  <si>
    <t>INC100020</t>
  </si>
  <si>
    <t>INC100021</t>
  </si>
  <si>
    <t>DNS</t>
  </si>
  <si>
    <t>INC100022</t>
  </si>
  <si>
    <t>INC100023</t>
  </si>
  <si>
    <t>Peripheral</t>
  </si>
  <si>
    <t>INC100024</t>
  </si>
  <si>
    <t>Connectivity</t>
  </si>
  <si>
    <t>INC100025</t>
  </si>
  <si>
    <t>INC100026</t>
  </si>
  <si>
    <t>INC100027</t>
  </si>
  <si>
    <t>INC100028</t>
  </si>
  <si>
    <t>Pending</t>
  </si>
  <si>
    <t>INC100029</t>
  </si>
  <si>
    <t>Monitor</t>
  </si>
  <si>
    <t>INC100030</t>
  </si>
  <si>
    <t>INC100031</t>
  </si>
  <si>
    <t>INC100032</t>
  </si>
  <si>
    <t>INC100033</t>
  </si>
  <si>
    <t>INC100034</t>
  </si>
  <si>
    <t>INC100035</t>
  </si>
  <si>
    <t>INC100036</t>
  </si>
  <si>
    <t>INC100037</t>
  </si>
  <si>
    <t>INC100038</t>
  </si>
  <si>
    <t>INC100039</t>
  </si>
  <si>
    <t>INC100040</t>
  </si>
  <si>
    <t>INC100041</t>
  </si>
  <si>
    <t>Configuration</t>
  </si>
  <si>
    <t>INC100042</t>
  </si>
  <si>
    <t>INC100043</t>
  </si>
  <si>
    <t>INC100044</t>
  </si>
  <si>
    <t>Delivery</t>
  </si>
  <si>
    <t>INC100045</t>
  </si>
  <si>
    <t>INC100046</t>
  </si>
  <si>
    <t>INC100047</t>
  </si>
  <si>
    <t>INC100048</t>
  </si>
  <si>
    <t>INC100049</t>
  </si>
  <si>
    <t>INC100050</t>
  </si>
  <si>
    <t>INC100051</t>
  </si>
  <si>
    <t>Mailbox</t>
  </si>
  <si>
    <t>INC100052</t>
  </si>
  <si>
    <t>INC100053</t>
  </si>
  <si>
    <t>INC100054</t>
  </si>
  <si>
    <t>INC100055</t>
  </si>
  <si>
    <t>INC100056</t>
  </si>
  <si>
    <t>INC100057</t>
  </si>
  <si>
    <t>Printer</t>
  </si>
  <si>
    <t>INC100058</t>
  </si>
  <si>
    <t>INC100059</t>
  </si>
  <si>
    <t>INC100060</t>
  </si>
  <si>
    <t>INC100061</t>
  </si>
  <si>
    <t>INC100062</t>
  </si>
  <si>
    <t>INC100063</t>
  </si>
  <si>
    <t>INC100064</t>
  </si>
  <si>
    <t>INC100065</t>
  </si>
  <si>
    <t>INC100066</t>
  </si>
  <si>
    <t>INC100067</t>
  </si>
  <si>
    <t>INC100068</t>
  </si>
  <si>
    <t>INC100069</t>
  </si>
  <si>
    <t>INC100070</t>
  </si>
  <si>
    <t>INC100071</t>
  </si>
  <si>
    <t>INC100072</t>
  </si>
  <si>
    <t>INC100073</t>
  </si>
  <si>
    <t>INC100074</t>
  </si>
  <si>
    <t>INC100075</t>
  </si>
  <si>
    <t>INC100076</t>
  </si>
  <si>
    <t>INC100077</t>
  </si>
  <si>
    <t>INC100078</t>
  </si>
  <si>
    <t>INC100079</t>
  </si>
  <si>
    <t>INC100080</t>
  </si>
  <si>
    <t>INC100081</t>
  </si>
  <si>
    <t>INC100082</t>
  </si>
  <si>
    <t>INC100083</t>
  </si>
  <si>
    <t>INC100084</t>
  </si>
  <si>
    <t>INC100085</t>
  </si>
  <si>
    <t>INC100086</t>
  </si>
  <si>
    <t>INC100087</t>
  </si>
  <si>
    <t>INC100088</t>
  </si>
  <si>
    <t>INC100089</t>
  </si>
  <si>
    <t>INC100090</t>
  </si>
  <si>
    <t>INC100091</t>
  </si>
  <si>
    <t>INC100092</t>
  </si>
  <si>
    <t>INC100093</t>
  </si>
  <si>
    <t>INC100094</t>
  </si>
  <si>
    <t>INC100095</t>
  </si>
  <si>
    <t>INC100096</t>
  </si>
  <si>
    <t>INC100097</t>
  </si>
  <si>
    <t>INC100098</t>
  </si>
  <si>
    <t>INC100099</t>
  </si>
  <si>
    <t>INC100100</t>
  </si>
  <si>
    <t>INC100101</t>
  </si>
  <si>
    <t>INC100102</t>
  </si>
  <si>
    <t>INC100103</t>
  </si>
  <si>
    <t>INC100104</t>
  </si>
  <si>
    <t>INC100105</t>
  </si>
  <si>
    <t>INC100106</t>
  </si>
  <si>
    <t>INC100107</t>
  </si>
  <si>
    <t>INC100108</t>
  </si>
  <si>
    <t>INC100109</t>
  </si>
  <si>
    <t>INC100110</t>
  </si>
  <si>
    <t>INC100111</t>
  </si>
  <si>
    <t>INC100112</t>
  </si>
  <si>
    <t>INC100113</t>
  </si>
  <si>
    <t>INC100114</t>
  </si>
  <si>
    <t>INC100115</t>
  </si>
  <si>
    <t>INC100116</t>
  </si>
  <si>
    <t>INC100117</t>
  </si>
  <si>
    <t>INC100118</t>
  </si>
  <si>
    <t>INC100119</t>
  </si>
  <si>
    <t>INC100120</t>
  </si>
  <si>
    <t>INC100121</t>
  </si>
  <si>
    <t>INC100122</t>
  </si>
  <si>
    <t>INC100123</t>
  </si>
  <si>
    <t>INC100124</t>
  </si>
  <si>
    <t>INC100125</t>
  </si>
  <si>
    <t>INC100126</t>
  </si>
  <si>
    <t>INC100127</t>
  </si>
  <si>
    <t>INC100128</t>
  </si>
  <si>
    <t>INC100129</t>
  </si>
  <si>
    <t>INC100130</t>
  </si>
  <si>
    <t>INC100131</t>
  </si>
  <si>
    <t>INC100132</t>
  </si>
  <si>
    <t>INC100133</t>
  </si>
  <si>
    <t>INC100134</t>
  </si>
  <si>
    <t>INC100135</t>
  </si>
  <si>
    <t>INC100136</t>
  </si>
  <si>
    <t>INC100137</t>
  </si>
  <si>
    <t>INC100138</t>
  </si>
  <si>
    <t>INC100139</t>
  </si>
  <si>
    <t>INC100140</t>
  </si>
  <si>
    <t>INC100141</t>
  </si>
  <si>
    <t>INC100142</t>
  </si>
  <si>
    <t>INC100143</t>
  </si>
  <si>
    <t>INC100144</t>
  </si>
  <si>
    <t>INC100145</t>
  </si>
  <si>
    <t>INC100146</t>
  </si>
  <si>
    <t>INC100147</t>
  </si>
  <si>
    <t>INC100148</t>
  </si>
  <si>
    <t>INC100149</t>
  </si>
  <si>
    <t>INC100150</t>
  </si>
  <si>
    <t>INC100151</t>
  </si>
  <si>
    <t>INC100152</t>
  </si>
  <si>
    <t>INC100153</t>
  </si>
  <si>
    <t>INC100154</t>
  </si>
  <si>
    <t>INC100155</t>
  </si>
  <si>
    <t>INC100156</t>
  </si>
  <si>
    <t>INC100157</t>
  </si>
  <si>
    <t>INC100158</t>
  </si>
  <si>
    <t>INC100159</t>
  </si>
  <si>
    <t>INC100160</t>
  </si>
  <si>
    <t>INC100161</t>
  </si>
  <si>
    <t>INC100162</t>
  </si>
  <si>
    <t>INC100163</t>
  </si>
  <si>
    <t>INC100164</t>
  </si>
  <si>
    <t>INC100165</t>
  </si>
  <si>
    <t>INC100166</t>
  </si>
  <si>
    <t>INC100167</t>
  </si>
  <si>
    <t>INC100168</t>
  </si>
  <si>
    <t>INC100169</t>
  </si>
  <si>
    <t>INC100170</t>
  </si>
  <si>
    <t>INC100171</t>
  </si>
  <si>
    <t>INC100172</t>
  </si>
  <si>
    <t>INC100173</t>
  </si>
  <si>
    <t>INC100174</t>
  </si>
  <si>
    <t>INC100175</t>
  </si>
  <si>
    <t>INC100176</t>
  </si>
  <si>
    <t>INC100177</t>
  </si>
  <si>
    <t>INC100178</t>
  </si>
  <si>
    <t>INC100179</t>
  </si>
  <si>
    <t>INC100180</t>
  </si>
  <si>
    <t>INC100181</t>
  </si>
  <si>
    <t>INC100182</t>
  </si>
  <si>
    <t>INC100183</t>
  </si>
  <si>
    <t>INC100184</t>
  </si>
  <si>
    <t>INC100185</t>
  </si>
  <si>
    <t>INC100186</t>
  </si>
  <si>
    <t>INC100187</t>
  </si>
  <si>
    <t>INC100188</t>
  </si>
  <si>
    <t>INC100189</t>
  </si>
  <si>
    <t>INC100190</t>
  </si>
  <si>
    <t>INC100191</t>
  </si>
  <si>
    <t>INC100192</t>
  </si>
  <si>
    <t>INC100193</t>
  </si>
  <si>
    <t>INC100194</t>
  </si>
  <si>
    <t>INC100195</t>
  </si>
  <si>
    <t>INC100196</t>
  </si>
  <si>
    <t>INC100197</t>
  </si>
  <si>
    <t>INC100198</t>
  </si>
  <si>
    <t>INC100199</t>
  </si>
  <si>
    <t>INC100200</t>
  </si>
  <si>
    <t>INC100201</t>
  </si>
  <si>
    <t>INC100202</t>
  </si>
  <si>
    <t>INC100203</t>
  </si>
  <si>
    <t>INC100204</t>
  </si>
  <si>
    <t>INC100205</t>
  </si>
  <si>
    <t>INC100206</t>
  </si>
  <si>
    <t>INC100207</t>
  </si>
  <si>
    <t>INC100208</t>
  </si>
  <si>
    <t>INC100209</t>
  </si>
  <si>
    <t>INC100210</t>
  </si>
  <si>
    <t>INC100211</t>
  </si>
  <si>
    <t>INC100212</t>
  </si>
  <si>
    <t>INC100213</t>
  </si>
  <si>
    <t>INC100214</t>
  </si>
  <si>
    <t>INC100215</t>
  </si>
  <si>
    <t>INC100216</t>
  </si>
  <si>
    <t>INC100217</t>
  </si>
  <si>
    <t>INC100218</t>
  </si>
  <si>
    <t>INC100219</t>
  </si>
  <si>
    <t>INC100220</t>
  </si>
  <si>
    <t>INC100221</t>
  </si>
  <si>
    <t>INC100222</t>
  </si>
  <si>
    <t>INC100223</t>
  </si>
  <si>
    <t>INC100224</t>
  </si>
  <si>
    <t>INC100225</t>
  </si>
  <si>
    <t>INC100226</t>
  </si>
  <si>
    <t>INC100227</t>
  </si>
  <si>
    <t>INC100228</t>
  </si>
  <si>
    <t>INC100229</t>
  </si>
  <si>
    <t>INC100230</t>
  </si>
  <si>
    <t>INC100231</t>
  </si>
  <si>
    <t>INC100232</t>
  </si>
  <si>
    <t>INC100233</t>
  </si>
  <si>
    <t>INC100234</t>
  </si>
  <si>
    <t>INC100235</t>
  </si>
  <si>
    <t>INC100236</t>
  </si>
  <si>
    <t>INC100237</t>
  </si>
  <si>
    <t>INC100238</t>
  </si>
  <si>
    <t>INC100239</t>
  </si>
  <si>
    <t>INC100240</t>
  </si>
  <si>
    <t>INC100241</t>
  </si>
  <si>
    <t>INC100242</t>
  </si>
  <si>
    <t>INC100243</t>
  </si>
  <si>
    <t>INC100244</t>
  </si>
  <si>
    <t>INC100245</t>
  </si>
  <si>
    <t>INC100246</t>
  </si>
  <si>
    <t>INC100247</t>
  </si>
  <si>
    <t>INC100248</t>
  </si>
  <si>
    <t>INC100249</t>
  </si>
  <si>
    <t>INC100250</t>
  </si>
  <si>
    <t>INC100251</t>
  </si>
  <si>
    <t>INC100252</t>
  </si>
  <si>
    <t>INC100253</t>
  </si>
  <si>
    <t>INC100254</t>
  </si>
  <si>
    <t>INC100255</t>
  </si>
  <si>
    <t>INC100256</t>
  </si>
  <si>
    <t>INC100257</t>
  </si>
  <si>
    <t>INC100258</t>
  </si>
  <si>
    <t>INC100259</t>
  </si>
  <si>
    <t>INC100260</t>
  </si>
  <si>
    <t>INC100261</t>
  </si>
  <si>
    <t>INC100262</t>
  </si>
  <si>
    <t>INC100263</t>
  </si>
  <si>
    <t>INC100264</t>
  </si>
  <si>
    <t>INC100265</t>
  </si>
  <si>
    <t>INC100266</t>
  </si>
  <si>
    <t>INC100267</t>
  </si>
  <si>
    <t>INC100268</t>
  </si>
  <si>
    <t>INC100269</t>
  </si>
  <si>
    <t>INC100270</t>
  </si>
  <si>
    <t>INC100271</t>
  </si>
  <si>
    <t>INC100272</t>
  </si>
  <si>
    <t>INC100273</t>
  </si>
  <si>
    <t>INC100274</t>
  </si>
  <si>
    <t>INC100275</t>
  </si>
  <si>
    <t>INC100276</t>
  </si>
  <si>
    <t>INC100277</t>
  </si>
  <si>
    <t>INC100278</t>
  </si>
  <si>
    <t>INC100279</t>
  </si>
  <si>
    <t>INC100280</t>
  </si>
  <si>
    <t>INC100281</t>
  </si>
  <si>
    <t>INC100282</t>
  </si>
  <si>
    <t>INC100283</t>
  </si>
  <si>
    <t>INC100284</t>
  </si>
  <si>
    <t>INC100285</t>
  </si>
  <si>
    <t>INC100286</t>
  </si>
  <si>
    <t>INC100287</t>
  </si>
  <si>
    <t>INC100288</t>
  </si>
  <si>
    <t>INC100289</t>
  </si>
  <si>
    <t>INC100290</t>
  </si>
  <si>
    <t>INC100291</t>
  </si>
  <si>
    <t>INC100292</t>
  </si>
  <si>
    <t>INC100293</t>
  </si>
  <si>
    <t>INC100294</t>
  </si>
  <si>
    <t>INC100295</t>
  </si>
  <si>
    <t>INC100296</t>
  </si>
  <si>
    <t>INC100297</t>
  </si>
  <si>
    <t>INC100298</t>
  </si>
  <si>
    <t>INC100299</t>
  </si>
  <si>
    <t>INC100300</t>
  </si>
  <si>
    <t>INC100301</t>
  </si>
  <si>
    <t>INC100302</t>
  </si>
  <si>
    <t>INC100303</t>
  </si>
  <si>
    <t>INC100304</t>
  </si>
  <si>
    <t>INC100305</t>
  </si>
  <si>
    <t>INC100306</t>
  </si>
  <si>
    <t>INC100307</t>
  </si>
  <si>
    <t>INC100308</t>
  </si>
  <si>
    <t>INC100309</t>
  </si>
  <si>
    <t>INC100310</t>
  </si>
  <si>
    <t>INC100311</t>
  </si>
  <si>
    <t>INC100312</t>
  </si>
  <si>
    <t>INC100313</t>
  </si>
  <si>
    <t>INC100314</t>
  </si>
  <si>
    <t>INC100315</t>
  </si>
  <si>
    <t>INC100316</t>
  </si>
  <si>
    <t>INC100317</t>
  </si>
  <si>
    <t>INC100318</t>
  </si>
  <si>
    <t>INC100319</t>
  </si>
  <si>
    <t>INC100320</t>
  </si>
  <si>
    <t>INC100321</t>
  </si>
  <si>
    <t>INC100322</t>
  </si>
  <si>
    <t>INC100323</t>
  </si>
  <si>
    <t>INC100324</t>
  </si>
  <si>
    <t>INC100325</t>
  </si>
  <si>
    <t>INC100326</t>
  </si>
  <si>
    <t>INC100327</t>
  </si>
  <si>
    <t>INC100328</t>
  </si>
  <si>
    <t>INC100329</t>
  </si>
  <si>
    <t>INC100330</t>
  </si>
  <si>
    <t>INC100331</t>
  </si>
  <si>
    <t>INC100332</t>
  </si>
  <si>
    <t>INC100333</t>
  </si>
  <si>
    <t>INC100334</t>
  </si>
  <si>
    <t>INC100335</t>
  </si>
  <si>
    <t>INC100336</t>
  </si>
  <si>
    <t>INC100337</t>
  </si>
  <si>
    <t>INC100338</t>
  </si>
  <si>
    <t>INC100339</t>
  </si>
  <si>
    <t>INC100340</t>
  </si>
  <si>
    <t>INC100341</t>
  </si>
  <si>
    <t>INC100342</t>
  </si>
  <si>
    <t>INC100343</t>
  </si>
  <si>
    <t>INC100344</t>
  </si>
  <si>
    <t>INC100345</t>
  </si>
  <si>
    <t>INC100346</t>
  </si>
  <si>
    <t>INC100347</t>
  </si>
  <si>
    <t>INC100348</t>
  </si>
  <si>
    <t>INC100349</t>
  </si>
  <si>
    <t>INC100350</t>
  </si>
  <si>
    <t>INC100351</t>
  </si>
  <si>
    <t>INC100352</t>
  </si>
  <si>
    <t>INC100353</t>
  </si>
  <si>
    <t>INC100354</t>
  </si>
  <si>
    <t>INC100355</t>
  </si>
  <si>
    <t>INC100356</t>
  </si>
  <si>
    <t>INC100357</t>
  </si>
  <si>
    <t>INC100358</t>
  </si>
  <si>
    <t>INC100359</t>
  </si>
  <si>
    <t>INC100360</t>
  </si>
  <si>
    <t>INC100361</t>
  </si>
  <si>
    <t>INC100362</t>
  </si>
  <si>
    <t>INC100363</t>
  </si>
  <si>
    <t>INC100364</t>
  </si>
  <si>
    <t>INC100365</t>
  </si>
  <si>
    <t>INC100366</t>
  </si>
  <si>
    <t>INC100367</t>
  </si>
  <si>
    <t>INC100368</t>
  </si>
  <si>
    <t>INC100369</t>
  </si>
  <si>
    <t>INC100370</t>
  </si>
  <si>
    <t>INC100371</t>
  </si>
  <si>
    <t>INC100372</t>
  </si>
  <si>
    <t>INC100373</t>
  </si>
  <si>
    <t>INC100374</t>
  </si>
  <si>
    <t>INC100375</t>
  </si>
  <si>
    <t>INC100376</t>
  </si>
  <si>
    <t>INC100377</t>
  </si>
  <si>
    <t>INC100378</t>
  </si>
  <si>
    <t>INC100379</t>
  </si>
  <si>
    <t>INC100380</t>
  </si>
  <si>
    <t>INC100381</t>
  </si>
  <si>
    <t>INC100382</t>
  </si>
  <si>
    <t>INC100383</t>
  </si>
  <si>
    <t>INC100384</t>
  </si>
  <si>
    <t>INC100385</t>
  </si>
  <si>
    <t>INC100386</t>
  </si>
  <si>
    <t>INC100387</t>
  </si>
  <si>
    <t>INC100388</t>
  </si>
  <si>
    <t>INC100389</t>
  </si>
  <si>
    <t>INC100390</t>
  </si>
  <si>
    <t>INC100391</t>
  </si>
  <si>
    <t>INC100392</t>
  </si>
  <si>
    <t>INC100393</t>
  </si>
  <si>
    <t>INC100394</t>
  </si>
  <si>
    <t>INC100395</t>
  </si>
  <si>
    <t>INC100396</t>
  </si>
  <si>
    <t>INC100397</t>
  </si>
  <si>
    <t>INC100398</t>
  </si>
  <si>
    <t>INC100399</t>
  </si>
  <si>
    <t>INC100400</t>
  </si>
  <si>
    <t>INC100401</t>
  </si>
  <si>
    <t>INC100402</t>
  </si>
  <si>
    <t>INC100403</t>
  </si>
  <si>
    <t>INC100404</t>
  </si>
  <si>
    <t>INC100405</t>
  </si>
  <si>
    <t>INC100406</t>
  </si>
  <si>
    <t>INC100407</t>
  </si>
  <si>
    <t>INC100408</t>
  </si>
  <si>
    <t>INC100409</t>
  </si>
  <si>
    <t>INC100410</t>
  </si>
  <si>
    <t>INC100411</t>
  </si>
  <si>
    <t>INC100412</t>
  </si>
  <si>
    <t>INC100413</t>
  </si>
  <si>
    <t>INC100414</t>
  </si>
  <si>
    <t>INC100415</t>
  </si>
  <si>
    <t>INC100416</t>
  </si>
  <si>
    <t>INC100417</t>
  </si>
  <si>
    <t>INC100418</t>
  </si>
  <si>
    <t>INC100419</t>
  </si>
  <si>
    <t>INC100420</t>
  </si>
  <si>
    <t>INC100421</t>
  </si>
  <si>
    <t>INC100422</t>
  </si>
  <si>
    <t>INC100423</t>
  </si>
  <si>
    <t>INC100424</t>
  </si>
  <si>
    <t>INC100425</t>
  </si>
  <si>
    <t>INC100426</t>
  </si>
  <si>
    <t>INC100427</t>
  </si>
  <si>
    <t>INC100428</t>
  </si>
  <si>
    <t>INC100429</t>
  </si>
  <si>
    <t>INC100430</t>
  </si>
  <si>
    <t>INC100431</t>
  </si>
  <si>
    <t>INC100432</t>
  </si>
  <si>
    <t>INC100433</t>
  </si>
  <si>
    <t>INC100434</t>
  </si>
  <si>
    <t>INC100435</t>
  </si>
  <si>
    <t>INC100436</t>
  </si>
  <si>
    <t>INC100437</t>
  </si>
  <si>
    <t>INC100438</t>
  </si>
  <si>
    <t>INC100439</t>
  </si>
  <si>
    <t>INC100440</t>
  </si>
  <si>
    <t>INC100441</t>
  </si>
  <si>
    <t>INC100442</t>
  </si>
  <si>
    <t>INC100443</t>
  </si>
  <si>
    <t>INC100444</t>
  </si>
  <si>
    <t>INC100445</t>
  </si>
  <si>
    <t>INC100446</t>
  </si>
  <si>
    <t>INC100447</t>
  </si>
  <si>
    <t>INC100448</t>
  </si>
  <si>
    <t>INC100449</t>
  </si>
  <si>
    <t>INC100450</t>
  </si>
  <si>
    <t>INC100451</t>
  </si>
  <si>
    <t>INC100452</t>
  </si>
  <si>
    <t>INC100453</t>
  </si>
  <si>
    <t>INC100454</t>
  </si>
  <si>
    <t>INC100455</t>
  </si>
  <si>
    <t>INC100456</t>
  </si>
  <si>
    <t>INC100457</t>
  </si>
  <si>
    <t>INC100458</t>
  </si>
  <si>
    <t>INC100459</t>
  </si>
  <si>
    <t>INC100460</t>
  </si>
  <si>
    <t>INC100461</t>
  </si>
  <si>
    <t>INC100462</t>
  </si>
  <si>
    <t>INC100463</t>
  </si>
  <si>
    <t>INC100464</t>
  </si>
  <si>
    <t>INC100465</t>
  </si>
  <si>
    <t>INC100466</t>
  </si>
  <si>
    <t>INC100467</t>
  </si>
  <si>
    <t>INC100468</t>
  </si>
  <si>
    <t>INC100469</t>
  </si>
  <si>
    <t>INC100470</t>
  </si>
  <si>
    <t>INC100471</t>
  </si>
  <si>
    <t>INC100472</t>
  </si>
  <si>
    <t>INC100473</t>
  </si>
  <si>
    <t>INC100474</t>
  </si>
  <si>
    <t>INC100475</t>
  </si>
  <si>
    <t>INC100476</t>
  </si>
  <si>
    <t>INC100477</t>
  </si>
  <si>
    <t>INC100478</t>
  </si>
  <si>
    <t>INC100479</t>
  </si>
  <si>
    <t>INC100480</t>
  </si>
  <si>
    <t>INC100481</t>
  </si>
  <si>
    <t>INC100482</t>
  </si>
  <si>
    <t>INC100483</t>
  </si>
  <si>
    <t>INC100484</t>
  </si>
  <si>
    <t>INC100485</t>
  </si>
  <si>
    <t>INC100486</t>
  </si>
  <si>
    <t>INC100487</t>
  </si>
  <si>
    <t>INC100488</t>
  </si>
  <si>
    <t>INC100489</t>
  </si>
  <si>
    <t>INC100490</t>
  </si>
  <si>
    <t>INC100491</t>
  </si>
  <si>
    <t>INC100492</t>
  </si>
  <si>
    <t>INC100493</t>
  </si>
  <si>
    <t>INC100494</t>
  </si>
  <si>
    <t>INC100495</t>
  </si>
  <si>
    <t>INC100496</t>
  </si>
  <si>
    <t>INC100497</t>
  </si>
  <si>
    <t>INC100498</t>
  </si>
  <si>
    <t>INC100499</t>
  </si>
  <si>
    <t>INC100500</t>
  </si>
  <si>
    <t>INC100501</t>
  </si>
  <si>
    <t>INC100502</t>
  </si>
  <si>
    <t>INC100503</t>
  </si>
  <si>
    <t>INC100504</t>
  </si>
  <si>
    <t>INC100505</t>
  </si>
  <si>
    <t>INC100506</t>
  </si>
  <si>
    <t>INC100507</t>
  </si>
  <si>
    <t>INC100508</t>
  </si>
  <si>
    <t>INC100509</t>
  </si>
  <si>
    <t>INC100510</t>
  </si>
  <si>
    <t>INC100511</t>
  </si>
  <si>
    <t>INC100512</t>
  </si>
  <si>
    <t>INC100513</t>
  </si>
  <si>
    <t>INC100514</t>
  </si>
  <si>
    <t>INC100515</t>
  </si>
  <si>
    <t>INC100516</t>
  </si>
  <si>
    <t>INC100517</t>
  </si>
  <si>
    <t>INC100518</t>
  </si>
  <si>
    <t>INC100519</t>
  </si>
  <si>
    <t>INC100520</t>
  </si>
  <si>
    <t>INC100521</t>
  </si>
  <si>
    <t>INC100522</t>
  </si>
  <si>
    <t>INC100523</t>
  </si>
  <si>
    <t>INC100524</t>
  </si>
  <si>
    <t>INC100525</t>
  </si>
  <si>
    <t>INC100526</t>
  </si>
  <si>
    <t>INC100527</t>
  </si>
  <si>
    <t>INC100528</t>
  </si>
  <si>
    <t>INC100529</t>
  </si>
  <si>
    <t>INC100530</t>
  </si>
  <si>
    <t>INC100531</t>
  </si>
  <si>
    <t>INC100532</t>
  </si>
  <si>
    <t>INC100533</t>
  </si>
  <si>
    <t>INC100534</t>
  </si>
  <si>
    <t>INC100535</t>
  </si>
  <si>
    <t>INC100536</t>
  </si>
  <si>
    <t>INC100537</t>
  </si>
  <si>
    <t>INC100538</t>
  </si>
  <si>
    <t>INC100539</t>
  </si>
  <si>
    <t>INC100540</t>
  </si>
  <si>
    <t>INC100541</t>
  </si>
  <si>
    <t>INC100542</t>
  </si>
  <si>
    <t>INC100543</t>
  </si>
  <si>
    <t>INC100544</t>
  </si>
  <si>
    <t>INC100545</t>
  </si>
  <si>
    <t>INC100546</t>
  </si>
  <si>
    <t>INC100547</t>
  </si>
  <si>
    <t>INC100548</t>
  </si>
  <si>
    <t>INC100549</t>
  </si>
  <si>
    <t>INC100550</t>
  </si>
  <si>
    <t>INC100551</t>
  </si>
  <si>
    <t>INC100552</t>
  </si>
  <si>
    <t>INC100553</t>
  </si>
  <si>
    <t>INC100554</t>
  </si>
  <si>
    <t>INC100555</t>
  </si>
  <si>
    <t>INC100556</t>
  </si>
  <si>
    <t>INC100557</t>
  </si>
  <si>
    <t>INC100558</t>
  </si>
  <si>
    <t>INC100559</t>
  </si>
  <si>
    <t>INC100560</t>
  </si>
  <si>
    <t>INC100561</t>
  </si>
  <si>
    <t>INC100562</t>
  </si>
  <si>
    <t>INC100563</t>
  </si>
  <si>
    <t>INC100564</t>
  </si>
  <si>
    <t>INC100565</t>
  </si>
  <si>
    <t>INC100566</t>
  </si>
  <si>
    <t>INC100567</t>
  </si>
  <si>
    <t>INC100568</t>
  </si>
  <si>
    <t>INC100569</t>
  </si>
  <si>
    <t>INC100570</t>
  </si>
  <si>
    <t>INC100571</t>
  </si>
  <si>
    <t>INC100572</t>
  </si>
  <si>
    <t>INC100573</t>
  </si>
  <si>
    <t>INC100574</t>
  </si>
  <si>
    <t>INC100575</t>
  </si>
  <si>
    <t>INC100576</t>
  </si>
  <si>
    <t>INC100577</t>
  </si>
  <si>
    <t>INC100578</t>
  </si>
  <si>
    <t>INC100579</t>
  </si>
  <si>
    <t>INC100580</t>
  </si>
  <si>
    <t>INC100581</t>
  </si>
  <si>
    <t>INC100582</t>
  </si>
  <si>
    <t>INC100583</t>
  </si>
  <si>
    <t>INC100584</t>
  </si>
  <si>
    <t>INC100585</t>
  </si>
  <si>
    <t>INC100586</t>
  </si>
  <si>
    <t>INC100587</t>
  </si>
  <si>
    <t>INC100588</t>
  </si>
  <si>
    <t>INC100589</t>
  </si>
  <si>
    <t>INC100590</t>
  </si>
  <si>
    <t>INC100591</t>
  </si>
  <si>
    <t>INC100592</t>
  </si>
  <si>
    <t>INC100593</t>
  </si>
  <si>
    <t>INC100594</t>
  </si>
  <si>
    <t>INC100595</t>
  </si>
  <si>
    <t>INC100596</t>
  </si>
  <si>
    <t>INC100597</t>
  </si>
  <si>
    <t>INC100598</t>
  </si>
  <si>
    <t>INC100599</t>
  </si>
  <si>
    <t>INC100600</t>
  </si>
  <si>
    <t>INC100601</t>
  </si>
  <si>
    <t>INC100602</t>
  </si>
  <si>
    <t>INC100603</t>
  </si>
  <si>
    <t>INC100604</t>
  </si>
  <si>
    <t>INC100605</t>
  </si>
  <si>
    <t>INC100606</t>
  </si>
  <si>
    <t>INC100607</t>
  </si>
  <si>
    <t>INC100608</t>
  </si>
  <si>
    <t>INC100609</t>
  </si>
  <si>
    <t>INC100610</t>
  </si>
  <si>
    <t>INC100611</t>
  </si>
  <si>
    <t>INC100612</t>
  </si>
  <si>
    <t>INC100613</t>
  </si>
  <si>
    <t>INC100614</t>
  </si>
  <si>
    <t>INC100615</t>
  </si>
  <si>
    <t>INC100616</t>
  </si>
  <si>
    <t>INC100617</t>
  </si>
  <si>
    <t>INC100618</t>
  </si>
  <si>
    <t>INC100619</t>
  </si>
  <si>
    <t>INC100620</t>
  </si>
  <si>
    <t>INC100621</t>
  </si>
  <si>
    <t>INC100622</t>
  </si>
  <si>
    <t>INC100623</t>
  </si>
  <si>
    <t>INC100624</t>
  </si>
  <si>
    <t>INC100625</t>
  </si>
  <si>
    <t>INC100626</t>
  </si>
  <si>
    <t>INC100627</t>
  </si>
  <si>
    <t>INC100628</t>
  </si>
  <si>
    <t>INC100629</t>
  </si>
  <si>
    <t>INC100630</t>
  </si>
  <si>
    <t>INC100631</t>
  </si>
  <si>
    <t>INC100632</t>
  </si>
  <si>
    <t>INC100633</t>
  </si>
  <si>
    <t>INC100634</t>
  </si>
  <si>
    <t>INC100635</t>
  </si>
  <si>
    <t>INC100636</t>
  </si>
  <si>
    <t>INC100637</t>
  </si>
  <si>
    <t>INC100638</t>
  </si>
  <si>
    <t>INC100639</t>
  </si>
  <si>
    <t>INC100640</t>
  </si>
  <si>
    <t>INC100641</t>
  </si>
  <si>
    <t>INC100642</t>
  </si>
  <si>
    <t>INC100643</t>
  </si>
  <si>
    <t>INC100644</t>
  </si>
  <si>
    <t>INC100645</t>
  </si>
  <si>
    <t>INC100646</t>
  </si>
  <si>
    <t>INC100647</t>
  </si>
  <si>
    <t>INC100648</t>
  </si>
  <si>
    <t>INC100649</t>
  </si>
  <si>
    <t>INC100650</t>
  </si>
  <si>
    <t>INC100651</t>
  </si>
  <si>
    <t>INC100652</t>
  </si>
  <si>
    <t>INC100653</t>
  </si>
  <si>
    <t>INC100654</t>
  </si>
  <si>
    <t>INC100655</t>
  </si>
  <si>
    <t>INC100656</t>
  </si>
  <si>
    <t>INC100657</t>
  </si>
  <si>
    <t>INC100658</t>
  </si>
  <si>
    <t>INC100659</t>
  </si>
  <si>
    <t>INC100660</t>
  </si>
  <si>
    <t>INC100661</t>
  </si>
  <si>
    <t>INC100662</t>
  </si>
  <si>
    <t>INC100663</t>
  </si>
  <si>
    <t>INC100664</t>
  </si>
  <si>
    <t>INC100665</t>
  </si>
  <si>
    <t>INC100666</t>
  </si>
  <si>
    <t>INC100667</t>
  </si>
  <si>
    <t>INC100668</t>
  </si>
  <si>
    <t>INC100669</t>
  </si>
  <si>
    <t>INC100670</t>
  </si>
  <si>
    <t>INC100671</t>
  </si>
  <si>
    <t>INC100672</t>
  </si>
  <si>
    <t>INC100673</t>
  </si>
  <si>
    <t>INC100674</t>
  </si>
  <si>
    <t>INC100675</t>
  </si>
  <si>
    <t>INC100676</t>
  </si>
  <si>
    <t>INC100677</t>
  </si>
  <si>
    <t>INC100678</t>
  </si>
  <si>
    <t>INC100679</t>
  </si>
  <si>
    <t>INC100680</t>
  </si>
  <si>
    <t>INC100681</t>
  </si>
  <si>
    <t>INC100682</t>
  </si>
  <si>
    <t>INC100683</t>
  </si>
  <si>
    <t>INC100684</t>
  </si>
  <si>
    <t>INC100685</t>
  </si>
  <si>
    <t>INC100686</t>
  </si>
  <si>
    <t>INC100687</t>
  </si>
  <si>
    <t>INC100688</t>
  </si>
  <si>
    <t>INC100689</t>
  </si>
  <si>
    <t>INC100690</t>
  </si>
  <si>
    <t>INC100691</t>
  </si>
  <si>
    <t>INC100692</t>
  </si>
  <si>
    <t>INC100693</t>
  </si>
  <si>
    <t>INC100694</t>
  </si>
  <si>
    <t>INC100695</t>
  </si>
  <si>
    <t>INC100696</t>
  </si>
  <si>
    <t>INC100697</t>
  </si>
  <si>
    <t>INC100698</t>
  </si>
  <si>
    <t>INC100699</t>
  </si>
  <si>
    <t>INC100700</t>
  </si>
  <si>
    <t>INC100701</t>
  </si>
  <si>
    <t>INC100702</t>
  </si>
  <si>
    <t>INC100703</t>
  </si>
  <si>
    <t>INC100704</t>
  </si>
  <si>
    <t>INC100705</t>
  </si>
  <si>
    <t>INC100706</t>
  </si>
  <si>
    <t>INC100707</t>
  </si>
  <si>
    <t>INC100708</t>
  </si>
  <si>
    <t>INC100709</t>
  </si>
  <si>
    <t>INC100710</t>
  </si>
  <si>
    <t>INC100711</t>
  </si>
  <si>
    <t>INC100712</t>
  </si>
  <si>
    <t>INC100713</t>
  </si>
  <si>
    <t>INC100714</t>
  </si>
  <si>
    <t>INC100715</t>
  </si>
  <si>
    <t>INC100716</t>
  </si>
  <si>
    <t>INC100717</t>
  </si>
  <si>
    <t>INC100718</t>
  </si>
  <si>
    <t>INC100719</t>
  </si>
  <si>
    <t>INC100720</t>
  </si>
  <si>
    <t>INC100721</t>
  </si>
  <si>
    <t>INC100722</t>
  </si>
  <si>
    <t>INC100723</t>
  </si>
  <si>
    <t>INC100724</t>
  </si>
  <si>
    <t>INC100725</t>
  </si>
  <si>
    <t>INC100726</t>
  </si>
  <si>
    <t>INC100727</t>
  </si>
  <si>
    <t>INC100728</t>
  </si>
  <si>
    <t>INC100729</t>
  </si>
  <si>
    <t>INC100730</t>
  </si>
  <si>
    <t>INC100731</t>
  </si>
  <si>
    <t>INC100732</t>
  </si>
  <si>
    <t>INC100733</t>
  </si>
  <si>
    <t>INC100734</t>
  </si>
  <si>
    <t>INC100735</t>
  </si>
  <si>
    <t>INC100736</t>
  </si>
  <si>
    <t>INC100737</t>
  </si>
  <si>
    <t>INC100738</t>
  </si>
  <si>
    <t>INC100739</t>
  </si>
  <si>
    <t>INC100740</t>
  </si>
  <si>
    <t>INC100741</t>
  </si>
  <si>
    <t>INC100742</t>
  </si>
  <si>
    <t>INC100743</t>
  </si>
  <si>
    <t>INC100744</t>
  </si>
  <si>
    <t>INC100745</t>
  </si>
  <si>
    <t>INC100746</t>
  </si>
  <si>
    <t>INC100747</t>
  </si>
  <si>
    <t>INC100748</t>
  </si>
  <si>
    <t>INC100749</t>
  </si>
  <si>
    <t>INC100750</t>
  </si>
  <si>
    <t>INC100751</t>
  </si>
  <si>
    <t>INC100752</t>
  </si>
  <si>
    <t>INC100753</t>
  </si>
  <si>
    <t>INC100754</t>
  </si>
  <si>
    <t>INC100755</t>
  </si>
  <si>
    <t>INC100756</t>
  </si>
  <si>
    <t>INC100757</t>
  </si>
  <si>
    <t>INC100758</t>
  </si>
  <si>
    <t>INC100759</t>
  </si>
  <si>
    <t>INC100760</t>
  </si>
  <si>
    <t>INC100761</t>
  </si>
  <si>
    <t>INC100762</t>
  </si>
  <si>
    <t>INC100763</t>
  </si>
  <si>
    <t>INC100764</t>
  </si>
  <si>
    <t>INC100765</t>
  </si>
  <si>
    <t>INC100766</t>
  </si>
  <si>
    <t>INC100767</t>
  </si>
  <si>
    <t>INC100768</t>
  </si>
  <si>
    <t>INC100769</t>
  </si>
  <si>
    <t>INC100770</t>
  </si>
  <si>
    <t>INC100771</t>
  </si>
  <si>
    <t>INC100772</t>
  </si>
  <si>
    <t>INC100773</t>
  </si>
  <si>
    <t>INC100774</t>
  </si>
  <si>
    <t>INC100775</t>
  </si>
  <si>
    <t>INC100776</t>
  </si>
  <si>
    <t>INC100777</t>
  </si>
  <si>
    <t>INC100778</t>
  </si>
  <si>
    <t>INC100779</t>
  </si>
  <si>
    <t>INC100780</t>
  </si>
  <si>
    <t>INC100781</t>
  </si>
  <si>
    <t>INC100782</t>
  </si>
  <si>
    <t>INC100783</t>
  </si>
  <si>
    <t>INC100784</t>
  </si>
  <si>
    <t>INC100785</t>
  </si>
  <si>
    <t>INC100786</t>
  </si>
  <si>
    <t>INC100787</t>
  </si>
  <si>
    <t>INC100788</t>
  </si>
  <si>
    <t>INC100789</t>
  </si>
  <si>
    <t>INC100790</t>
  </si>
  <si>
    <t>INC100791</t>
  </si>
  <si>
    <t>INC100792</t>
  </si>
  <si>
    <t>INC100793</t>
  </si>
  <si>
    <t>INC100794</t>
  </si>
  <si>
    <t>INC100795</t>
  </si>
  <si>
    <t>INC100796</t>
  </si>
  <si>
    <t>INC100797</t>
  </si>
  <si>
    <t>INC100798</t>
  </si>
  <si>
    <t>INC100799</t>
  </si>
  <si>
    <t>INC100800</t>
  </si>
  <si>
    <t>INC100801</t>
  </si>
  <si>
    <t>INC100802</t>
  </si>
  <si>
    <t>INC100803</t>
  </si>
  <si>
    <t>INC100804</t>
  </si>
  <si>
    <t>INC100805</t>
  </si>
  <si>
    <t>INC100806</t>
  </si>
  <si>
    <t>INC100807</t>
  </si>
  <si>
    <t>INC100808</t>
  </si>
  <si>
    <t>INC100809</t>
  </si>
  <si>
    <t>INC100810</t>
  </si>
  <si>
    <t>INC100811</t>
  </si>
  <si>
    <t>INC100812</t>
  </si>
  <si>
    <t>INC100813</t>
  </si>
  <si>
    <t>INC100814</t>
  </si>
  <si>
    <t>INC100815</t>
  </si>
  <si>
    <t>INC100816</t>
  </si>
  <si>
    <t>INC100817</t>
  </si>
  <si>
    <t>INC100818</t>
  </si>
  <si>
    <t>INC100819</t>
  </si>
  <si>
    <t>INC100820</t>
  </si>
  <si>
    <t>INC100821</t>
  </si>
  <si>
    <t>INC100822</t>
  </si>
  <si>
    <t>INC100823</t>
  </si>
  <si>
    <t>INC100824</t>
  </si>
  <si>
    <t>INC100825</t>
  </si>
  <si>
    <t>INC100826</t>
  </si>
  <si>
    <t>INC100827</t>
  </si>
  <si>
    <t>INC100828</t>
  </si>
  <si>
    <t>INC100829</t>
  </si>
  <si>
    <t>INC100830</t>
  </si>
  <si>
    <t>INC100831</t>
  </si>
  <si>
    <t>INC100832</t>
  </si>
  <si>
    <t>INC100833</t>
  </si>
  <si>
    <t>INC100834</t>
  </si>
  <si>
    <t>INC100835</t>
  </si>
  <si>
    <t>INC100836</t>
  </si>
  <si>
    <t>INC100837</t>
  </si>
  <si>
    <t>INC100838</t>
  </si>
  <si>
    <t>INC100839</t>
  </si>
  <si>
    <t>INC100840</t>
  </si>
  <si>
    <t>INC100841</t>
  </si>
  <si>
    <t>INC100842</t>
  </si>
  <si>
    <t>INC100843</t>
  </si>
  <si>
    <t>INC100844</t>
  </si>
  <si>
    <t>INC100845</t>
  </si>
  <si>
    <t>INC100846</t>
  </si>
  <si>
    <t>INC100847</t>
  </si>
  <si>
    <t>INC100848</t>
  </si>
  <si>
    <t>INC100849</t>
  </si>
  <si>
    <t>INC100850</t>
  </si>
  <si>
    <t>INC100851</t>
  </si>
  <si>
    <t>INC100852</t>
  </si>
  <si>
    <t>INC100853</t>
  </si>
  <si>
    <t>INC100854</t>
  </si>
  <si>
    <t>INC100855</t>
  </si>
  <si>
    <t>INC100856</t>
  </si>
  <si>
    <t>INC100857</t>
  </si>
  <si>
    <t>INC100858</t>
  </si>
  <si>
    <t>INC100859</t>
  </si>
  <si>
    <t>INC100860</t>
  </si>
  <si>
    <t>INC100861</t>
  </si>
  <si>
    <t>INC100862</t>
  </si>
  <si>
    <t>INC100863</t>
  </si>
  <si>
    <t>INC100864</t>
  </si>
  <si>
    <t>INC100865</t>
  </si>
  <si>
    <t>INC100866</t>
  </si>
  <si>
    <t>INC100867</t>
  </si>
  <si>
    <t>INC100868</t>
  </si>
  <si>
    <t>INC100869</t>
  </si>
  <si>
    <t>INC100870</t>
  </si>
  <si>
    <t>INC100871</t>
  </si>
  <si>
    <t>INC100872</t>
  </si>
  <si>
    <t>INC100873</t>
  </si>
  <si>
    <t>INC100874</t>
  </si>
  <si>
    <t>INC100875</t>
  </si>
  <si>
    <t>INC100876</t>
  </si>
  <si>
    <t>INC100877</t>
  </si>
  <si>
    <t>INC100878</t>
  </si>
  <si>
    <t>INC100879</t>
  </si>
  <si>
    <t>INC100880</t>
  </si>
  <si>
    <t>INC100881</t>
  </si>
  <si>
    <t>INC100882</t>
  </si>
  <si>
    <t>INC100883</t>
  </si>
  <si>
    <t>INC100884</t>
  </si>
  <si>
    <t>INC100885</t>
  </si>
  <si>
    <t>INC100886</t>
  </si>
  <si>
    <t>INC100887</t>
  </si>
  <si>
    <t>INC100888</t>
  </si>
  <si>
    <t>INC100889</t>
  </si>
  <si>
    <t>INC100890</t>
  </si>
  <si>
    <t>INC100891</t>
  </si>
  <si>
    <t>INC100892</t>
  </si>
  <si>
    <t>INC100893</t>
  </si>
  <si>
    <t>INC100894</t>
  </si>
  <si>
    <t>INC100895</t>
  </si>
  <si>
    <t>INC100896</t>
  </si>
  <si>
    <t>INC100897</t>
  </si>
  <si>
    <t>INC100898</t>
  </si>
  <si>
    <t>INC100899</t>
  </si>
  <si>
    <t>INC100900</t>
  </si>
  <si>
    <t>INC100901</t>
  </si>
  <si>
    <t>INC100902</t>
  </si>
  <si>
    <t>INC100903</t>
  </si>
  <si>
    <t>INC100904</t>
  </si>
  <si>
    <t>INC100905</t>
  </si>
  <si>
    <t>INC100906</t>
  </si>
  <si>
    <t>INC100907</t>
  </si>
  <si>
    <t>INC100908</t>
  </si>
  <si>
    <t>INC100909</t>
  </si>
  <si>
    <t>INC100910</t>
  </si>
  <si>
    <t>INC100911</t>
  </si>
  <si>
    <t>INC100912</t>
  </si>
  <si>
    <t>INC100913</t>
  </si>
  <si>
    <t>INC100914</t>
  </si>
  <si>
    <t>INC100915</t>
  </si>
  <si>
    <t>INC100916</t>
  </si>
  <si>
    <t>INC100917</t>
  </si>
  <si>
    <t>INC100918</t>
  </si>
  <si>
    <t>INC100919</t>
  </si>
  <si>
    <t>INC100920</t>
  </si>
  <si>
    <t>INC100921</t>
  </si>
  <si>
    <t>INC100922</t>
  </si>
  <si>
    <t>INC100923</t>
  </si>
  <si>
    <t>INC100924</t>
  </si>
  <si>
    <t>INC100925</t>
  </si>
  <si>
    <t>INC100926</t>
  </si>
  <si>
    <t>INC100927</t>
  </si>
  <si>
    <t>INC100928</t>
  </si>
  <si>
    <t>INC100929</t>
  </si>
  <si>
    <t>INC100930</t>
  </si>
  <si>
    <t>INC100931</t>
  </si>
  <si>
    <t>INC100932</t>
  </si>
  <si>
    <t>INC100933</t>
  </si>
  <si>
    <t>INC100934</t>
  </si>
  <si>
    <t>INC100935</t>
  </si>
  <si>
    <t>INC100936</t>
  </si>
  <si>
    <t>INC100937</t>
  </si>
  <si>
    <t>INC100938</t>
  </si>
  <si>
    <t>INC100939</t>
  </si>
  <si>
    <t>INC100940</t>
  </si>
  <si>
    <t>INC100941</t>
  </si>
  <si>
    <t>INC100942</t>
  </si>
  <si>
    <t>INC100943</t>
  </si>
  <si>
    <t>INC100944</t>
  </si>
  <si>
    <t>INC100945</t>
  </si>
  <si>
    <t>INC100946</t>
  </si>
  <si>
    <t>INC100947</t>
  </si>
  <si>
    <t>INC100948</t>
  </si>
  <si>
    <t>INC100949</t>
  </si>
  <si>
    <t>INC100950</t>
  </si>
  <si>
    <t>INC100951</t>
  </si>
  <si>
    <t>INC100952</t>
  </si>
  <si>
    <t>INC100953</t>
  </si>
  <si>
    <t>INC100954</t>
  </si>
  <si>
    <t>INC100955</t>
  </si>
  <si>
    <t>INC100956</t>
  </si>
  <si>
    <t>INC100957</t>
  </si>
  <si>
    <t>INC100958</t>
  </si>
  <si>
    <t>INC100959</t>
  </si>
  <si>
    <t>INC100960</t>
  </si>
  <si>
    <t>INC100961</t>
  </si>
  <si>
    <t>INC100962</t>
  </si>
  <si>
    <t>INC100963</t>
  </si>
  <si>
    <t>INC100964</t>
  </si>
  <si>
    <t>INC100965</t>
  </si>
  <si>
    <t>INC100966</t>
  </si>
  <si>
    <t>INC100967</t>
  </si>
  <si>
    <t>INC100968</t>
  </si>
  <si>
    <t>INC100969</t>
  </si>
  <si>
    <t>INC100970</t>
  </si>
  <si>
    <t>INC100971</t>
  </si>
  <si>
    <t>INC100972</t>
  </si>
  <si>
    <t>INC100973</t>
  </si>
  <si>
    <t>INC100974</t>
  </si>
  <si>
    <t>INC100975</t>
  </si>
  <si>
    <t>INC100976</t>
  </si>
  <si>
    <t>INC100977</t>
  </si>
  <si>
    <t>INC100978</t>
  </si>
  <si>
    <t>INC100979</t>
  </si>
  <si>
    <t>INC100980</t>
  </si>
  <si>
    <t>INC100981</t>
  </si>
  <si>
    <t>INC100982</t>
  </si>
  <si>
    <t>INC100983</t>
  </si>
  <si>
    <t>INC100984</t>
  </si>
  <si>
    <t>INC100985</t>
  </si>
  <si>
    <t>INC100986</t>
  </si>
  <si>
    <t>INC100987</t>
  </si>
  <si>
    <t>INC100988</t>
  </si>
  <si>
    <t>INC100989</t>
  </si>
  <si>
    <t>INC100990</t>
  </si>
  <si>
    <t>INC100991</t>
  </si>
  <si>
    <t>INC100992</t>
  </si>
  <si>
    <t>INC100993</t>
  </si>
  <si>
    <t>INC100994</t>
  </si>
  <si>
    <t>INC100995</t>
  </si>
  <si>
    <t>INC100996</t>
  </si>
  <si>
    <t>INC100997</t>
  </si>
  <si>
    <t>INC100998</t>
  </si>
  <si>
    <t>INC100999</t>
  </si>
  <si>
    <t>INC101000</t>
  </si>
  <si>
    <t>INC101001</t>
  </si>
  <si>
    <t>INC101002</t>
  </si>
  <si>
    <t>INC101003</t>
  </si>
  <si>
    <t>INC101004</t>
  </si>
  <si>
    <t>INC101005</t>
  </si>
  <si>
    <t>INC101006</t>
  </si>
  <si>
    <t>INC101007</t>
  </si>
  <si>
    <t>INC101008</t>
  </si>
  <si>
    <t>INC101009</t>
  </si>
  <si>
    <t>INC101010</t>
  </si>
  <si>
    <t>INC101011</t>
  </si>
  <si>
    <t>INC101012</t>
  </si>
  <si>
    <t>INC101013</t>
  </si>
  <si>
    <t>INC101014</t>
  </si>
  <si>
    <t>INC101015</t>
  </si>
  <si>
    <t>INC101016</t>
  </si>
  <si>
    <t>INC101017</t>
  </si>
  <si>
    <t>INC101018</t>
  </si>
  <si>
    <t>INC101019</t>
  </si>
  <si>
    <t>INC101020</t>
  </si>
  <si>
    <t>INC101021</t>
  </si>
  <si>
    <t>INC101022</t>
  </si>
  <si>
    <t>INC101023</t>
  </si>
  <si>
    <t>INC101024</t>
  </si>
  <si>
    <t>INC101025</t>
  </si>
  <si>
    <t>INC101026</t>
  </si>
  <si>
    <t>INC101027</t>
  </si>
  <si>
    <t>INC101028</t>
  </si>
  <si>
    <t>INC101029</t>
  </si>
  <si>
    <t>INC101030</t>
  </si>
  <si>
    <t>INC101031</t>
  </si>
  <si>
    <t>INC101032</t>
  </si>
  <si>
    <t>INC101033</t>
  </si>
  <si>
    <t>INC101034</t>
  </si>
  <si>
    <t>INC101035</t>
  </si>
  <si>
    <t>INC101036</t>
  </si>
  <si>
    <t>INC101037</t>
  </si>
  <si>
    <t>INC101038</t>
  </si>
  <si>
    <t>INC101039</t>
  </si>
  <si>
    <t>INC101040</t>
  </si>
  <si>
    <t>INC101041</t>
  </si>
  <si>
    <t>INC101042</t>
  </si>
  <si>
    <t>INC101043</t>
  </si>
  <si>
    <t>INC101044</t>
  </si>
  <si>
    <t>INC101045</t>
  </si>
  <si>
    <t>INC101046</t>
  </si>
  <si>
    <t>INC101047</t>
  </si>
  <si>
    <t>INC101048</t>
  </si>
  <si>
    <t>INC101049</t>
  </si>
  <si>
    <t>INC101050</t>
  </si>
  <si>
    <t>INC101051</t>
  </si>
  <si>
    <t>INC101052</t>
  </si>
  <si>
    <t>INC101053</t>
  </si>
  <si>
    <t>INC101054</t>
  </si>
  <si>
    <t>INC101055</t>
  </si>
  <si>
    <t>INC101056</t>
  </si>
  <si>
    <t>INC101057</t>
  </si>
  <si>
    <t>INC101058</t>
  </si>
  <si>
    <t>INC101059</t>
  </si>
  <si>
    <t>INC101060</t>
  </si>
  <si>
    <t>INC101061</t>
  </si>
  <si>
    <t>INC101062</t>
  </si>
  <si>
    <t>INC101063</t>
  </si>
  <si>
    <t>INC101064</t>
  </si>
  <si>
    <t>INC101065</t>
  </si>
  <si>
    <t>INC101066</t>
  </si>
  <si>
    <t>INC101067</t>
  </si>
  <si>
    <t>INC101068</t>
  </si>
  <si>
    <t>INC101069</t>
  </si>
  <si>
    <t>INC101070</t>
  </si>
  <si>
    <t>INC101071</t>
  </si>
  <si>
    <t>INC101072</t>
  </si>
  <si>
    <t>INC101073</t>
  </si>
  <si>
    <t>INC101074</t>
  </si>
  <si>
    <t>INC101075</t>
  </si>
  <si>
    <t>INC101076</t>
  </si>
  <si>
    <t>INC101077</t>
  </si>
  <si>
    <t>INC101078</t>
  </si>
  <si>
    <t>INC101079</t>
  </si>
  <si>
    <t>INC101080</t>
  </si>
  <si>
    <t>INC101081</t>
  </si>
  <si>
    <t>INC101082</t>
  </si>
  <si>
    <t>INC101083</t>
  </si>
  <si>
    <t>INC101084</t>
  </si>
  <si>
    <t>INC101085</t>
  </si>
  <si>
    <t>INC101086</t>
  </si>
  <si>
    <t>INC101087</t>
  </si>
  <si>
    <t>INC101088</t>
  </si>
  <si>
    <t>INC101089</t>
  </si>
  <si>
    <t>INC101090</t>
  </si>
  <si>
    <t>INC101091</t>
  </si>
  <si>
    <t>INC101092</t>
  </si>
  <si>
    <t>INC101093</t>
  </si>
  <si>
    <t>INC101094</t>
  </si>
  <si>
    <t>INC101095</t>
  </si>
  <si>
    <t>INC101096</t>
  </si>
  <si>
    <t>INC101097</t>
  </si>
  <si>
    <t>INC101098</t>
  </si>
  <si>
    <t>INC101099</t>
  </si>
  <si>
    <t>INC101100</t>
  </si>
  <si>
    <t>INC101101</t>
  </si>
  <si>
    <t>INC101102</t>
  </si>
  <si>
    <t>INC101103</t>
  </si>
  <si>
    <t>INC101104</t>
  </si>
  <si>
    <t>INC101105</t>
  </si>
  <si>
    <t>INC101106</t>
  </si>
  <si>
    <t>INC101107</t>
  </si>
  <si>
    <t>INC101108</t>
  </si>
  <si>
    <t>INC101109</t>
  </si>
  <si>
    <t>INC101110</t>
  </si>
  <si>
    <t>INC101111</t>
  </si>
  <si>
    <t>INC101112</t>
  </si>
  <si>
    <t>INC101113</t>
  </si>
  <si>
    <t>INC101114</t>
  </si>
  <si>
    <t>INC101115</t>
  </si>
  <si>
    <t>INC101116</t>
  </si>
  <si>
    <t>INC101117</t>
  </si>
  <si>
    <t>INC101118</t>
  </si>
  <si>
    <t>INC101119</t>
  </si>
  <si>
    <t>INC101120</t>
  </si>
  <si>
    <t>INC101121</t>
  </si>
  <si>
    <t>INC101122</t>
  </si>
  <si>
    <t>INC101123</t>
  </si>
  <si>
    <t>INC101124</t>
  </si>
  <si>
    <t>INC101125</t>
  </si>
  <si>
    <t>INC101126</t>
  </si>
  <si>
    <t>INC101127</t>
  </si>
  <si>
    <t>INC101128</t>
  </si>
  <si>
    <t>INC101129</t>
  </si>
  <si>
    <t>INC101130</t>
  </si>
  <si>
    <t>INC101131</t>
  </si>
  <si>
    <t>INC101132</t>
  </si>
  <si>
    <t>INC101133</t>
  </si>
  <si>
    <t>INC101134</t>
  </si>
  <si>
    <t>INC101135</t>
  </si>
  <si>
    <t>INC101136</t>
  </si>
  <si>
    <t>INC101137</t>
  </si>
  <si>
    <t>INC101138</t>
  </si>
  <si>
    <t>INC101139</t>
  </si>
  <si>
    <t>INC101140</t>
  </si>
  <si>
    <t>INC101141</t>
  </si>
  <si>
    <t>INC101142</t>
  </si>
  <si>
    <t>INC101143</t>
  </si>
  <si>
    <t>INC101144</t>
  </si>
  <si>
    <t>INC101145</t>
  </si>
  <si>
    <t>INC101146</t>
  </si>
  <si>
    <t>INC101147</t>
  </si>
  <si>
    <t>INC101148</t>
  </si>
  <si>
    <t>INC101149</t>
  </si>
  <si>
    <t>INC101150</t>
  </si>
  <si>
    <t>INC101151</t>
  </si>
  <si>
    <t>INC101152</t>
  </si>
  <si>
    <t>INC101153</t>
  </si>
  <si>
    <t>INC101154</t>
  </si>
  <si>
    <t>INC101155</t>
  </si>
  <si>
    <t>INC101156</t>
  </si>
  <si>
    <t>INC101157</t>
  </si>
  <si>
    <t>INC101158</t>
  </si>
  <si>
    <t>INC101159</t>
  </si>
  <si>
    <t>INC101160</t>
  </si>
  <si>
    <t>INC101161</t>
  </si>
  <si>
    <t>INC101162</t>
  </si>
  <si>
    <t>INC101163</t>
  </si>
  <si>
    <t>INC101164</t>
  </si>
  <si>
    <t>INC101165</t>
  </si>
  <si>
    <t>INC101166</t>
  </si>
  <si>
    <t>INC101167</t>
  </si>
  <si>
    <t>INC101168</t>
  </si>
  <si>
    <t>INC101169</t>
  </si>
  <si>
    <t>INC101170</t>
  </si>
  <si>
    <t>INC101171</t>
  </si>
  <si>
    <t>INC101172</t>
  </si>
  <si>
    <t>INC101173</t>
  </si>
  <si>
    <t>INC101174</t>
  </si>
  <si>
    <t>INC101175</t>
  </si>
  <si>
    <t>INC101176</t>
  </si>
  <si>
    <t>INC101177</t>
  </si>
  <si>
    <t>INC101178</t>
  </si>
  <si>
    <t>INC101179</t>
  </si>
  <si>
    <t>INC101180</t>
  </si>
  <si>
    <t>INC101181</t>
  </si>
  <si>
    <t>INC101182</t>
  </si>
  <si>
    <t>INC101183</t>
  </si>
  <si>
    <t>INC101184</t>
  </si>
  <si>
    <t>INC101185</t>
  </si>
  <si>
    <t>INC101186</t>
  </si>
  <si>
    <t>INC101187</t>
  </si>
  <si>
    <t>INC101188</t>
  </si>
  <si>
    <t>INC101189</t>
  </si>
  <si>
    <t>INC101190</t>
  </si>
  <si>
    <t>INC101191</t>
  </si>
  <si>
    <t>INC101192</t>
  </si>
  <si>
    <t>INC101193</t>
  </si>
  <si>
    <t>INC101194</t>
  </si>
  <si>
    <t>INC101195</t>
  </si>
  <si>
    <t>INC101196</t>
  </si>
  <si>
    <t>INC101197</t>
  </si>
  <si>
    <t>INC101198</t>
  </si>
  <si>
    <t>INC101199</t>
  </si>
  <si>
    <t>INC101200</t>
  </si>
  <si>
    <t>INC101201</t>
  </si>
  <si>
    <t>INC101202</t>
  </si>
  <si>
    <t>INC101203</t>
  </si>
  <si>
    <t>INC101204</t>
  </si>
  <si>
    <t>INC101205</t>
  </si>
  <si>
    <t>INC101206</t>
  </si>
  <si>
    <t>INC101207</t>
  </si>
  <si>
    <t>INC101208</t>
  </si>
  <si>
    <t>INC101209</t>
  </si>
  <si>
    <t>INC101210</t>
  </si>
  <si>
    <t>INC101211</t>
  </si>
  <si>
    <t>INC101212</t>
  </si>
  <si>
    <t>INC101213</t>
  </si>
  <si>
    <t>INC101214</t>
  </si>
  <si>
    <t>INC101215</t>
  </si>
  <si>
    <t>INC101216</t>
  </si>
  <si>
    <t>INC101217</t>
  </si>
  <si>
    <t>INC101218</t>
  </si>
  <si>
    <t>INC101219</t>
  </si>
  <si>
    <t>INC101220</t>
  </si>
  <si>
    <t>INC101221</t>
  </si>
  <si>
    <t>INC101222</t>
  </si>
  <si>
    <t>INC101223</t>
  </si>
  <si>
    <t>INC101224</t>
  </si>
  <si>
    <t>INC101225</t>
  </si>
  <si>
    <t>INC101226</t>
  </si>
  <si>
    <t>INC101227</t>
  </si>
  <si>
    <t>INC101228</t>
  </si>
  <si>
    <t>INC101229</t>
  </si>
  <si>
    <t>INC101230</t>
  </si>
  <si>
    <t>INC101231</t>
  </si>
  <si>
    <t>INC101232</t>
  </si>
  <si>
    <t>INC101233</t>
  </si>
  <si>
    <t>INC101234</t>
  </si>
  <si>
    <t>INC101235</t>
  </si>
  <si>
    <t>INC101236</t>
  </si>
  <si>
    <t>INC101237</t>
  </si>
  <si>
    <t>INC101238</t>
  </si>
  <si>
    <t>INC101239</t>
  </si>
  <si>
    <t>INC101240</t>
  </si>
  <si>
    <t>INC101241</t>
  </si>
  <si>
    <t>INC101242</t>
  </si>
  <si>
    <t>INC101243</t>
  </si>
  <si>
    <t>INC101244</t>
  </si>
  <si>
    <t>INC101245</t>
  </si>
  <si>
    <t>INC101246</t>
  </si>
  <si>
    <t>INC101247</t>
  </si>
  <si>
    <t>INC101248</t>
  </si>
  <si>
    <t>INC101249</t>
  </si>
  <si>
    <t>INC101250</t>
  </si>
  <si>
    <t>INC101251</t>
  </si>
  <si>
    <t>INC101252</t>
  </si>
  <si>
    <t>INC101253</t>
  </si>
  <si>
    <t>INC101254</t>
  </si>
  <si>
    <t>INC101255</t>
  </si>
  <si>
    <t>INC101256</t>
  </si>
  <si>
    <t>INC101257</t>
  </si>
  <si>
    <t>INC101258</t>
  </si>
  <si>
    <t>INC101259</t>
  </si>
  <si>
    <t>INC101260</t>
  </si>
  <si>
    <t>INC101261</t>
  </si>
  <si>
    <t>INC101262</t>
  </si>
  <si>
    <t>INC101263</t>
  </si>
  <si>
    <t>INC101264</t>
  </si>
  <si>
    <t>INC101265</t>
  </si>
  <si>
    <t>INC101266</t>
  </si>
  <si>
    <t>INC101267</t>
  </si>
  <si>
    <t>INC101268</t>
  </si>
  <si>
    <t>INC101269</t>
  </si>
  <si>
    <t>INC101270</t>
  </si>
  <si>
    <t>INC101271</t>
  </si>
  <si>
    <t>INC101272</t>
  </si>
  <si>
    <t>INC101273</t>
  </si>
  <si>
    <t>INC101274</t>
  </si>
  <si>
    <t>INC101275</t>
  </si>
  <si>
    <t>INC101276</t>
  </si>
  <si>
    <t>INC101277</t>
  </si>
  <si>
    <t>INC101278</t>
  </si>
  <si>
    <t>INC101279</t>
  </si>
  <si>
    <t>INC101280</t>
  </si>
  <si>
    <t>INC101281</t>
  </si>
  <si>
    <t>INC101282</t>
  </si>
  <si>
    <t>INC101283</t>
  </si>
  <si>
    <t>INC101284</t>
  </si>
  <si>
    <t>INC101285</t>
  </si>
  <si>
    <t>INC101286</t>
  </si>
  <si>
    <t>INC101287</t>
  </si>
  <si>
    <t>INC101288</t>
  </si>
  <si>
    <t>INC101289</t>
  </si>
  <si>
    <t>INC101290</t>
  </si>
  <si>
    <t>INC101291</t>
  </si>
  <si>
    <t>INC101292</t>
  </si>
  <si>
    <t>INC101293</t>
  </si>
  <si>
    <t>INC101294</t>
  </si>
  <si>
    <t>INC101295</t>
  </si>
  <si>
    <t>INC101296</t>
  </si>
  <si>
    <t>INC101297</t>
  </si>
  <si>
    <t>INC101298</t>
  </si>
  <si>
    <t>INC101299</t>
  </si>
  <si>
    <t>INC101300</t>
  </si>
  <si>
    <t>INC101301</t>
  </si>
  <si>
    <t>INC101302</t>
  </si>
  <si>
    <t>INC101303</t>
  </si>
  <si>
    <t>INC101304</t>
  </si>
  <si>
    <t>INC101305</t>
  </si>
  <si>
    <t>INC101306</t>
  </si>
  <si>
    <t>INC101307</t>
  </si>
  <si>
    <t>INC101308</t>
  </si>
  <si>
    <t>INC101309</t>
  </si>
  <si>
    <t>INC101310</t>
  </si>
  <si>
    <t>INC101311</t>
  </si>
  <si>
    <t>INC101312</t>
  </si>
  <si>
    <t>INC101313</t>
  </si>
  <si>
    <t>INC101314</t>
  </si>
  <si>
    <t>INC101315</t>
  </si>
  <si>
    <t>INC101316</t>
  </si>
  <si>
    <t>INC101317</t>
  </si>
  <si>
    <t>INC101318</t>
  </si>
  <si>
    <t>INC101319</t>
  </si>
  <si>
    <t>INC101320</t>
  </si>
  <si>
    <t>INC101321</t>
  </si>
  <si>
    <t>INC101322</t>
  </si>
  <si>
    <t>INC101323</t>
  </si>
  <si>
    <t>INC101324</t>
  </si>
  <si>
    <t>INC101325</t>
  </si>
  <si>
    <t>INC101326</t>
  </si>
  <si>
    <t>INC101327</t>
  </si>
  <si>
    <t>INC101328</t>
  </si>
  <si>
    <t>INC101329</t>
  </si>
  <si>
    <t>INC101330</t>
  </si>
  <si>
    <t>INC101331</t>
  </si>
  <si>
    <t>INC101332</t>
  </si>
  <si>
    <t>INC101333</t>
  </si>
  <si>
    <t>INC101334</t>
  </si>
  <si>
    <t>INC101335</t>
  </si>
  <si>
    <t>INC101336</t>
  </si>
  <si>
    <t>INC101337</t>
  </si>
  <si>
    <t>INC101338</t>
  </si>
  <si>
    <t>INC101339</t>
  </si>
  <si>
    <t>INC101340</t>
  </si>
  <si>
    <t>INC101341</t>
  </si>
  <si>
    <t>INC101342</t>
  </si>
  <si>
    <t>INC101343</t>
  </si>
  <si>
    <t>INC101344</t>
  </si>
  <si>
    <t>INC101345</t>
  </si>
  <si>
    <t>INC101346</t>
  </si>
  <si>
    <t>INC101347</t>
  </si>
  <si>
    <t>INC101348</t>
  </si>
  <si>
    <t>INC101349</t>
  </si>
  <si>
    <t>INC101350</t>
  </si>
  <si>
    <t>INC101351</t>
  </si>
  <si>
    <t>INC101352</t>
  </si>
  <si>
    <t>INC101353</t>
  </si>
  <si>
    <t>INC101354</t>
  </si>
  <si>
    <t>INC101355</t>
  </si>
  <si>
    <t>INC101356</t>
  </si>
  <si>
    <t>INC101357</t>
  </si>
  <si>
    <t>INC101358</t>
  </si>
  <si>
    <t>INC101359</t>
  </si>
  <si>
    <t>INC101360</t>
  </si>
  <si>
    <t>INC101361</t>
  </si>
  <si>
    <t>INC101362</t>
  </si>
  <si>
    <t>INC101363</t>
  </si>
  <si>
    <t>INC101364</t>
  </si>
  <si>
    <t>INC101365</t>
  </si>
  <si>
    <t>INC101366</t>
  </si>
  <si>
    <t>INC101367</t>
  </si>
  <si>
    <t>INC101368</t>
  </si>
  <si>
    <t>INC101369</t>
  </si>
  <si>
    <t>INC101370</t>
  </si>
  <si>
    <t>INC101371</t>
  </si>
  <si>
    <t>INC101372</t>
  </si>
  <si>
    <t>INC101373</t>
  </si>
  <si>
    <t>INC101374</t>
  </si>
  <si>
    <t>INC101375</t>
  </si>
  <si>
    <t>INC101376</t>
  </si>
  <si>
    <t>INC101377</t>
  </si>
  <si>
    <t>INC101378</t>
  </si>
  <si>
    <t>INC101379</t>
  </si>
  <si>
    <t>INC101380</t>
  </si>
  <si>
    <t>INC101381</t>
  </si>
  <si>
    <t>INC101382</t>
  </si>
  <si>
    <t>INC101383</t>
  </si>
  <si>
    <t>INC101384</t>
  </si>
  <si>
    <t>INC101385</t>
  </si>
  <si>
    <t>INC101386</t>
  </si>
  <si>
    <t>INC101387</t>
  </si>
  <si>
    <t>INC101388</t>
  </si>
  <si>
    <t>INC101389</t>
  </si>
  <si>
    <t>INC101390</t>
  </si>
  <si>
    <t>INC101391</t>
  </si>
  <si>
    <t>INC101392</t>
  </si>
  <si>
    <t>INC101393</t>
  </si>
  <si>
    <t>INC101394</t>
  </si>
  <si>
    <t>INC101395</t>
  </si>
  <si>
    <t>INC101396</t>
  </si>
  <si>
    <t>INC101397</t>
  </si>
  <si>
    <t>INC101398</t>
  </si>
  <si>
    <t>INC101399</t>
  </si>
  <si>
    <t>INC101400</t>
  </si>
  <si>
    <t>INC101401</t>
  </si>
  <si>
    <t>INC101402</t>
  </si>
  <si>
    <t>INC101403</t>
  </si>
  <si>
    <t>INC101404</t>
  </si>
  <si>
    <t>INC101405</t>
  </si>
  <si>
    <t>INC101406</t>
  </si>
  <si>
    <t>INC101407</t>
  </si>
  <si>
    <t>INC101408</t>
  </si>
  <si>
    <t>INC101409</t>
  </si>
  <si>
    <t>INC101410</t>
  </si>
  <si>
    <t>INC101411</t>
  </si>
  <si>
    <t>INC101412</t>
  </si>
  <si>
    <t>INC101413</t>
  </si>
  <si>
    <t>INC101414</t>
  </si>
  <si>
    <t>INC101415</t>
  </si>
  <si>
    <t>INC101416</t>
  </si>
  <si>
    <t>INC101417</t>
  </si>
  <si>
    <t>INC101418</t>
  </si>
  <si>
    <t>INC101419</t>
  </si>
  <si>
    <t>INC101420</t>
  </si>
  <si>
    <t>INC101421</t>
  </si>
  <si>
    <t>INC101422</t>
  </si>
  <si>
    <t>INC101423</t>
  </si>
  <si>
    <t>INC101424</t>
  </si>
  <si>
    <t>INC101425</t>
  </si>
  <si>
    <t>INC101426</t>
  </si>
  <si>
    <t>INC101427</t>
  </si>
  <si>
    <t>INC101428</t>
  </si>
  <si>
    <t>INC101429</t>
  </si>
  <si>
    <t>INC101430</t>
  </si>
  <si>
    <t>INC101431</t>
  </si>
  <si>
    <t>INC101432</t>
  </si>
  <si>
    <t>INC101433</t>
  </si>
  <si>
    <t>INC101434</t>
  </si>
  <si>
    <t>INC101435</t>
  </si>
  <si>
    <t>INC101436</t>
  </si>
  <si>
    <t>INC101437</t>
  </si>
  <si>
    <t>INC101438</t>
  </si>
  <si>
    <t>INC101439</t>
  </si>
  <si>
    <t>INC101440</t>
  </si>
  <si>
    <t>INC101441</t>
  </si>
  <si>
    <t>INC101442</t>
  </si>
  <si>
    <t>INC101443</t>
  </si>
  <si>
    <t>INC101444</t>
  </si>
  <si>
    <t>INC101445</t>
  </si>
  <si>
    <t>INC101446</t>
  </si>
  <si>
    <t>INC101447</t>
  </si>
  <si>
    <t>INC101448</t>
  </si>
  <si>
    <t>INC101449</t>
  </si>
  <si>
    <t>INC101450</t>
  </si>
  <si>
    <t>INC101451</t>
  </si>
  <si>
    <t>INC101452</t>
  </si>
  <si>
    <t>INC101453</t>
  </si>
  <si>
    <t>INC101454</t>
  </si>
  <si>
    <t>INC101455</t>
  </si>
  <si>
    <t>INC101456</t>
  </si>
  <si>
    <t>INC101457</t>
  </si>
  <si>
    <t>INC101458</t>
  </si>
  <si>
    <t>INC101459</t>
  </si>
  <si>
    <t>INC101460</t>
  </si>
  <si>
    <t>INC101461</t>
  </si>
  <si>
    <t>INC101462</t>
  </si>
  <si>
    <t>INC101463</t>
  </si>
  <si>
    <t>INC101464</t>
  </si>
  <si>
    <t>INC101465</t>
  </si>
  <si>
    <t>INC101466</t>
  </si>
  <si>
    <t>INC101467</t>
  </si>
  <si>
    <t>INC101468</t>
  </si>
  <si>
    <t>INC101469</t>
  </si>
  <si>
    <t>INC101470</t>
  </si>
  <si>
    <t>INC101471</t>
  </si>
  <si>
    <t>INC101472</t>
  </si>
  <si>
    <t>INC101473</t>
  </si>
  <si>
    <t>INC101474</t>
  </si>
  <si>
    <t>INC101475</t>
  </si>
  <si>
    <t>INC101476</t>
  </si>
  <si>
    <t>INC101477</t>
  </si>
  <si>
    <t>INC101478</t>
  </si>
  <si>
    <t>INC101479</t>
  </si>
  <si>
    <t>INC101480</t>
  </si>
  <si>
    <t>INC101481</t>
  </si>
  <si>
    <t>INC101482</t>
  </si>
  <si>
    <t>INC101483</t>
  </si>
  <si>
    <t>INC101484</t>
  </si>
  <si>
    <t>INC101485</t>
  </si>
  <si>
    <t>INC101486</t>
  </si>
  <si>
    <t>INC101487</t>
  </si>
  <si>
    <t>INC101488</t>
  </si>
  <si>
    <t>INC101489</t>
  </si>
  <si>
    <t>INC101490</t>
  </si>
  <si>
    <t>INC101491</t>
  </si>
  <si>
    <t>INC101492</t>
  </si>
  <si>
    <t>INC101493</t>
  </si>
  <si>
    <t>INC101494</t>
  </si>
  <si>
    <t>INC101495</t>
  </si>
  <si>
    <t>INC101496</t>
  </si>
  <si>
    <t>INC101497</t>
  </si>
  <si>
    <t>INC101498</t>
  </si>
  <si>
    <t>INC101499</t>
  </si>
  <si>
    <t>INC101500</t>
  </si>
  <si>
    <t>INC101501</t>
  </si>
  <si>
    <t>INC101502</t>
  </si>
  <si>
    <t>INC101503</t>
  </si>
  <si>
    <t>INC101504</t>
  </si>
  <si>
    <t>INC101505</t>
  </si>
  <si>
    <t>INC101506</t>
  </si>
  <si>
    <t>INC101507</t>
  </si>
  <si>
    <t>INC101508</t>
  </si>
  <si>
    <t>INC101509</t>
  </si>
  <si>
    <t>INC101510</t>
  </si>
  <si>
    <t>INC101511</t>
  </si>
  <si>
    <t>INC101512</t>
  </si>
  <si>
    <t>INC101513</t>
  </si>
  <si>
    <t>INC101514</t>
  </si>
  <si>
    <t>INC101515</t>
  </si>
  <si>
    <t>INC101516</t>
  </si>
  <si>
    <t>INC101517</t>
  </si>
  <si>
    <t>INC101518</t>
  </si>
  <si>
    <t>INC101519</t>
  </si>
  <si>
    <t>INC101520</t>
  </si>
  <si>
    <t>INC101521</t>
  </si>
  <si>
    <t>INC101522</t>
  </si>
  <si>
    <t>INC101523</t>
  </si>
  <si>
    <t>INC101524</t>
  </si>
  <si>
    <t>INC101525</t>
  </si>
  <si>
    <t>INC101526</t>
  </si>
  <si>
    <t>INC101527</t>
  </si>
  <si>
    <t>INC101528</t>
  </si>
  <si>
    <t>INC101529</t>
  </si>
  <si>
    <t>INC101530</t>
  </si>
  <si>
    <t>INC101531</t>
  </si>
  <si>
    <t>INC101532</t>
  </si>
  <si>
    <t>INC101533</t>
  </si>
  <si>
    <t>INC101534</t>
  </si>
  <si>
    <t>INC101535</t>
  </si>
  <si>
    <t>INC101536</t>
  </si>
  <si>
    <t>INC101537</t>
  </si>
  <si>
    <t>INC101538</t>
  </si>
  <si>
    <t>INC101539</t>
  </si>
  <si>
    <t>INC101540</t>
  </si>
  <si>
    <t>INC101541</t>
  </si>
  <si>
    <t>INC101542</t>
  </si>
  <si>
    <t>INC101543</t>
  </si>
  <si>
    <t>INC101544</t>
  </si>
  <si>
    <t>INC101545</t>
  </si>
  <si>
    <t>INC101546</t>
  </si>
  <si>
    <t>INC101547</t>
  </si>
  <si>
    <t>INC101548</t>
  </si>
  <si>
    <t>INC101549</t>
  </si>
  <si>
    <t>INC101550</t>
  </si>
  <si>
    <t>INC101551</t>
  </si>
  <si>
    <t>INC101552</t>
  </si>
  <si>
    <t>INC101553</t>
  </si>
  <si>
    <t>INC101554</t>
  </si>
  <si>
    <t>INC101555</t>
  </si>
  <si>
    <t>INC101556</t>
  </si>
  <si>
    <t>INC101557</t>
  </si>
  <si>
    <t>INC101558</t>
  </si>
  <si>
    <t>INC101559</t>
  </si>
  <si>
    <t>INC101560</t>
  </si>
  <si>
    <t>INC101561</t>
  </si>
  <si>
    <t>INC101562</t>
  </si>
  <si>
    <t>INC101563</t>
  </si>
  <si>
    <t>INC101564</t>
  </si>
  <si>
    <t>INC101565</t>
  </si>
  <si>
    <t>INC101566</t>
  </si>
  <si>
    <t>INC101567</t>
  </si>
  <si>
    <t>INC101568</t>
  </si>
  <si>
    <t>INC101569</t>
  </si>
  <si>
    <t>INC101570</t>
  </si>
  <si>
    <t>INC101571</t>
  </si>
  <si>
    <t>INC101572</t>
  </si>
  <si>
    <t>INC101573</t>
  </si>
  <si>
    <t>INC101574</t>
  </si>
  <si>
    <t>INC101575</t>
  </si>
  <si>
    <t>INC101576</t>
  </si>
  <si>
    <t>INC101577</t>
  </si>
  <si>
    <t>INC101578</t>
  </si>
  <si>
    <t>INC101579</t>
  </si>
  <si>
    <t>INC101580</t>
  </si>
  <si>
    <t>INC101581</t>
  </si>
  <si>
    <t>INC101582</t>
  </si>
  <si>
    <t>INC101583</t>
  </si>
  <si>
    <t>INC101584</t>
  </si>
  <si>
    <t>INC101585</t>
  </si>
  <si>
    <t>INC101586</t>
  </si>
  <si>
    <t>INC101587</t>
  </si>
  <si>
    <t>INC101588</t>
  </si>
  <si>
    <t>INC101589</t>
  </si>
  <si>
    <t>INC101590</t>
  </si>
  <si>
    <t>INC101591</t>
  </si>
  <si>
    <t>INC101592</t>
  </si>
  <si>
    <t>INC101593</t>
  </si>
  <si>
    <t>INC101594</t>
  </si>
  <si>
    <t>INC101595</t>
  </si>
  <si>
    <t>INC101596</t>
  </si>
  <si>
    <t>INC101597</t>
  </si>
  <si>
    <t>INC101598</t>
  </si>
  <si>
    <t>INC101599</t>
  </si>
  <si>
    <t>INC101600</t>
  </si>
  <si>
    <t>INC101601</t>
  </si>
  <si>
    <t>INC101602</t>
  </si>
  <si>
    <t>INC101603</t>
  </si>
  <si>
    <t>INC101604</t>
  </si>
  <si>
    <t>INC101605</t>
  </si>
  <si>
    <t>INC101606</t>
  </si>
  <si>
    <t>INC101607</t>
  </si>
  <si>
    <t>INC101608</t>
  </si>
  <si>
    <t>INC101609</t>
  </si>
  <si>
    <t>INC101610</t>
  </si>
  <si>
    <t>INC101611</t>
  </si>
  <si>
    <t>INC101612</t>
  </si>
  <si>
    <t>INC101613</t>
  </si>
  <si>
    <t>INC101614</t>
  </si>
  <si>
    <t>INC101615</t>
  </si>
  <si>
    <t>INC101616</t>
  </si>
  <si>
    <t>INC101617</t>
  </si>
  <si>
    <t>INC101618</t>
  </si>
  <si>
    <t>INC101619</t>
  </si>
  <si>
    <t>INC101620</t>
  </si>
  <si>
    <t>INC101621</t>
  </si>
  <si>
    <t>INC101622</t>
  </si>
  <si>
    <t>INC101623</t>
  </si>
  <si>
    <t>INC101624</t>
  </si>
  <si>
    <t>INC101625</t>
  </si>
  <si>
    <t>INC101626</t>
  </si>
  <si>
    <t>INC101627</t>
  </si>
  <si>
    <t>INC101628</t>
  </si>
  <si>
    <t>INC101629</t>
  </si>
  <si>
    <t>INC101630</t>
  </si>
  <si>
    <t>INC101631</t>
  </si>
  <si>
    <t>INC101632</t>
  </si>
  <si>
    <t>INC101633</t>
  </si>
  <si>
    <t>INC101634</t>
  </si>
  <si>
    <t>INC101635</t>
  </si>
  <si>
    <t>INC101636</t>
  </si>
  <si>
    <t>INC101637</t>
  </si>
  <si>
    <t>INC101638</t>
  </si>
  <si>
    <t>INC101639</t>
  </si>
  <si>
    <t>INC101640</t>
  </si>
  <si>
    <t>INC101641</t>
  </si>
  <si>
    <t>INC101642</t>
  </si>
  <si>
    <t>INC101643</t>
  </si>
  <si>
    <t>INC101644</t>
  </si>
  <si>
    <t>INC101645</t>
  </si>
  <si>
    <t>INC101646</t>
  </si>
  <si>
    <t>INC101647</t>
  </si>
  <si>
    <t>INC101648</t>
  </si>
  <si>
    <t>INC101649</t>
  </si>
  <si>
    <t>INC101650</t>
  </si>
  <si>
    <t>INC101651</t>
  </si>
  <si>
    <t>INC101652</t>
  </si>
  <si>
    <t>INC101653</t>
  </si>
  <si>
    <t>INC101654</t>
  </si>
  <si>
    <t>INC101655</t>
  </si>
  <si>
    <t>INC101656</t>
  </si>
  <si>
    <t>INC101657</t>
  </si>
  <si>
    <t>INC101658</t>
  </si>
  <si>
    <t>INC101659</t>
  </si>
  <si>
    <t>INC101660</t>
  </si>
  <si>
    <t>INC101661</t>
  </si>
  <si>
    <t>INC101662</t>
  </si>
  <si>
    <t>INC101663</t>
  </si>
  <si>
    <t>INC101664</t>
  </si>
  <si>
    <t>INC101665</t>
  </si>
  <si>
    <t>INC101666</t>
  </si>
  <si>
    <t>INC101667</t>
  </si>
  <si>
    <t>INC101668</t>
  </si>
  <si>
    <t>INC101669</t>
  </si>
  <si>
    <t>INC101670</t>
  </si>
  <si>
    <t>INC101671</t>
  </si>
  <si>
    <t>INC101672</t>
  </si>
  <si>
    <t>INC101673</t>
  </si>
  <si>
    <t>INC101674</t>
  </si>
  <si>
    <t>INC101675</t>
  </si>
  <si>
    <t>INC101676</t>
  </si>
  <si>
    <t>INC101677</t>
  </si>
  <si>
    <t>INC101678</t>
  </si>
  <si>
    <t>INC101679</t>
  </si>
  <si>
    <t>INC101680</t>
  </si>
  <si>
    <t>INC101681</t>
  </si>
  <si>
    <t>INC101682</t>
  </si>
  <si>
    <t>INC101683</t>
  </si>
  <si>
    <t>INC101684</t>
  </si>
  <si>
    <t>INC101685</t>
  </si>
  <si>
    <t>INC101686</t>
  </si>
  <si>
    <t>INC101687</t>
  </si>
  <si>
    <t>INC101688</t>
  </si>
  <si>
    <t>INC101689</t>
  </si>
  <si>
    <t>INC101690</t>
  </si>
  <si>
    <t>INC101691</t>
  </si>
  <si>
    <t>INC101692</t>
  </si>
  <si>
    <t>INC101693</t>
  </si>
  <si>
    <t>INC101694</t>
  </si>
  <si>
    <t>INC101695</t>
  </si>
  <si>
    <t>INC101696</t>
  </si>
  <si>
    <t>INC101697</t>
  </si>
  <si>
    <t>INC101698</t>
  </si>
  <si>
    <t>INC101699</t>
  </si>
  <si>
    <t>INC101700</t>
  </si>
  <si>
    <t>INC101701</t>
  </si>
  <si>
    <t>INC101702</t>
  </si>
  <si>
    <t>INC101703</t>
  </si>
  <si>
    <t>INC101704</t>
  </si>
  <si>
    <t>INC101705</t>
  </si>
  <si>
    <t>INC101706</t>
  </si>
  <si>
    <t>INC101707</t>
  </si>
  <si>
    <t>INC101708</t>
  </si>
  <si>
    <t>INC101709</t>
  </si>
  <si>
    <t>INC101710</t>
  </si>
  <si>
    <t>INC101711</t>
  </si>
  <si>
    <t>INC101712</t>
  </si>
  <si>
    <t>INC101713</t>
  </si>
  <si>
    <t>INC101714</t>
  </si>
  <si>
    <t>INC101715</t>
  </si>
  <si>
    <t>INC101716</t>
  </si>
  <si>
    <t>INC101717</t>
  </si>
  <si>
    <t>INC101718</t>
  </si>
  <si>
    <t>INC101719</t>
  </si>
  <si>
    <t>INC101720</t>
  </si>
  <si>
    <t>INC101721</t>
  </si>
  <si>
    <t>INC101722</t>
  </si>
  <si>
    <t>INC101723</t>
  </si>
  <si>
    <t>INC101724</t>
  </si>
  <si>
    <t>INC101725</t>
  </si>
  <si>
    <t>INC101726</t>
  </si>
  <si>
    <t>INC101727</t>
  </si>
  <si>
    <t>INC101728</t>
  </si>
  <si>
    <t>INC101729</t>
  </si>
  <si>
    <t>INC101730</t>
  </si>
  <si>
    <t>INC101731</t>
  </si>
  <si>
    <t>INC101732</t>
  </si>
  <si>
    <t>INC101733</t>
  </si>
  <si>
    <t>INC101734</t>
  </si>
  <si>
    <t>INC101735</t>
  </si>
  <si>
    <t>INC101736</t>
  </si>
  <si>
    <t>INC101737</t>
  </si>
  <si>
    <t>INC101738</t>
  </si>
  <si>
    <t>INC101739</t>
  </si>
  <si>
    <t>INC101740</t>
  </si>
  <si>
    <t>INC101741</t>
  </si>
  <si>
    <t>INC101742</t>
  </si>
  <si>
    <t>INC101743</t>
  </si>
  <si>
    <t>INC101744</t>
  </si>
  <si>
    <t>INC101745</t>
  </si>
  <si>
    <t>INC101746</t>
  </si>
  <si>
    <t>INC101747</t>
  </si>
  <si>
    <t>INC101748</t>
  </si>
  <si>
    <t>INC101749</t>
  </si>
  <si>
    <t>INC101750</t>
  </si>
  <si>
    <t>INC101751</t>
  </si>
  <si>
    <t>INC101752</t>
  </si>
  <si>
    <t>INC101753</t>
  </si>
  <si>
    <t>INC101754</t>
  </si>
  <si>
    <t>INC101755</t>
  </si>
  <si>
    <t>INC101756</t>
  </si>
  <si>
    <t>INC101757</t>
  </si>
  <si>
    <t>INC101758</t>
  </si>
  <si>
    <t>INC101759</t>
  </si>
  <si>
    <t>INC101760</t>
  </si>
  <si>
    <t>INC101761</t>
  </si>
  <si>
    <t>INC101762</t>
  </si>
  <si>
    <t>INC101763</t>
  </si>
  <si>
    <t>INC101764</t>
  </si>
  <si>
    <t>INC101765</t>
  </si>
  <si>
    <t>INC101766</t>
  </si>
  <si>
    <t>INC101767</t>
  </si>
  <si>
    <t>INC101768</t>
  </si>
  <si>
    <t>INC101769</t>
  </si>
  <si>
    <t>INC101770</t>
  </si>
  <si>
    <t>INC101771</t>
  </si>
  <si>
    <t>INC101772</t>
  </si>
  <si>
    <t>INC101773</t>
  </si>
  <si>
    <t>INC101774</t>
  </si>
  <si>
    <t>INC101775</t>
  </si>
  <si>
    <t>INC101776</t>
  </si>
  <si>
    <t>INC101777</t>
  </si>
  <si>
    <t>INC101778</t>
  </si>
  <si>
    <t>INC101779</t>
  </si>
  <si>
    <t>INC101780</t>
  </si>
  <si>
    <t>INC101781</t>
  </si>
  <si>
    <t>INC101782</t>
  </si>
  <si>
    <t>INC101783</t>
  </si>
  <si>
    <t>INC101784</t>
  </si>
  <si>
    <t>INC101785</t>
  </si>
  <si>
    <t>INC101786</t>
  </si>
  <si>
    <t>INC101787</t>
  </si>
  <si>
    <t>INC101788</t>
  </si>
  <si>
    <t>INC101789</t>
  </si>
  <si>
    <t>INC101790</t>
  </si>
  <si>
    <t>INC101791</t>
  </si>
  <si>
    <t>INC101792</t>
  </si>
  <si>
    <t>INC101793</t>
  </si>
  <si>
    <t>INC101794</t>
  </si>
  <si>
    <t>INC101795</t>
  </si>
  <si>
    <t>INC101796</t>
  </si>
  <si>
    <t>INC101797</t>
  </si>
  <si>
    <t>INC101798</t>
  </si>
  <si>
    <t>INC101799</t>
  </si>
  <si>
    <t>INC101800</t>
  </si>
  <si>
    <t>INC101801</t>
  </si>
  <si>
    <t>INC101802</t>
  </si>
  <si>
    <t>INC101803</t>
  </si>
  <si>
    <t>INC101804</t>
  </si>
  <si>
    <t>INC101805</t>
  </si>
  <si>
    <t>INC101806</t>
  </si>
  <si>
    <t>INC101807</t>
  </si>
  <si>
    <t>INC101808</t>
  </si>
  <si>
    <t>INC101809</t>
  </si>
  <si>
    <t>INC101810</t>
  </si>
  <si>
    <t>INC101811</t>
  </si>
  <si>
    <t>INC101812</t>
  </si>
  <si>
    <t>INC101813</t>
  </si>
  <si>
    <t>INC101814</t>
  </si>
  <si>
    <t>INC101815</t>
  </si>
  <si>
    <t>INC101816</t>
  </si>
  <si>
    <t>INC101817</t>
  </si>
  <si>
    <t>INC101818</t>
  </si>
  <si>
    <t>INC101819</t>
  </si>
  <si>
    <t>INC101820</t>
  </si>
  <si>
    <t>INC101821</t>
  </si>
  <si>
    <t>INC101822</t>
  </si>
  <si>
    <t>INC101823</t>
  </si>
  <si>
    <t>INC101824</t>
  </si>
  <si>
    <t>INC101825</t>
  </si>
  <si>
    <t>INC101826</t>
  </si>
  <si>
    <t>INC101827</t>
  </si>
  <si>
    <t>INC101828</t>
  </si>
  <si>
    <t>INC101829</t>
  </si>
  <si>
    <t>INC101830</t>
  </si>
  <si>
    <t>INC101831</t>
  </si>
  <si>
    <t>INC101832</t>
  </si>
  <si>
    <t>INC101833</t>
  </si>
  <si>
    <t>INC101834</t>
  </si>
  <si>
    <t>INC101835</t>
  </si>
  <si>
    <t>INC101836</t>
  </si>
  <si>
    <t>INC101837</t>
  </si>
  <si>
    <t>INC101838</t>
  </si>
  <si>
    <t>INC101839</t>
  </si>
  <si>
    <t>INC101840</t>
  </si>
  <si>
    <t>INC101841</t>
  </si>
  <si>
    <t>INC101842</t>
  </si>
  <si>
    <t>INC101843</t>
  </si>
  <si>
    <t>INC101844</t>
  </si>
  <si>
    <t>INC101845</t>
  </si>
  <si>
    <t>INC101846</t>
  </si>
  <si>
    <t>INC101847</t>
  </si>
  <si>
    <t>INC101848</t>
  </si>
  <si>
    <t>INC101849</t>
  </si>
  <si>
    <t>INC101850</t>
  </si>
  <si>
    <t>INC101851</t>
  </si>
  <si>
    <t>INC101852</t>
  </si>
  <si>
    <t>INC101853</t>
  </si>
  <si>
    <t>INC101854</t>
  </si>
  <si>
    <t>INC101855</t>
  </si>
  <si>
    <t>INC101856</t>
  </si>
  <si>
    <t>INC101857</t>
  </si>
  <si>
    <t>INC101858</t>
  </si>
  <si>
    <t>INC101859</t>
  </si>
  <si>
    <t>INC101860</t>
  </si>
  <si>
    <t>INC101861</t>
  </si>
  <si>
    <t>INC101862</t>
  </si>
  <si>
    <t>INC101863</t>
  </si>
  <si>
    <t>INC101864</t>
  </si>
  <si>
    <t>INC101865</t>
  </si>
  <si>
    <t>INC101866</t>
  </si>
  <si>
    <t>INC101867</t>
  </si>
  <si>
    <t>INC101868</t>
  </si>
  <si>
    <t>INC101869</t>
  </si>
  <si>
    <t>INC101870</t>
  </si>
  <si>
    <t>INC101871</t>
  </si>
  <si>
    <t>INC101872</t>
  </si>
  <si>
    <t>INC101873</t>
  </si>
  <si>
    <t>INC101874</t>
  </si>
  <si>
    <t>INC101875</t>
  </si>
  <si>
    <t>INC101876</t>
  </si>
  <si>
    <t>INC101877</t>
  </si>
  <si>
    <t>INC101878</t>
  </si>
  <si>
    <t>INC101879</t>
  </si>
  <si>
    <t>INC101880</t>
  </si>
  <si>
    <t>INC101881</t>
  </si>
  <si>
    <t>INC101882</t>
  </si>
  <si>
    <t>INC101883</t>
  </si>
  <si>
    <t>INC101884</t>
  </si>
  <si>
    <t>INC101885</t>
  </si>
  <si>
    <t>INC101886</t>
  </si>
  <si>
    <t>INC101887</t>
  </si>
  <si>
    <t>INC101888</t>
  </si>
  <si>
    <t>INC101889</t>
  </si>
  <si>
    <t>INC101890</t>
  </si>
  <si>
    <t>INC101891</t>
  </si>
  <si>
    <t>INC101892</t>
  </si>
  <si>
    <t>INC101893</t>
  </si>
  <si>
    <t>INC101894</t>
  </si>
  <si>
    <t>INC101895</t>
  </si>
  <si>
    <t>INC101896</t>
  </si>
  <si>
    <t>INC101897</t>
  </si>
  <si>
    <t>INC101898</t>
  </si>
  <si>
    <t>INC101899</t>
  </si>
  <si>
    <t>INC101900</t>
  </si>
  <si>
    <t>INC101901</t>
  </si>
  <si>
    <t>INC101902</t>
  </si>
  <si>
    <t>INC101903</t>
  </si>
  <si>
    <t>INC101904</t>
  </si>
  <si>
    <t>INC101905</t>
  </si>
  <si>
    <t>INC101906</t>
  </si>
  <si>
    <t>INC101907</t>
  </si>
  <si>
    <t>INC101908</t>
  </si>
  <si>
    <t>INC101909</t>
  </si>
  <si>
    <t>INC101910</t>
  </si>
  <si>
    <t>INC101911</t>
  </si>
  <si>
    <t>INC101912</t>
  </si>
  <si>
    <t>INC101913</t>
  </si>
  <si>
    <t>INC101914</t>
  </si>
  <si>
    <t>INC101915</t>
  </si>
  <si>
    <t>INC101916</t>
  </si>
  <si>
    <t>INC101917</t>
  </si>
  <si>
    <t>INC101918</t>
  </si>
  <si>
    <t>INC101919</t>
  </si>
  <si>
    <t>INC101920</t>
  </si>
  <si>
    <t>INC101921</t>
  </si>
  <si>
    <t>INC101922</t>
  </si>
  <si>
    <t>INC101923</t>
  </si>
  <si>
    <t>INC101924</t>
  </si>
  <si>
    <t>INC101925</t>
  </si>
  <si>
    <t>INC101926</t>
  </si>
  <si>
    <t>INC101927</t>
  </si>
  <si>
    <t>INC101928</t>
  </si>
  <si>
    <t>INC101929</t>
  </si>
  <si>
    <t>INC101930</t>
  </si>
  <si>
    <t>INC101931</t>
  </si>
  <si>
    <t>INC101932</t>
  </si>
  <si>
    <t>INC101933</t>
  </si>
  <si>
    <t>INC101934</t>
  </si>
  <si>
    <t>INC101935</t>
  </si>
  <si>
    <t>INC101936</t>
  </si>
  <si>
    <t>INC101937</t>
  </si>
  <si>
    <t>INC101938</t>
  </si>
  <si>
    <t>INC101939</t>
  </si>
  <si>
    <t>INC101940</t>
  </si>
  <si>
    <t>INC101941</t>
  </si>
  <si>
    <t>INC101942</t>
  </si>
  <si>
    <t>INC101943</t>
  </si>
  <si>
    <t>INC101944</t>
  </si>
  <si>
    <t>INC101945</t>
  </si>
  <si>
    <t>INC101946</t>
  </si>
  <si>
    <t>INC101947</t>
  </si>
  <si>
    <t>INC101948</t>
  </si>
  <si>
    <t>INC101949</t>
  </si>
  <si>
    <t>INC101950</t>
  </si>
  <si>
    <t>INC101951</t>
  </si>
  <si>
    <t>INC101952</t>
  </si>
  <si>
    <t>INC101953</t>
  </si>
  <si>
    <t>INC101954</t>
  </si>
  <si>
    <t>INC101955</t>
  </si>
  <si>
    <t>INC101956</t>
  </si>
  <si>
    <t>INC101957</t>
  </si>
  <si>
    <t>INC101958</t>
  </si>
  <si>
    <t>INC101959</t>
  </si>
  <si>
    <t>INC101960</t>
  </si>
  <si>
    <t>INC101961</t>
  </si>
  <si>
    <t>INC101962</t>
  </si>
  <si>
    <t>INC101963</t>
  </si>
  <si>
    <t>INC101964</t>
  </si>
  <si>
    <t>INC101965</t>
  </si>
  <si>
    <t>INC101966</t>
  </si>
  <si>
    <t>INC101967</t>
  </si>
  <si>
    <t>INC101968</t>
  </si>
  <si>
    <t>INC101969</t>
  </si>
  <si>
    <t>INC101970</t>
  </si>
  <si>
    <t>INC101971</t>
  </si>
  <si>
    <t>INC101972</t>
  </si>
  <si>
    <t>INC101973</t>
  </si>
  <si>
    <t>INC101974</t>
  </si>
  <si>
    <t>INC101975</t>
  </si>
  <si>
    <t>INC101976</t>
  </si>
  <si>
    <t>INC101977</t>
  </si>
  <si>
    <t>INC101978</t>
  </si>
  <si>
    <t>INC101979</t>
  </si>
  <si>
    <t>INC101980</t>
  </si>
  <si>
    <t>INC101981</t>
  </si>
  <si>
    <t>INC101982</t>
  </si>
  <si>
    <t>INC101983</t>
  </si>
  <si>
    <t>INC101984</t>
  </si>
  <si>
    <t>INC101985</t>
  </si>
  <si>
    <t>INC101986</t>
  </si>
  <si>
    <t>INC101987</t>
  </si>
  <si>
    <t>INC101988</t>
  </si>
  <si>
    <t>INC101989</t>
  </si>
  <si>
    <t>INC101990</t>
  </si>
  <si>
    <t>INC101991</t>
  </si>
  <si>
    <t>INC101992</t>
  </si>
  <si>
    <t>INC101993</t>
  </si>
  <si>
    <t>INC101994</t>
  </si>
  <si>
    <t>INC101995</t>
  </si>
  <si>
    <t>INC101996</t>
  </si>
  <si>
    <t>INC101997</t>
  </si>
  <si>
    <t>INC101998</t>
  </si>
  <si>
    <t>INC101999</t>
  </si>
  <si>
    <t>INC102000</t>
  </si>
  <si>
    <t>INC102001</t>
  </si>
  <si>
    <t>INC102002</t>
  </si>
  <si>
    <t>INC102003</t>
  </si>
  <si>
    <t>INC102004</t>
  </si>
  <si>
    <t>INC102005</t>
  </si>
  <si>
    <t>INC102006</t>
  </si>
  <si>
    <t>INC102007</t>
  </si>
  <si>
    <t>INC102008</t>
  </si>
  <si>
    <t>INC102009</t>
  </si>
  <si>
    <t>INC102010</t>
  </si>
  <si>
    <t>INC102011</t>
  </si>
  <si>
    <t>INC102012</t>
  </si>
  <si>
    <t>INC102013</t>
  </si>
  <si>
    <t>INC102014</t>
  </si>
  <si>
    <t>INC102015</t>
  </si>
  <si>
    <t>INC102016</t>
  </si>
  <si>
    <t>INC102017</t>
  </si>
  <si>
    <t>INC102018</t>
  </si>
  <si>
    <t>INC102019</t>
  </si>
  <si>
    <t>INC102020</t>
  </si>
  <si>
    <t>INC102021</t>
  </si>
  <si>
    <t>INC102022</t>
  </si>
  <si>
    <t>INC102023</t>
  </si>
  <si>
    <t>INC102024</t>
  </si>
  <si>
    <t>INC102025</t>
  </si>
  <si>
    <t>INC102026</t>
  </si>
  <si>
    <t>INC102027</t>
  </si>
  <si>
    <t>INC102028</t>
  </si>
  <si>
    <t>INC102029</t>
  </si>
  <si>
    <t>INC102030</t>
  </si>
  <si>
    <t>INC102031</t>
  </si>
  <si>
    <t>INC102032</t>
  </si>
  <si>
    <t>INC102033</t>
  </si>
  <si>
    <t>INC102034</t>
  </si>
  <si>
    <t>INC102035</t>
  </si>
  <si>
    <t>INC102036</t>
  </si>
  <si>
    <t>INC102037</t>
  </si>
  <si>
    <t>INC102038</t>
  </si>
  <si>
    <t>INC102039</t>
  </si>
  <si>
    <t>INC102040</t>
  </si>
  <si>
    <t>INC102041</t>
  </si>
  <si>
    <t>INC102042</t>
  </si>
  <si>
    <t>INC102043</t>
  </si>
  <si>
    <t>INC102044</t>
  </si>
  <si>
    <t>INC102045</t>
  </si>
  <si>
    <t>INC102046</t>
  </si>
  <si>
    <t>INC102047</t>
  </si>
  <si>
    <t>INC102048</t>
  </si>
  <si>
    <t>INC102049</t>
  </si>
  <si>
    <t>INC102050</t>
  </si>
  <si>
    <t>INC102051</t>
  </si>
  <si>
    <t>INC102052</t>
  </si>
  <si>
    <t>INC102053</t>
  </si>
  <si>
    <t>INC102054</t>
  </si>
  <si>
    <t>INC102055</t>
  </si>
  <si>
    <t>INC102056</t>
  </si>
  <si>
    <t>INC102057</t>
  </si>
  <si>
    <t>INC102058</t>
  </si>
  <si>
    <t>INC102059</t>
  </si>
  <si>
    <t>INC102060</t>
  </si>
  <si>
    <t>INC102061</t>
  </si>
  <si>
    <t>INC102062</t>
  </si>
  <si>
    <t>INC102063</t>
  </si>
  <si>
    <t>INC102064</t>
  </si>
  <si>
    <t>INC102065</t>
  </si>
  <si>
    <t>INC102066</t>
  </si>
  <si>
    <t>INC102067</t>
  </si>
  <si>
    <t>INC102068</t>
  </si>
  <si>
    <t>INC102069</t>
  </si>
  <si>
    <t>INC102070</t>
  </si>
  <si>
    <t>INC102071</t>
  </si>
  <si>
    <t>INC102072</t>
  </si>
  <si>
    <t>INC102073</t>
  </si>
  <si>
    <t>INC102074</t>
  </si>
  <si>
    <t>INC102075</t>
  </si>
  <si>
    <t>INC102076</t>
  </si>
  <si>
    <t>INC102077</t>
  </si>
  <si>
    <t>INC102078</t>
  </si>
  <si>
    <t>INC102079</t>
  </si>
  <si>
    <t>INC102080</t>
  </si>
  <si>
    <t>INC102081</t>
  </si>
  <si>
    <t>INC102082</t>
  </si>
  <si>
    <t>INC102083</t>
  </si>
  <si>
    <t>INC102084</t>
  </si>
  <si>
    <t>INC102085</t>
  </si>
  <si>
    <t>INC102086</t>
  </si>
  <si>
    <t>INC102087</t>
  </si>
  <si>
    <t>INC102088</t>
  </si>
  <si>
    <t>INC102089</t>
  </si>
  <si>
    <t>INC102090</t>
  </si>
  <si>
    <t>INC102091</t>
  </si>
  <si>
    <t>INC102092</t>
  </si>
  <si>
    <t>INC102093</t>
  </si>
  <si>
    <t>INC102094</t>
  </si>
  <si>
    <t>INC102095</t>
  </si>
  <si>
    <t>INC102096</t>
  </si>
  <si>
    <t>INC102097</t>
  </si>
  <si>
    <t>INC102098</t>
  </si>
  <si>
    <t>INC102099</t>
  </si>
  <si>
    <t>INC102100</t>
  </si>
  <si>
    <t>INC102101</t>
  </si>
  <si>
    <t>INC102102</t>
  </si>
  <si>
    <t>INC102103</t>
  </si>
  <si>
    <t>INC102104</t>
  </si>
  <si>
    <t>INC102105</t>
  </si>
  <si>
    <t>INC102106</t>
  </si>
  <si>
    <t>INC102107</t>
  </si>
  <si>
    <t>INC102108</t>
  </si>
  <si>
    <t>INC102109</t>
  </si>
  <si>
    <t>INC102110</t>
  </si>
  <si>
    <t>INC102111</t>
  </si>
  <si>
    <t>INC102112</t>
  </si>
  <si>
    <t>INC102113</t>
  </si>
  <si>
    <t>INC102114</t>
  </si>
  <si>
    <t>INC102115</t>
  </si>
  <si>
    <t>INC102116</t>
  </si>
  <si>
    <t>INC102117</t>
  </si>
  <si>
    <t>INC102118</t>
  </si>
  <si>
    <t>INC102119</t>
  </si>
  <si>
    <t>INC102120</t>
  </si>
  <si>
    <t>INC102121</t>
  </si>
  <si>
    <t>INC102122</t>
  </si>
  <si>
    <t>INC102123</t>
  </si>
  <si>
    <t>INC102124</t>
  </si>
  <si>
    <t>INC102125</t>
  </si>
  <si>
    <t>INC102126</t>
  </si>
  <si>
    <t>INC102127</t>
  </si>
  <si>
    <t>INC102128</t>
  </si>
  <si>
    <t>INC102129</t>
  </si>
  <si>
    <t>INC102130</t>
  </si>
  <si>
    <t>INC102131</t>
  </si>
  <si>
    <t>INC102132</t>
  </si>
  <si>
    <t>INC102133</t>
  </si>
  <si>
    <t>INC102134</t>
  </si>
  <si>
    <t>INC102135</t>
  </si>
  <si>
    <t>INC102136</t>
  </si>
  <si>
    <t>INC102137</t>
  </si>
  <si>
    <t>INC102138</t>
  </si>
  <si>
    <t>INC102139</t>
  </si>
  <si>
    <t>INC102140</t>
  </si>
  <si>
    <t>INC102141</t>
  </si>
  <si>
    <t>INC102142</t>
  </si>
  <si>
    <t>INC102143</t>
  </si>
  <si>
    <t>INC102144</t>
  </si>
  <si>
    <t>INC102145</t>
  </si>
  <si>
    <t>INC102146</t>
  </si>
  <si>
    <t>INC102147</t>
  </si>
  <si>
    <t>INC102148</t>
  </si>
  <si>
    <t>INC102149</t>
  </si>
  <si>
    <t>INC102150</t>
  </si>
  <si>
    <t>INC102151</t>
  </si>
  <si>
    <t>INC102152</t>
  </si>
  <si>
    <t>INC102153</t>
  </si>
  <si>
    <t>INC102154</t>
  </si>
  <si>
    <t>INC102155</t>
  </si>
  <si>
    <t>INC102156</t>
  </si>
  <si>
    <t>INC102157</t>
  </si>
  <si>
    <t>INC102158</t>
  </si>
  <si>
    <t>INC102159</t>
  </si>
  <si>
    <t>INC102160</t>
  </si>
  <si>
    <t>INC102161</t>
  </si>
  <si>
    <t>INC102162</t>
  </si>
  <si>
    <t>INC102163</t>
  </si>
  <si>
    <t>INC102164</t>
  </si>
  <si>
    <t>INC102165</t>
  </si>
  <si>
    <t>INC102166</t>
  </si>
  <si>
    <t>INC102167</t>
  </si>
  <si>
    <t>INC102168</t>
  </si>
  <si>
    <t>INC102169</t>
  </si>
  <si>
    <t>INC102170</t>
  </si>
  <si>
    <t>INC102171</t>
  </si>
  <si>
    <t>INC102172</t>
  </si>
  <si>
    <t>INC102173</t>
  </si>
  <si>
    <t>INC102174</t>
  </si>
  <si>
    <t>INC102175</t>
  </si>
  <si>
    <t>INC102176</t>
  </si>
  <si>
    <t>INC102177</t>
  </si>
  <si>
    <t>INC102178</t>
  </si>
  <si>
    <t>INC102179</t>
  </si>
  <si>
    <t>INC102180</t>
  </si>
  <si>
    <t>INC102181</t>
  </si>
  <si>
    <t>INC102182</t>
  </si>
  <si>
    <t>INC102183</t>
  </si>
  <si>
    <t>INC102184</t>
  </si>
  <si>
    <t>INC102185</t>
  </si>
  <si>
    <t>INC102186</t>
  </si>
  <si>
    <t>INC102187</t>
  </si>
  <si>
    <t>INC102188</t>
  </si>
  <si>
    <t>INC102189</t>
  </si>
  <si>
    <t>INC102190</t>
  </si>
  <si>
    <t>INC102191</t>
  </si>
  <si>
    <t>INC102192</t>
  </si>
  <si>
    <t>INC102193</t>
  </si>
  <si>
    <t>INC102194</t>
  </si>
  <si>
    <t>INC102195</t>
  </si>
  <si>
    <t>INC102196</t>
  </si>
  <si>
    <t>INC102197</t>
  </si>
  <si>
    <t>INC102198</t>
  </si>
  <si>
    <t>INC102199</t>
  </si>
  <si>
    <t>INC102200</t>
  </si>
  <si>
    <t>INC102201</t>
  </si>
  <si>
    <t>INC102202</t>
  </si>
  <si>
    <t>INC102203</t>
  </si>
  <si>
    <t>INC102204</t>
  </si>
  <si>
    <t>INC102205</t>
  </si>
  <si>
    <t>INC102206</t>
  </si>
  <si>
    <t>INC102207</t>
  </si>
  <si>
    <t>INC102208</t>
  </si>
  <si>
    <t>INC102209</t>
  </si>
  <si>
    <t>INC102210</t>
  </si>
  <si>
    <t>INC102211</t>
  </si>
  <si>
    <t>INC102212</t>
  </si>
  <si>
    <t>INC102213</t>
  </si>
  <si>
    <t>INC102214</t>
  </si>
  <si>
    <t>INC102215</t>
  </si>
  <si>
    <t>INC102216</t>
  </si>
  <si>
    <t>INC102217</t>
  </si>
  <si>
    <t>INC102218</t>
  </si>
  <si>
    <t>INC102219</t>
  </si>
  <si>
    <t>INC102220</t>
  </si>
  <si>
    <t>INC102221</t>
  </si>
  <si>
    <t>INC102222</t>
  </si>
  <si>
    <t>INC102223</t>
  </si>
  <si>
    <t>INC102224</t>
  </si>
  <si>
    <t>INC102225</t>
  </si>
  <si>
    <t>INC102226</t>
  </si>
  <si>
    <t>INC102227</t>
  </si>
  <si>
    <t>INC102228</t>
  </si>
  <si>
    <t>INC102229</t>
  </si>
  <si>
    <t>INC102230</t>
  </si>
  <si>
    <t>INC102231</t>
  </si>
  <si>
    <t>INC102232</t>
  </si>
  <si>
    <t>INC102233</t>
  </si>
  <si>
    <t>INC102234</t>
  </si>
  <si>
    <t>INC102235</t>
  </si>
  <si>
    <t>INC102236</t>
  </si>
  <si>
    <t>INC102237</t>
  </si>
  <si>
    <t>INC102238</t>
  </si>
  <si>
    <t>INC102239</t>
  </si>
  <si>
    <t>INC102240</t>
  </si>
  <si>
    <t>INC102241</t>
  </si>
  <si>
    <t>INC102242</t>
  </si>
  <si>
    <t>INC102243</t>
  </si>
  <si>
    <t>INC102244</t>
  </si>
  <si>
    <t>INC102245</t>
  </si>
  <si>
    <t>INC102246</t>
  </si>
  <si>
    <t>INC102247</t>
  </si>
  <si>
    <t>INC102248</t>
  </si>
  <si>
    <t>INC102249</t>
  </si>
  <si>
    <t>INC102250</t>
  </si>
  <si>
    <t>INC102251</t>
  </si>
  <si>
    <t>INC102252</t>
  </si>
  <si>
    <t>INC102253</t>
  </si>
  <si>
    <t>INC102254</t>
  </si>
  <si>
    <t>INC102255</t>
  </si>
  <si>
    <t>INC102256</t>
  </si>
  <si>
    <t>INC102257</t>
  </si>
  <si>
    <t>INC102258</t>
  </si>
  <si>
    <t>INC102259</t>
  </si>
  <si>
    <t>INC102260</t>
  </si>
  <si>
    <t>INC102261</t>
  </si>
  <si>
    <t>INC102262</t>
  </si>
  <si>
    <t>INC102263</t>
  </si>
  <si>
    <t>INC102264</t>
  </si>
  <si>
    <t>INC102265</t>
  </si>
  <si>
    <t>INC102266</t>
  </si>
  <si>
    <t>INC102267</t>
  </si>
  <si>
    <t>INC102268</t>
  </si>
  <si>
    <t>INC102269</t>
  </si>
  <si>
    <t>INC102270</t>
  </si>
  <si>
    <t>INC102271</t>
  </si>
  <si>
    <t>INC102272</t>
  </si>
  <si>
    <t>INC102273</t>
  </si>
  <si>
    <t>INC102274</t>
  </si>
  <si>
    <t>INC102275</t>
  </si>
  <si>
    <t>INC102276</t>
  </si>
  <si>
    <t>INC102277</t>
  </si>
  <si>
    <t>INC102278</t>
  </si>
  <si>
    <t>INC102279</t>
  </si>
  <si>
    <t>INC102280</t>
  </si>
  <si>
    <t>INC102281</t>
  </si>
  <si>
    <t>INC102282</t>
  </si>
  <si>
    <t>INC102283</t>
  </si>
  <si>
    <t>INC102284</t>
  </si>
  <si>
    <t>INC102285</t>
  </si>
  <si>
    <t>INC102286</t>
  </si>
  <si>
    <t>INC102287</t>
  </si>
  <si>
    <t>INC102288</t>
  </si>
  <si>
    <t>INC102289</t>
  </si>
  <si>
    <t>INC102290</t>
  </si>
  <si>
    <t>INC102291</t>
  </si>
  <si>
    <t>INC102292</t>
  </si>
  <si>
    <t>INC102293</t>
  </si>
  <si>
    <t>INC102294</t>
  </si>
  <si>
    <t>INC102295</t>
  </si>
  <si>
    <t>INC102296</t>
  </si>
  <si>
    <t>INC102297</t>
  </si>
  <si>
    <t>INC102298</t>
  </si>
  <si>
    <t>INC102299</t>
  </si>
  <si>
    <t>INC102300</t>
  </si>
  <si>
    <t>INC102301</t>
  </si>
  <si>
    <t>INC102302</t>
  </si>
  <si>
    <t>INC102303</t>
  </si>
  <si>
    <t>INC102304</t>
  </si>
  <si>
    <t>INC102305</t>
  </si>
  <si>
    <t>INC102306</t>
  </si>
  <si>
    <t>INC102307</t>
  </si>
  <si>
    <t>INC102308</t>
  </si>
  <si>
    <t>INC102309</t>
  </si>
  <si>
    <t>INC102310</t>
  </si>
  <si>
    <t>INC102311</t>
  </si>
  <si>
    <t>INC102312</t>
  </si>
  <si>
    <t>INC102313</t>
  </si>
  <si>
    <t>INC102314</t>
  </si>
  <si>
    <t>INC102315</t>
  </si>
  <si>
    <t>INC102316</t>
  </si>
  <si>
    <t>INC102317</t>
  </si>
  <si>
    <t>INC102318</t>
  </si>
  <si>
    <t>INC102319</t>
  </si>
  <si>
    <t>INC102320</t>
  </si>
  <si>
    <t>INC102321</t>
  </si>
  <si>
    <t>INC102322</t>
  </si>
  <si>
    <t>INC102323</t>
  </si>
  <si>
    <t>INC102324</t>
  </si>
  <si>
    <t>INC102325</t>
  </si>
  <si>
    <t>INC102326</t>
  </si>
  <si>
    <t>INC102327</t>
  </si>
  <si>
    <t>INC102328</t>
  </si>
  <si>
    <t>INC102329</t>
  </si>
  <si>
    <t>INC102330</t>
  </si>
  <si>
    <t>INC102331</t>
  </si>
  <si>
    <t>INC102332</t>
  </si>
  <si>
    <t>INC102333</t>
  </si>
  <si>
    <t>INC102334</t>
  </si>
  <si>
    <t>INC102335</t>
  </si>
  <si>
    <t>INC102336</t>
  </si>
  <si>
    <t>INC102337</t>
  </si>
  <si>
    <t>INC102338</t>
  </si>
  <si>
    <t>INC102339</t>
  </si>
  <si>
    <t>INC102340</t>
  </si>
  <si>
    <t>INC102341</t>
  </si>
  <si>
    <t>INC102342</t>
  </si>
  <si>
    <t>INC102343</t>
  </si>
  <si>
    <t>INC102344</t>
  </si>
  <si>
    <t>INC102345</t>
  </si>
  <si>
    <t>INC102346</t>
  </si>
  <si>
    <t>INC102347</t>
  </si>
  <si>
    <t>INC102348</t>
  </si>
  <si>
    <t>INC102349</t>
  </si>
  <si>
    <t>INC102350</t>
  </si>
  <si>
    <t>INC102351</t>
  </si>
  <si>
    <t>INC102352</t>
  </si>
  <si>
    <t>INC102353</t>
  </si>
  <si>
    <t>INC102354</t>
  </si>
  <si>
    <t>INC102355</t>
  </si>
  <si>
    <t>INC102356</t>
  </si>
  <si>
    <t>INC102357</t>
  </si>
  <si>
    <t>INC102358</t>
  </si>
  <si>
    <t>INC102359</t>
  </si>
  <si>
    <t>INC102360</t>
  </si>
  <si>
    <t>INC102361</t>
  </si>
  <si>
    <t>INC102362</t>
  </si>
  <si>
    <t>INC102363</t>
  </si>
  <si>
    <t>INC102364</t>
  </si>
  <si>
    <t>INC102365</t>
  </si>
  <si>
    <t>INC102366</t>
  </si>
  <si>
    <t>INC102367</t>
  </si>
  <si>
    <t>INC102368</t>
  </si>
  <si>
    <t>INC102369</t>
  </si>
  <si>
    <t>INC102370</t>
  </si>
  <si>
    <t>INC102371</t>
  </si>
  <si>
    <t>INC102372</t>
  </si>
  <si>
    <t>INC102373</t>
  </si>
  <si>
    <t>INC102374</t>
  </si>
  <si>
    <t>INC102375</t>
  </si>
  <si>
    <t>INC102376</t>
  </si>
  <si>
    <t>INC102377</t>
  </si>
  <si>
    <t>INC102378</t>
  </si>
  <si>
    <t>INC102379</t>
  </si>
  <si>
    <t>INC102380</t>
  </si>
  <si>
    <t>INC102381</t>
  </si>
  <si>
    <t>INC102382</t>
  </si>
  <si>
    <t>INC102383</t>
  </si>
  <si>
    <t>INC102384</t>
  </si>
  <si>
    <t>INC102385</t>
  </si>
  <si>
    <t>INC102386</t>
  </si>
  <si>
    <t>INC102387</t>
  </si>
  <si>
    <t>INC102388</t>
  </si>
  <si>
    <t>INC102389</t>
  </si>
  <si>
    <t>INC102390</t>
  </si>
  <si>
    <t>INC102391</t>
  </si>
  <si>
    <t>INC102392</t>
  </si>
  <si>
    <t>INC102393</t>
  </si>
  <si>
    <t>INC102394</t>
  </si>
  <si>
    <t>INC102395</t>
  </si>
  <si>
    <t>INC102396</t>
  </si>
  <si>
    <t>INC102397</t>
  </si>
  <si>
    <t>INC102398</t>
  </si>
  <si>
    <t>INC102399</t>
  </si>
  <si>
    <t>INC102400</t>
  </si>
  <si>
    <t>INC102401</t>
  </si>
  <si>
    <t>INC102402</t>
  </si>
  <si>
    <t>INC102403</t>
  </si>
  <si>
    <t>INC102404</t>
  </si>
  <si>
    <t>INC102405</t>
  </si>
  <si>
    <t>INC102406</t>
  </si>
  <si>
    <t>INC102407</t>
  </si>
  <si>
    <t>INC102408</t>
  </si>
  <si>
    <t>INC102409</t>
  </si>
  <si>
    <t>INC102410</t>
  </si>
  <si>
    <t>INC102411</t>
  </si>
  <si>
    <t>INC102412</t>
  </si>
  <si>
    <t>INC102413</t>
  </si>
  <si>
    <t>INC102414</t>
  </si>
  <si>
    <t>INC102415</t>
  </si>
  <si>
    <t>INC102416</t>
  </si>
  <si>
    <t>INC102417</t>
  </si>
  <si>
    <t>INC102418</t>
  </si>
  <si>
    <t>INC102419</t>
  </si>
  <si>
    <t>INC102420</t>
  </si>
  <si>
    <t>INC102421</t>
  </si>
  <si>
    <t>INC102422</t>
  </si>
  <si>
    <t>INC102423</t>
  </si>
  <si>
    <t>INC102424</t>
  </si>
  <si>
    <t>INC102425</t>
  </si>
  <si>
    <t>INC102426</t>
  </si>
  <si>
    <t>INC102427</t>
  </si>
  <si>
    <t>INC102428</t>
  </si>
  <si>
    <t>INC102429</t>
  </si>
  <si>
    <t>INC102430</t>
  </si>
  <si>
    <t>INC102431</t>
  </si>
  <si>
    <t>INC102432</t>
  </si>
  <si>
    <t>INC102433</t>
  </si>
  <si>
    <t>INC102434</t>
  </si>
  <si>
    <t>INC102435</t>
  </si>
  <si>
    <t>INC102436</t>
  </si>
  <si>
    <t>INC102437</t>
  </si>
  <si>
    <t>INC102438</t>
  </si>
  <si>
    <t>INC102439</t>
  </si>
  <si>
    <t>INC102440</t>
  </si>
  <si>
    <t>INC102441</t>
  </si>
  <si>
    <t>INC102442</t>
  </si>
  <si>
    <t>INC102443</t>
  </si>
  <si>
    <t>INC102444</t>
  </si>
  <si>
    <t>INC102445</t>
  </si>
  <si>
    <t>INC102446</t>
  </si>
  <si>
    <t>INC102447</t>
  </si>
  <si>
    <t>INC102448</t>
  </si>
  <si>
    <t>INC102449</t>
  </si>
  <si>
    <t>INC102450</t>
  </si>
  <si>
    <t>INC102451</t>
  </si>
  <si>
    <t>INC102452</t>
  </si>
  <si>
    <t>INC102453</t>
  </si>
  <si>
    <t>INC102454</t>
  </si>
  <si>
    <t>INC102455</t>
  </si>
  <si>
    <t>INC102456</t>
  </si>
  <si>
    <t>INC102457</t>
  </si>
  <si>
    <t>INC102458</t>
  </si>
  <si>
    <t>INC102459</t>
  </si>
  <si>
    <t>INC102460</t>
  </si>
  <si>
    <t>INC102461</t>
  </si>
  <si>
    <t>INC102462</t>
  </si>
  <si>
    <t>INC102463</t>
  </si>
  <si>
    <t>INC102464</t>
  </si>
  <si>
    <t>INC102465</t>
  </si>
  <si>
    <t>INC102466</t>
  </si>
  <si>
    <t>INC102467</t>
  </si>
  <si>
    <t>INC102468</t>
  </si>
  <si>
    <t>INC102469</t>
  </si>
  <si>
    <t>INC102470</t>
  </si>
  <si>
    <t>INC102471</t>
  </si>
  <si>
    <t>INC102472</t>
  </si>
  <si>
    <t>INC102473</t>
  </si>
  <si>
    <t>INC102474</t>
  </si>
  <si>
    <t>INC102475</t>
  </si>
  <si>
    <t>INC102476</t>
  </si>
  <si>
    <t>INC102477</t>
  </si>
  <si>
    <t>INC102478</t>
  </si>
  <si>
    <t>INC102479</t>
  </si>
  <si>
    <t>INC102480</t>
  </si>
  <si>
    <t>INC102481</t>
  </si>
  <si>
    <t>INC102482</t>
  </si>
  <si>
    <t>INC102483</t>
  </si>
  <si>
    <t>INC102484</t>
  </si>
  <si>
    <t>INC102485</t>
  </si>
  <si>
    <t>INC102486</t>
  </si>
  <si>
    <t>INC102487</t>
  </si>
  <si>
    <t>INC102488</t>
  </si>
  <si>
    <t>INC102489</t>
  </si>
  <si>
    <t>INC102490</t>
  </si>
  <si>
    <t>INC102491</t>
  </si>
  <si>
    <t>INC102492</t>
  </si>
  <si>
    <t>INC102493</t>
  </si>
  <si>
    <t>INC102494</t>
  </si>
  <si>
    <t>INC102495</t>
  </si>
  <si>
    <t>INC102496</t>
  </si>
  <si>
    <t>INC102497</t>
  </si>
  <si>
    <t>INC102498</t>
  </si>
  <si>
    <t>INC102499</t>
  </si>
  <si>
    <t>INC102500</t>
  </si>
  <si>
    <t>INC102501</t>
  </si>
  <si>
    <t>INC102502</t>
  </si>
  <si>
    <t>INC102503</t>
  </si>
  <si>
    <t>INC102504</t>
  </si>
  <si>
    <t>INC102505</t>
  </si>
  <si>
    <t>INC102506</t>
  </si>
  <si>
    <t>INC102507</t>
  </si>
  <si>
    <t>INC102508</t>
  </si>
  <si>
    <t>INC102509</t>
  </si>
  <si>
    <t>INC102510</t>
  </si>
  <si>
    <t>INC102511</t>
  </si>
  <si>
    <t>INC102512</t>
  </si>
  <si>
    <t>INC102513</t>
  </si>
  <si>
    <t>INC102514</t>
  </si>
  <si>
    <t>INC102515</t>
  </si>
  <si>
    <t>INC102516</t>
  </si>
  <si>
    <t>INC102517</t>
  </si>
  <si>
    <t>INC102518</t>
  </si>
  <si>
    <t>INC102519</t>
  </si>
  <si>
    <t>INC102520</t>
  </si>
  <si>
    <t>INC102521</t>
  </si>
  <si>
    <t>INC102522</t>
  </si>
  <si>
    <t>INC102523</t>
  </si>
  <si>
    <t>INC102524</t>
  </si>
  <si>
    <t>INC102525</t>
  </si>
  <si>
    <t>INC102526</t>
  </si>
  <si>
    <t>INC102527</t>
  </si>
  <si>
    <t>INC102528</t>
  </si>
  <si>
    <t>INC102529</t>
  </si>
  <si>
    <t>INC102530</t>
  </si>
  <si>
    <t>INC102531</t>
  </si>
  <si>
    <t>INC102532</t>
  </si>
  <si>
    <t>INC102533</t>
  </si>
  <si>
    <t>INC102534</t>
  </si>
  <si>
    <t>INC102535</t>
  </si>
  <si>
    <t>INC102536</t>
  </si>
  <si>
    <t>INC102537</t>
  </si>
  <si>
    <t>INC102538</t>
  </si>
  <si>
    <t>INC102539</t>
  </si>
  <si>
    <t>INC102540</t>
  </si>
  <si>
    <t>INC102541</t>
  </si>
  <si>
    <t>INC102542</t>
  </si>
  <si>
    <t>INC102543</t>
  </si>
  <si>
    <t>INC102544</t>
  </si>
  <si>
    <t>INC102545</t>
  </si>
  <si>
    <t>INC102546</t>
  </si>
  <si>
    <t>INC102547</t>
  </si>
  <si>
    <t>INC102548</t>
  </si>
  <si>
    <t>INC102549</t>
  </si>
  <si>
    <t>INC102550</t>
  </si>
  <si>
    <t>INC102551</t>
  </si>
  <si>
    <t>INC102552</t>
  </si>
  <si>
    <t>INC102553</t>
  </si>
  <si>
    <t>INC102554</t>
  </si>
  <si>
    <t>INC102555</t>
  </si>
  <si>
    <t>INC102556</t>
  </si>
  <si>
    <t>INC102557</t>
  </si>
  <si>
    <t>INC102558</t>
  </si>
  <si>
    <t>INC102559</t>
  </si>
  <si>
    <t>INC102560</t>
  </si>
  <si>
    <t>INC102561</t>
  </si>
  <si>
    <t>INC102562</t>
  </si>
  <si>
    <t>INC102563</t>
  </si>
  <si>
    <t>INC102564</t>
  </si>
  <si>
    <t>INC102565</t>
  </si>
  <si>
    <t>INC102566</t>
  </si>
  <si>
    <t>INC102567</t>
  </si>
  <si>
    <t>INC102568</t>
  </si>
  <si>
    <t>INC102569</t>
  </si>
  <si>
    <t>INC102570</t>
  </si>
  <si>
    <t>INC102571</t>
  </si>
  <si>
    <t>INC102572</t>
  </si>
  <si>
    <t>INC102573</t>
  </si>
  <si>
    <t>INC102574</t>
  </si>
  <si>
    <t>INC102575</t>
  </si>
  <si>
    <t>INC102576</t>
  </si>
  <si>
    <t>INC102577</t>
  </si>
  <si>
    <t>INC102578</t>
  </si>
  <si>
    <t>INC102579</t>
  </si>
  <si>
    <t>INC102580</t>
  </si>
  <si>
    <t>INC102581</t>
  </si>
  <si>
    <t>INC102582</t>
  </si>
  <si>
    <t>INC102583</t>
  </si>
  <si>
    <t>INC102584</t>
  </si>
  <si>
    <t>INC102585</t>
  </si>
  <si>
    <t>INC102586</t>
  </si>
  <si>
    <t>INC102587</t>
  </si>
  <si>
    <t>INC102588</t>
  </si>
  <si>
    <t>INC102589</t>
  </si>
  <si>
    <t>INC102590</t>
  </si>
  <si>
    <t>INC102591</t>
  </si>
  <si>
    <t>INC102592</t>
  </si>
  <si>
    <t>INC102593</t>
  </si>
  <si>
    <t>INC102594</t>
  </si>
  <si>
    <t>INC102595</t>
  </si>
  <si>
    <t>INC102596</t>
  </si>
  <si>
    <t>INC102597</t>
  </si>
  <si>
    <t>INC102598</t>
  </si>
  <si>
    <t>INC102599</t>
  </si>
  <si>
    <t>INC102600</t>
  </si>
  <si>
    <t>INC102601</t>
  </si>
  <si>
    <t>INC102602</t>
  </si>
  <si>
    <t>INC102603</t>
  </si>
  <si>
    <t>INC102604</t>
  </si>
  <si>
    <t>INC102605</t>
  </si>
  <si>
    <t>INC102606</t>
  </si>
  <si>
    <t>INC102607</t>
  </si>
  <si>
    <t>INC102608</t>
  </si>
  <si>
    <t>INC102609</t>
  </si>
  <si>
    <t>INC102610</t>
  </si>
  <si>
    <t>INC102611</t>
  </si>
  <si>
    <t>INC102612</t>
  </si>
  <si>
    <t>INC102613</t>
  </si>
  <si>
    <t>INC102614</t>
  </si>
  <si>
    <t>INC102615</t>
  </si>
  <si>
    <t>INC102616</t>
  </si>
  <si>
    <t>INC102617</t>
  </si>
  <si>
    <t>INC102618</t>
  </si>
  <si>
    <t>INC102619</t>
  </si>
  <si>
    <t>INC102620</t>
  </si>
  <si>
    <t>INC102621</t>
  </si>
  <si>
    <t>INC102622</t>
  </si>
  <si>
    <t>INC102623</t>
  </si>
  <si>
    <t>INC102624</t>
  </si>
  <si>
    <t>INC102625</t>
  </si>
  <si>
    <t>INC102626</t>
  </si>
  <si>
    <t>INC102627</t>
  </si>
  <si>
    <t>INC102628</t>
  </si>
  <si>
    <t>INC102629</t>
  </si>
  <si>
    <t>INC102630</t>
  </si>
  <si>
    <t>INC102631</t>
  </si>
  <si>
    <t>INC102632</t>
  </si>
  <si>
    <t>INC102633</t>
  </si>
  <si>
    <t>INC102634</t>
  </si>
  <si>
    <t>INC102635</t>
  </si>
  <si>
    <t>INC102636</t>
  </si>
  <si>
    <t>INC102637</t>
  </si>
  <si>
    <t>INC102638</t>
  </si>
  <si>
    <t>INC102639</t>
  </si>
  <si>
    <t>INC102640</t>
  </si>
  <si>
    <t>INC102641</t>
  </si>
  <si>
    <t>INC102642</t>
  </si>
  <si>
    <t>INC102643</t>
  </si>
  <si>
    <t>INC102644</t>
  </si>
  <si>
    <t>INC102645</t>
  </si>
  <si>
    <t>INC102646</t>
  </si>
  <si>
    <t>INC102647</t>
  </si>
  <si>
    <t>INC102648</t>
  </si>
  <si>
    <t>INC102649</t>
  </si>
  <si>
    <t>INC102650</t>
  </si>
  <si>
    <t>INC102651</t>
  </si>
  <si>
    <t>INC102652</t>
  </si>
  <si>
    <t>INC102653</t>
  </si>
  <si>
    <t>INC102654</t>
  </si>
  <si>
    <t>INC102655</t>
  </si>
  <si>
    <t>INC102656</t>
  </si>
  <si>
    <t>INC102657</t>
  </si>
  <si>
    <t>INC102658</t>
  </si>
  <si>
    <t>INC102659</t>
  </si>
  <si>
    <t>INC102660</t>
  </si>
  <si>
    <t>INC102661</t>
  </si>
  <si>
    <t>INC102662</t>
  </si>
  <si>
    <t>INC102663</t>
  </si>
  <si>
    <t>INC102664</t>
  </si>
  <si>
    <t>INC102665</t>
  </si>
  <si>
    <t>INC102666</t>
  </si>
  <si>
    <t>INC102667</t>
  </si>
  <si>
    <t>INC102668</t>
  </si>
  <si>
    <t>INC102669</t>
  </si>
  <si>
    <t>INC102670</t>
  </si>
  <si>
    <t>INC102671</t>
  </si>
  <si>
    <t>INC102672</t>
  </si>
  <si>
    <t>INC102673</t>
  </si>
  <si>
    <t>INC102674</t>
  </si>
  <si>
    <t>INC102675</t>
  </si>
  <si>
    <t>INC102676</t>
  </si>
  <si>
    <t>INC102677</t>
  </si>
  <si>
    <t>INC102678</t>
  </si>
  <si>
    <t>INC102679</t>
  </si>
  <si>
    <t>INC102680</t>
  </si>
  <si>
    <t>INC102681</t>
  </si>
  <si>
    <t>INC102682</t>
  </si>
  <si>
    <t>INC102683</t>
  </si>
  <si>
    <t>INC102684</t>
  </si>
  <si>
    <t>INC102685</t>
  </si>
  <si>
    <t>INC102686</t>
  </si>
  <si>
    <t>INC102687</t>
  </si>
  <si>
    <t>INC102688</t>
  </si>
  <si>
    <t>INC102689</t>
  </si>
  <si>
    <t>INC102690</t>
  </si>
  <si>
    <t>INC102691</t>
  </si>
  <si>
    <t>INC102692</t>
  </si>
  <si>
    <t>INC102693</t>
  </si>
  <si>
    <t>INC102694</t>
  </si>
  <si>
    <t>INC102695</t>
  </si>
  <si>
    <t>INC102696</t>
  </si>
  <si>
    <t>INC102697</t>
  </si>
  <si>
    <t>INC102698</t>
  </si>
  <si>
    <t>INC102699</t>
  </si>
  <si>
    <t>INC102700</t>
  </si>
  <si>
    <t>INC102701</t>
  </si>
  <si>
    <t>INC102702</t>
  </si>
  <si>
    <t>INC102703</t>
  </si>
  <si>
    <t>INC102704</t>
  </si>
  <si>
    <t>INC102705</t>
  </si>
  <si>
    <t>INC102706</t>
  </si>
  <si>
    <t>INC102707</t>
  </si>
  <si>
    <t>INC102708</t>
  </si>
  <si>
    <t>INC102709</t>
  </si>
  <si>
    <t>INC102710</t>
  </si>
  <si>
    <t>INC102711</t>
  </si>
  <si>
    <t>INC102712</t>
  </si>
  <si>
    <t>INC102713</t>
  </si>
  <si>
    <t>INC102714</t>
  </si>
  <si>
    <t>INC102715</t>
  </si>
  <si>
    <t>INC102716</t>
  </si>
  <si>
    <t>INC102717</t>
  </si>
  <si>
    <t>INC102718</t>
  </si>
  <si>
    <t>INC102719</t>
  </si>
  <si>
    <t>INC102720</t>
  </si>
  <si>
    <t>INC102721</t>
  </si>
  <si>
    <t>INC102722</t>
  </si>
  <si>
    <t>INC102723</t>
  </si>
  <si>
    <t>INC102724</t>
  </si>
  <si>
    <t>INC102725</t>
  </si>
  <si>
    <t>INC102726</t>
  </si>
  <si>
    <t>INC102727</t>
  </si>
  <si>
    <t>INC102728</t>
  </si>
  <si>
    <t>INC102729</t>
  </si>
  <si>
    <t>INC102730</t>
  </si>
  <si>
    <t>INC102731</t>
  </si>
  <si>
    <t>INC102732</t>
  </si>
  <si>
    <t>INC102733</t>
  </si>
  <si>
    <t>INC102734</t>
  </si>
  <si>
    <t>INC102735</t>
  </si>
  <si>
    <t>INC102736</t>
  </si>
  <si>
    <t>INC102737</t>
  </si>
  <si>
    <t>INC102738</t>
  </si>
  <si>
    <t>INC102739</t>
  </si>
  <si>
    <t>INC102740</t>
  </si>
  <si>
    <t>INC102741</t>
  </si>
  <si>
    <t>INC102742</t>
  </si>
  <si>
    <t>INC102743</t>
  </si>
  <si>
    <t>INC102744</t>
  </si>
  <si>
    <t>INC102745</t>
  </si>
  <si>
    <t>INC102746</t>
  </si>
  <si>
    <t>INC102747</t>
  </si>
  <si>
    <t>INC102748</t>
  </si>
  <si>
    <t>INC102749</t>
  </si>
  <si>
    <t>INC102750</t>
  </si>
  <si>
    <t>INC102751</t>
  </si>
  <si>
    <t>INC102752</t>
  </si>
  <si>
    <t>INC102753</t>
  </si>
  <si>
    <t>INC102754</t>
  </si>
  <si>
    <t>INC102755</t>
  </si>
  <si>
    <t>INC102756</t>
  </si>
  <si>
    <t>INC102757</t>
  </si>
  <si>
    <t>INC102758</t>
  </si>
  <si>
    <t>INC102759</t>
  </si>
  <si>
    <t>INC102760</t>
  </si>
  <si>
    <t>INC102761</t>
  </si>
  <si>
    <t>INC102762</t>
  </si>
  <si>
    <t>INC102763</t>
  </si>
  <si>
    <t>INC102764</t>
  </si>
  <si>
    <t>INC102765</t>
  </si>
  <si>
    <t>INC102766</t>
  </si>
  <si>
    <t>INC102767</t>
  </si>
  <si>
    <t>INC102768</t>
  </si>
  <si>
    <t>INC102769</t>
  </si>
  <si>
    <t>INC102770</t>
  </si>
  <si>
    <t>INC102771</t>
  </si>
  <si>
    <t>INC102772</t>
  </si>
  <si>
    <t>INC102773</t>
  </si>
  <si>
    <t>INC102774</t>
  </si>
  <si>
    <t>INC102775</t>
  </si>
  <si>
    <t>INC102776</t>
  </si>
  <si>
    <t>INC102777</t>
  </si>
  <si>
    <t>INC102778</t>
  </si>
  <si>
    <t>INC102779</t>
  </si>
  <si>
    <t>INC102780</t>
  </si>
  <si>
    <t>INC102781</t>
  </si>
  <si>
    <t>INC102782</t>
  </si>
  <si>
    <t>INC102783</t>
  </si>
  <si>
    <t>INC102784</t>
  </si>
  <si>
    <t>INC102785</t>
  </si>
  <si>
    <t>INC102786</t>
  </si>
  <si>
    <t>INC102787</t>
  </si>
  <si>
    <t>INC102788</t>
  </si>
  <si>
    <t>INC102789</t>
  </si>
  <si>
    <t>INC102790</t>
  </si>
  <si>
    <t>INC102791</t>
  </si>
  <si>
    <t>INC102792</t>
  </si>
  <si>
    <t>INC102793</t>
  </si>
  <si>
    <t>INC102794</t>
  </si>
  <si>
    <t>INC102795</t>
  </si>
  <si>
    <t>INC102796</t>
  </si>
  <si>
    <t>INC102797</t>
  </si>
  <si>
    <t>INC102798</t>
  </si>
  <si>
    <t>INC102799</t>
  </si>
  <si>
    <t>INC102800</t>
  </si>
  <si>
    <t>INC102801</t>
  </si>
  <si>
    <t>INC102802</t>
  </si>
  <si>
    <t>INC102803</t>
  </si>
  <si>
    <t>INC102804</t>
  </si>
  <si>
    <t>INC102805</t>
  </si>
  <si>
    <t>INC102806</t>
  </si>
  <si>
    <t>INC102807</t>
  </si>
  <si>
    <t>INC102808</t>
  </si>
  <si>
    <t>INC102809</t>
  </si>
  <si>
    <t>INC102810</t>
  </si>
  <si>
    <t>INC102811</t>
  </si>
  <si>
    <t>INC102812</t>
  </si>
  <si>
    <t>INC102813</t>
  </si>
  <si>
    <t>INC102814</t>
  </si>
  <si>
    <t>INC102815</t>
  </si>
  <si>
    <t>INC102816</t>
  </si>
  <si>
    <t>INC102817</t>
  </si>
  <si>
    <t>INC102818</t>
  </si>
  <si>
    <t>INC102819</t>
  </si>
  <si>
    <t>INC102820</t>
  </si>
  <si>
    <t>INC102821</t>
  </si>
  <si>
    <t>INC102822</t>
  </si>
  <si>
    <t>INC102823</t>
  </si>
  <si>
    <t>INC102824</t>
  </si>
  <si>
    <t>INC102825</t>
  </si>
  <si>
    <t>INC102826</t>
  </si>
  <si>
    <t>INC102827</t>
  </si>
  <si>
    <t>INC102828</t>
  </si>
  <si>
    <t>INC102829</t>
  </si>
  <si>
    <t>INC102830</t>
  </si>
  <si>
    <t>INC102831</t>
  </si>
  <si>
    <t>INC102832</t>
  </si>
  <si>
    <t>INC102833</t>
  </si>
  <si>
    <t>INC102834</t>
  </si>
  <si>
    <t>INC102835</t>
  </si>
  <si>
    <t>INC102836</t>
  </si>
  <si>
    <t>INC102837</t>
  </si>
  <si>
    <t>INC102838</t>
  </si>
  <si>
    <t>INC102839</t>
  </si>
  <si>
    <t>INC102840</t>
  </si>
  <si>
    <t>INC102841</t>
  </si>
  <si>
    <t>INC102842</t>
  </si>
  <si>
    <t>INC102843</t>
  </si>
  <si>
    <t>INC102844</t>
  </si>
  <si>
    <t>INC102845</t>
  </si>
  <si>
    <t>INC102846</t>
  </si>
  <si>
    <t>INC102847</t>
  </si>
  <si>
    <t>INC102848</t>
  </si>
  <si>
    <t>INC102849</t>
  </si>
  <si>
    <t>INC102850</t>
  </si>
  <si>
    <t>INC102851</t>
  </si>
  <si>
    <t>INC102852</t>
  </si>
  <si>
    <t>INC102853</t>
  </si>
  <si>
    <t>INC102854</t>
  </si>
  <si>
    <t>INC102855</t>
  </si>
  <si>
    <t>INC102856</t>
  </si>
  <si>
    <t>INC102857</t>
  </si>
  <si>
    <t>INC102858</t>
  </si>
  <si>
    <t>INC102859</t>
  </si>
  <si>
    <t>INC102860</t>
  </si>
  <si>
    <t>INC102861</t>
  </si>
  <si>
    <t>INC102862</t>
  </si>
  <si>
    <t>INC102863</t>
  </si>
  <si>
    <t>INC102864</t>
  </si>
  <si>
    <t>INC102865</t>
  </si>
  <si>
    <t>INC102866</t>
  </si>
  <si>
    <t>INC102867</t>
  </si>
  <si>
    <t>INC102868</t>
  </si>
  <si>
    <t>INC102869</t>
  </si>
  <si>
    <t>INC102870</t>
  </si>
  <si>
    <t>INC102871</t>
  </si>
  <si>
    <t>INC102872</t>
  </si>
  <si>
    <t>INC102873</t>
  </si>
  <si>
    <t>INC102874</t>
  </si>
  <si>
    <t>INC102875</t>
  </si>
  <si>
    <t>INC102876</t>
  </si>
  <si>
    <t>INC102877</t>
  </si>
  <si>
    <t>INC102878</t>
  </si>
  <si>
    <t>INC102879</t>
  </si>
  <si>
    <t>INC102880</t>
  </si>
  <si>
    <t>INC102881</t>
  </si>
  <si>
    <t>INC102882</t>
  </si>
  <si>
    <t>INC102883</t>
  </si>
  <si>
    <t>INC102884</t>
  </si>
  <si>
    <t>INC102885</t>
  </si>
  <si>
    <t>INC102886</t>
  </si>
  <si>
    <t>INC102887</t>
  </si>
  <si>
    <t>INC102888</t>
  </si>
  <si>
    <t>INC102889</t>
  </si>
  <si>
    <t>INC102890</t>
  </si>
  <si>
    <t>INC102891</t>
  </si>
  <si>
    <t>INC102892</t>
  </si>
  <si>
    <t>INC102893</t>
  </si>
  <si>
    <t>INC102894</t>
  </si>
  <si>
    <t>INC102895</t>
  </si>
  <si>
    <t>INC102896</t>
  </si>
  <si>
    <t>INC102897</t>
  </si>
  <si>
    <t>INC102898</t>
  </si>
  <si>
    <t>INC102899</t>
  </si>
  <si>
    <t>INC102900</t>
  </si>
  <si>
    <t>INC102901</t>
  </si>
  <si>
    <t>INC102902</t>
  </si>
  <si>
    <t>INC102903</t>
  </si>
  <si>
    <t>INC102904</t>
  </si>
  <si>
    <t>INC102905</t>
  </si>
  <si>
    <t>INC102906</t>
  </si>
  <si>
    <t>INC102907</t>
  </si>
  <si>
    <t>INC102908</t>
  </si>
  <si>
    <t>INC102909</t>
  </si>
  <si>
    <t>INC102910</t>
  </si>
  <si>
    <t>INC102911</t>
  </si>
  <si>
    <t>INC102912</t>
  </si>
  <si>
    <t>INC102913</t>
  </si>
  <si>
    <t>INC102914</t>
  </si>
  <si>
    <t>INC102915</t>
  </si>
  <si>
    <t>INC102916</t>
  </si>
  <si>
    <t>INC102917</t>
  </si>
  <si>
    <t>INC102918</t>
  </si>
  <si>
    <t>INC102919</t>
  </si>
  <si>
    <t>INC102920</t>
  </si>
  <si>
    <t>INC102921</t>
  </si>
  <si>
    <t>INC102922</t>
  </si>
  <si>
    <t>INC102923</t>
  </si>
  <si>
    <t>INC102924</t>
  </si>
  <si>
    <t>INC102925</t>
  </si>
  <si>
    <t>INC102926</t>
  </si>
  <si>
    <t>INC102927</t>
  </si>
  <si>
    <t>INC102928</t>
  </si>
  <si>
    <t>INC102929</t>
  </si>
  <si>
    <t>INC102930</t>
  </si>
  <si>
    <t>INC102931</t>
  </si>
  <si>
    <t>INC102932</t>
  </si>
  <si>
    <t>INC102933</t>
  </si>
  <si>
    <t>INC102934</t>
  </si>
  <si>
    <t>INC102935</t>
  </si>
  <si>
    <t>INC102936</t>
  </si>
  <si>
    <t>INC102937</t>
  </si>
  <si>
    <t>INC102938</t>
  </si>
  <si>
    <t>INC102939</t>
  </si>
  <si>
    <t>INC102940</t>
  </si>
  <si>
    <t>INC102941</t>
  </si>
  <si>
    <t>INC102942</t>
  </si>
  <si>
    <t>INC102943</t>
  </si>
  <si>
    <t>INC102944</t>
  </si>
  <si>
    <t>INC102945</t>
  </si>
  <si>
    <t>INC102946</t>
  </si>
  <si>
    <t>INC102947</t>
  </si>
  <si>
    <t>INC102948</t>
  </si>
  <si>
    <t>INC102949</t>
  </si>
  <si>
    <t>INC102950</t>
  </si>
  <si>
    <t>INC102951</t>
  </si>
  <si>
    <t>INC102952</t>
  </si>
  <si>
    <t>INC102953</t>
  </si>
  <si>
    <t>INC102954</t>
  </si>
  <si>
    <t>INC102955</t>
  </si>
  <si>
    <t>INC102956</t>
  </si>
  <si>
    <t>INC102957</t>
  </si>
  <si>
    <t>INC102958</t>
  </si>
  <si>
    <t>INC102959</t>
  </si>
  <si>
    <t>INC102960</t>
  </si>
  <si>
    <t>INC102961</t>
  </si>
  <si>
    <t>INC102962</t>
  </si>
  <si>
    <t>INC102963</t>
  </si>
  <si>
    <t>INC102964</t>
  </si>
  <si>
    <t>INC102965</t>
  </si>
  <si>
    <t>INC102966</t>
  </si>
  <si>
    <t>INC102967</t>
  </si>
  <si>
    <t>INC102968</t>
  </si>
  <si>
    <t>INC102969</t>
  </si>
  <si>
    <t>INC102970</t>
  </si>
  <si>
    <t>INC102971</t>
  </si>
  <si>
    <t>INC102972</t>
  </si>
  <si>
    <t>INC102973</t>
  </si>
  <si>
    <t>INC102974</t>
  </si>
  <si>
    <t>INC102975</t>
  </si>
  <si>
    <t>INC102976</t>
  </si>
  <si>
    <t>INC102977</t>
  </si>
  <si>
    <t>INC102978</t>
  </si>
  <si>
    <t>INC102979</t>
  </si>
  <si>
    <t>INC102980</t>
  </si>
  <si>
    <t>INC102981</t>
  </si>
  <si>
    <t>INC102982</t>
  </si>
  <si>
    <t>INC102983</t>
  </si>
  <si>
    <t>INC102984</t>
  </si>
  <si>
    <t>INC102985</t>
  </si>
  <si>
    <t>INC102986</t>
  </si>
  <si>
    <t>INC102987</t>
  </si>
  <si>
    <t>INC102988</t>
  </si>
  <si>
    <t>INC102989</t>
  </si>
  <si>
    <t>INC102990</t>
  </si>
  <si>
    <t>INC102991</t>
  </si>
  <si>
    <t>INC102992</t>
  </si>
  <si>
    <t>INC102993</t>
  </si>
  <si>
    <t>INC102994</t>
  </si>
  <si>
    <t>INC102995</t>
  </si>
  <si>
    <t>INC102996</t>
  </si>
  <si>
    <t>INC102997</t>
  </si>
  <si>
    <t>INC102998</t>
  </si>
  <si>
    <t>INC102999</t>
  </si>
  <si>
    <t>INC103000</t>
  </si>
  <si>
    <t>INC103001</t>
  </si>
  <si>
    <t>INC103002</t>
  </si>
  <si>
    <t>INC103003</t>
  </si>
  <si>
    <t>INC103004</t>
  </si>
  <si>
    <t>INC103005</t>
  </si>
  <si>
    <t>INC103006</t>
  </si>
  <si>
    <t>INC103007</t>
  </si>
  <si>
    <t>INC103008</t>
  </si>
  <si>
    <t>INC103009</t>
  </si>
  <si>
    <t>INC103010</t>
  </si>
  <si>
    <t>INC103011</t>
  </si>
  <si>
    <t>INC103012</t>
  </si>
  <si>
    <t>INC103013</t>
  </si>
  <si>
    <t>INC103014</t>
  </si>
  <si>
    <t>INC103015</t>
  </si>
  <si>
    <t>INC103016</t>
  </si>
  <si>
    <t>INC103017</t>
  </si>
  <si>
    <t>INC103018</t>
  </si>
  <si>
    <t>INC103019</t>
  </si>
  <si>
    <t>INC103020</t>
  </si>
  <si>
    <t>INC103021</t>
  </si>
  <si>
    <t>INC103022</t>
  </si>
  <si>
    <t>INC103023</t>
  </si>
  <si>
    <t>INC103024</t>
  </si>
  <si>
    <t>INC103025</t>
  </si>
  <si>
    <t>INC103026</t>
  </si>
  <si>
    <t>INC103027</t>
  </si>
  <si>
    <t>INC103028</t>
  </si>
  <si>
    <t>INC103029</t>
  </si>
  <si>
    <t>INC103030</t>
  </si>
  <si>
    <t>INC103031</t>
  </si>
  <si>
    <t>INC103032</t>
  </si>
  <si>
    <t>INC103033</t>
  </si>
  <si>
    <t>INC103034</t>
  </si>
  <si>
    <t>INC103035</t>
  </si>
  <si>
    <t>INC103036</t>
  </si>
  <si>
    <t>INC103037</t>
  </si>
  <si>
    <t>INC103038</t>
  </si>
  <si>
    <t>INC103039</t>
  </si>
  <si>
    <t>INC103040</t>
  </si>
  <si>
    <t>INC103041</t>
  </si>
  <si>
    <t>INC103042</t>
  </si>
  <si>
    <t>INC103043</t>
  </si>
  <si>
    <t>INC103044</t>
  </si>
  <si>
    <t>INC103045</t>
  </si>
  <si>
    <t>INC103046</t>
  </si>
  <si>
    <t>INC103047</t>
  </si>
  <si>
    <t>INC103048</t>
  </si>
  <si>
    <t>INC103049</t>
  </si>
  <si>
    <t>INC103050</t>
  </si>
  <si>
    <t>INC103051</t>
  </si>
  <si>
    <t>INC103052</t>
  </si>
  <si>
    <t>INC103053</t>
  </si>
  <si>
    <t>INC103054</t>
  </si>
  <si>
    <t>INC103055</t>
  </si>
  <si>
    <t>INC103056</t>
  </si>
  <si>
    <t>INC103057</t>
  </si>
  <si>
    <t>INC103058</t>
  </si>
  <si>
    <t>INC103059</t>
  </si>
  <si>
    <t>INC103060</t>
  </si>
  <si>
    <t>INC103061</t>
  </si>
  <si>
    <t>INC103062</t>
  </si>
  <si>
    <t>INC103063</t>
  </si>
  <si>
    <t>INC103064</t>
  </si>
  <si>
    <t>INC103065</t>
  </si>
  <si>
    <t>INC103066</t>
  </si>
  <si>
    <t>INC103067</t>
  </si>
  <si>
    <t>INC103068</t>
  </si>
  <si>
    <t>INC103069</t>
  </si>
  <si>
    <t>INC103070</t>
  </si>
  <si>
    <t>INC103071</t>
  </si>
  <si>
    <t>INC103072</t>
  </si>
  <si>
    <t>INC103073</t>
  </si>
  <si>
    <t>INC103074</t>
  </si>
  <si>
    <t>INC103075</t>
  </si>
  <si>
    <t>INC103076</t>
  </si>
  <si>
    <t>INC103077</t>
  </si>
  <si>
    <t>INC103078</t>
  </si>
  <si>
    <t>INC103079</t>
  </si>
  <si>
    <t>INC103080</t>
  </si>
  <si>
    <t>INC103081</t>
  </si>
  <si>
    <t>INC103082</t>
  </si>
  <si>
    <t>INC103083</t>
  </si>
  <si>
    <t>INC103084</t>
  </si>
  <si>
    <t>INC103085</t>
  </si>
  <si>
    <t>INC103086</t>
  </si>
  <si>
    <t>INC103087</t>
  </si>
  <si>
    <t>INC103088</t>
  </si>
  <si>
    <t>INC103089</t>
  </si>
  <si>
    <t>INC103090</t>
  </si>
  <si>
    <t>INC103091</t>
  </si>
  <si>
    <t>INC103092</t>
  </si>
  <si>
    <t>INC103093</t>
  </si>
  <si>
    <t>INC103094</t>
  </si>
  <si>
    <t>INC103095</t>
  </si>
  <si>
    <t>INC103096</t>
  </si>
  <si>
    <t>INC103097</t>
  </si>
  <si>
    <t>INC103098</t>
  </si>
  <si>
    <t>INC103099</t>
  </si>
  <si>
    <t>INC103100</t>
  </si>
  <si>
    <t>INC103101</t>
  </si>
  <si>
    <t>INC103102</t>
  </si>
  <si>
    <t>INC103103</t>
  </si>
  <si>
    <t>INC103104</t>
  </si>
  <si>
    <t>INC103105</t>
  </si>
  <si>
    <t>INC103106</t>
  </si>
  <si>
    <t>INC103107</t>
  </si>
  <si>
    <t>INC103108</t>
  </si>
  <si>
    <t>INC103109</t>
  </si>
  <si>
    <t>INC103110</t>
  </si>
  <si>
    <t>INC103111</t>
  </si>
  <si>
    <t>INC103112</t>
  </si>
  <si>
    <t>INC103113</t>
  </si>
  <si>
    <t>INC103114</t>
  </si>
  <si>
    <t>INC103115</t>
  </si>
  <si>
    <t>INC103116</t>
  </si>
  <si>
    <t>INC103117</t>
  </si>
  <si>
    <t>INC103118</t>
  </si>
  <si>
    <t>INC103119</t>
  </si>
  <si>
    <t>INC103120</t>
  </si>
  <si>
    <t>INC103121</t>
  </si>
  <si>
    <t>INC103122</t>
  </si>
  <si>
    <t>INC103123</t>
  </si>
  <si>
    <t>INC103124</t>
  </si>
  <si>
    <t>INC103125</t>
  </si>
  <si>
    <t>INC103126</t>
  </si>
  <si>
    <t>INC103127</t>
  </si>
  <si>
    <t>INC103128</t>
  </si>
  <si>
    <t>INC103129</t>
  </si>
  <si>
    <t>INC103130</t>
  </si>
  <si>
    <t>INC103131</t>
  </si>
  <si>
    <t>INC103132</t>
  </si>
  <si>
    <t>INC103133</t>
  </si>
  <si>
    <t>INC103134</t>
  </si>
  <si>
    <t>INC103135</t>
  </si>
  <si>
    <t>INC103136</t>
  </si>
  <si>
    <t>INC103137</t>
  </si>
  <si>
    <t>INC103138</t>
  </si>
  <si>
    <t>INC103139</t>
  </si>
  <si>
    <t>INC103140</t>
  </si>
  <si>
    <t>INC103141</t>
  </si>
  <si>
    <t>INC103142</t>
  </si>
  <si>
    <t>INC103143</t>
  </si>
  <si>
    <t>INC103144</t>
  </si>
  <si>
    <t>INC103145</t>
  </si>
  <si>
    <t>INC103146</t>
  </si>
  <si>
    <t>INC103147</t>
  </si>
  <si>
    <t>INC103148</t>
  </si>
  <si>
    <t>INC103149</t>
  </si>
  <si>
    <t>INC103150</t>
  </si>
  <si>
    <t>INC103151</t>
  </si>
  <si>
    <t>INC103152</t>
  </si>
  <si>
    <t>INC103153</t>
  </si>
  <si>
    <t>INC103154</t>
  </si>
  <si>
    <t>INC103155</t>
  </si>
  <si>
    <t>INC103156</t>
  </si>
  <si>
    <t>INC103157</t>
  </si>
  <si>
    <t>INC103158</t>
  </si>
  <si>
    <t>INC103159</t>
  </si>
  <si>
    <t>INC103160</t>
  </si>
  <si>
    <t>INC103161</t>
  </si>
  <si>
    <t>INC103162</t>
  </si>
  <si>
    <t>INC103163</t>
  </si>
  <si>
    <t>INC103164</t>
  </si>
  <si>
    <t>INC103165</t>
  </si>
  <si>
    <t>INC103166</t>
  </si>
  <si>
    <t>INC103167</t>
  </si>
  <si>
    <t>INC103168</t>
  </si>
  <si>
    <t>INC103169</t>
  </si>
  <si>
    <t>INC103170</t>
  </si>
  <si>
    <t>INC103171</t>
  </si>
  <si>
    <t>INC103172</t>
  </si>
  <si>
    <t>INC103173</t>
  </si>
  <si>
    <t>INC103174</t>
  </si>
  <si>
    <t>INC103175</t>
  </si>
  <si>
    <t>INC103176</t>
  </si>
  <si>
    <t>INC103177</t>
  </si>
  <si>
    <t>INC103178</t>
  </si>
  <si>
    <t>INC103179</t>
  </si>
  <si>
    <t>INC103180</t>
  </si>
  <si>
    <t>INC103181</t>
  </si>
  <si>
    <t>INC103182</t>
  </si>
  <si>
    <t>INC103183</t>
  </si>
  <si>
    <t>INC103184</t>
  </si>
  <si>
    <t>INC103185</t>
  </si>
  <si>
    <t>INC103186</t>
  </si>
  <si>
    <t>INC103187</t>
  </si>
  <si>
    <t>INC103188</t>
  </si>
  <si>
    <t>INC103189</t>
  </si>
  <si>
    <t>INC103190</t>
  </si>
  <si>
    <t>INC103191</t>
  </si>
  <si>
    <t>INC103192</t>
  </si>
  <si>
    <t>INC103193</t>
  </si>
  <si>
    <t>INC103194</t>
  </si>
  <si>
    <t>INC103195</t>
  </si>
  <si>
    <t>INC103196</t>
  </si>
  <si>
    <t>INC103197</t>
  </si>
  <si>
    <t>INC103198</t>
  </si>
  <si>
    <t>INC103199</t>
  </si>
  <si>
    <t>INC103200</t>
  </si>
  <si>
    <t>INC103201</t>
  </si>
  <si>
    <t>INC103202</t>
  </si>
  <si>
    <t>INC103203</t>
  </si>
  <si>
    <t>INC103204</t>
  </si>
  <si>
    <t>INC103205</t>
  </si>
  <si>
    <t>INC103206</t>
  </si>
  <si>
    <t>INC103207</t>
  </si>
  <si>
    <t>INC103208</t>
  </si>
  <si>
    <t>INC103209</t>
  </si>
  <si>
    <t>INC103210</t>
  </si>
  <si>
    <t>INC103211</t>
  </si>
  <si>
    <t>INC103212</t>
  </si>
  <si>
    <t>INC103213</t>
  </si>
  <si>
    <t>INC103214</t>
  </si>
  <si>
    <t>INC103215</t>
  </si>
  <si>
    <t>INC103216</t>
  </si>
  <si>
    <t>INC103217</t>
  </si>
  <si>
    <t>INC103218</t>
  </si>
  <si>
    <t>INC103219</t>
  </si>
  <si>
    <t>INC103220</t>
  </si>
  <si>
    <t>INC103221</t>
  </si>
  <si>
    <t>INC103222</t>
  </si>
  <si>
    <t>INC103223</t>
  </si>
  <si>
    <t>INC103224</t>
  </si>
  <si>
    <t>INC103225</t>
  </si>
  <si>
    <t>INC103226</t>
  </si>
  <si>
    <t>INC103227</t>
  </si>
  <si>
    <t>INC103228</t>
  </si>
  <si>
    <t>INC103229</t>
  </si>
  <si>
    <t>INC103230</t>
  </si>
  <si>
    <t>INC103231</t>
  </si>
  <si>
    <t>INC103232</t>
  </si>
  <si>
    <t>INC103233</t>
  </si>
  <si>
    <t>INC103234</t>
  </si>
  <si>
    <t>INC103235</t>
  </si>
  <si>
    <t>INC103236</t>
  </si>
  <si>
    <t>INC103237</t>
  </si>
  <si>
    <t>INC103238</t>
  </si>
  <si>
    <t>INC103239</t>
  </si>
  <si>
    <t>INC103240</t>
  </si>
  <si>
    <t>INC103241</t>
  </si>
  <si>
    <t>INC103242</t>
  </si>
  <si>
    <t>INC103243</t>
  </si>
  <si>
    <t>INC103244</t>
  </si>
  <si>
    <t>INC103245</t>
  </si>
  <si>
    <t>INC103246</t>
  </si>
  <si>
    <t>INC103247</t>
  </si>
  <si>
    <t>INC103248</t>
  </si>
  <si>
    <t>INC103249</t>
  </si>
  <si>
    <t>INC103250</t>
  </si>
  <si>
    <t>INC103251</t>
  </si>
  <si>
    <t>INC103252</t>
  </si>
  <si>
    <t>INC103253</t>
  </si>
  <si>
    <t>INC103254</t>
  </si>
  <si>
    <t>INC103255</t>
  </si>
  <si>
    <t>INC103256</t>
  </si>
  <si>
    <t>INC103257</t>
  </si>
  <si>
    <t>INC103258</t>
  </si>
  <si>
    <t>INC103259</t>
  </si>
  <si>
    <t>INC103260</t>
  </si>
  <si>
    <t>INC103261</t>
  </si>
  <si>
    <t>INC103262</t>
  </si>
  <si>
    <t>INC103263</t>
  </si>
  <si>
    <t>INC103264</t>
  </si>
  <si>
    <t>INC103265</t>
  </si>
  <si>
    <t>INC103266</t>
  </si>
  <si>
    <t>INC103267</t>
  </si>
  <si>
    <t>INC103268</t>
  </si>
  <si>
    <t>INC103269</t>
  </si>
  <si>
    <t>INC103270</t>
  </si>
  <si>
    <t>INC103271</t>
  </si>
  <si>
    <t>INC103272</t>
  </si>
  <si>
    <t>INC103273</t>
  </si>
  <si>
    <t>INC103274</t>
  </si>
  <si>
    <t>INC103275</t>
  </si>
  <si>
    <t>INC103276</t>
  </si>
  <si>
    <t>INC103277</t>
  </si>
  <si>
    <t>INC103278</t>
  </si>
  <si>
    <t>INC103279</t>
  </si>
  <si>
    <t>INC103280</t>
  </si>
  <si>
    <t>INC103281</t>
  </si>
  <si>
    <t>INC103282</t>
  </si>
  <si>
    <t>INC103283</t>
  </si>
  <si>
    <t>INC103284</t>
  </si>
  <si>
    <t>INC103285</t>
  </si>
  <si>
    <t>INC103286</t>
  </si>
  <si>
    <t>INC103287</t>
  </si>
  <si>
    <t>INC103288</t>
  </si>
  <si>
    <t>INC103289</t>
  </si>
  <si>
    <t>INC103290</t>
  </si>
  <si>
    <t>INC103291</t>
  </si>
  <si>
    <t>INC103292</t>
  </si>
  <si>
    <t>INC103293</t>
  </si>
  <si>
    <t>INC103294</t>
  </si>
  <si>
    <t>INC103295</t>
  </si>
  <si>
    <t>INC103296</t>
  </si>
  <si>
    <t>INC103297</t>
  </si>
  <si>
    <t>INC103298</t>
  </si>
  <si>
    <t>INC103299</t>
  </si>
  <si>
    <t>INC103300</t>
  </si>
  <si>
    <t>INC103301</t>
  </si>
  <si>
    <t>INC103302</t>
  </si>
  <si>
    <t>INC103303</t>
  </si>
  <si>
    <t>INC103304</t>
  </si>
  <si>
    <t>INC103305</t>
  </si>
  <si>
    <t>INC103306</t>
  </si>
  <si>
    <t>INC103307</t>
  </si>
  <si>
    <t>INC103308</t>
  </si>
  <si>
    <t>INC103309</t>
  </si>
  <si>
    <t>INC103310</t>
  </si>
  <si>
    <t>INC103311</t>
  </si>
  <si>
    <t>INC103312</t>
  </si>
  <si>
    <t>INC103313</t>
  </si>
  <si>
    <t>INC103314</t>
  </si>
  <si>
    <t>INC103315</t>
  </si>
  <si>
    <t>INC103316</t>
  </si>
  <si>
    <t>INC103317</t>
  </si>
  <si>
    <t>INC103318</t>
  </si>
  <si>
    <t>INC103319</t>
  </si>
  <si>
    <t>INC103320</t>
  </si>
  <si>
    <t>INC103321</t>
  </si>
  <si>
    <t>INC103322</t>
  </si>
  <si>
    <t>INC103323</t>
  </si>
  <si>
    <t>INC103324</t>
  </si>
  <si>
    <t>INC103325</t>
  </si>
  <si>
    <t>INC103326</t>
  </si>
  <si>
    <t>INC103327</t>
  </si>
  <si>
    <t>INC103328</t>
  </si>
  <si>
    <t>INC103329</t>
  </si>
  <si>
    <t>INC103330</t>
  </si>
  <si>
    <t>INC103331</t>
  </si>
  <si>
    <t>INC103332</t>
  </si>
  <si>
    <t>INC103333</t>
  </si>
  <si>
    <t>INC103334</t>
  </si>
  <si>
    <t>INC103335</t>
  </si>
  <si>
    <t>INC103336</t>
  </si>
  <si>
    <t>INC103337</t>
  </si>
  <si>
    <t>INC103338</t>
  </si>
  <si>
    <t>INC103339</t>
  </si>
  <si>
    <t>INC103340</t>
  </si>
  <si>
    <t>INC103341</t>
  </si>
  <si>
    <t>INC103342</t>
  </si>
  <si>
    <t>INC103343</t>
  </si>
  <si>
    <t>INC103344</t>
  </si>
  <si>
    <t>INC103345</t>
  </si>
  <si>
    <t>INC103346</t>
  </si>
  <si>
    <t>INC103347</t>
  </si>
  <si>
    <t>INC103348</t>
  </si>
  <si>
    <t>INC103349</t>
  </si>
  <si>
    <t>INC103350</t>
  </si>
  <si>
    <t>INC103351</t>
  </si>
  <si>
    <t>INC103352</t>
  </si>
  <si>
    <t>INC103353</t>
  </si>
  <si>
    <t>INC103354</t>
  </si>
  <si>
    <t>INC103355</t>
  </si>
  <si>
    <t>INC103356</t>
  </si>
  <si>
    <t>INC103357</t>
  </si>
  <si>
    <t>INC103358</t>
  </si>
  <si>
    <t>INC103359</t>
  </si>
  <si>
    <t>INC103360</t>
  </si>
  <si>
    <t>INC103361</t>
  </si>
  <si>
    <t>INC103362</t>
  </si>
  <si>
    <t>INC103363</t>
  </si>
  <si>
    <t>INC103364</t>
  </si>
  <si>
    <t>INC103365</t>
  </si>
  <si>
    <t>INC103366</t>
  </si>
  <si>
    <t>INC103367</t>
  </si>
  <si>
    <t>INC103368</t>
  </si>
  <si>
    <t>INC103369</t>
  </si>
  <si>
    <t>INC103370</t>
  </si>
  <si>
    <t>INC103371</t>
  </si>
  <si>
    <t>INC103372</t>
  </si>
  <si>
    <t>INC103373</t>
  </si>
  <si>
    <t>INC103374</t>
  </si>
  <si>
    <t>INC103375</t>
  </si>
  <si>
    <t>INC103376</t>
  </si>
  <si>
    <t>INC103377</t>
  </si>
  <si>
    <t>INC103378</t>
  </si>
  <si>
    <t>INC103379</t>
  </si>
  <si>
    <t>INC103380</t>
  </si>
  <si>
    <t>INC103381</t>
  </si>
  <si>
    <t>INC103382</t>
  </si>
  <si>
    <t>INC103383</t>
  </si>
  <si>
    <t>INC103384</t>
  </si>
  <si>
    <t>INC103385</t>
  </si>
  <si>
    <t>INC103386</t>
  </si>
  <si>
    <t>INC103387</t>
  </si>
  <si>
    <t>INC103388</t>
  </si>
  <si>
    <t>INC103389</t>
  </si>
  <si>
    <t>INC103390</t>
  </si>
  <si>
    <t>INC103391</t>
  </si>
  <si>
    <t>INC103392</t>
  </si>
  <si>
    <t>INC103393</t>
  </si>
  <si>
    <t>INC103394</t>
  </si>
  <si>
    <t>INC103395</t>
  </si>
  <si>
    <t>INC103396</t>
  </si>
  <si>
    <t>INC103397</t>
  </si>
  <si>
    <t>INC103398</t>
  </si>
  <si>
    <t>INC103399</t>
  </si>
  <si>
    <t>INC103400</t>
  </si>
  <si>
    <t>INC103401</t>
  </si>
  <si>
    <t>INC103402</t>
  </si>
  <si>
    <t>INC103403</t>
  </si>
  <si>
    <t>INC103404</t>
  </si>
  <si>
    <t>INC103405</t>
  </si>
  <si>
    <t>INC103406</t>
  </si>
  <si>
    <t>INC103407</t>
  </si>
  <si>
    <t>INC103408</t>
  </si>
  <si>
    <t>INC103409</t>
  </si>
  <si>
    <t>INC103410</t>
  </si>
  <si>
    <t>INC103411</t>
  </si>
  <si>
    <t>INC103412</t>
  </si>
  <si>
    <t>INC103413</t>
  </si>
  <si>
    <t>INC103414</t>
  </si>
  <si>
    <t>INC103415</t>
  </si>
  <si>
    <t>INC103416</t>
  </si>
  <si>
    <t>INC103417</t>
  </si>
  <si>
    <t>INC103418</t>
  </si>
  <si>
    <t>INC103419</t>
  </si>
  <si>
    <t>INC103420</t>
  </si>
  <si>
    <t>INC103421</t>
  </si>
  <si>
    <t>INC103422</t>
  </si>
  <si>
    <t>INC103423</t>
  </si>
  <si>
    <t>INC103424</t>
  </si>
  <si>
    <t>INC103425</t>
  </si>
  <si>
    <t>INC103426</t>
  </si>
  <si>
    <t>INC103427</t>
  </si>
  <si>
    <t>INC103428</t>
  </si>
  <si>
    <t>INC103429</t>
  </si>
  <si>
    <t>INC103430</t>
  </si>
  <si>
    <t>INC103431</t>
  </si>
  <si>
    <t>INC103432</t>
  </si>
  <si>
    <t>INC103433</t>
  </si>
  <si>
    <t>INC103434</t>
  </si>
  <si>
    <t>INC103435</t>
  </si>
  <si>
    <t>INC103436</t>
  </si>
  <si>
    <t>INC103437</t>
  </si>
  <si>
    <t>INC103438</t>
  </si>
  <si>
    <t>INC103439</t>
  </si>
  <si>
    <t>INC103440</t>
  </si>
  <si>
    <t>INC103441</t>
  </si>
  <si>
    <t>INC103442</t>
  </si>
  <si>
    <t>INC103443</t>
  </si>
  <si>
    <t>INC103444</t>
  </si>
  <si>
    <t>INC103445</t>
  </si>
  <si>
    <t>INC103446</t>
  </si>
  <si>
    <t>INC103447</t>
  </si>
  <si>
    <t>INC103448</t>
  </si>
  <si>
    <t>INC103449</t>
  </si>
  <si>
    <t>INC103450</t>
  </si>
  <si>
    <t>INC103451</t>
  </si>
  <si>
    <t>INC103452</t>
  </si>
  <si>
    <t>INC103453</t>
  </si>
  <si>
    <t>INC103454</t>
  </si>
  <si>
    <t>INC103455</t>
  </si>
  <si>
    <t>INC103456</t>
  </si>
  <si>
    <t>INC103457</t>
  </si>
  <si>
    <t>INC103458</t>
  </si>
  <si>
    <t>INC103459</t>
  </si>
  <si>
    <t>INC103460</t>
  </si>
  <si>
    <t>INC103461</t>
  </si>
  <si>
    <t>INC103462</t>
  </si>
  <si>
    <t>INC103463</t>
  </si>
  <si>
    <t>INC103464</t>
  </si>
  <si>
    <t>INC103465</t>
  </si>
  <si>
    <t>INC103466</t>
  </si>
  <si>
    <t>INC103467</t>
  </si>
  <si>
    <t>INC103468</t>
  </si>
  <si>
    <t>INC103469</t>
  </si>
  <si>
    <t>INC103470</t>
  </si>
  <si>
    <t>INC103471</t>
  </si>
  <si>
    <t>INC103472</t>
  </si>
  <si>
    <t>INC103473</t>
  </si>
  <si>
    <t>INC103474</t>
  </si>
  <si>
    <t>INC103475</t>
  </si>
  <si>
    <t>INC103476</t>
  </si>
  <si>
    <t>INC103477</t>
  </si>
  <si>
    <t>INC103478</t>
  </si>
  <si>
    <t>INC103479</t>
  </si>
  <si>
    <t>INC103480</t>
  </si>
  <si>
    <t>INC103481</t>
  </si>
  <si>
    <t>INC103482</t>
  </si>
  <si>
    <t>INC103483</t>
  </si>
  <si>
    <t>INC103484</t>
  </si>
  <si>
    <t>INC103485</t>
  </si>
  <si>
    <t>INC103486</t>
  </si>
  <si>
    <t>INC103487</t>
  </si>
  <si>
    <t>INC103488</t>
  </si>
  <si>
    <t>INC103489</t>
  </si>
  <si>
    <t>INC103490</t>
  </si>
  <si>
    <t>INC103491</t>
  </si>
  <si>
    <t>INC103492</t>
  </si>
  <si>
    <t>INC103493</t>
  </si>
  <si>
    <t>INC103494</t>
  </si>
  <si>
    <t>INC103495</t>
  </si>
  <si>
    <t>INC103496</t>
  </si>
  <si>
    <t>INC103497</t>
  </si>
  <si>
    <t>INC103498</t>
  </si>
  <si>
    <t>INC103499</t>
  </si>
  <si>
    <t>INC103500</t>
  </si>
  <si>
    <t>INC103501</t>
  </si>
  <si>
    <t>INC103502</t>
  </si>
  <si>
    <t>INC103503</t>
  </si>
  <si>
    <t>INC103504</t>
  </si>
  <si>
    <t>INC103505</t>
  </si>
  <si>
    <t>INC103506</t>
  </si>
  <si>
    <t>INC103507</t>
  </si>
  <si>
    <t>INC103508</t>
  </si>
  <si>
    <t>INC103509</t>
  </si>
  <si>
    <t>INC103510</t>
  </si>
  <si>
    <t>INC103511</t>
  </si>
  <si>
    <t>INC103512</t>
  </si>
  <si>
    <t>INC103513</t>
  </si>
  <si>
    <t>INC103514</t>
  </si>
  <si>
    <t>INC103515</t>
  </si>
  <si>
    <t>INC103516</t>
  </si>
  <si>
    <t>INC103517</t>
  </si>
  <si>
    <t>INC103518</t>
  </si>
  <si>
    <t>INC103519</t>
  </si>
  <si>
    <t>INC103520</t>
  </si>
  <si>
    <t>INC103521</t>
  </si>
  <si>
    <t>INC103522</t>
  </si>
  <si>
    <t>INC103523</t>
  </si>
  <si>
    <t>INC103524</t>
  </si>
  <si>
    <t>INC103525</t>
  </si>
  <si>
    <t>INC103526</t>
  </si>
  <si>
    <t>INC103527</t>
  </si>
  <si>
    <t>INC103528</t>
  </si>
  <si>
    <t>INC103529</t>
  </si>
  <si>
    <t>INC103530</t>
  </si>
  <si>
    <t>INC103531</t>
  </si>
  <si>
    <t>INC103532</t>
  </si>
  <si>
    <t>INC103533</t>
  </si>
  <si>
    <t>INC103534</t>
  </si>
  <si>
    <t>INC103535</t>
  </si>
  <si>
    <t>INC103536</t>
  </si>
  <si>
    <t>INC103537</t>
  </si>
  <si>
    <t>INC103538</t>
  </si>
  <si>
    <t>INC103539</t>
  </si>
  <si>
    <t>INC103540</t>
  </si>
  <si>
    <t>INC103541</t>
  </si>
  <si>
    <t>INC103542</t>
  </si>
  <si>
    <t>INC103543</t>
  </si>
  <si>
    <t>INC103544</t>
  </si>
  <si>
    <t>INC103545</t>
  </si>
  <si>
    <t>INC103546</t>
  </si>
  <si>
    <t>INC103547</t>
  </si>
  <si>
    <t>INC103548</t>
  </si>
  <si>
    <t>INC103549</t>
  </si>
  <si>
    <t>INC103550</t>
  </si>
  <si>
    <t>INC103551</t>
  </si>
  <si>
    <t>INC103552</t>
  </si>
  <si>
    <t>INC103553</t>
  </si>
  <si>
    <t>INC103554</t>
  </si>
  <si>
    <t>INC103555</t>
  </si>
  <si>
    <t>INC103556</t>
  </si>
  <si>
    <t>INC103557</t>
  </si>
  <si>
    <t>INC103558</t>
  </si>
  <si>
    <t>INC103559</t>
  </si>
  <si>
    <t>INC103560</t>
  </si>
  <si>
    <t>INC103561</t>
  </si>
  <si>
    <t>INC103562</t>
  </si>
  <si>
    <t>INC103563</t>
  </si>
  <si>
    <t>INC103564</t>
  </si>
  <si>
    <t>INC103565</t>
  </si>
  <si>
    <t>INC103566</t>
  </si>
  <si>
    <t>INC103567</t>
  </si>
  <si>
    <t>INC103568</t>
  </si>
  <si>
    <t>INC103569</t>
  </si>
  <si>
    <t>INC103570</t>
  </si>
  <si>
    <t>INC103571</t>
  </si>
  <si>
    <t>INC103572</t>
  </si>
  <si>
    <t>INC103573</t>
  </si>
  <si>
    <t>INC103574</t>
  </si>
  <si>
    <t>INC103575</t>
  </si>
  <si>
    <t>INC103576</t>
  </si>
  <si>
    <t>INC103577</t>
  </si>
  <si>
    <t>INC103578</t>
  </si>
  <si>
    <t>INC103579</t>
  </si>
  <si>
    <t>INC103580</t>
  </si>
  <si>
    <t>INC103581</t>
  </si>
  <si>
    <t>INC103582</t>
  </si>
  <si>
    <t>INC103583</t>
  </si>
  <si>
    <t>INC103584</t>
  </si>
  <si>
    <t>INC103585</t>
  </si>
  <si>
    <t>INC103586</t>
  </si>
  <si>
    <t>INC103587</t>
  </si>
  <si>
    <t>INC103588</t>
  </si>
  <si>
    <t>INC103589</t>
  </si>
  <si>
    <t>INC103590</t>
  </si>
  <si>
    <t>INC103591</t>
  </si>
  <si>
    <t>INC103592</t>
  </si>
  <si>
    <t>INC103593</t>
  </si>
  <si>
    <t>INC103594</t>
  </si>
  <si>
    <t>INC103595</t>
  </si>
  <si>
    <t>INC103596</t>
  </si>
  <si>
    <t>INC103597</t>
  </si>
  <si>
    <t>INC103598</t>
  </si>
  <si>
    <t>INC103599</t>
  </si>
  <si>
    <t>INC103600</t>
  </si>
  <si>
    <t>INC103601</t>
  </si>
  <si>
    <t>INC103602</t>
  </si>
  <si>
    <t>INC103603</t>
  </si>
  <si>
    <t>INC103604</t>
  </si>
  <si>
    <t>INC103605</t>
  </si>
  <si>
    <t>INC103606</t>
  </si>
  <si>
    <t>INC103607</t>
  </si>
  <si>
    <t>INC103608</t>
  </si>
  <si>
    <t>INC103609</t>
  </si>
  <si>
    <t>INC103610</t>
  </si>
  <si>
    <t>INC103611</t>
  </si>
  <si>
    <t>INC103612</t>
  </si>
  <si>
    <t>INC103613</t>
  </si>
  <si>
    <t>INC103614</t>
  </si>
  <si>
    <t>INC103615</t>
  </si>
  <si>
    <t>INC103616</t>
  </si>
  <si>
    <t>INC103617</t>
  </si>
  <si>
    <t>INC103618</t>
  </si>
  <si>
    <t>INC103619</t>
  </si>
  <si>
    <t>INC103620</t>
  </si>
  <si>
    <t>INC103621</t>
  </si>
  <si>
    <t>INC103622</t>
  </si>
  <si>
    <t>INC103623</t>
  </si>
  <si>
    <t>INC103624</t>
  </si>
  <si>
    <t>INC103625</t>
  </si>
  <si>
    <t>INC103626</t>
  </si>
  <si>
    <t>INC103627</t>
  </si>
  <si>
    <t>INC103628</t>
  </si>
  <si>
    <t>INC103629</t>
  </si>
  <si>
    <t>INC103630</t>
  </si>
  <si>
    <t>INC103631</t>
  </si>
  <si>
    <t>INC103632</t>
  </si>
  <si>
    <t>INC103633</t>
  </si>
  <si>
    <t>INC103634</t>
  </si>
  <si>
    <t>INC103635</t>
  </si>
  <si>
    <t>INC103636</t>
  </si>
  <si>
    <t>INC103637</t>
  </si>
  <si>
    <t>INC103638</t>
  </si>
  <si>
    <t>INC103639</t>
  </si>
  <si>
    <t>INC103640</t>
  </si>
  <si>
    <t>INC103641</t>
  </si>
  <si>
    <t>INC103642</t>
  </si>
  <si>
    <t>INC103643</t>
  </si>
  <si>
    <t>INC103644</t>
  </si>
  <si>
    <t>INC103645</t>
  </si>
  <si>
    <t>INC103646</t>
  </si>
  <si>
    <t>INC103647</t>
  </si>
  <si>
    <t>INC103648</t>
  </si>
  <si>
    <t>INC103649</t>
  </si>
  <si>
    <t>INC103650</t>
  </si>
  <si>
    <t>INC103651</t>
  </si>
  <si>
    <t>INC103652</t>
  </si>
  <si>
    <t>INC103653</t>
  </si>
  <si>
    <t>INC103654</t>
  </si>
  <si>
    <t>INC103655</t>
  </si>
  <si>
    <t>INC103656</t>
  </si>
  <si>
    <t>INC103657</t>
  </si>
  <si>
    <t>INC103658</t>
  </si>
  <si>
    <t>INC103659</t>
  </si>
  <si>
    <t>INC103660</t>
  </si>
  <si>
    <t>INC103661</t>
  </si>
  <si>
    <t>INC103662</t>
  </si>
  <si>
    <t>INC103663</t>
  </si>
  <si>
    <t>INC103664</t>
  </si>
  <si>
    <t>INC103665</t>
  </si>
  <si>
    <t>INC103666</t>
  </si>
  <si>
    <t>INC103667</t>
  </si>
  <si>
    <t>INC103668</t>
  </si>
  <si>
    <t>INC103669</t>
  </si>
  <si>
    <t>INC103670</t>
  </si>
  <si>
    <t>INC103671</t>
  </si>
  <si>
    <t>INC103672</t>
  </si>
  <si>
    <t>INC103673</t>
  </si>
  <si>
    <t>INC103674</t>
  </si>
  <si>
    <t>INC103675</t>
  </si>
  <si>
    <t>INC103676</t>
  </si>
  <si>
    <t>INC103677</t>
  </si>
  <si>
    <t>INC103678</t>
  </si>
  <si>
    <t>INC103679</t>
  </si>
  <si>
    <t>INC103680</t>
  </si>
  <si>
    <t>INC103681</t>
  </si>
  <si>
    <t>INC103682</t>
  </si>
  <si>
    <t>INC103683</t>
  </si>
  <si>
    <t>INC103684</t>
  </si>
  <si>
    <t>INC103685</t>
  </si>
  <si>
    <t>INC103686</t>
  </si>
  <si>
    <t>INC103687</t>
  </si>
  <si>
    <t>INC103688</t>
  </si>
  <si>
    <t>INC103689</t>
  </si>
  <si>
    <t>INC103690</t>
  </si>
  <si>
    <t>INC103691</t>
  </si>
  <si>
    <t>INC103692</t>
  </si>
  <si>
    <t>INC103693</t>
  </si>
  <si>
    <t>INC103694</t>
  </si>
  <si>
    <t>INC103695</t>
  </si>
  <si>
    <t>INC103696</t>
  </si>
  <si>
    <t>INC103697</t>
  </si>
  <si>
    <t>INC103698</t>
  </si>
  <si>
    <t>INC103699</t>
  </si>
  <si>
    <t>INC103700</t>
  </si>
  <si>
    <t>INC103701</t>
  </si>
  <si>
    <t>INC103702</t>
  </si>
  <si>
    <t>INC103703</t>
  </si>
  <si>
    <t>INC103704</t>
  </si>
  <si>
    <t>INC103705</t>
  </si>
  <si>
    <t>INC103706</t>
  </si>
  <si>
    <t>INC103707</t>
  </si>
  <si>
    <t>INC103708</t>
  </si>
  <si>
    <t>INC103709</t>
  </si>
  <si>
    <t>INC103710</t>
  </si>
  <si>
    <t>INC103711</t>
  </si>
  <si>
    <t>INC103712</t>
  </si>
  <si>
    <t>INC103713</t>
  </si>
  <si>
    <t>INC103714</t>
  </si>
  <si>
    <t>INC103715</t>
  </si>
  <si>
    <t>INC103716</t>
  </si>
  <si>
    <t>INC103717</t>
  </si>
  <si>
    <t>INC103718</t>
  </si>
  <si>
    <t>INC103719</t>
  </si>
  <si>
    <t>INC103720</t>
  </si>
  <si>
    <t>INC103721</t>
  </si>
  <si>
    <t>INC103722</t>
  </si>
  <si>
    <t>INC103723</t>
  </si>
  <si>
    <t>INC103724</t>
  </si>
  <si>
    <t>INC103725</t>
  </si>
  <si>
    <t>INC103726</t>
  </si>
  <si>
    <t>INC103727</t>
  </si>
  <si>
    <t>INC103728</t>
  </si>
  <si>
    <t>INC103729</t>
  </si>
  <si>
    <t>INC103730</t>
  </si>
  <si>
    <t>INC103731</t>
  </si>
  <si>
    <t>INC103732</t>
  </si>
  <si>
    <t>INC103733</t>
  </si>
  <si>
    <t>INC103734</t>
  </si>
  <si>
    <t>INC103735</t>
  </si>
  <si>
    <t>INC103736</t>
  </si>
  <si>
    <t>INC103737</t>
  </si>
  <si>
    <t>INC103738</t>
  </si>
  <si>
    <t>INC103739</t>
  </si>
  <si>
    <t>INC103740</t>
  </si>
  <si>
    <t>INC103741</t>
  </si>
  <si>
    <t>INC103742</t>
  </si>
  <si>
    <t>INC103743</t>
  </si>
  <si>
    <t>INC103744</t>
  </si>
  <si>
    <t>INC103745</t>
  </si>
  <si>
    <t>INC103746</t>
  </si>
  <si>
    <t>INC103747</t>
  </si>
  <si>
    <t>INC103748</t>
  </si>
  <si>
    <t>INC103749</t>
  </si>
  <si>
    <t>INC103750</t>
  </si>
  <si>
    <t>INC103751</t>
  </si>
  <si>
    <t>INC103752</t>
  </si>
  <si>
    <t>INC103753</t>
  </si>
  <si>
    <t>INC103754</t>
  </si>
  <si>
    <t>INC103755</t>
  </si>
  <si>
    <t>INC103756</t>
  </si>
  <si>
    <t>INC103757</t>
  </si>
  <si>
    <t>INC103758</t>
  </si>
  <si>
    <t>INC103759</t>
  </si>
  <si>
    <t>INC103760</t>
  </si>
  <si>
    <t>INC103761</t>
  </si>
  <si>
    <t>INC103762</t>
  </si>
  <si>
    <t>INC103763</t>
  </si>
  <si>
    <t>INC103764</t>
  </si>
  <si>
    <t>INC103765</t>
  </si>
  <si>
    <t>INC103766</t>
  </si>
  <si>
    <t>INC103767</t>
  </si>
  <si>
    <t>INC103768</t>
  </si>
  <si>
    <t>INC103769</t>
  </si>
  <si>
    <t>INC103770</t>
  </si>
  <si>
    <t>INC103771</t>
  </si>
  <si>
    <t>INC103772</t>
  </si>
  <si>
    <t>INC103773</t>
  </si>
  <si>
    <t>INC103774</t>
  </si>
  <si>
    <t>INC103775</t>
  </si>
  <si>
    <t>INC103776</t>
  </si>
  <si>
    <t>INC103777</t>
  </si>
  <si>
    <t>INC103778</t>
  </si>
  <si>
    <t>INC103779</t>
  </si>
  <si>
    <t>INC103780</t>
  </si>
  <si>
    <t>INC103781</t>
  </si>
  <si>
    <t>INC103782</t>
  </si>
  <si>
    <t>INC103783</t>
  </si>
  <si>
    <t>INC103784</t>
  </si>
  <si>
    <t>INC103785</t>
  </si>
  <si>
    <t>INC103786</t>
  </si>
  <si>
    <t>INC103787</t>
  </si>
  <si>
    <t>INC103788</t>
  </si>
  <si>
    <t>INC103789</t>
  </si>
  <si>
    <t>INC103790</t>
  </si>
  <si>
    <t>INC103791</t>
  </si>
  <si>
    <t>INC103792</t>
  </si>
  <si>
    <t>INC103793</t>
  </si>
  <si>
    <t>INC103794</t>
  </si>
  <si>
    <t>INC103795</t>
  </si>
  <si>
    <t>INC103796</t>
  </si>
  <si>
    <t>INC103797</t>
  </si>
  <si>
    <t>INC103798</t>
  </si>
  <si>
    <t>INC103799</t>
  </si>
  <si>
    <t>INC103800</t>
  </si>
  <si>
    <t>INC103801</t>
  </si>
  <si>
    <t>INC103802</t>
  </si>
  <si>
    <t>INC103803</t>
  </si>
  <si>
    <t>INC103804</t>
  </si>
  <si>
    <t>INC103805</t>
  </si>
  <si>
    <t>INC103806</t>
  </si>
  <si>
    <t>INC103807</t>
  </si>
  <si>
    <t>INC103808</t>
  </si>
  <si>
    <t>INC103809</t>
  </si>
  <si>
    <t>INC103810</t>
  </si>
  <si>
    <t>INC103811</t>
  </si>
  <si>
    <t>INC103812</t>
  </si>
  <si>
    <t>INC103813</t>
  </si>
  <si>
    <t>INC103814</t>
  </si>
  <si>
    <t>INC103815</t>
  </si>
  <si>
    <t>INC103816</t>
  </si>
  <si>
    <t>INC103817</t>
  </si>
  <si>
    <t>INC103818</t>
  </si>
  <si>
    <t>INC103819</t>
  </si>
  <si>
    <t>INC103820</t>
  </si>
  <si>
    <t>INC103821</t>
  </si>
  <si>
    <t>INC103822</t>
  </si>
  <si>
    <t>INC103823</t>
  </si>
  <si>
    <t>INC103824</t>
  </si>
  <si>
    <t>INC103825</t>
  </si>
  <si>
    <t>INC103826</t>
  </si>
  <si>
    <t>INC103827</t>
  </si>
  <si>
    <t>INC103828</t>
  </si>
  <si>
    <t>INC103829</t>
  </si>
  <si>
    <t>INC103830</t>
  </si>
  <si>
    <t>INC103831</t>
  </si>
  <si>
    <t>INC103832</t>
  </si>
  <si>
    <t>INC103833</t>
  </si>
  <si>
    <t>INC103834</t>
  </si>
  <si>
    <t>INC103835</t>
  </si>
  <si>
    <t>INC103836</t>
  </si>
  <si>
    <t>INC103837</t>
  </si>
  <si>
    <t>INC103838</t>
  </si>
  <si>
    <t>INC103839</t>
  </si>
  <si>
    <t>INC103840</t>
  </si>
  <si>
    <t>INC103841</t>
  </si>
  <si>
    <t>INC103842</t>
  </si>
  <si>
    <t>INC103843</t>
  </si>
  <si>
    <t>INC103844</t>
  </si>
  <si>
    <t>INC103845</t>
  </si>
  <si>
    <t>INC103846</t>
  </si>
  <si>
    <t>INC103847</t>
  </si>
  <si>
    <t>INC103848</t>
  </si>
  <si>
    <t>INC103849</t>
  </si>
  <si>
    <t>INC103850</t>
  </si>
  <si>
    <t>INC103851</t>
  </si>
  <si>
    <t>INC103852</t>
  </si>
  <si>
    <t>INC103853</t>
  </si>
  <si>
    <t>INC103854</t>
  </si>
  <si>
    <t>INC103855</t>
  </si>
  <si>
    <t>INC103856</t>
  </si>
  <si>
    <t>INC103857</t>
  </si>
  <si>
    <t>INC103858</t>
  </si>
  <si>
    <t>INC103859</t>
  </si>
  <si>
    <t>INC103860</t>
  </si>
  <si>
    <t>INC103861</t>
  </si>
  <si>
    <t>INC103862</t>
  </si>
  <si>
    <t>INC103863</t>
  </si>
  <si>
    <t>INC103864</t>
  </si>
  <si>
    <t>INC103865</t>
  </si>
  <si>
    <t>INC103866</t>
  </si>
  <si>
    <t>INC103867</t>
  </si>
  <si>
    <t>INC103868</t>
  </si>
  <si>
    <t>INC103869</t>
  </si>
  <si>
    <t>INC103870</t>
  </si>
  <si>
    <t>INC103871</t>
  </si>
  <si>
    <t>INC103872</t>
  </si>
  <si>
    <t>INC103873</t>
  </si>
  <si>
    <t>INC103874</t>
  </si>
  <si>
    <t>INC103875</t>
  </si>
  <si>
    <t>INC103876</t>
  </si>
  <si>
    <t>INC103877</t>
  </si>
  <si>
    <t>INC103878</t>
  </si>
  <si>
    <t>INC103879</t>
  </si>
  <si>
    <t>INC103880</t>
  </si>
  <si>
    <t>INC103881</t>
  </si>
  <si>
    <t>INC103882</t>
  </si>
  <si>
    <t>INC103883</t>
  </si>
  <si>
    <t>INC103884</t>
  </si>
  <si>
    <t>INC103885</t>
  </si>
  <si>
    <t>INC103886</t>
  </si>
  <si>
    <t>INC103887</t>
  </si>
  <si>
    <t>INC103888</t>
  </si>
  <si>
    <t>INC103889</t>
  </si>
  <si>
    <t>INC103890</t>
  </si>
  <si>
    <t>INC103891</t>
  </si>
  <si>
    <t>INC103892</t>
  </si>
  <si>
    <t>INC103893</t>
  </si>
  <si>
    <t>INC103894</t>
  </si>
  <si>
    <t>INC103895</t>
  </si>
  <si>
    <t>INC103896</t>
  </si>
  <si>
    <t>INC103897</t>
  </si>
  <si>
    <t>INC103898</t>
  </si>
  <si>
    <t>INC103899</t>
  </si>
  <si>
    <t>INC103900</t>
  </si>
  <si>
    <t>INC103901</t>
  </si>
  <si>
    <t>INC103902</t>
  </si>
  <si>
    <t>INC103903</t>
  </si>
  <si>
    <t>INC103904</t>
  </si>
  <si>
    <t>INC103905</t>
  </si>
  <si>
    <t>INC103906</t>
  </si>
  <si>
    <t>INC103907</t>
  </si>
  <si>
    <t>INC103908</t>
  </si>
  <si>
    <t>INC103909</t>
  </si>
  <si>
    <t>INC103910</t>
  </si>
  <si>
    <t>INC103911</t>
  </si>
  <si>
    <t>INC103912</t>
  </si>
  <si>
    <t>INC103913</t>
  </si>
  <si>
    <t>INC103914</t>
  </si>
  <si>
    <t>INC103915</t>
  </si>
  <si>
    <t>INC103916</t>
  </si>
  <si>
    <t>INC103917</t>
  </si>
  <si>
    <t>INC103918</t>
  </si>
  <si>
    <t>INC103919</t>
  </si>
  <si>
    <t>INC103920</t>
  </si>
  <si>
    <t>INC103921</t>
  </si>
  <si>
    <t>INC103922</t>
  </si>
  <si>
    <t>INC103923</t>
  </si>
  <si>
    <t>INC103924</t>
  </si>
  <si>
    <t>INC103925</t>
  </si>
  <si>
    <t>INC103926</t>
  </si>
  <si>
    <t>INC103927</t>
  </si>
  <si>
    <t>INC103928</t>
  </si>
  <si>
    <t>INC103929</t>
  </si>
  <si>
    <t>INC103930</t>
  </si>
  <si>
    <t>INC103931</t>
  </si>
  <si>
    <t>INC103932</t>
  </si>
  <si>
    <t>INC103933</t>
  </si>
  <si>
    <t>INC103934</t>
  </si>
  <si>
    <t>INC103935</t>
  </si>
  <si>
    <t>INC103936</t>
  </si>
  <si>
    <t>INC103937</t>
  </si>
  <si>
    <t>INC103938</t>
  </si>
  <si>
    <t>INC103939</t>
  </si>
  <si>
    <t>INC103940</t>
  </si>
  <si>
    <t>INC103941</t>
  </si>
  <si>
    <t>INC103942</t>
  </si>
  <si>
    <t>INC103943</t>
  </si>
  <si>
    <t>INC103944</t>
  </si>
  <si>
    <t>INC103945</t>
  </si>
  <si>
    <t>INC103946</t>
  </si>
  <si>
    <t>INC103947</t>
  </si>
  <si>
    <t>INC103948</t>
  </si>
  <si>
    <t>INC103949</t>
  </si>
  <si>
    <t>INC103950</t>
  </si>
  <si>
    <t>INC103951</t>
  </si>
  <si>
    <t>INC103952</t>
  </si>
  <si>
    <t>INC103953</t>
  </si>
  <si>
    <t>INC103954</t>
  </si>
  <si>
    <t>INC103955</t>
  </si>
  <si>
    <t>INC103956</t>
  </si>
  <si>
    <t>INC103957</t>
  </si>
  <si>
    <t>INC103958</t>
  </si>
  <si>
    <t>INC103959</t>
  </si>
  <si>
    <t>INC103960</t>
  </si>
  <si>
    <t>INC103961</t>
  </si>
  <si>
    <t>INC103962</t>
  </si>
  <si>
    <t>INC103963</t>
  </si>
  <si>
    <t>INC103964</t>
  </si>
  <si>
    <t>INC103965</t>
  </si>
  <si>
    <t>INC103966</t>
  </si>
  <si>
    <t>INC103967</t>
  </si>
  <si>
    <t>INC103968</t>
  </si>
  <si>
    <t>INC103969</t>
  </si>
  <si>
    <t>INC103970</t>
  </si>
  <si>
    <t>INC103971</t>
  </si>
  <si>
    <t>INC103972</t>
  </si>
  <si>
    <t>INC103973</t>
  </si>
  <si>
    <t>INC103974</t>
  </si>
  <si>
    <t>INC103975</t>
  </si>
  <si>
    <t>INC103976</t>
  </si>
  <si>
    <t>INC103977</t>
  </si>
  <si>
    <t>INC103978</t>
  </si>
  <si>
    <t>INC103979</t>
  </si>
  <si>
    <t>INC103980</t>
  </si>
  <si>
    <t>INC103981</t>
  </si>
  <si>
    <t>INC103982</t>
  </si>
  <si>
    <t>INC103983</t>
  </si>
  <si>
    <t>INC103984</t>
  </si>
  <si>
    <t>INC103985</t>
  </si>
  <si>
    <t>INC103986</t>
  </si>
  <si>
    <t>INC103987</t>
  </si>
  <si>
    <t>INC103988</t>
  </si>
  <si>
    <t>INC103989</t>
  </si>
  <si>
    <t>INC103990</t>
  </si>
  <si>
    <t>INC103991</t>
  </si>
  <si>
    <t>INC103992</t>
  </si>
  <si>
    <t>INC103993</t>
  </si>
  <si>
    <t>INC103994</t>
  </si>
  <si>
    <t>INC103995</t>
  </si>
  <si>
    <t>INC103996</t>
  </si>
  <si>
    <t>INC103997</t>
  </si>
  <si>
    <t>INC103998</t>
  </si>
  <si>
    <t>INC103999</t>
  </si>
  <si>
    <t>INC104000</t>
  </si>
  <si>
    <t>INC104001</t>
  </si>
  <si>
    <t>INC104002</t>
  </si>
  <si>
    <t>INC104003</t>
  </si>
  <si>
    <t>INC104004</t>
  </si>
  <si>
    <t>INC104005</t>
  </si>
  <si>
    <t>INC104006</t>
  </si>
  <si>
    <t>INC104007</t>
  </si>
  <si>
    <t>INC104008</t>
  </si>
  <si>
    <t>INC104009</t>
  </si>
  <si>
    <t>INC104010</t>
  </si>
  <si>
    <t>INC104011</t>
  </si>
  <si>
    <t>INC104012</t>
  </si>
  <si>
    <t>INC104013</t>
  </si>
  <si>
    <t>INC104014</t>
  </si>
  <si>
    <t>INC104015</t>
  </si>
  <si>
    <t>INC104016</t>
  </si>
  <si>
    <t>INC104017</t>
  </si>
  <si>
    <t>INC104018</t>
  </si>
  <si>
    <t>INC104019</t>
  </si>
  <si>
    <t>INC104020</t>
  </si>
  <si>
    <t>INC104021</t>
  </si>
  <si>
    <t>INC104022</t>
  </si>
  <si>
    <t>INC104023</t>
  </si>
  <si>
    <t>INC104024</t>
  </si>
  <si>
    <t>INC104025</t>
  </si>
  <si>
    <t>INC104026</t>
  </si>
  <si>
    <t>INC104027</t>
  </si>
  <si>
    <t>INC104028</t>
  </si>
  <si>
    <t>INC104029</t>
  </si>
  <si>
    <t>INC104030</t>
  </si>
  <si>
    <t>INC104031</t>
  </si>
  <si>
    <t>INC104032</t>
  </si>
  <si>
    <t>INC104033</t>
  </si>
  <si>
    <t>INC104034</t>
  </si>
  <si>
    <t>INC104035</t>
  </si>
  <si>
    <t>INC104036</t>
  </si>
  <si>
    <t>INC104037</t>
  </si>
  <si>
    <t>INC104038</t>
  </si>
  <si>
    <t>INC104039</t>
  </si>
  <si>
    <t>INC104040</t>
  </si>
  <si>
    <t>INC104041</t>
  </si>
  <si>
    <t>INC104042</t>
  </si>
  <si>
    <t>INC104043</t>
  </si>
  <si>
    <t>INC104044</t>
  </si>
  <si>
    <t>INC104045</t>
  </si>
  <si>
    <t>INC104046</t>
  </si>
  <si>
    <t>INC104047</t>
  </si>
  <si>
    <t>INC104048</t>
  </si>
  <si>
    <t>INC104049</t>
  </si>
  <si>
    <t>INC104050</t>
  </si>
  <si>
    <t>INC104051</t>
  </si>
  <si>
    <t>INC104052</t>
  </si>
  <si>
    <t>INC104053</t>
  </si>
  <si>
    <t>INC104054</t>
  </si>
  <si>
    <t>INC104055</t>
  </si>
  <si>
    <t>INC104056</t>
  </si>
  <si>
    <t>INC104057</t>
  </si>
  <si>
    <t>INC104058</t>
  </si>
  <si>
    <t>INC104059</t>
  </si>
  <si>
    <t>INC104060</t>
  </si>
  <si>
    <t>INC104061</t>
  </si>
  <si>
    <t>INC104062</t>
  </si>
  <si>
    <t>INC104063</t>
  </si>
  <si>
    <t>INC104064</t>
  </si>
  <si>
    <t>INC104065</t>
  </si>
  <si>
    <t>INC104066</t>
  </si>
  <si>
    <t>INC104067</t>
  </si>
  <si>
    <t>INC104068</t>
  </si>
  <si>
    <t>INC104069</t>
  </si>
  <si>
    <t>INC104070</t>
  </si>
  <si>
    <t>INC104071</t>
  </si>
  <si>
    <t>INC104072</t>
  </si>
  <si>
    <t>INC104073</t>
  </si>
  <si>
    <t>INC104074</t>
  </si>
  <si>
    <t>INC104075</t>
  </si>
  <si>
    <t>INC104076</t>
  </si>
  <si>
    <t>INC104077</t>
  </si>
  <si>
    <t>INC104078</t>
  </si>
  <si>
    <t>INC104079</t>
  </si>
  <si>
    <t>INC104080</t>
  </si>
  <si>
    <t>INC104081</t>
  </si>
  <si>
    <t>INC104082</t>
  </si>
  <si>
    <t>INC104083</t>
  </si>
  <si>
    <t>INC104084</t>
  </si>
  <si>
    <t>INC104085</t>
  </si>
  <si>
    <t>INC104086</t>
  </si>
  <si>
    <t>INC104087</t>
  </si>
  <si>
    <t>INC104088</t>
  </si>
  <si>
    <t>INC104089</t>
  </si>
  <si>
    <t>INC104090</t>
  </si>
  <si>
    <t>INC104091</t>
  </si>
  <si>
    <t>INC104092</t>
  </si>
  <si>
    <t>INC104093</t>
  </si>
  <si>
    <t>INC104094</t>
  </si>
  <si>
    <t>INC104095</t>
  </si>
  <si>
    <t>INC104096</t>
  </si>
  <si>
    <t>INC104097</t>
  </si>
  <si>
    <t>INC104098</t>
  </si>
  <si>
    <t>INC104099</t>
  </si>
  <si>
    <t>INC104100</t>
  </si>
  <si>
    <t>INC104101</t>
  </si>
  <si>
    <t>INC104102</t>
  </si>
  <si>
    <t>INC104103</t>
  </si>
  <si>
    <t>INC104104</t>
  </si>
  <si>
    <t>INC104105</t>
  </si>
  <si>
    <t>INC104106</t>
  </si>
  <si>
    <t>INC104107</t>
  </si>
  <si>
    <t>INC104108</t>
  </si>
  <si>
    <t>INC104109</t>
  </si>
  <si>
    <t>INC104110</t>
  </si>
  <si>
    <t>INC104111</t>
  </si>
  <si>
    <t>INC104112</t>
  </si>
  <si>
    <t>INC104113</t>
  </si>
  <si>
    <t>INC104114</t>
  </si>
  <si>
    <t>INC104115</t>
  </si>
  <si>
    <t>INC104116</t>
  </si>
  <si>
    <t>INC104117</t>
  </si>
  <si>
    <t>INC104118</t>
  </si>
  <si>
    <t>INC104119</t>
  </si>
  <si>
    <t>INC104120</t>
  </si>
  <si>
    <t>INC104121</t>
  </si>
  <si>
    <t>INC104122</t>
  </si>
  <si>
    <t>INC104123</t>
  </si>
  <si>
    <t>INC104124</t>
  </si>
  <si>
    <t>INC104125</t>
  </si>
  <si>
    <t>INC104126</t>
  </si>
  <si>
    <t>INC104127</t>
  </si>
  <si>
    <t>INC104128</t>
  </si>
  <si>
    <t>INC104129</t>
  </si>
  <si>
    <t>INC104130</t>
  </si>
  <si>
    <t>INC104131</t>
  </si>
  <si>
    <t>INC104132</t>
  </si>
  <si>
    <t>INC104133</t>
  </si>
  <si>
    <t>INC104134</t>
  </si>
  <si>
    <t>INC104135</t>
  </si>
  <si>
    <t>INC104136</t>
  </si>
  <si>
    <t>INC104137</t>
  </si>
  <si>
    <t>INC104138</t>
  </si>
  <si>
    <t>INC104139</t>
  </si>
  <si>
    <t>INC104140</t>
  </si>
  <si>
    <t>INC104141</t>
  </si>
  <si>
    <t>INC104142</t>
  </si>
  <si>
    <t>INC104143</t>
  </si>
  <si>
    <t>INC104144</t>
  </si>
  <si>
    <t>INC104145</t>
  </si>
  <si>
    <t>INC104146</t>
  </si>
  <si>
    <t>INC104147</t>
  </si>
  <si>
    <t>INC104148</t>
  </si>
  <si>
    <t>INC104149</t>
  </si>
  <si>
    <t>INC104150</t>
  </si>
  <si>
    <t>INC104151</t>
  </si>
  <si>
    <t>INC104152</t>
  </si>
  <si>
    <t>INC104153</t>
  </si>
  <si>
    <t>INC104154</t>
  </si>
  <si>
    <t>INC104155</t>
  </si>
  <si>
    <t>INC104156</t>
  </si>
  <si>
    <t>INC104157</t>
  </si>
  <si>
    <t>INC104158</t>
  </si>
  <si>
    <t>INC104159</t>
  </si>
  <si>
    <t>INC104160</t>
  </si>
  <si>
    <t>INC104161</t>
  </si>
  <si>
    <t>INC104162</t>
  </si>
  <si>
    <t>INC104163</t>
  </si>
  <si>
    <t>INC104164</t>
  </si>
  <si>
    <t>INC104165</t>
  </si>
  <si>
    <t>INC104166</t>
  </si>
  <si>
    <t>INC104167</t>
  </si>
  <si>
    <t>INC104168</t>
  </si>
  <si>
    <t>INC104169</t>
  </si>
  <si>
    <t>INC104170</t>
  </si>
  <si>
    <t>INC104171</t>
  </si>
  <si>
    <t>INC104172</t>
  </si>
  <si>
    <t>INC104173</t>
  </si>
  <si>
    <t>INC104174</t>
  </si>
  <si>
    <t>INC104175</t>
  </si>
  <si>
    <t>INC104176</t>
  </si>
  <si>
    <t>INC104177</t>
  </si>
  <si>
    <t>INC104178</t>
  </si>
  <si>
    <t>INC104179</t>
  </si>
  <si>
    <t>INC104180</t>
  </si>
  <si>
    <t>INC104181</t>
  </si>
  <si>
    <t>INC104182</t>
  </si>
  <si>
    <t>INC104183</t>
  </si>
  <si>
    <t>INC104184</t>
  </si>
  <si>
    <t>INC104185</t>
  </si>
  <si>
    <t>INC104186</t>
  </si>
  <si>
    <t>INC104187</t>
  </si>
  <si>
    <t>INC104188</t>
  </si>
  <si>
    <t>INC104189</t>
  </si>
  <si>
    <t>INC104190</t>
  </si>
  <si>
    <t>INC104191</t>
  </si>
  <si>
    <t>INC104192</t>
  </si>
  <si>
    <t>INC104193</t>
  </si>
  <si>
    <t>INC104194</t>
  </si>
  <si>
    <t>INC104195</t>
  </si>
  <si>
    <t>INC104196</t>
  </si>
  <si>
    <t>INC104197</t>
  </si>
  <si>
    <t>INC104198</t>
  </si>
  <si>
    <t>INC104199</t>
  </si>
  <si>
    <t>INC104200</t>
  </si>
  <si>
    <t>INC104201</t>
  </si>
  <si>
    <t>INC104202</t>
  </si>
  <si>
    <t>INC104203</t>
  </si>
  <si>
    <t>INC104204</t>
  </si>
  <si>
    <t>INC104205</t>
  </si>
  <si>
    <t>INC104206</t>
  </si>
  <si>
    <t>INC104207</t>
  </si>
  <si>
    <t>INC104208</t>
  </si>
  <si>
    <t>INC104209</t>
  </si>
  <si>
    <t>INC104210</t>
  </si>
  <si>
    <t>INC104211</t>
  </si>
  <si>
    <t>INC104212</t>
  </si>
  <si>
    <t>INC104213</t>
  </si>
  <si>
    <t>INC104214</t>
  </si>
  <si>
    <t>INC104215</t>
  </si>
  <si>
    <t>INC104216</t>
  </si>
  <si>
    <t>INC104217</t>
  </si>
  <si>
    <t>INC104218</t>
  </si>
  <si>
    <t>INC104219</t>
  </si>
  <si>
    <t>INC104220</t>
  </si>
  <si>
    <t>INC104221</t>
  </si>
  <si>
    <t>INC104222</t>
  </si>
  <si>
    <t>INC104223</t>
  </si>
  <si>
    <t>INC104224</t>
  </si>
  <si>
    <t>INC104225</t>
  </si>
  <si>
    <t>INC104226</t>
  </si>
  <si>
    <t>INC104227</t>
  </si>
  <si>
    <t>INC104228</t>
  </si>
  <si>
    <t>INC104229</t>
  </si>
  <si>
    <t>INC104230</t>
  </si>
  <si>
    <t>INC104231</t>
  </si>
  <si>
    <t>INC104232</t>
  </si>
  <si>
    <t>INC104233</t>
  </si>
  <si>
    <t>INC104234</t>
  </si>
  <si>
    <t>INC104235</t>
  </si>
  <si>
    <t>INC104236</t>
  </si>
  <si>
    <t>INC104237</t>
  </si>
  <si>
    <t>INC104238</t>
  </si>
  <si>
    <t>INC104239</t>
  </si>
  <si>
    <t>INC104240</t>
  </si>
  <si>
    <t>INC104241</t>
  </si>
  <si>
    <t>INC104242</t>
  </si>
  <si>
    <t>INC104243</t>
  </si>
  <si>
    <t>INC104244</t>
  </si>
  <si>
    <t>INC104245</t>
  </si>
  <si>
    <t>INC104246</t>
  </si>
  <si>
    <t>INC104247</t>
  </si>
  <si>
    <t>INC104248</t>
  </si>
  <si>
    <t>INC104249</t>
  </si>
  <si>
    <t>INC104250</t>
  </si>
  <si>
    <t>INC104251</t>
  </si>
  <si>
    <t>INC104252</t>
  </si>
  <si>
    <t>INC104253</t>
  </si>
  <si>
    <t>INC104254</t>
  </si>
  <si>
    <t>INC104255</t>
  </si>
  <si>
    <t>INC104256</t>
  </si>
  <si>
    <t>INC104257</t>
  </si>
  <si>
    <t>INC104258</t>
  </si>
  <si>
    <t>INC104259</t>
  </si>
  <si>
    <t>INC104260</t>
  </si>
  <si>
    <t>INC104261</t>
  </si>
  <si>
    <t>INC104262</t>
  </si>
  <si>
    <t>INC104263</t>
  </si>
  <si>
    <t>INC104264</t>
  </si>
  <si>
    <t>INC104265</t>
  </si>
  <si>
    <t>INC104266</t>
  </si>
  <si>
    <t>INC104267</t>
  </si>
  <si>
    <t>INC104268</t>
  </si>
  <si>
    <t>INC104269</t>
  </si>
  <si>
    <t>INC104270</t>
  </si>
  <si>
    <t>INC104271</t>
  </si>
  <si>
    <t>INC104272</t>
  </si>
  <si>
    <t>INC104273</t>
  </si>
  <si>
    <t>INC104274</t>
  </si>
  <si>
    <t>INC104275</t>
  </si>
  <si>
    <t>INC104276</t>
  </si>
  <si>
    <t>INC104277</t>
  </si>
  <si>
    <t>INC104278</t>
  </si>
  <si>
    <t>INC104279</t>
  </si>
  <si>
    <t>INC104280</t>
  </si>
  <si>
    <t>INC104281</t>
  </si>
  <si>
    <t>INC104282</t>
  </si>
  <si>
    <t>INC104283</t>
  </si>
  <si>
    <t>INC104284</t>
  </si>
  <si>
    <t>INC104285</t>
  </si>
  <si>
    <t>INC104286</t>
  </si>
  <si>
    <t>INC104287</t>
  </si>
  <si>
    <t>INC104288</t>
  </si>
  <si>
    <t>INC104289</t>
  </si>
  <si>
    <t>INC104290</t>
  </si>
  <si>
    <t>INC104291</t>
  </si>
  <si>
    <t>INC104292</t>
  </si>
  <si>
    <t>INC104293</t>
  </si>
  <si>
    <t>INC104294</t>
  </si>
  <si>
    <t>INC104295</t>
  </si>
  <si>
    <t>INC104296</t>
  </si>
  <si>
    <t>INC104297</t>
  </si>
  <si>
    <t>INC104298</t>
  </si>
  <si>
    <t>INC104299</t>
  </si>
  <si>
    <t>INC104300</t>
  </si>
  <si>
    <t>INC104301</t>
  </si>
  <si>
    <t>INC104302</t>
  </si>
  <si>
    <t>INC104303</t>
  </si>
  <si>
    <t>INC104304</t>
  </si>
  <si>
    <t>INC104305</t>
  </si>
  <si>
    <t>INC104306</t>
  </si>
  <si>
    <t>INC104307</t>
  </si>
  <si>
    <t>INC104308</t>
  </si>
  <si>
    <t>INC104309</t>
  </si>
  <si>
    <t>INC104310</t>
  </si>
  <si>
    <t>INC104311</t>
  </si>
  <si>
    <t>INC104312</t>
  </si>
  <si>
    <t>INC104313</t>
  </si>
  <si>
    <t>INC104314</t>
  </si>
  <si>
    <t>INC104315</t>
  </si>
  <si>
    <t>INC104316</t>
  </si>
  <si>
    <t>INC104317</t>
  </si>
  <si>
    <t>INC104318</t>
  </si>
  <si>
    <t>INC104319</t>
  </si>
  <si>
    <t>INC104320</t>
  </si>
  <si>
    <t>INC104321</t>
  </si>
  <si>
    <t>INC104322</t>
  </si>
  <si>
    <t>INC104323</t>
  </si>
  <si>
    <t>INC104324</t>
  </si>
  <si>
    <t>INC104325</t>
  </si>
  <si>
    <t>INC104326</t>
  </si>
  <si>
    <t>INC104327</t>
  </si>
  <si>
    <t>INC104328</t>
  </si>
  <si>
    <t>INC104329</t>
  </si>
  <si>
    <t>INC104330</t>
  </si>
  <si>
    <t>INC104331</t>
  </si>
  <si>
    <t>INC104332</t>
  </si>
  <si>
    <t>INC104333</t>
  </si>
  <si>
    <t>INC104334</t>
  </si>
  <si>
    <t>INC104335</t>
  </si>
  <si>
    <t>INC104336</t>
  </si>
  <si>
    <t>INC104337</t>
  </si>
  <si>
    <t>INC104338</t>
  </si>
  <si>
    <t>INC104339</t>
  </si>
  <si>
    <t>INC104340</t>
  </si>
  <si>
    <t>INC104341</t>
  </si>
  <si>
    <t>INC104342</t>
  </si>
  <si>
    <t>INC104343</t>
  </si>
  <si>
    <t>INC104344</t>
  </si>
  <si>
    <t>INC104345</t>
  </si>
  <si>
    <t>INC104346</t>
  </si>
  <si>
    <t>INC104347</t>
  </si>
  <si>
    <t>INC104348</t>
  </si>
  <si>
    <t>INC104349</t>
  </si>
  <si>
    <t>INC104350</t>
  </si>
  <si>
    <t>INC104351</t>
  </si>
  <si>
    <t>INC104352</t>
  </si>
  <si>
    <t>INC104353</t>
  </si>
  <si>
    <t>INC104354</t>
  </si>
  <si>
    <t>INC104355</t>
  </si>
  <si>
    <t>INC104356</t>
  </si>
  <si>
    <t>INC104357</t>
  </si>
  <si>
    <t>INC104358</t>
  </si>
  <si>
    <t>INC104359</t>
  </si>
  <si>
    <t>INC104360</t>
  </si>
  <si>
    <t>INC104361</t>
  </si>
  <si>
    <t>INC104362</t>
  </si>
  <si>
    <t>INC104363</t>
  </si>
  <si>
    <t>INC104364</t>
  </si>
  <si>
    <t>INC104365</t>
  </si>
  <si>
    <t>INC104366</t>
  </si>
  <si>
    <t>INC104367</t>
  </si>
  <si>
    <t>INC104368</t>
  </si>
  <si>
    <t>INC104369</t>
  </si>
  <si>
    <t>INC104370</t>
  </si>
  <si>
    <t>INC104371</t>
  </si>
  <si>
    <t>INC104372</t>
  </si>
  <si>
    <t>INC104373</t>
  </si>
  <si>
    <t>INC104374</t>
  </si>
  <si>
    <t>INC104375</t>
  </si>
  <si>
    <t>INC104376</t>
  </si>
  <si>
    <t>INC104377</t>
  </si>
  <si>
    <t>INC104378</t>
  </si>
  <si>
    <t>INC104379</t>
  </si>
  <si>
    <t>INC104380</t>
  </si>
  <si>
    <t>INC104381</t>
  </si>
  <si>
    <t>INC104382</t>
  </si>
  <si>
    <t>INC104383</t>
  </si>
  <si>
    <t>INC104384</t>
  </si>
  <si>
    <t>INC104385</t>
  </si>
  <si>
    <t>INC104386</t>
  </si>
  <si>
    <t>INC104387</t>
  </si>
  <si>
    <t>INC104388</t>
  </si>
  <si>
    <t>INC104389</t>
  </si>
  <si>
    <t>INC104390</t>
  </si>
  <si>
    <t>INC104391</t>
  </si>
  <si>
    <t>INC104392</t>
  </si>
  <si>
    <t>INC104393</t>
  </si>
  <si>
    <t>INC104394</t>
  </si>
  <si>
    <t>INC104395</t>
  </si>
  <si>
    <t>INC104396</t>
  </si>
  <si>
    <t>INC104397</t>
  </si>
  <si>
    <t>INC104398</t>
  </si>
  <si>
    <t>INC104399</t>
  </si>
  <si>
    <t>INC104400</t>
  </si>
  <si>
    <t>INC104401</t>
  </si>
  <si>
    <t>INC104402</t>
  </si>
  <si>
    <t>INC104403</t>
  </si>
  <si>
    <t>INC104404</t>
  </si>
  <si>
    <t>INC104405</t>
  </si>
  <si>
    <t>INC104406</t>
  </si>
  <si>
    <t>INC104407</t>
  </si>
  <si>
    <t>INC104408</t>
  </si>
  <si>
    <t>INC104409</t>
  </si>
  <si>
    <t>INC104410</t>
  </si>
  <si>
    <t>INC104411</t>
  </si>
  <si>
    <t>INC104412</t>
  </si>
  <si>
    <t>INC104413</t>
  </si>
  <si>
    <t>INC104414</t>
  </si>
  <si>
    <t>INC104415</t>
  </si>
  <si>
    <t>INC104416</t>
  </si>
  <si>
    <t>INC104417</t>
  </si>
  <si>
    <t>INC104418</t>
  </si>
  <si>
    <t>INC104419</t>
  </si>
  <si>
    <t>INC104420</t>
  </si>
  <si>
    <t>INC104421</t>
  </si>
  <si>
    <t>INC104422</t>
  </si>
  <si>
    <t>INC104423</t>
  </si>
  <si>
    <t>INC104424</t>
  </si>
  <si>
    <t>INC104425</t>
  </si>
  <si>
    <t>INC104426</t>
  </si>
  <si>
    <t>INC104427</t>
  </si>
  <si>
    <t>INC104428</t>
  </si>
  <si>
    <t>INC104429</t>
  </si>
  <si>
    <t>INC104430</t>
  </si>
  <si>
    <t>INC104431</t>
  </si>
  <si>
    <t>INC104432</t>
  </si>
  <si>
    <t>INC104433</t>
  </si>
  <si>
    <t>INC104434</t>
  </si>
  <si>
    <t>INC104435</t>
  </si>
  <si>
    <t>INC104436</t>
  </si>
  <si>
    <t>INC104437</t>
  </si>
  <si>
    <t>INC104438</t>
  </si>
  <si>
    <t>INC104439</t>
  </si>
  <si>
    <t>INC104440</t>
  </si>
  <si>
    <t>INC104441</t>
  </si>
  <si>
    <t>INC104442</t>
  </si>
  <si>
    <t>INC104443</t>
  </si>
  <si>
    <t>INC104444</t>
  </si>
  <si>
    <t>INC104445</t>
  </si>
  <si>
    <t>INC104446</t>
  </si>
  <si>
    <t>INC104447</t>
  </si>
  <si>
    <t>INC104448</t>
  </si>
  <si>
    <t>INC104449</t>
  </si>
  <si>
    <t>INC104450</t>
  </si>
  <si>
    <t>INC104451</t>
  </si>
  <si>
    <t>INC104452</t>
  </si>
  <si>
    <t>INC104453</t>
  </si>
  <si>
    <t>INC104454</t>
  </si>
  <si>
    <t>INC104455</t>
  </si>
  <si>
    <t>INC104456</t>
  </si>
  <si>
    <t>INC104457</t>
  </si>
  <si>
    <t>INC104458</t>
  </si>
  <si>
    <t>INC104459</t>
  </si>
  <si>
    <t>INC104460</t>
  </si>
  <si>
    <t>INC104461</t>
  </si>
  <si>
    <t>INC104462</t>
  </si>
  <si>
    <t>INC104463</t>
  </si>
  <si>
    <t>INC104464</t>
  </si>
  <si>
    <t>INC104465</t>
  </si>
  <si>
    <t>INC104466</t>
  </si>
  <si>
    <t>INC104467</t>
  </si>
  <si>
    <t>INC104468</t>
  </si>
  <si>
    <t>INC104469</t>
  </si>
  <si>
    <t>INC104470</t>
  </si>
  <si>
    <t>INC104471</t>
  </si>
  <si>
    <t>INC104472</t>
  </si>
  <si>
    <t>INC104473</t>
  </si>
  <si>
    <t>INC104474</t>
  </si>
  <si>
    <t>INC104475</t>
  </si>
  <si>
    <t>INC104476</t>
  </si>
  <si>
    <t>INC104477</t>
  </si>
  <si>
    <t>INC104478</t>
  </si>
  <si>
    <t>INC104479</t>
  </si>
  <si>
    <t>INC104480</t>
  </si>
  <si>
    <t>INC104481</t>
  </si>
  <si>
    <t>INC104482</t>
  </si>
  <si>
    <t>INC104483</t>
  </si>
  <si>
    <t>INC104484</t>
  </si>
  <si>
    <t>INC104485</t>
  </si>
  <si>
    <t>INC104486</t>
  </si>
  <si>
    <t>INC104487</t>
  </si>
  <si>
    <t>INC104488</t>
  </si>
  <si>
    <t>INC104489</t>
  </si>
  <si>
    <t>INC104490</t>
  </si>
  <si>
    <t>INC104491</t>
  </si>
  <si>
    <t>INC104492</t>
  </si>
  <si>
    <t>INC104493</t>
  </si>
  <si>
    <t>INC104494</t>
  </si>
  <si>
    <t>INC104495</t>
  </si>
  <si>
    <t>INC104496</t>
  </si>
  <si>
    <t>INC104497</t>
  </si>
  <si>
    <t>INC104498</t>
  </si>
  <si>
    <t>INC104499</t>
  </si>
  <si>
    <t>INC104500</t>
  </si>
  <si>
    <t>INC104501</t>
  </si>
  <si>
    <t>INC104502</t>
  </si>
  <si>
    <t>INC104503</t>
  </si>
  <si>
    <t>INC104504</t>
  </si>
  <si>
    <t>INC104505</t>
  </si>
  <si>
    <t>INC104506</t>
  </si>
  <si>
    <t>INC104507</t>
  </si>
  <si>
    <t>INC104508</t>
  </si>
  <si>
    <t>INC104509</t>
  </si>
  <si>
    <t>INC104510</t>
  </si>
  <si>
    <t>INC104511</t>
  </si>
  <si>
    <t>INC104512</t>
  </si>
  <si>
    <t>INC104513</t>
  </si>
  <si>
    <t>INC104514</t>
  </si>
  <si>
    <t>INC104515</t>
  </si>
  <si>
    <t>INC104516</t>
  </si>
  <si>
    <t>INC104517</t>
  </si>
  <si>
    <t>INC104518</t>
  </si>
  <si>
    <t>INC104519</t>
  </si>
  <si>
    <t>INC104520</t>
  </si>
  <si>
    <t>INC104521</t>
  </si>
  <si>
    <t>INC104522</t>
  </si>
  <si>
    <t>INC104523</t>
  </si>
  <si>
    <t>INC104524</t>
  </si>
  <si>
    <t>INC104525</t>
  </si>
  <si>
    <t>INC104526</t>
  </si>
  <si>
    <t>INC104527</t>
  </si>
  <si>
    <t>INC104528</t>
  </si>
  <si>
    <t>INC104529</t>
  </si>
  <si>
    <t>INC104530</t>
  </si>
  <si>
    <t>INC104531</t>
  </si>
  <si>
    <t>INC104532</t>
  </si>
  <si>
    <t>INC104533</t>
  </si>
  <si>
    <t>INC104534</t>
  </si>
  <si>
    <t>INC104535</t>
  </si>
  <si>
    <t>INC104536</t>
  </si>
  <si>
    <t>INC104537</t>
  </si>
  <si>
    <t>INC104538</t>
  </si>
  <si>
    <t>INC104539</t>
  </si>
  <si>
    <t>INC104540</t>
  </si>
  <si>
    <t>INC104541</t>
  </si>
  <si>
    <t>INC104542</t>
  </si>
  <si>
    <t>INC104543</t>
  </si>
  <si>
    <t>INC104544</t>
  </si>
  <si>
    <t>INC104545</t>
  </si>
  <si>
    <t>INC104546</t>
  </si>
  <si>
    <t>INC104547</t>
  </si>
  <si>
    <t>INC104548</t>
  </si>
  <si>
    <t>INC104549</t>
  </si>
  <si>
    <t>INC104550</t>
  </si>
  <si>
    <t>INC104551</t>
  </si>
  <si>
    <t>INC104552</t>
  </si>
  <si>
    <t>INC104553</t>
  </si>
  <si>
    <t>INC104554</t>
  </si>
  <si>
    <t>INC104555</t>
  </si>
  <si>
    <t>INC104556</t>
  </si>
  <si>
    <t>INC104557</t>
  </si>
  <si>
    <t>INC104558</t>
  </si>
  <si>
    <t>INC104559</t>
  </si>
  <si>
    <t>INC104560</t>
  </si>
  <si>
    <t>INC104561</t>
  </si>
  <si>
    <t>INC104562</t>
  </si>
  <si>
    <t>INC104563</t>
  </si>
  <si>
    <t>INC104564</t>
  </si>
  <si>
    <t>INC104565</t>
  </si>
  <si>
    <t>INC104566</t>
  </si>
  <si>
    <t>INC104567</t>
  </si>
  <si>
    <t>INC104568</t>
  </si>
  <si>
    <t>INC104569</t>
  </si>
  <si>
    <t>INC104570</t>
  </si>
  <si>
    <t>INC104571</t>
  </si>
  <si>
    <t>INC104572</t>
  </si>
  <si>
    <t>INC104573</t>
  </si>
  <si>
    <t>INC104574</t>
  </si>
  <si>
    <t>INC104575</t>
  </si>
  <si>
    <t>INC104576</t>
  </si>
  <si>
    <t>INC104577</t>
  </si>
  <si>
    <t>INC104578</t>
  </si>
  <si>
    <t>INC104579</t>
  </si>
  <si>
    <t>INC104580</t>
  </si>
  <si>
    <t>INC104581</t>
  </si>
  <si>
    <t>INC104582</t>
  </si>
  <si>
    <t>INC104583</t>
  </si>
  <si>
    <t>INC104584</t>
  </si>
  <si>
    <t>INC104585</t>
  </si>
  <si>
    <t>INC104586</t>
  </si>
  <si>
    <t>INC104587</t>
  </si>
  <si>
    <t>INC104588</t>
  </si>
  <si>
    <t>INC104589</t>
  </si>
  <si>
    <t>INC104590</t>
  </si>
  <si>
    <t>INC104591</t>
  </si>
  <si>
    <t>INC104592</t>
  </si>
  <si>
    <t>INC104593</t>
  </si>
  <si>
    <t>INC104594</t>
  </si>
  <si>
    <t>INC104595</t>
  </si>
  <si>
    <t>INC104596</t>
  </si>
  <si>
    <t>INC104597</t>
  </si>
  <si>
    <t>INC104598</t>
  </si>
  <si>
    <t>INC104599</t>
  </si>
  <si>
    <t>INC104600</t>
  </si>
  <si>
    <t>INC104601</t>
  </si>
  <si>
    <t>INC104602</t>
  </si>
  <si>
    <t>INC104603</t>
  </si>
  <si>
    <t>INC104604</t>
  </si>
  <si>
    <t>INC104605</t>
  </si>
  <si>
    <t>INC104606</t>
  </si>
  <si>
    <t>INC104607</t>
  </si>
  <si>
    <t>INC104608</t>
  </si>
  <si>
    <t>INC104609</t>
  </si>
  <si>
    <t>INC104610</t>
  </si>
  <si>
    <t>INC104611</t>
  </si>
  <si>
    <t>INC104612</t>
  </si>
  <si>
    <t>INC104613</t>
  </si>
  <si>
    <t>INC104614</t>
  </si>
  <si>
    <t>INC104615</t>
  </si>
  <si>
    <t>INC104616</t>
  </si>
  <si>
    <t>INC104617</t>
  </si>
  <si>
    <t>INC104618</t>
  </si>
  <si>
    <t>INC104619</t>
  </si>
  <si>
    <t>INC104620</t>
  </si>
  <si>
    <t>INC104621</t>
  </si>
  <si>
    <t>INC104622</t>
  </si>
  <si>
    <t>INC104623</t>
  </si>
  <si>
    <t>INC104624</t>
  </si>
  <si>
    <t>INC104625</t>
  </si>
  <si>
    <t>INC104626</t>
  </si>
  <si>
    <t>INC104627</t>
  </si>
  <si>
    <t>INC104628</t>
  </si>
  <si>
    <t>INC104629</t>
  </si>
  <si>
    <t>INC104630</t>
  </si>
  <si>
    <t>INC104631</t>
  </si>
  <si>
    <t>INC104632</t>
  </si>
  <si>
    <t>INC104633</t>
  </si>
  <si>
    <t>INC104634</t>
  </si>
  <si>
    <t>INC104635</t>
  </si>
  <si>
    <t>INC104636</t>
  </si>
  <si>
    <t>INC104637</t>
  </si>
  <si>
    <t>INC104638</t>
  </si>
  <si>
    <t>INC104639</t>
  </si>
  <si>
    <t>INC104640</t>
  </si>
  <si>
    <t>INC104641</t>
  </si>
  <si>
    <t>INC104642</t>
  </si>
  <si>
    <t>INC104643</t>
  </si>
  <si>
    <t>INC104644</t>
  </si>
  <si>
    <t>INC104645</t>
  </si>
  <si>
    <t>INC104646</t>
  </si>
  <si>
    <t>INC104647</t>
  </si>
  <si>
    <t>INC104648</t>
  </si>
  <si>
    <t>INC104649</t>
  </si>
  <si>
    <t>INC104650</t>
  </si>
  <si>
    <t>INC104651</t>
  </si>
  <si>
    <t>INC104652</t>
  </si>
  <si>
    <t>INC104653</t>
  </si>
  <si>
    <t>INC104654</t>
  </si>
  <si>
    <t>INC104655</t>
  </si>
  <si>
    <t>INC104656</t>
  </si>
  <si>
    <t>INC104657</t>
  </si>
  <si>
    <t>INC104658</t>
  </si>
  <si>
    <t>INC104659</t>
  </si>
  <si>
    <t>INC104660</t>
  </si>
  <si>
    <t>INC104661</t>
  </si>
  <si>
    <t>INC104662</t>
  </si>
  <si>
    <t>INC104663</t>
  </si>
  <si>
    <t>INC104664</t>
  </si>
  <si>
    <t>INC104665</t>
  </si>
  <si>
    <t>INC104666</t>
  </si>
  <si>
    <t>INC104667</t>
  </si>
  <si>
    <t>INC104668</t>
  </si>
  <si>
    <t>INC104669</t>
  </si>
  <si>
    <t>INC104670</t>
  </si>
  <si>
    <t>INC104671</t>
  </si>
  <si>
    <t>INC104672</t>
  </si>
  <si>
    <t>INC104673</t>
  </si>
  <si>
    <t>INC104674</t>
  </si>
  <si>
    <t>INC104675</t>
  </si>
  <si>
    <t>INC104676</t>
  </si>
  <si>
    <t>INC104677</t>
  </si>
  <si>
    <t>INC104678</t>
  </si>
  <si>
    <t>INC104679</t>
  </si>
  <si>
    <t>INC104680</t>
  </si>
  <si>
    <t>INC104681</t>
  </si>
  <si>
    <t>INC104682</t>
  </si>
  <si>
    <t>INC104683</t>
  </si>
  <si>
    <t>INC104684</t>
  </si>
  <si>
    <t>INC104685</t>
  </si>
  <si>
    <t>INC104686</t>
  </si>
  <si>
    <t>INC104687</t>
  </si>
  <si>
    <t>INC104688</t>
  </si>
  <si>
    <t>INC104689</t>
  </si>
  <si>
    <t>INC104690</t>
  </si>
  <si>
    <t>INC104691</t>
  </si>
  <si>
    <t>INC104692</t>
  </si>
  <si>
    <t>INC104693</t>
  </si>
  <si>
    <t>INC104694</t>
  </si>
  <si>
    <t>INC104695</t>
  </si>
  <si>
    <t>INC104696</t>
  </si>
  <si>
    <t>INC104697</t>
  </si>
  <si>
    <t>INC104698</t>
  </si>
  <si>
    <t>INC104699</t>
  </si>
  <si>
    <t>INC104700</t>
  </si>
  <si>
    <t>INC104701</t>
  </si>
  <si>
    <t>INC104702</t>
  </si>
  <si>
    <t>INC104703</t>
  </si>
  <si>
    <t>INC104704</t>
  </si>
  <si>
    <t>INC104705</t>
  </si>
  <si>
    <t>INC104706</t>
  </si>
  <si>
    <t>INC104707</t>
  </si>
  <si>
    <t>INC104708</t>
  </si>
  <si>
    <t>INC104709</t>
  </si>
  <si>
    <t>INC104710</t>
  </si>
  <si>
    <t>INC104711</t>
  </si>
  <si>
    <t>INC104712</t>
  </si>
  <si>
    <t>INC104713</t>
  </si>
  <si>
    <t>INC104714</t>
  </si>
  <si>
    <t>INC104715</t>
  </si>
  <si>
    <t>INC104716</t>
  </si>
  <si>
    <t>INC104717</t>
  </si>
  <si>
    <t>INC104718</t>
  </si>
  <si>
    <t>INC104719</t>
  </si>
  <si>
    <t>INC104720</t>
  </si>
  <si>
    <t>INC104721</t>
  </si>
  <si>
    <t>INC104722</t>
  </si>
  <si>
    <t>INC104723</t>
  </si>
  <si>
    <t>INC104724</t>
  </si>
  <si>
    <t>INC104725</t>
  </si>
  <si>
    <t>INC104726</t>
  </si>
  <si>
    <t>INC104727</t>
  </si>
  <si>
    <t>INC104728</t>
  </si>
  <si>
    <t>INC104729</t>
  </si>
  <si>
    <t>INC104730</t>
  </si>
  <si>
    <t>INC104731</t>
  </si>
  <si>
    <t>INC104732</t>
  </si>
  <si>
    <t>INC104733</t>
  </si>
  <si>
    <t>INC104734</t>
  </si>
  <si>
    <t>INC104735</t>
  </si>
  <si>
    <t>INC104736</t>
  </si>
  <si>
    <t>INC104737</t>
  </si>
  <si>
    <t>INC104738</t>
  </si>
  <si>
    <t>INC104739</t>
  </si>
  <si>
    <t>INC104740</t>
  </si>
  <si>
    <t>INC104741</t>
  </si>
  <si>
    <t>INC104742</t>
  </si>
  <si>
    <t>INC104743</t>
  </si>
  <si>
    <t>INC104744</t>
  </si>
  <si>
    <t>INC104745</t>
  </si>
  <si>
    <t>INC104746</t>
  </si>
  <si>
    <t>INC104747</t>
  </si>
  <si>
    <t>INC104748</t>
  </si>
  <si>
    <t>INC104749</t>
  </si>
  <si>
    <t>INC104750</t>
  </si>
  <si>
    <t>INC104751</t>
  </si>
  <si>
    <t>INC104752</t>
  </si>
  <si>
    <t>INC104753</t>
  </si>
  <si>
    <t>INC104754</t>
  </si>
  <si>
    <t>INC104755</t>
  </si>
  <si>
    <t>INC104756</t>
  </si>
  <si>
    <t>INC104757</t>
  </si>
  <si>
    <t>INC104758</t>
  </si>
  <si>
    <t>INC104759</t>
  </si>
  <si>
    <t>INC104760</t>
  </si>
  <si>
    <t>INC104761</t>
  </si>
  <si>
    <t>INC104762</t>
  </si>
  <si>
    <t>INC104763</t>
  </si>
  <si>
    <t>INC104764</t>
  </si>
  <si>
    <t>INC104765</t>
  </si>
  <si>
    <t>INC104766</t>
  </si>
  <si>
    <t>INC104767</t>
  </si>
  <si>
    <t>INC104768</t>
  </si>
  <si>
    <t>INC104769</t>
  </si>
  <si>
    <t>INC104770</t>
  </si>
  <si>
    <t>INC104771</t>
  </si>
  <si>
    <t>INC104772</t>
  </si>
  <si>
    <t>INC104773</t>
  </si>
  <si>
    <t>INC104774</t>
  </si>
  <si>
    <t>INC104775</t>
  </si>
  <si>
    <t>INC104776</t>
  </si>
  <si>
    <t>INC104777</t>
  </si>
  <si>
    <t>INC104778</t>
  </si>
  <si>
    <t>INC104779</t>
  </si>
  <si>
    <t>INC104780</t>
  </si>
  <si>
    <t>INC104781</t>
  </si>
  <si>
    <t>INC104782</t>
  </si>
  <si>
    <t>INC104783</t>
  </si>
  <si>
    <t>INC104784</t>
  </si>
  <si>
    <t>INC104785</t>
  </si>
  <si>
    <t>INC104786</t>
  </si>
  <si>
    <t>INC104787</t>
  </si>
  <si>
    <t>INC104788</t>
  </si>
  <si>
    <t>INC104789</t>
  </si>
  <si>
    <t>INC104790</t>
  </si>
  <si>
    <t>INC104791</t>
  </si>
  <si>
    <t>INC104792</t>
  </si>
  <si>
    <t>INC104793</t>
  </si>
  <si>
    <t>INC104794</t>
  </si>
  <si>
    <t>INC104795</t>
  </si>
  <si>
    <t>INC104796</t>
  </si>
  <si>
    <t>INC104797</t>
  </si>
  <si>
    <t>INC104798</t>
  </si>
  <si>
    <t>INC104799</t>
  </si>
  <si>
    <t>INC104800</t>
  </si>
  <si>
    <t>INC104801</t>
  </si>
  <si>
    <t>INC104802</t>
  </si>
  <si>
    <t>INC104803</t>
  </si>
  <si>
    <t>INC104804</t>
  </si>
  <si>
    <t>INC104805</t>
  </si>
  <si>
    <t>INC104806</t>
  </si>
  <si>
    <t>INC104807</t>
  </si>
  <si>
    <t>INC104808</t>
  </si>
  <si>
    <t>INC104809</t>
  </si>
  <si>
    <t>INC104810</t>
  </si>
  <si>
    <t>INC104811</t>
  </si>
  <si>
    <t>INC104812</t>
  </si>
  <si>
    <t>INC104813</t>
  </si>
  <si>
    <t>INC104814</t>
  </si>
  <si>
    <t>INC104815</t>
  </si>
  <si>
    <t>INC104816</t>
  </si>
  <si>
    <t>INC104817</t>
  </si>
  <si>
    <t>INC104818</t>
  </si>
  <si>
    <t>INC104819</t>
  </si>
  <si>
    <t>INC104820</t>
  </si>
  <si>
    <t>INC104821</t>
  </si>
  <si>
    <t>INC104822</t>
  </si>
  <si>
    <t>INC104823</t>
  </si>
  <si>
    <t>INC104824</t>
  </si>
  <si>
    <t>INC104825</t>
  </si>
  <si>
    <t>INC104826</t>
  </si>
  <si>
    <t>INC104827</t>
  </si>
  <si>
    <t>INC104828</t>
  </si>
  <si>
    <t>INC104829</t>
  </si>
  <si>
    <t>INC104830</t>
  </si>
  <si>
    <t>INC104831</t>
  </si>
  <si>
    <t>INC104832</t>
  </si>
  <si>
    <t>INC104833</t>
  </si>
  <si>
    <t>INC104834</t>
  </si>
  <si>
    <t>INC104835</t>
  </si>
  <si>
    <t>INC104836</t>
  </si>
  <si>
    <t>INC104837</t>
  </si>
  <si>
    <t>INC104838</t>
  </si>
  <si>
    <t>INC104839</t>
  </si>
  <si>
    <t>INC104840</t>
  </si>
  <si>
    <t>INC104841</t>
  </si>
  <si>
    <t>INC104842</t>
  </si>
  <si>
    <t>INC104843</t>
  </si>
  <si>
    <t>INC104844</t>
  </si>
  <si>
    <t>INC104845</t>
  </si>
  <si>
    <t>INC104846</t>
  </si>
  <si>
    <t>INC104847</t>
  </si>
  <si>
    <t>INC104848</t>
  </si>
  <si>
    <t>INC104849</t>
  </si>
  <si>
    <t>INC104850</t>
  </si>
  <si>
    <t>INC104851</t>
  </si>
  <si>
    <t>INC104852</t>
  </si>
  <si>
    <t>INC104853</t>
  </si>
  <si>
    <t>INC104854</t>
  </si>
  <si>
    <t>INC104855</t>
  </si>
  <si>
    <t>INC104856</t>
  </si>
  <si>
    <t>INC104857</t>
  </si>
  <si>
    <t>INC104858</t>
  </si>
  <si>
    <t>INC104859</t>
  </si>
  <si>
    <t>INC104860</t>
  </si>
  <si>
    <t>INC104861</t>
  </si>
  <si>
    <t>INC104862</t>
  </si>
  <si>
    <t>INC104863</t>
  </si>
  <si>
    <t>INC104864</t>
  </si>
  <si>
    <t>INC104865</t>
  </si>
  <si>
    <t>INC104866</t>
  </si>
  <si>
    <t>INC104867</t>
  </si>
  <si>
    <t>INC104868</t>
  </si>
  <si>
    <t>INC104869</t>
  </si>
  <si>
    <t>INC104870</t>
  </si>
  <si>
    <t>INC104871</t>
  </si>
  <si>
    <t>INC104872</t>
  </si>
  <si>
    <t>INC104873</t>
  </si>
  <si>
    <t>INC104874</t>
  </si>
  <si>
    <t>INC104875</t>
  </si>
  <si>
    <t>INC104876</t>
  </si>
  <si>
    <t>INC104877</t>
  </si>
  <si>
    <t>INC104878</t>
  </si>
  <si>
    <t>INC104879</t>
  </si>
  <si>
    <t>INC104880</t>
  </si>
  <si>
    <t>INC104881</t>
  </si>
  <si>
    <t>INC104882</t>
  </si>
  <si>
    <t>INC104883</t>
  </si>
  <si>
    <t>INC104884</t>
  </si>
  <si>
    <t>INC104885</t>
  </si>
  <si>
    <t>INC104886</t>
  </si>
  <si>
    <t>INC104887</t>
  </si>
  <si>
    <t>INC104888</t>
  </si>
  <si>
    <t>INC104889</t>
  </si>
  <si>
    <t>INC104890</t>
  </si>
  <si>
    <t>INC104891</t>
  </si>
  <si>
    <t>INC104892</t>
  </si>
  <si>
    <t>INC104893</t>
  </si>
  <si>
    <t>INC104894</t>
  </si>
  <si>
    <t>INC104895</t>
  </si>
  <si>
    <t>INC104896</t>
  </si>
  <si>
    <t>INC104897</t>
  </si>
  <si>
    <t>INC104898</t>
  </si>
  <si>
    <t>INC104899</t>
  </si>
  <si>
    <t>INC104900</t>
  </si>
  <si>
    <t>INC104901</t>
  </si>
  <si>
    <t>INC104902</t>
  </si>
  <si>
    <t>INC104903</t>
  </si>
  <si>
    <t>INC104904</t>
  </si>
  <si>
    <t>INC104905</t>
  </si>
  <si>
    <t>INC104906</t>
  </si>
  <si>
    <t>INC104907</t>
  </si>
  <si>
    <t>INC104908</t>
  </si>
  <si>
    <t>INC104909</t>
  </si>
  <si>
    <t>INC104910</t>
  </si>
  <si>
    <t>INC104911</t>
  </si>
  <si>
    <t>INC104912</t>
  </si>
  <si>
    <t>INC104913</t>
  </si>
  <si>
    <t>INC104914</t>
  </si>
  <si>
    <t>INC104915</t>
  </si>
  <si>
    <t>INC104916</t>
  </si>
  <si>
    <t>INC104917</t>
  </si>
  <si>
    <t>INC104918</t>
  </si>
  <si>
    <t>INC104919</t>
  </si>
  <si>
    <t>INC104920</t>
  </si>
  <si>
    <t>INC104921</t>
  </si>
  <si>
    <t>INC104922</t>
  </si>
  <si>
    <t>INC104923</t>
  </si>
  <si>
    <t>INC104924</t>
  </si>
  <si>
    <t>INC104925</t>
  </si>
  <si>
    <t>INC104926</t>
  </si>
  <si>
    <t>INC104927</t>
  </si>
  <si>
    <t>INC104928</t>
  </si>
  <si>
    <t>INC104929</t>
  </si>
  <si>
    <t>INC104930</t>
  </si>
  <si>
    <t>INC104931</t>
  </si>
  <si>
    <t>INC104932</t>
  </si>
  <si>
    <t>INC104933</t>
  </si>
  <si>
    <t>INC104934</t>
  </si>
  <si>
    <t>INC104935</t>
  </si>
  <si>
    <t>INC104936</t>
  </si>
  <si>
    <t>INC104937</t>
  </si>
  <si>
    <t>INC104938</t>
  </si>
  <si>
    <t>INC104939</t>
  </si>
  <si>
    <t>INC104940</t>
  </si>
  <si>
    <t>INC104941</t>
  </si>
  <si>
    <t>INC104942</t>
  </si>
  <si>
    <t>INC104943</t>
  </si>
  <si>
    <t>INC104944</t>
  </si>
  <si>
    <t>INC104945</t>
  </si>
  <si>
    <t>INC104946</t>
  </si>
  <si>
    <t>INC104947</t>
  </si>
  <si>
    <t>INC104948</t>
  </si>
  <si>
    <t>INC104949</t>
  </si>
  <si>
    <t>INC104950</t>
  </si>
  <si>
    <t>INC104951</t>
  </si>
  <si>
    <t>INC104952</t>
  </si>
  <si>
    <t>INC104953</t>
  </si>
  <si>
    <t>INC104954</t>
  </si>
  <si>
    <t>INC104955</t>
  </si>
  <si>
    <t>INC104956</t>
  </si>
  <si>
    <t>INC104957</t>
  </si>
  <si>
    <t>INC104958</t>
  </si>
  <si>
    <t>INC104959</t>
  </si>
  <si>
    <t>INC104960</t>
  </si>
  <si>
    <t>INC104961</t>
  </si>
  <si>
    <t>INC104962</t>
  </si>
  <si>
    <t>INC104963</t>
  </si>
  <si>
    <t>INC104964</t>
  </si>
  <si>
    <t>INC104965</t>
  </si>
  <si>
    <t>INC104966</t>
  </si>
  <si>
    <t>INC104967</t>
  </si>
  <si>
    <t>INC104968</t>
  </si>
  <si>
    <t>INC104969</t>
  </si>
  <si>
    <t>INC104970</t>
  </si>
  <si>
    <t>INC104971</t>
  </si>
  <si>
    <t>INC104972</t>
  </si>
  <si>
    <t>INC104973</t>
  </si>
  <si>
    <t>INC104974</t>
  </si>
  <si>
    <t>INC104975</t>
  </si>
  <si>
    <t>INC104976</t>
  </si>
  <si>
    <t>INC104977</t>
  </si>
  <si>
    <t>INC104978</t>
  </si>
  <si>
    <t>INC104979</t>
  </si>
  <si>
    <t>INC104980</t>
  </si>
  <si>
    <t>INC104981</t>
  </si>
  <si>
    <t>INC104982</t>
  </si>
  <si>
    <t>INC104983</t>
  </si>
  <si>
    <t>INC104984</t>
  </si>
  <si>
    <t>INC104985</t>
  </si>
  <si>
    <t>INC104986</t>
  </si>
  <si>
    <t>INC104987</t>
  </si>
  <si>
    <t>INC104988</t>
  </si>
  <si>
    <t>INC104989</t>
  </si>
  <si>
    <t>INC104990</t>
  </si>
  <si>
    <t>INC104991</t>
  </si>
  <si>
    <t>INC104992</t>
  </si>
  <si>
    <t>INC104993</t>
  </si>
  <si>
    <t>INC104994</t>
  </si>
  <si>
    <t>INC104995</t>
  </si>
  <si>
    <t>INC104996</t>
  </si>
  <si>
    <t>INC104997</t>
  </si>
  <si>
    <t>INC104998</t>
  </si>
  <si>
    <t>INC104999</t>
  </si>
  <si>
    <t>INC105000</t>
  </si>
  <si>
    <t>SLA_Breached</t>
  </si>
  <si>
    <t>Row Labels</t>
  </si>
  <si>
    <t>Grand Total</t>
  </si>
  <si>
    <t>Count of SLA_Breached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</si>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</sst>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7.728575462963" createdVersion="8" refreshedVersion="8" minRefreshableVersion="3" recordCount="5000" xr:uid="{EE18D544-E385-471F-9BCA-2E7CCC99468C}">
  <cacheSource type="worksheet">
    <worksheetSource ref="A1:O5001" sheet="incidents"/>
  </cacheSource>
  <cacheFields count="15">
    <cacheField name="Ticket_ID" numFmtId="0">
      <sharedItems/>
    </cacheField>
    <cacheField name="Created_Date" numFmtId="14">
      <sharedItems containsSemiMixedTypes="0" containsNonDate="0" containsDate="1" containsString="0" minDate="2025-01-01T00:00:00" maxDate="2025-07-01T00:00:00"/>
    </cacheField>
    <cacheField name="Resolved_Date" numFmtId="22">
      <sharedItems containsSemiMixedTypes="0" containsNonDate="0" containsDate="1" containsString="0" minDate="2025-01-01T00:36:36" maxDate="2025-07-03T07:28:48"/>
    </cacheField>
    <cacheField name="Priority" numFmtId="0">
      <sharedItems count="4">
        <s v="Low"/>
        <s v="Medium"/>
        <s v="Critical"/>
        <s v="High"/>
      </sharedItems>
    </cacheField>
    <cacheField name="Category" numFmtId="0">
      <sharedItems count="5">
        <s v="Software"/>
        <s v="Access"/>
        <s v="Network"/>
        <s v="Hardware"/>
        <s v="Email"/>
      </sharedItems>
    </cacheField>
    <cacheField name="Subcategory" numFmtId="0">
      <sharedItems/>
    </cacheField>
    <cacheField name="Assignment_Group" numFmtId="0">
      <sharedItems/>
    </cacheField>
    <cacheField name="Location" numFmtId="0">
      <sharedItems/>
    </cacheField>
    <cacheField name="Channel" numFmtId="0">
      <sharedItems/>
    </cacheField>
    <cacheField name="Status" numFmtId="0">
      <sharedItems/>
    </cacheField>
    <cacheField name="SLA_Hours" numFmtId="0">
      <sharedItems containsSemiMixedTypes="0" containsString="0" containsNumber="1" containsInteger="1" minValue="4" maxValue="48"/>
    </cacheField>
    <cacheField name="Resolution_Hours" numFmtId="0">
      <sharedItems containsSemiMixedTypes="0" containsString="0" containsNumber="1" minValue="0.5" maxValue="150.13999999999999"/>
    </cacheField>
    <cacheField name="Customer_Satisfaction" numFmtId="0">
      <sharedItems containsSemiMixedTypes="0" containsString="0" containsNumber="1" minValue="1" maxValue="5"/>
    </cacheField>
    <cacheField name="Reopened" numFmtId="0">
      <sharedItems/>
    </cacheField>
    <cacheField name="SLA_Breach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C100001"/>
    <d v="2025-01-17T00:00:00"/>
    <d v="2025-01-17T09:58:48"/>
    <x v="0"/>
    <x v="0"/>
    <s v="License"/>
    <s v="Service Desk"/>
    <s v="Hyderabad"/>
    <s v="Phone"/>
    <s v="Resolved"/>
    <n v="48"/>
    <n v="9.98"/>
    <n v="4.3"/>
    <s v="No"/>
    <x v="0"/>
  </r>
  <r>
    <s v="INC100002"/>
    <d v="2025-05-21T00:00:00"/>
    <d v="2025-05-21T06:52:48"/>
    <x v="1"/>
    <x v="1"/>
    <s v="Permission"/>
    <s v="Service Desk"/>
    <s v="Noida"/>
    <s v="Chat"/>
    <s v="In Progress"/>
    <n v="24"/>
    <n v="6.88"/>
    <n v="4.5999999999999996"/>
    <s v="No"/>
    <x v="0"/>
  </r>
  <r>
    <s v="INC100003"/>
    <d v="2025-04-29T00:00:00"/>
    <d v="2025-04-29T03:04:12"/>
    <x v="2"/>
    <x v="2"/>
    <s v="Link Down"/>
    <s v="Access Management"/>
    <s v="Mumbai"/>
    <s v="Portal"/>
    <s v="Resolved"/>
    <n v="4"/>
    <n v="3.07"/>
    <n v="3.6"/>
    <s v="No"/>
    <x v="0"/>
  </r>
  <r>
    <s v="INC100004"/>
    <d v="2025-03-21T00:00:00"/>
    <d v="2025-03-21T02:48:36"/>
    <x v="3"/>
    <x v="3"/>
    <s v="Laptop"/>
    <s v="Network Support"/>
    <s v="Hyderabad"/>
    <s v="Portal"/>
    <s v="Resolved"/>
    <n v="8"/>
    <n v="2.81"/>
    <n v="4.0999999999999996"/>
    <s v="No"/>
    <x v="0"/>
  </r>
  <r>
    <s v="INC100005"/>
    <d v="2025-03-20T00:00:00"/>
    <d v="2025-03-20T10:03:36"/>
    <x v="0"/>
    <x v="0"/>
    <s v="Application Error"/>
    <s v="Network Support"/>
    <s v="Delhi"/>
    <s v="Email"/>
    <s v="Closed"/>
    <n v="48"/>
    <n v="10.06"/>
    <n v="2.7"/>
    <s v="No"/>
    <x v="0"/>
  </r>
  <r>
    <s v="INC100006"/>
    <d v="2025-06-05T00:00:00"/>
    <d v="2025-06-08T16:19:48"/>
    <x v="0"/>
    <x v="1"/>
    <s v="Password Reset"/>
    <s v="Service Desk"/>
    <s v="Delhi"/>
    <s v="Portal"/>
    <s v="Closed"/>
    <n v="48"/>
    <n v="88.33"/>
    <n v="3.7"/>
    <s v="No"/>
    <x v="1"/>
  </r>
  <r>
    <s v="INC100007"/>
    <d v="2025-01-16T00:00:00"/>
    <d v="2025-01-16T01:10:48"/>
    <x v="3"/>
    <x v="4"/>
    <s v="Spam"/>
    <s v="Application Support"/>
    <s v="Hyderabad"/>
    <s v="Email"/>
    <s v="Resolved"/>
    <n v="8"/>
    <n v="1.18"/>
    <n v="5"/>
    <s v="No"/>
    <x v="0"/>
  </r>
  <r>
    <s v="INC100008"/>
    <d v="2025-05-07T00:00:00"/>
    <d v="2025-05-07T02:10:12"/>
    <x v="3"/>
    <x v="1"/>
    <s v="VPN Access"/>
    <s v="Access Management"/>
    <s v="Bengaluru"/>
    <s v="Email"/>
    <s v="Resolved"/>
    <n v="8"/>
    <n v="2.17"/>
    <n v="5"/>
    <s v="No"/>
    <x v="0"/>
  </r>
  <r>
    <s v="INC100009"/>
    <d v="2025-02-06T00:00:00"/>
    <d v="2025-02-06T07:37:12"/>
    <x v="1"/>
    <x v="0"/>
    <s v="Application Error"/>
    <s v="Desktop Support"/>
    <s v="Bengaluru"/>
    <s v="Phone"/>
    <s v="Closed"/>
    <n v="24"/>
    <n v="7.62"/>
    <n v="4.0999999999999996"/>
    <s v="No"/>
    <x v="0"/>
  </r>
  <r>
    <s v="INC100010"/>
    <d v="2025-01-18T00:00:00"/>
    <d v="2025-01-18T04:25:12"/>
    <x v="1"/>
    <x v="0"/>
    <s v="Performance"/>
    <s v="Desktop Support"/>
    <s v="Noida"/>
    <s v="Portal"/>
    <s v="Resolved"/>
    <n v="24"/>
    <n v="4.42"/>
    <n v="4"/>
    <s v="No"/>
    <x v="0"/>
  </r>
  <r>
    <s v="INC100011"/>
    <d v="2025-04-06T00:00:00"/>
    <d v="2025-04-06T06:58:12"/>
    <x v="1"/>
    <x v="0"/>
    <s v="Installation"/>
    <s v="Access Management"/>
    <s v="Mumbai"/>
    <s v="Portal"/>
    <s v="Resolved"/>
    <n v="24"/>
    <n v="6.97"/>
    <n v="3.6"/>
    <s v="Yes"/>
    <x v="0"/>
  </r>
  <r>
    <s v="INC100012"/>
    <d v="2025-06-26T00:00:00"/>
    <d v="2025-06-26T15:33:36"/>
    <x v="1"/>
    <x v="0"/>
    <s v="Application Error"/>
    <s v="Network Support"/>
    <s v="Bengaluru"/>
    <s v="Phone"/>
    <s v="Closed"/>
    <n v="24"/>
    <n v="15.56"/>
    <n v="4.5999999999999996"/>
    <s v="No"/>
    <x v="0"/>
  </r>
  <r>
    <s v="INC100013"/>
    <d v="2025-05-14T00:00:00"/>
    <d v="2025-05-15T17:38:24"/>
    <x v="0"/>
    <x v="2"/>
    <s v="Packet Loss"/>
    <s v="Access Management"/>
    <s v="Gurugram"/>
    <s v="Portal"/>
    <s v="Resolved"/>
    <n v="48"/>
    <n v="41.64"/>
    <n v="4.8"/>
    <s v="No"/>
    <x v="0"/>
  </r>
  <r>
    <s v="INC100014"/>
    <d v="2025-05-18T00:00:00"/>
    <d v="2025-05-23T14:40:12"/>
    <x v="0"/>
    <x v="0"/>
    <s v="Performance"/>
    <s v="Service Desk"/>
    <s v="Bengaluru"/>
    <s v="Email"/>
    <s v="Resolved"/>
    <n v="48"/>
    <n v="134.66999999999999"/>
    <n v="1.7"/>
    <s v="No"/>
    <x v="1"/>
  </r>
  <r>
    <s v="INC100015"/>
    <d v="2025-05-10T00:00:00"/>
    <d v="2025-05-10T15:46:48"/>
    <x v="0"/>
    <x v="0"/>
    <s v="License"/>
    <s v="Service Desk"/>
    <s v="Delhi"/>
    <s v="Portal"/>
    <s v="Resolved"/>
    <n v="48"/>
    <n v="15.78"/>
    <n v="5"/>
    <s v="No"/>
    <x v="0"/>
  </r>
  <r>
    <s v="INC100016"/>
    <d v="2025-05-23T00:00:00"/>
    <d v="2025-05-23T06:33:00"/>
    <x v="3"/>
    <x v="0"/>
    <s v="Performance"/>
    <s v="Access Management"/>
    <s v="Gurugram"/>
    <s v="Portal"/>
    <s v="Resolved"/>
    <n v="8"/>
    <n v="6.55"/>
    <n v="4.3"/>
    <s v="No"/>
    <x v="0"/>
  </r>
  <r>
    <s v="INC100017"/>
    <d v="2025-04-03T00:00:00"/>
    <d v="2025-04-04T11:53:24"/>
    <x v="0"/>
    <x v="1"/>
    <s v="Account Lock"/>
    <s v="Application Support"/>
    <s v="Gurugram"/>
    <s v="Email"/>
    <s v="Resolved"/>
    <n v="48"/>
    <n v="35.89"/>
    <n v="3.6"/>
    <s v="No"/>
    <x v="0"/>
  </r>
  <r>
    <s v="INC100018"/>
    <d v="2025-01-24T00:00:00"/>
    <d v="2025-01-25T21:51:36"/>
    <x v="0"/>
    <x v="0"/>
    <s v="License"/>
    <s v="Desktop Support"/>
    <s v="Mumbai"/>
    <s v="Portal"/>
    <s v="Resolved"/>
    <n v="48"/>
    <n v="45.86"/>
    <n v="4.5"/>
    <s v="No"/>
    <x v="0"/>
  </r>
  <r>
    <s v="INC100019"/>
    <d v="2025-06-01T00:00:00"/>
    <d v="2025-06-02T22:02:24"/>
    <x v="1"/>
    <x v="3"/>
    <s v="Laptop"/>
    <s v="Service Desk"/>
    <s v="Mumbai"/>
    <s v="Phone"/>
    <s v="Resolved"/>
    <n v="24"/>
    <n v="46.04"/>
    <n v="3.3"/>
    <s v="No"/>
    <x v="1"/>
  </r>
  <r>
    <s v="INC100020"/>
    <d v="2025-03-23T00:00:00"/>
    <d v="2025-03-24T19:56:24"/>
    <x v="0"/>
    <x v="2"/>
    <s v="Packet Loss"/>
    <s v="Desktop Support"/>
    <s v="Delhi"/>
    <s v="Email"/>
    <s v="Resolved"/>
    <n v="48"/>
    <n v="43.94"/>
    <n v="3.3"/>
    <s v="No"/>
    <x v="0"/>
  </r>
  <r>
    <s v="INC100021"/>
    <d v="2025-04-01T00:00:00"/>
    <d v="2025-04-02T02:06:00"/>
    <x v="0"/>
    <x v="2"/>
    <s v="DNS"/>
    <s v="Application Support"/>
    <s v="Hyderabad"/>
    <s v="Phone"/>
    <s v="Resolved"/>
    <n v="48"/>
    <n v="26.1"/>
    <n v="4.9000000000000004"/>
    <s v="Yes"/>
    <x v="0"/>
  </r>
  <r>
    <s v="INC100022"/>
    <d v="2025-03-09T00:00:00"/>
    <d v="2025-03-09T10:42:36"/>
    <x v="1"/>
    <x v="3"/>
    <s v="Laptop"/>
    <s v="Network Support"/>
    <s v="Mumbai"/>
    <s v="Phone"/>
    <s v="Resolved"/>
    <n v="24"/>
    <n v="10.71"/>
    <n v="4.4000000000000004"/>
    <s v="No"/>
    <x v="0"/>
  </r>
  <r>
    <s v="INC100023"/>
    <d v="2025-02-03T00:00:00"/>
    <d v="2025-02-03T02:16:48"/>
    <x v="1"/>
    <x v="3"/>
    <s v="Peripheral"/>
    <s v="Network Support"/>
    <s v="Noida"/>
    <s v="Portal"/>
    <s v="Closed"/>
    <n v="24"/>
    <n v="2.2799999999999998"/>
    <n v="4.7"/>
    <s v="Yes"/>
    <x v="0"/>
  </r>
  <r>
    <s v="INC100024"/>
    <d v="2025-06-17T00:00:00"/>
    <d v="2025-06-17T12:25:48"/>
    <x v="1"/>
    <x v="2"/>
    <s v="Connectivity"/>
    <s v="Service Desk"/>
    <s v="Gurugram"/>
    <s v="Portal"/>
    <s v="Closed"/>
    <n v="24"/>
    <n v="12.43"/>
    <n v="4.5999999999999996"/>
    <s v="No"/>
    <x v="0"/>
  </r>
  <r>
    <s v="INC100025"/>
    <d v="2025-05-22T00:00:00"/>
    <d v="2025-05-22T05:58:12"/>
    <x v="3"/>
    <x v="2"/>
    <s v="Link Down"/>
    <s v="Desktop Support"/>
    <s v="Noida"/>
    <s v="Phone"/>
    <s v="Resolved"/>
    <n v="8"/>
    <n v="5.97"/>
    <n v="4.3"/>
    <s v="No"/>
    <x v="0"/>
  </r>
  <r>
    <s v="INC100026"/>
    <d v="2025-04-27T00:00:00"/>
    <d v="2025-04-28T00:46:48"/>
    <x v="0"/>
    <x v="2"/>
    <s v="Link Down"/>
    <s v="Access Management"/>
    <s v="Bengaluru"/>
    <s v="Portal"/>
    <s v="Resolved"/>
    <n v="48"/>
    <n v="24.78"/>
    <n v="5"/>
    <s v="No"/>
    <x v="0"/>
  </r>
  <r>
    <s v="INC100027"/>
    <d v="2025-03-14T00:00:00"/>
    <d v="2025-03-14T04:25:48"/>
    <x v="3"/>
    <x v="1"/>
    <s v="Password Reset"/>
    <s v="Service Desk"/>
    <s v="Bengaluru"/>
    <s v="Portal"/>
    <s v="Resolved"/>
    <n v="8"/>
    <n v="4.43"/>
    <n v="3.8"/>
    <s v="No"/>
    <x v="0"/>
  </r>
  <r>
    <s v="INC100028"/>
    <d v="2025-05-29T00:00:00"/>
    <d v="2025-05-29T05:46:48"/>
    <x v="3"/>
    <x v="1"/>
    <s v="Permission"/>
    <s v="Application Support"/>
    <s v="Noida"/>
    <s v="Portal"/>
    <s v="Pending"/>
    <n v="8"/>
    <n v="5.78"/>
    <n v="4.5"/>
    <s v="No"/>
    <x v="0"/>
  </r>
  <r>
    <s v="INC100029"/>
    <d v="2025-04-09T00:00:00"/>
    <d v="2025-04-09T05:37:12"/>
    <x v="3"/>
    <x v="3"/>
    <s v="Monitor"/>
    <s v="Access Management"/>
    <s v="Delhi"/>
    <s v="Email"/>
    <s v="Resolved"/>
    <n v="8"/>
    <n v="5.62"/>
    <n v="3.4"/>
    <s v="Yes"/>
    <x v="0"/>
  </r>
  <r>
    <s v="INC100030"/>
    <d v="2025-03-22T00:00:00"/>
    <d v="2025-03-22T21:34:47"/>
    <x v="1"/>
    <x v="2"/>
    <s v="Packet Loss"/>
    <s v="Desktop Support"/>
    <s v="Bengaluru"/>
    <s v="Portal"/>
    <s v="Resolved"/>
    <n v="24"/>
    <n v="21.58"/>
    <n v="3.8"/>
    <s v="No"/>
    <x v="0"/>
  </r>
  <r>
    <s v="INC100031"/>
    <d v="2025-03-23T00:00:00"/>
    <d v="2025-03-24T19:51:36"/>
    <x v="1"/>
    <x v="2"/>
    <s v="Link Down"/>
    <s v="Access Management"/>
    <s v="Mumbai"/>
    <s v="Portal"/>
    <s v="Closed"/>
    <n v="24"/>
    <n v="43.86"/>
    <n v="2.7"/>
    <s v="No"/>
    <x v="1"/>
  </r>
  <r>
    <s v="INC100032"/>
    <d v="2025-02-11T00:00:00"/>
    <d v="2025-02-11T19:16:12"/>
    <x v="1"/>
    <x v="2"/>
    <s v="Packet Loss"/>
    <s v="Access Management"/>
    <s v="Gurugram"/>
    <s v="Email"/>
    <s v="Closed"/>
    <n v="24"/>
    <n v="19.27"/>
    <n v="4.7"/>
    <s v="No"/>
    <x v="0"/>
  </r>
  <r>
    <s v="INC100033"/>
    <d v="2025-01-17T00:00:00"/>
    <d v="2025-01-17T04:48:00"/>
    <x v="1"/>
    <x v="3"/>
    <s v="Peripheral"/>
    <s v="Application Support"/>
    <s v="Bengaluru"/>
    <s v="Phone"/>
    <s v="In Progress"/>
    <n v="24"/>
    <n v="4.8"/>
    <n v="4.8"/>
    <s v="No"/>
    <x v="0"/>
  </r>
  <r>
    <s v="INC100034"/>
    <d v="2025-04-11T00:00:00"/>
    <d v="2025-04-11T20:01:48"/>
    <x v="0"/>
    <x v="2"/>
    <s v="Packet Loss"/>
    <s v="Service Desk"/>
    <s v="Bengaluru"/>
    <s v="Portal"/>
    <s v="Resolved"/>
    <n v="48"/>
    <n v="20.03"/>
    <n v="4.3"/>
    <s v="No"/>
    <x v="0"/>
  </r>
  <r>
    <s v="INC100035"/>
    <d v="2025-06-10T00:00:00"/>
    <d v="2025-06-10T02:28:48"/>
    <x v="2"/>
    <x v="3"/>
    <s v="Laptop"/>
    <s v="Service Desk"/>
    <s v="Bengaluru"/>
    <s v="Phone"/>
    <s v="Pending"/>
    <n v="4"/>
    <n v="2.48"/>
    <n v="5"/>
    <s v="No"/>
    <x v="0"/>
  </r>
  <r>
    <s v="INC100036"/>
    <d v="2025-01-12T00:00:00"/>
    <d v="2025-01-13T07:03:00"/>
    <x v="1"/>
    <x v="4"/>
    <s v="Spam"/>
    <s v="Access Management"/>
    <s v="Delhi"/>
    <s v="Email"/>
    <s v="Resolved"/>
    <n v="24"/>
    <n v="31.05"/>
    <n v="3.2"/>
    <s v="No"/>
    <x v="1"/>
  </r>
  <r>
    <s v="INC100037"/>
    <d v="2025-06-05T00:00:00"/>
    <d v="2025-06-05T01:13:48"/>
    <x v="3"/>
    <x v="0"/>
    <s v="Installation"/>
    <s v="Desktop Support"/>
    <s v="Gurugram"/>
    <s v="Portal"/>
    <s v="Closed"/>
    <n v="8"/>
    <n v="1.23"/>
    <n v="4.5"/>
    <s v="No"/>
    <x v="0"/>
  </r>
  <r>
    <s v="INC100038"/>
    <d v="2025-05-30T00:00:00"/>
    <d v="2025-05-31T04:13:48"/>
    <x v="1"/>
    <x v="1"/>
    <s v="Password Reset"/>
    <s v="Network Support"/>
    <s v="Noida"/>
    <s v="Portal"/>
    <s v="Resolved"/>
    <n v="24"/>
    <n v="28.23"/>
    <n v="2.4"/>
    <s v="No"/>
    <x v="1"/>
  </r>
  <r>
    <s v="INC100039"/>
    <d v="2025-02-20T00:00:00"/>
    <d v="2025-02-22T00:46:12"/>
    <x v="0"/>
    <x v="2"/>
    <s v="Connectivity"/>
    <s v="Application Support"/>
    <s v="Hyderabad"/>
    <s v="Portal"/>
    <s v="Pending"/>
    <n v="48"/>
    <n v="48.77"/>
    <n v="3.6"/>
    <s v="No"/>
    <x v="1"/>
  </r>
  <r>
    <s v="INC100040"/>
    <d v="2025-04-25T00:00:00"/>
    <d v="2025-04-26T01:15:00"/>
    <x v="1"/>
    <x v="2"/>
    <s v="Connectivity"/>
    <s v="Service Desk"/>
    <s v="Mumbai"/>
    <s v="Portal"/>
    <s v="In Progress"/>
    <n v="24"/>
    <n v="25.25"/>
    <n v="3.1"/>
    <s v="No"/>
    <x v="1"/>
  </r>
  <r>
    <s v="INC100041"/>
    <d v="2025-01-30T00:00:00"/>
    <d v="2025-01-30T16:54:00"/>
    <x v="1"/>
    <x v="4"/>
    <s v="Configuration"/>
    <s v="Access Management"/>
    <s v="Hyderabad"/>
    <s v="Phone"/>
    <s v="Closed"/>
    <n v="24"/>
    <n v="16.899999999999999"/>
    <n v="4"/>
    <s v="No"/>
    <x v="0"/>
  </r>
  <r>
    <s v="INC100042"/>
    <d v="2025-05-18T00:00:00"/>
    <d v="2025-05-18T16:03:36"/>
    <x v="1"/>
    <x v="3"/>
    <s v="Monitor"/>
    <s v="Access Management"/>
    <s v="Noida"/>
    <s v="Portal"/>
    <s v="Closed"/>
    <n v="24"/>
    <n v="16.059999999999999"/>
    <n v="4.4000000000000004"/>
    <s v="No"/>
    <x v="0"/>
  </r>
  <r>
    <s v="INC100043"/>
    <d v="2025-05-07T00:00:00"/>
    <d v="2025-05-07T02:27:00"/>
    <x v="1"/>
    <x v="0"/>
    <s v="License"/>
    <s v="Network Support"/>
    <s v="Gurugram"/>
    <s v="Chat"/>
    <s v="Resolved"/>
    <n v="24"/>
    <n v="2.4500000000000002"/>
    <n v="4.2"/>
    <s v="No"/>
    <x v="0"/>
  </r>
  <r>
    <s v="INC100044"/>
    <d v="2025-03-06T00:00:00"/>
    <d v="2025-03-07T05:01:48"/>
    <x v="0"/>
    <x v="4"/>
    <s v="Delivery"/>
    <s v="Access Management"/>
    <s v="Noida"/>
    <s v="Portal"/>
    <s v="Resolved"/>
    <n v="48"/>
    <n v="29.03"/>
    <n v="3.7"/>
    <s v="Yes"/>
    <x v="0"/>
  </r>
  <r>
    <s v="INC100045"/>
    <d v="2025-01-13T00:00:00"/>
    <d v="2025-01-13T09:01:48"/>
    <x v="1"/>
    <x v="0"/>
    <s v="Performance"/>
    <s v="Access Management"/>
    <s v="Mumbai"/>
    <s v="Portal"/>
    <s v="Resolved"/>
    <n v="24"/>
    <n v="9.0299999999999994"/>
    <n v="3.5"/>
    <s v="No"/>
    <x v="0"/>
  </r>
  <r>
    <s v="INC100046"/>
    <d v="2025-06-25T00:00:00"/>
    <d v="2025-06-26T09:56:24"/>
    <x v="1"/>
    <x v="3"/>
    <s v="Peripheral"/>
    <s v="Application Support"/>
    <s v="Bengaluru"/>
    <s v="Email"/>
    <s v="Closed"/>
    <n v="24"/>
    <n v="33.94"/>
    <n v="3"/>
    <s v="No"/>
    <x v="1"/>
  </r>
  <r>
    <s v="INC100047"/>
    <d v="2025-03-22T00:00:00"/>
    <d v="2025-03-22T09:00:36"/>
    <x v="2"/>
    <x v="0"/>
    <s v="Performance"/>
    <s v="Service Desk"/>
    <s v="Bengaluru"/>
    <s v="Phone"/>
    <s v="Resolved"/>
    <n v="4"/>
    <n v="9.01"/>
    <n v="1.7"/>
    <s v="No"/>
    <x v="1"/>
  </r>
  <r>
    <s v="INC100048"/>
    <d v="2025-06-11T00:00:00"/>
    <d v="2025-06-11T19:48:00"/>
    <x v="0"/>
    <x v="2"/>
    <s v="Connectivity"/>
    <s v="Application Support"/>
    <s v="Noida"/>
    <s v="Portal"/>
    <s v="Resolved"/>
    <n v="48"/>
    <n v="19.8"/>
    <n v="5"/>
    <s v="No"/>
    <x v="0"/>
  </r>
  <r>
    <s v="INC100049"/>
    <d v="2025-05-03T00:00:00"/>
    <d v="2025-05-03T13:34:47"/>
    <x v="1"/>
    <x v="2"/>
    <s v="Link Down"/>
    <s v="Access Management"/>
    <s v="Mumbai"/>
    <s v="Portal"/>
    <s v="Resolved"/>
    <n v="24"/>
    <n v="13.58"/>
    <n v="5"/>
    <s v="No"/>
    <x v="0"/>
  </r>
  <r>
    <s v="INC100050"/>
    <d v="2025-05-21T00:00:00"/>
    <d v="2025-05-21T08:31:12"/>
    <x v="0"/>
    <x v="2"/>
    <s v="Packet Loss"/>
    <s v="Access Management"/>
    <s v="Hyderabad"/>
    <s v="Email"/>
    <s v="Closed"/>
    <n v="48"/>
    <n v="8.52"/>
    <n v="5"/>
    <s v="No"/>
    <x v="0"/>
  </r>
  <r>
    <s v="INC100051"/>
    <d v="2025-05-18T00:00:00"/>
    <d v="2025-05-18T16:19:48"/>
    <x v="1"/>
    <x v="4"/>
    <s v="Mailbox"/>
    <s v="Desktop Support"/>
    <s v="Mumbai"/>
    <s v="Portal"/>
    <s v="Resolved"/>
    <n v="24"/>
    <n v="16.329999999999998"/>
    <n v="3.3"/>
    <s v="No"/>
    <x v="0"/>
  </r>
  <r>
    <s v="INC100052"/>
    <d v="2025-02-05T00:00:00"/>
    <d v="2025-02-05T15:28:48"/>
    <x v="1"/>
    <x v="0"/>
    <s v="Application Error"/>
    <s v="Application Support"/>
    <s v="Noida"/>
    <s v="Email"/>
    <s v="Resolved"/>
    <n v="24"/>
    <n v="15.48"/>
    <n v="4.0999999999999996"/>
    <s v="No"/>
    <x v="0"/>
  </r>
  <r>
    <s v="INC100053"/>
    <d v="2025-03-07T00:00:00"/>
    <d v="2025-03-07T18:18:36"/>
    <x v="1"/>
    <x v="3"/>
    <s v="Laptop"/>
    <s v="Service Desk"/>
    <s v="Hyderabad"/>
    <s v="Phone"/>
    <s v="Resolved"/>
    <n v="24"/>
    <n v="18.309999999999999"/>
    <n v="3.3"/>
    <s v="No"/>
    <x v="0"/>
  </r>
  <r>
    <s v="INC100054"/>
    <d v="2025-03-26T00:00:00"/>
    <d v="2025-03-26T02:34:11"/>
    <x v="2"/>
    <x v="2"/>
    <s v="Packet Loss"/>
    <s v="Service Desk"/>
    <s v="Hyderabad"/>
    <s v="Portal"/>
    <s v="Resolved"/>
    <n v="4"/>
    <n v="2.57"/>
    <n v="5"/>
    <s v="No"/>
    <x v="0"/>
  </r>
  <r>
    <s v="INC100055"/>
    <d v="2025-04-01T00:00:00"/>
    <d v="2025-04-02T04:28:48"/>
    <x v="0"/>
    <x v="0"/>
    <s v="Installation"/>
    <s v="Application Support"/>
    <s v="Mumbai"/>
    <s v="Phone"/>
    <s v="Resolved"/>
    <n v="48"/>
    <n v="28.48"/>
    <n v="4.8"/>
    <s v="No"/>
    <x v="0"/>
  </r>
  <r>
    <s v="INC100056"/>
    <d v="2025-01-08T00:00:00"/>
    <d v="2025-01-08T09:32:24"/>
    <x v="1"/>
    <x v="4"/>
    <s v="Mailbox"/>
    <s v="Desktop Support"/>
    <s v="Hyderabad"/>
    <s v="Portal"/>
    <s v="Resolved"/>
    <n v="24"/>
    <n v="9.5399999999999991"/>
    <n v="3.8"/>
    <s v="No"/>
    <x v="0"/>
  </r>
  <r>
    <s v="INC100057"/>
    <d v="2025-04-09T00:00:00"/>
    <d v="2025-04-12T06:23:24"/>
    <x v="0"/>
    <x v="3"/>
    <s v="Printer"/>
    <s v="Service Desk"/>
    <s v="Gurugram"/>
    <s v="Phone"/>
    <s v="Closed"/>
    <n v="48"/>
    <n v="78.39"/>
    <n v="3.3"/>
    <s v="Yes"/>
    <x v="1"/>
  </r>
  <r>
    <s v="INC100058"/>
    <d v="2025-01-28T00:00:00"/>
    <d v="2025-01-29T08:40:12"/>
    <x v="0"/>
    <x v="3"/>
    <s v="Printer"/>
    <s v="Application Support"/>
    <s v="Noida"/>
    <s v="Chat"/>
    <s v="Resolved"/>
    <n v="48"/>
    <n v="32.67"/>
    <n v="3.2"/>
    <s v="No"/>
    <x v="0"/>
  </r>
  <r>
    <s v="INC100059"/>
    <d v="2025-05-15T00:00:00"/>
    <d v="2025-05-15T18:05:24"/>
    <x v="1"/>
    <x v="1"/>
    <s v="Permission"/>
    <s v="Service Desk"/>
    <s v="Gurugram"/>
    <s v="Email"/>
    <s v="Pending"/>
    <n v="24"/>
    <n v="18.09"/>
    <n v="4"/>
    <s v="No"/>
    <x v="0"/>
  </r>
  <r>
    <s v="INC100060"/>
    <d v="2025-05-04T00:00:00"/>
    <d v="2025-05-04T20:45:00"/>
    <x v="0"/>
    <x v="4"/>
    <s v="Mailbox"/>
    <s v="Desktop Support"/>
    <s v="Noida"/>
    <s v="Chat"/>
    <s v="Resolved"/>
    <n v="48"/>
    <n v="20.75"/>
    <n v="4.4000000000000004"/>
    <s v="Yes"/>
    <x v="0"/>
  </r>
  <r>
    <s v="INC100061"/>
    <d v="2025-06-16T00:00:00"/>
    <d v="2025-06-17T03:06:00"/>
    <x v="1"/>
    <x v="4"/>
    <s v="Configuration"/>
    <s v="Service Desk"/>
    <s v="Mumbai"/>
    <s v="Phone"/>
    <s v="Resolved"/>
    <n v="24"/>
    <n v="27.1"/>
    <n v="4.0999999999999996"/>
    <s v="No"/>
    <x v="1"/>
  </r>
  <r>
    <s v="INC100062"/>
    <d v="2025-05-15T00:00:00"/>
    <d v="2025-05-15T03:30:36"/>
    <x v="1"/>
    <x v="3"/>
    <s v="Laptop"/>
    <s v="Access Management"/>
    <s v="Mumbai"/>
    <s v="Portal"/>
    <s v="In Progress"/>
    <n v="24"/>
    <n v="3.51"/>
    <n v="5"/>
    <s v="No"/>
    <x v="0"/>
  </r>
  <r>
    <s v="INC100063"/>
    <d v="2025-03-08T00:00:00"/>
    <d v="2025-03-08T05:31:12"/>
    <x v="3"/>
    <x v="2"/>
    <s v="Packet Loss"/>
    <s v="Access Management"/>
    <s v="Delhi"/>
    <s v="Portal"/>
    <s v="In Progress"/>
    <n v="8"/>
    <n v="5.52"/>
    <n v="4.2"/>
    <s v="No"/>
    <x v="0"/>
  </r>
  <r>
    <s v="INC100064"/>
    <d v="2025-06-25T00:00:00"/>
    <d v="2025-06-25T22:21:36"/>
    <x v="1"/>
    <x v="3"/>
    <s v="Printer"/>
    <s v="Desktop Support"/>
    <s v="Mumbai"/>
    <s v="Portal"/>
    <s v="Resolved"/>
    <n v="24"/>
    <n v="22.36"/>
    <n v="3.7"/>
    <s v="No"/>
    <x v="0"/>
  </r>
  <r>
    <s v="INC100065"/>
    <d v="2025-03-16T00:00:00"/>
    <d v="2025-03-16T06:55:48"/>
    <x v="1"/>
    <x v="3"/>
    <s v="Laptop"/>
    <s v="Application Support"/>
    <s v="Gurugram"/>
    <s v="Email"/>
    <s v="Resolved"/>
    <n v="24"/>
    <n v="6.93"/>
    <n v="2.6"/>
    <s v="No"/>
    <x v="0"/>
  </r>
  <r>
    <s v="INC100066"/>
    <d v="2025-02-28T00:00:00"/>
    <d v="2025-03-01T20:32:24"/>
    <x v="1"/>
    <x v="4"/>
    <s v="Spam"/>
    <s v="Network Support"/>
    <s v="Gurugram"/>
    <s v="Email"/>
    <s v="Resolved"/>
    <n v="24"/>
    <n v="44.54"/>
    <n v="3.8"/>
    <s v="No"/>
    <x v="1"/>
  </r>
  <r>
    <s v="INC100067"/>
    <d v="2025-06-13T00:00:00"/>
    <d v="2025-06-14T02:52:12"/>
    <x v="0"/>
    <x v="2"/>
    <s v="Connectivity"/>
    <s v="Access Management"/>
    <s v="Bengaluru"/>
    <s v="Email"/>
    <s v="Resolved"/>
    <n v="48"/>
    <n v="26.87"/>
    <n v="3.9"/>
    <s v="No"/>
    <x v="0"/>
  </r>
  <r>
    <s v="INC100068"/>
    <d v="2025-03-09T00:00:00"/>
    <d v="2025-03-09T13:29:24"/>
    <x v="0"/>
    <x v="0"/>
    <s v="Installation"/>
    <s v="Service Desk"/>
    <s v="Gurugram"/>
    <s v="Email"/>
    <s v="Resolved"/>
    <n v="48"/>
    <n v="13.49"/>
    <n v="4.7"/>
    <s v="No"/>
    <x v="0"/>
  </r>
  <r>
    <s v="INC100069"/>
    <d v="2025-01-14T00:00:00"/>
    <d v="2025-01-14T13:48:36"/>
    <x v="1"/>
    <x v="4"/>
    <s v="Delivery"/>
    <s v="Access Management"/>
    <s v="Hyderabad"/>
    <s v="Portal"/>
    <s v="Resolved"/>
    <n v="24"/>
    <n v="13.81"/>
    <n v="5"/>
    <s v="No"/>
    <x v="0"/>
  </r>
  <r>
    <s v="INC100070"/>
    <d v="2025-03-26T00:00:00"/>
    <d v="2025-03-26T00:49:12"/>
    <x v="2"/>
    <x v="4"/>
    <s v="Spam"/>
    <s v="Access Management"/>
    <s v="Delhi"/>
    <s v="Portal"/>
    <s v="Resolved"/>
    <n v="4"/>
    <n v="0.82"/>
    <n v="4"/>
    <s v="No"/>
    <x v="0"/>
  </r>
  <r>
    <s v="INC100071"/>
    <d v="2025-05-25T00:00:00"/>
    <d v="2025-05-25T11:24:00"/>
    <x v="0"/>
    <x v="0"/>
    <s v="Performance"/>
    <s v="Network Support"/>
    <s v="Delhi"/>
    <s v="Portal"/>
    <s v="Resolved"/>
    <n v="48"/>
    <n v="11.4"/>
    <n v="4.7"/>
    <s v="No"/>
    <x v="0"/>
  </r>
  <r>
    <s v="INC100072"/>
    <d v="2025-02-04T00:00:00"/>
    <d v="2025-02-04T05:21:00"/>
    <x v="1"/>
    <x v="4"/>
    <s v="Configuration"/>
    <s v="Network Support"/>
    <s v="Mumbai"/>
    <s v="Chat"/>
    <s v="In Progress"/>
    <n v="24"/>
    <n v="5.35"/>
    <n v="5"/>
    <s v="No"/>
    <x v="0"/>
  </r>
  <r>
    <s v="INC100073"/>
    <d v="2025-03-25T00:00:00"/>
    <d v="2025-03-25T00:48:36"/>
    <x v="3"/>
    <x v="2"/>
    <s v="Connectivity"/>
    <s v="Application Support"/>
    <s v="Gurugram"/>
    <s v="Portal"/>
    <s v="Resolved"/>
    <n v="8"/>
    <n v="0.81"/>
    <n v="5"/>
    <s v="No"/>
    <x v="0"/>
  </r>
  <r>
    <s v="INC100074"/>
    <d v="2025-01-24T00:00:00"/>
    <d v="2025-01-24T03:19:48"/>
    <x v="3"/>
    <x v="3"/>
    <s v="Monitor"/>
    <s v="Access Management"/>
    <s v="Mumbai"/>
    <s v="Portal"/>
    <s v="Pending"/>
    <n v="8"/>
    <n v="3.33"/>
    <n v="4.5"/>
    <s v="No"/>
    <x v="0"/>
  </r>
  <r>
    <s v="INC100075"/>
    <d v="2025-05-05T00:00:00"/>
    <d v="2025-05-05T02:21:36"/>
    <x v="1"/>
    <x v="2"/>
    <s v="Connectivity"/>
    <s v="Application Support"/>
    <s v="Mumbai"/>
    <s v="Portal"/>
    <s v="Resolved"/>
    <n v="24"/>
    <n v="2.36"/>
    <n v="5"/>
    <s v="No"/>
    <x v="0"/>
  </r>
  <r>
    <s v="INC100076"/>
    <d v="2025-03-28T00:00:00"/>
    <d v="2025-03-28T09:49:12"/>
    <x v="1"/>
    <x v="4"/>
    <s v="Delivery"/>
    <s v="Network Support"/>
    <s v="Gurugram"/>
    <s v="Chat"/>
    <s v="Pending"/>
    <n v="24"/>
    <n v="9.82"/>
    <n v="4.2"/>
    <s v="No"/>
    <x v="0"/>
  </r>
  <r>
    <s v="INC100077"/>
    <d v="2025-03-01T00:00:00"/>
    <d v="2025-03-01T01:43:48"/>
    <x v="1"/>
    <x v="4"/>
    <s v="Mailbox"/>
    <s v="Application Support"/>
    <s v="Bengaluru"/>
    <s v="Portal"/>
    <s v="Closed"/>
    <n v="24"/>
    <n v="1.73"/>
    <n v="5"/>
    <s v="No"/>
    <x v="0"/>
  </r>
  <r>
    <s v="INC100078"/>
    <d v="2025-02-11T00:00:00"/>
    <d v="2025-02-11T03:01:48"/>
    <x v="3"/>
    <x v="2"/>
    <s v="DNS"/>
    <s v="Service Desk"/>
    <s v="Bengaluru"/>
    <s v="Email"/>
    <s v="Resolved"/>
    <n v="8"/>
    <n v="3.03"/>
    <n v="4.8"/>
    <s v="No"/>
    <x v="0"/>
  </r>
  <r>
    <s v="INC100079"/>
    <d v="2025-04-13T00:00:00"/>
    <d v="2025-04-14T12:39:36"/>
    <x v="0"/>
    <x v="2"/>
    <s v="Link Down"/>
    <s v="Access Management"/>
    <s v="Delhi"/>
    <s v="Portal"/>
    <s v="Resolved"/>
    <n v="48"/>
    <n v="36.659999999999997"/>
    <n v="4"/>
    <s v="No"/>
    <x v="0"/>
  </r>
  <r>
    <s v="INC100080"/>
    <d v="2025-05-02T00:00:00"/>
    <d v="2025-05-02T01:50:24"/>
    <x v="3"/>
    <x v="3"/>
    <s v="Printer"/>
    <s v="Access Management"/>
    <s v="Mumbai"/>
    <s v="Portal"/>
    <s v="Resolved"/>
    <n v="8"/>
    <n v="1.84"/>
    <n v="4.9000000000000004"/>
    <s v="Yes"/>
    <x v="0"/>
  </r>
  <r>
    <s v="INC100081"/>
    <d v="2025-06-20T00:00:00"/>
    <d v="2025-06-21T06:45:00"/>
    <x v="0"/>
    <x v="2"/>
    <s v="Connectivity"/>
    <s v="Application Support"/>
    <s v="Hyderabad"/>
    <s v="Phone"/>
    <s v="Closed"/>
    <n v="48"/>
    <n v="30.75"/>
    <n v="3.7"/>
    <s v="No"/>
    <x v="0"/>
  </r>
  <r>
    <s v="INC100082"/>
    <d v="2025-03-21T00:00:00"/>
    <d v="2025-03-21T04:52:48"/>
    <x v="3"/>
    <x v="1"/>
    <s v="Account Lock"/>
    <s v="Desktop Support"/>
    <s v="Hyderabad"/>
    <s v="Email"/>
    <s v="Resolved"/>
    <n v="8"/>
    <n v="4.88"/>
    <n v="4.0999999999999996"/>
    <s v="No"/>
    <x v="0"/>
  </r>
  <r>
    <s v="INC100083"/>
    <d v="2025-01-30T00:00:00"/>
    <d v="2025-01-30T13:58:48"/>
    <x v="0"/>
    <x v="2"/>
    <s v="Connectivity"/>
    <s v="Service Desk"/>
    <s v="Delhi"/>
    <s v="Email"/>
    <s v="Closed"/>
    <n v="48"/>
    <n v="13.98"/>
    <n v="3.8"/>
    <s v="Yes"/>
    <x v="0"/>
  </r>
  <r>
    <s v="INC100084"/>
    <d v="2025-05-31T00:00:00"/>
    <d v="2025-05-31T04:27:36"/>
    <x v="0"/>
    <x v="1"/>
    <s v="Permission"/>
    <s v="Access Management"/>
    <s v="Gurugram"/>
    <s v="Portal"/>
    <s v="In Progress"/>
    <n v="48"/>
    <n v="4.46"/>
    <n v="4.5999999999999996"/>
    <s v="No"/>
    <x v="0"/>
  </r>
  <r>
    <s v="INC100085"/>
    <d v="2025-04-24T00:00:00"/>
    <d v="2025-04-25T21:06:36"/>
    <x v="0"/>
    <x v="0"/>
    <s v="Application Error"/>
    <s v="Network Support"/>
    <s v="Mumbai"/>
    <s v="Chat"/>
    <s v="Resolved"/>
    <n v="48"/>
    <n v="45.11"/>
    <n v="4.5999999999999996"/>
    <s v="No"/>
    <x v="0"/>
  </r>
  <r>
    <s v="INC100086"/>
    <d v="2025-05-07T00:00:00"/>
    <d v="2025-05-07T06:56:24"/>
    <x v="1"/>
    <x v="3"/>
    <s v="Laptop"/>
    <s v="Network Support"/>
    <s v="Gurugram"/>
    <s v="Email"/>
    <s v="Closed"/>
    <n v="24"/>
    <n v="6.94"/>
    <n v="4.9000000000000004"/>
    <s v="Yes"/>
    <x v="0"/>
  </r>
  <r>
    <s v="INC100087"/>
    <d v="2025-01-18T00:00:00"/>
    <d v="2025-01-19T10:52:48"/>
    <x v="1"/>
    <x v="2"/>
    <s v="Packet Loss"/>
    <s v="Network Support"/>
    <s v="Bengaluru"/>
    <s v="Chat"/>
    <s v="In Progress"/>
    <n v="24"/>
    <n v="34.880000000000003"/>
    <n v="3.5"/>
    <s v="No"/>
    <x v="1"/>
  </r>
  <r>
    <s v="INC100088"/>
    <d v="2025-02-26T00:00:00"/>
    <d v="2025-02-27T19:32:24"/>
    <x v="0"/>
    <x v="4"/>
    <s v="Delivery"/>
    <s v="Desktop Support"/>
    <s v="Noida"/>
    <s v="Portal"/>
    <s v="Closed"/>
    <n v="48"/>
    <n v="43.54"/>
    <n v="2.9"/>
    <s v="No"/>
    <x v="0"/>
  </r>
  <r>
    <s v="INC100089"/>
    <d v="2025-05-19T00:00:00"/>
    <d v="2025-05-19T19:13:12"/>
    <x v="1"/>
    <x v="0"/>
    <s v="Installation"/>
    <s v="Network Support"/>
    <s v="Gurugram"/>
    <s v="Portal"/>
    <s v="Resolved"/>
    <n v="24"/>
    <n v="19.22"/>
    <n v="4.2"/>
    <s v="No"/>
    <x v="0"/>
  </r>
  <r>
    <s v="INC100090"/>
    <d v="2025-05-31T00:00:00"/>
    <d v="2025-05-31T03:33:00"/>
    <x v="1"/>
    <x v="3"/>
    <s v="Monitor"/>
    <s v="Desktop Support"/>
    <s v="Bengaluru"/>
    <s v="Portal"/>
    <s v="Resolved"/>
    <n v="24"/>
    <n v="3.55"/>
    <n v="4.8"/>
    <s v="No"/>
    <x v="0"/>
  </r>
  <r>
    <s v="INC100091"/>
    <d v="2025-03-20T00:00:00"/>
    <d v="2025-03-20T06:26:24"/>
    <x v="3"/>
    <x v="3"/>
    <s v="Monitor"/>
    <s v="Network Support"/>
    <s v="Gurugram"/>
    <s v="Phone"/>
    <s v="Resolved"/>
    <n v="8"/>
    <n v="6.44"/>
    <n v="4.4000000000000004"/>
    <s v="No"/>
    <x v="0"/>
  </r>
  <r>
    <s v="INC100092"/>
    <d v="2025-05-26T00:00:00"/>
    <d v="2025-05-26T08:52:48"/>
    <x v="3"/>
    <x v="4"/>
    <s v="Configuration"/>
    <s v="Access Management"/>
    <s v="Delhi"/>
    <s v="Phone"/>
    <s v="Resolved"/>
    <n v="8"/>
    <n v="8.8800000000000008"/>
    <n v="4.5999999999999996"/>
    <s v="No"/>
    <x v="1"/>
  </r>
  <r>
    <s v="INC100093"/>
    <d v="2025-06-02T00:00:00"/>
    <d v="2025-06-02T13:03:00"/>
    <x v="1"/>
    <x v="1"/>
    <s v="Account Lock"/>
    <s v="Desktop Support"/>
    <s v="Bengaluru"/>
    <s v="Email"/>
    <s v="Resolved"/>
    <n v="24"/>
    <n v="13.05"/>
    <n v="4.0999999999999996"/>
    <s v="No"/>
    <x v="0"/>
  </r>
  <r>
    <s v="INC100094"/>
    <d v="2025-03-12T00:00:00"/>
    <d v="2025-03-13T07:06:36"/>
    <x v="0"/>
    <x v="1"/>
    <s v="VPN Access"/>
    <s v="Network Support"/>
    <s v="Gurugram"/>
    <s v="Portal"/>
    <s v="Pending"/>
    <n v="48"/>
    <n v="31.11"/>
    <n v="4"/>
    <s v="Yes"/>
    <x v="0"/>
  </r>
  <r>
    <s v="INC100095"/>
    <d v="2025-06-12T00:00:00"/>
    <d v="2025-06-13T12:49:48"/>
    <x v="0"/>
    <x v="0"/>
    <s v="Application Error"/>
    <s v="Application Support"/>
    <s v="Gurugram"/>
    <s v="Portal"/>
    <s v="Resolved"/>
    <n v="48"/>
    <n v="36.83"/>
    <n v="4.7"/>
    <s v="No"/>
    <x v="0"/>
  </r>
  <r>
    <s v="INC100096"/>
    <d v="2025-02-22T00:00:00"/>
    <d v="2025-02-22T09:34:47"/>
    <x v="3"/>
    <x v="4"/>
    <s v="Mailbox"/>
    <s v="Service Desk"/>
    <s v="Mumbai"/>
    <s v="Portal"/>
    <s v="Resolved"/>
    <n v="8"/>
    <n v="9.58"/>
    <n v="3.2"/>
    <s v="No"/>
    <x v="1"/>
  </r>
  <r>
    <s v="INC100097"/>
    <d v="2025-02-13T00:00:00"/>
    <d v="2025-02-14T09:13:48"/>
    <x v="0"/>
    <x v="3"/>
    <s v="Monitor"/>
    <s v="Service Desk"/>
    <s v="Bengaluru"/>
    <s v="Phone"/>
    <s v="Resolved"/>
    <n v="48"/>
    <n v="33.229999999999997"/>
    <n v="4.2"/>
    <s v="No"/>
    <x v="0"/>
  </r>
  <r>
    <s v="INC100098"/>
    <d v="2025-05-04T00:00:00"/>
    <d v="2025-05-04T17:59:24"/>
    <x v="1"/>
    <x v="0"/>
    <s v="Application Error"/>
    <s v="Application Support"/>
    <s v="Bengaluru"/>
    <s v="Portal"/>
    <s v="In Progress"/>
    <n v="24"/>
    <n v="17.989999999999998"/>
    <n v="2.8"/>
    <s v="No"/>
    <x v="0"/>
  </r>
  <r>
    <s v="INC100099"/>
    <d v="2025-04-26T00:00:00"/>
    <d v="2025-04-26T05:00:00"/>
    <x v="3"/>
    <x v="3"/>
    <s v="Printer"/>
    <s v="Access Management"/>
    <s v="Delhi"/>
    <s v="Portal"/>
    <s v="Resolved"/>
    <n v="8"/>
    <n v="5"/>
    <n v="4"/>
    <s v="No"/>
    <x v="0"/>
  </r>
  <r>
    <s v="INC100100"/>
    <d v="2025-01-26T00:00:00"/>
    <d v="2025-01-26T05:55:48"/>
    <x v="2"/>
    <x v="0"/>
    <s v="Installation"/>
    <s v="Access Management"/>
    <s v="Delhi"/>
    <s v="Portal"/>
    <s v="Resolved"/>
    <n v="4"/>
    <n v="5.93"/>
    <n v="4.0999999999999996"/>
    <s v="No"/>
    <x v="1"/>
  </r>
  <r>
    <s v="INC100101"/>
    <d v="2025-05-31T00:00:00"/>
    <d v="2025-05-31T13:19:48"/>
    <x v="1"/>
    <x v="4"/>
    <s v="Spam"/>
    <s v="Desktop Support"/>
    <s v="Noida"/>
    <s v="Portal"/>
    <s v="Resolved"/>
    <n v="24"/>
    <n v="13.33"/>
    <n v="4.5999999999999996"/>
    <s v="No"/>
    <x v="0"/>
  </r>
  <r>
    <s v="INC100102"/>
    <d v="2025-02-06T00:00:00"/>
    <d v="2025-02-06T17:54:00"/>
    <x v="1"/>
    <x v="4"/>
    <s v="Delivery"/>
    <s v="Access Management"/>
    <s v="Noida"/>
    <s v="Chat"/>
    <s v="Resolved"/>
    <n v="24"/>
    <n v="17.899999999999999"/>
    <n v="4.7"/>
    <s v="No"/>
    <x v="0"/>
  </r>
  <r>
    <s v="INC100103"/>
    <d v="2025-05-26T00:00:00"/>
    <d v="2025-05-27T05:57:00"/>
    <x v="1"/>
    <x v="0"/>
    <s v="Application Error"/>
    <s v="Service Desk"/>
    <s v="Noida"/>
    <s v="Portal"/>
    <s v="Resolved"/>
    <n v="24"/>
    <n v="29.95"/>
    <n v="4.0999999999999996"/>
    <s v="No"/>
    <x v="1"/>
  </r>
  <r>
    <s v="INC100104"/>
    <d v="2025-01-02T00:00:00"/>
    <d v="2025-01-02T02:52:12"/>
    <x v="3"/>
    <x v="0"/>
    <s v="Installation"/>
    <s v="Access Management"/>
    <s v="Delhi"/>
    <s v="Chat"/>
    <s v="Resolved"/>
    <n v="8"/>
    <n v="2.87"/>
    <n v="5"/>
    <s v="No"/>
    <x v="0"/>
  </r>
  <r>
    <s v="INC100105"/>
    <d v="2025-05-25T00:00:00"/>
    <d v="2025-05-28T08:00:36"/>
    <x v="0"/>
    <x v="4"/>
    <s v="Configuration"/>
    <s v="Access Management"/>
    <s v="Hyderabad"/>
    <s v="Email"/>
    <s v="Resolved"/>
    <n v="48"/>
    <n v="80.010000000000005"/>
    <n v="2.8"/>
    <s v="No"/>
    <x v="1"/>
  </r>
  <r>
    <s v="INC100106"/>
    <d v="2025-05-23T00:00:00"/>
    <d v="2025-05-23T15:49:12"/>
    <x v="0"/>
    <x v="4"/>
    <s v="Delivery"/>
    <s v="Desktop Support"/>
    <s v="Noida"/>
    <s v="Email"/>
    <s v="Resolved"/>
    <n v="48"/>
    <n v="15.82"/>
    <n v="5"/>
    <s v="No"/>
    <x v="0"/>
  </r>
  <r>
    <s v="INC100107"/>
    <d v="2025-05-22T00:00:00"/>
    <d v="2025-05-22T05:35:24"/>
    <x v="1"/>
    <x v="1"/>
    <s v="Permission"/>
    <s v="Desktop Support"/>
    <s v="Mumbai"/>
    <s v="Email"/>
    <s v="Resolved"/>
    <n v="24"/>
    <n v="5.59"/>
    <n v="5"/>
    <s v="Yes"/>
    <x v="0"/>
  </r>
  <r>
    <s v="INC100108"/>
    <d v="2025-05-01T00:00:00"/>
    <d v="2025-05-02T12:34:47"/>
    <x v="0"/>
    <x v="2"/>
    <s v="Packet Loss"/>
    <s v="Desktop Support"/>
    <s v="Noida"/>
    <s v="Email"/>
    <s v="Closed"/>
    <n v="48"/>
    <n v="36.58"/>
    <n v="4.0999999999999996"/>
    <s v="No"/>
    <x v="0"/>
  </r>
  <r>
    <s v="INC100109"/>
    <d v="2025-03-27T00:00:00"/>
    <d v="2025-03-27T07:34:11"/>
    <x v="1"/>
    <x v="3"/>
    <s v="Monitor"/>
    <s v="Network Support"/>
    <s v="Noida"/>
    <s v="Email"/>
    <s v="Resolved"/>
    <n v="24"/>
    <n v="7.57"/>
    <n v="3.8"/>
    <s v="No"/>
    <x v="0"/>
  </r>
  <r>
    <s v="INC100110"/>
    <d v="2025-05-08T00:00:00"/>
    <d v="2025-05-09T10:29:24"/>
    <x v="1"/>
    <x v="4"/>
    <s v="Configuration"/>
    <s v="Access Management"/>
    <s v="Delhi"/>
    <s v="Portal"/>
    <s v="Pending"/>
    <n v="24"/>
    <n v="34.49"/>
    <n v="2.9"/>
    <s v="No"/>
    <x v="1"/>
  </r>
  <r>
    <s v="INC100111"/>
    <d v="2025-02-20T00:00:00"/>
    <d v="2025-02-20T16:10:48"/>
    <x v="3"/>
    <x v="1"/>
    <s v="VPN Access"/>
    <s v="Application Support"/>
    <s v="Mumbai"/>
    <s v="Chat"/>
    <s v="Resolved"/>
    <n v="8"/>
    <n v="16.18"/>
    <n v="2.9"/>
    <s v="No"/>
    <x v="1"/>
  </r>
  <r>
    <s v="INC100112"/>
    <d v="2025-05-22T00:00:00"/>
    <d v="2025-05-22T01:55:48"/>
    <x v="3"/>
    <x v="1"/>
    <s v="Account Lock"/>
    <s v="Access Management"/>
    <s v="Delhi"/>
    <s v="Portal"/>
    <s v="Resolved"/>
    <n v="8"/>
    <n v="1.93"/>
    <n v="3.6"/>
    <s v="No"/>
    <x v="0"/>
  </r>
  <r>
    <s v="INC100113"/>
    <d v="2025-04-11T00:00:00"/>
    <d v="2025-04-11T05:17:23"/>
    <x v="1"/>
    <x v="0"/>
    <s v="License"/>
    <s v="Network Support"/>
    <s v="Mumbai"/>
    <s v="Portal"/>
    <s v="Closed"/>
    <n v="24"/>
    <n v="5.29"/>
    <n v="4.2"/>
    <s v="No"/>
    <x v="0"/>
  </r>
  <r>
    <s v="INC100114"/>
    <d v="2025-03-25T00:00:00"/>
    <d v="2025-03-25T01:41:24"/>
    <x v="3"/>
    <x v="3"/>
    <s v="Laptop"/>
    <s v="Access Management"/>
    <s v="Hyderabad"/>
    <s v="Portal"/>
    <s v="Resolved"/>
    <n v="8"/>
    <n v="1.69"/>
    <n v="4.5"/>
    <s v="No"/>
    <x v="0"/>
  </r>
  <r>
    <s v="INC100115"/>
    <d v="2025-04-02T00:00:00"/>
    <d v="2025-04-02T02:54:00"/>
    <x v="0"/>
    <x v="3"/>
    <s v="Monitor"/>
    <s v="Service Desk"/>
    <s v="Noida"/>
    <s v="Email"/>
    <s v="Resolved"/>
    <n v="48"/>
    <n v="2.9"/>
    <n v="5"/>
    <s v="No"/>
    <x v="0"/>
  </r>
  <r>
    <s v="INC100116"/>
    <d v="2025-04-13T00:00:00"/>
    <d v="2025-04-13T07:23:24"/>
    <x v="1"/>
    <x v="1"/>
    <s v="Account Lock"/>
    <s v="Access Management"/>
    <s v="Hyderabad"/>
    <s v="Portal"/>
    <s v="Resolved"/>
    <n v="24"/>
    <n v="7.39"/>
    <n v="5"/>
    <s v="No"/>
    <x v="0"/>
  </r>
  <r>
    <s v="INC100117"/>
    <d v="2025-01-07T00:00:00"/>
    <d v="2025-01-09T03:43:48"/>
    <x v="0"/>
    <x v="3"/>
    <s v="Printer"/>
    <s v="Access Management"/>
    <s v="Mumbai"/>
    <s v="Portal"/>
    <s v="Pending"/>
    <n v="48"/>
    <n v="51.73"/>
    <n v="4.2"/>
    <s v="No"/>
    <x v="1"/>
  </r>
  <r>
    <s v="INC100118"/>
    <d v="2025-01-26T00:00:00"/>
    <d v="2025-01-26T06:19:12"/>
    <x v="3"/>
    <x v="0"/>
    <s v="Performance"/>
    <s v="Access Management"/>
    <s v="Delhi"/>
    <s v="Portal"/>
    <s v="Resolved"/>
    <n v="8"/>
    <n v="6.32"/>
    <n v="3.3"/>
    <s v="No"/>
    <x v="0"/>
  </r>
  <r>
    <s v="INC100119"/>
    <d v="2025-02-14T00:00:00"/>
    <d v="2025-02-14T03:31:48"/>
    <x v="3"/>
    <x v="1"/>
    <s v="Account Lock"/>
    <s v="Access Management"/>
    <s v="Gurugram"/>
    <s v="Portal"/>
    <s v="Resolved"/>
    <n v="8"/>
    <n v="3.53"/>
    <n v="5"/>
    <s v="No"/>
    <x v="0"/>
  </r>
  <r>
    <s v="INC100120"/>
    <d v="2025-01-21T00:00:00"/>
    <d v="2025-01-21T05:48:00"/>
    <x v="3"/>
    <x v="1"/>
    <s v="Account Lock"/>
    <s v="Network Support"/>
    <s v="Bengaluru"/>
    <s v="Portal"/>
    <s v="Resolved"/>
    <n v="8"/>
    <n v="5.8"/>
    <n v="4.0999999999999996"/>
    <s v="Yes"/>
    <x v="0"/>
  </r>
  <r>
    <s v="INC100121"/>
    <d v="2025-03-21T00:00:00"/>
    <d v="2025-03-21T01:16:48"/>
    <x v="3"/>
    <x v="3"/>
    <s v="Printer"/>
    <s v="Service Desk"/>
    <s v="Mumbai"/>
    <s v="Phone"/>
    <s v="Resolved"/>
    <n v="8"/>
    <n v="1.28"/>
    <n v="3.7"/>
    <s v="No"/>
    <x v="0"/>
  </r>
  <r>
    <s v="INC100122"/>
    <d v="2025-05-01T00:00:00"/>
    <d v="2025-05-01T02:12:36"/>
    <x v="2"/>
    <x v="1"/>
    <s v="Account Lock"/>
    <s v="Service Desk"/>
    <s v="Delhi"/>
    <s v="Portal"/>
    <s v="Resolved"/>
    <n v="4"/>
    <n v="2.21"/>
    <n v="3.7"/>
    <s v="No"/>
    <x v="0"/>
  </r>
  <r>
    <s v="INC100123"/>
    <d v="2025-04-29T00:00:00"/>
    <d v="2025-04-30T06:21:00"/>
    <x v="0"/>
    <x v="2"/>
    <s v="Link Down"/>
    <s v="Desktop Support"/>
    <s v="Mumbai"/>
    <s v="Chat"/>
    <s v="Closed"/>
    <n v="48"/>
    <n v="30.35"/>
    <n v="3.6"/>
    <s v="No"/>
    <x v="0"/>
  </r>
  <r>
    <s v="INC100124"/>
    <d v="2025-03-27T00:00:00"/>
    <d v="2025-03-27T04:49:48"/>
    <x v="3"/>
    <x v="2"/>
    <s v="Link Down"/>
    <s v="Access Management"/>
    <s v="Mumbai"/>
    <s v="Email"/>
    <s v="Pending"/>
    <n v="8"/>
    <n v="4.83"/>
    <n v="3.4"/>
    <s v="No"/>
    <x v="0"/>
  </r>
  <r>
    <s v="INC100125"/>
    <d v="2025-06-04T00:00:00"/>
    <d v="2025-06-04T07:11:24"/>
    <x v="1"/>
    <x v="3"/>
    <s v="Peripheral"/>
    <s v="Application Support"/>
    <s v="Delhi"/>
    <s v="Phone"/>
    <s v="Pending"/>
    <n v="24"/>
    <n v="7.19"/>
    <n v="5"/>
    <s v="No"/>
    <x v="0"/>
  </r>
  <r>
    <s v="INC100126"/>
    <d v="2025-04-13T00:00:00"/>
    <d v="2025-04-13T06:57:00"/>
    <x v="1"/>
    <x v="2"/>
    <s v="Packet Loss"/>
    <s v="Desktop Support"/>
    <s v="Hyderabad"/>
    <s v="Chat"/>
    <s v="Resolved"/>
    <n v="24"/>
    <n v="6.95"/>
    <n v="2.9"/>
    <s v="No"/>
    <x v="0"/>
  </r>
  <r>
    <s v="INC100127"/>
    <d v="2025-01-15T00:00:00"/>
    <d v="2025-01-15T20:14:24"/>
    <x v="1"/>
    <x v="4"/>
    <s v="Mailbox"/>
    <s v="Access Management"/>
    <s v="Bengaluru"/>
    <s v="Portal"/>
    <s v="Resolved"/>
    <n v="24"/>
    <n v="20.239999999999998"/>
    <n v="4.5999999999999996"/>
    <s v="No"/>
    <x v="0"/>
  </r>
  <r>
    <s v="INC100128"/>
    <d v="2025-05-19T00:00:00"/>
    <d v="2025-05-19T19:20:24"/>
    <x v="1"/>
    <x v="4"/>
    <s v="Configuration"/>
    <s v="Network Support"/>
    <s v="Bengaluru"/>
    <s v="Email"/>
    <s v="Resolved"/>
    <n v="24"/>
    <n v="19.34"/>
    <n v="4.5999999999999996"/>
    <s v="No"/>
    <x v="0"/>
  </r>
  <r>
    <s v="INC100129"/>
    <d v="2025-04-15T00:00:00"/>
    <d v="2025-04-15T03:06:36"/>
    <x v="0"/>
    <x v="2"/>
    <s v="Packet Loss"/>
    <s v="Application Support"/>
    <s v="Delhi"/>
    <s v="Portal"/>
    <s v="Resolved"/>
    <n v="48"/>
    <n v="3.11"/>
    <n v="4.5999999999999996"/>
    <s v="Yes"/>
    <x v="0"/>
  </r>
  <r>
    <s v="INC100130"/>
    <d v="2025-04-25T00:00:00"/>
    <d v="2025-04-25T03:02:24"/>
    <x v="0"/>
    <x v="1"/>
    <s v="Account Lock"/>
    <s v="Desktop Support"/>
    <s v="Bengaluru"/>
    <s v="Portal"/>
    <s v="Resolved"/>
    <n v="48"/>
    <n v="3.04"/>
    <n v="5"/>
    <s v="No"/>
    <x v="0"/>
  </r>
  <r>
    <s v="INC100131"/>
    <d v="2025-04-13T00:00:00"/>
    <d v="2025-04-16T20:10:12"/>
    <x v="0"/>
    <x v="0"/>
    <s v="Performance"/>
    <s v="Service Desk"/>
    <s v="Noida"/>
    <s v="Portal"/>
    <s v="Resolved"/>
    <n v="48"/>
    <n v="92.17"/>
    <n v="2"/>
    <s v="No"/>
    <x v="1"/>
  </r>
  <r>
    <s v="INC100132"/>
    <d v="2025-04-11T00:00:00"/>
    <d v="2025-04-11T15:32:24"/>
    <x v="1"/>
    <x v="0"/>
    <s v="Application Error"/>
    <s v="Application Support"/>
    <s v="Noida"/>
    <s v="Email"/>
    <s v="Resolved"/>
    <n v="24"/>
    <n v="15.54"/>
    <n v="3.7"/>
    <s v="No"/>
    <x v="0"/>
  </r>
  <r>
    <s v="INC100133"/>
    <d v="2025-01-17T00:00:00"/>
    <d v="2025-01-17T04:50:24"/>
    <x v="3"/>
    <x v="4"/>
    <s v="Mailbox"/>
    <s v="Access Management"/>
    <s v="Mumbai"/>
    <s v="Phone"/>
    <s v="Closed"/>
    <n v="8"/>
    <n v="4.84"/>
    <n v="4.5999999999999996"/>
    <s v="No"/>
    <x v="0"/>
  </r>
  <r>
    <s v="INC100134"/>
    <d v="2025-04-12T00:00:00"/>
    <d v="2025-04-12T05:58:48"/>
    <x v="1"/>
    <x v="0"/>
    <s v="Installation"/>
    <s v="Access Management"/>
    <s v="Gurugram"/>
    <s v="Portal"/>
    <s v="Closed"/>
    <n v="24"/>
    <n v="5.98"/>
    <n v="4.5999999999999996"/>
    <s v="No"/>
    <x v="0"/>
  </r>
  <r>
    <s v="INC100135"/>
    <d v="2025-05-24T00:00:00"/>
    <d v="2025-05-24T09:35:24"/>
    <x v="1"/>
    <x v="2"/>
    <s v="DNS"/>
    <s v="Access Management"/>
    <s v="Delhi"/>
    <s v="Phone"/>
    <s v="In Progress"/>
    <n v="24"/>
    <n v="9.59"/>
    <n v="4.0999999999999996"/>
    <s v="No"/>
    <x v="0"/>
  </r>
  <r>
    <s v="INC100136"/>
    <d v="2025-02-25T00:00:00"/>
    <d v="2025-02-25T07:42:36"/>
    <x v="1"/>
    <x v="2"/>
    <s v="Link Down"/>
    <s v="Access Management"/>
    <s v="Noida"/>
    <s v="Portal"/>
    <s v="Resolved"/>
    <n v="24"/>
    <n v="7.71"/>
    <n v="4.5"/>
    <s v="No"/>
    <x v="0"/>
  </r>
  <r>
    <s v="INC100137"/>
    <d v="2025-04-20T00:00:00"/>
    <d v="2025-04-21T02:00:00"/>
    <x v="1"/>
    <x v="0"/>
    <s v="Installation"/>
    <s v="Desktop Support"/>
    <s v="Mumbai"/>
    <s v="Portal"/>
    <s v="In Progress"/>
    <n v="24"/>
    <n v="26"/>
    <n v="4.5999999999999996"/>
    <s v="No"/>
    <x v="1"/>
  </r>
  <r>
    <s v="INC100138"/>
    <d v="2025-01-06T00:00:00"/>
    <d v="2025-01-08T02:21:00"/>
    <x v="0"/>
    <x v="4"/>
    <s v="Configuration"/>
    <s v="Network Support"/>
    <s v="Delhi"/>
    <s v="Portal"/>
    <s v="Resolved"/>
    <n v="48"/>
    <n v="50.35"/>
    <n v="4.5999999999999996"/>
    <s v="No"/>
    <x v="1"/>
  </r>
  <r>
    <s v="INC100139"/>
    <d v="2025-03-04T00:00:00"/>
    <d v="2025-03-04T05:14:24"/>
    <x v="3"/>
    <x v="0"/>
    <s v="License"/>
    <s v="Access Management"/>
    <s v="Hyderabad"/>
    <s v="Email"/>
    <s v="Resolved"/>
    <n v="8"/>
    <n v="5.24"/>
    <n v="4.5"/>
    <s v="No"/>
    <x v="0"/>
  </r>
  <r>
    <s v="INC100140"/>
    <d v="2025-03-21T00:00:00"/>
    <d v="2025-03-22T03:57:36"/>
    <x v="0"/>
    <x v="3"/>
    <s v="Monitor"/>
    <s v="Desktop Support"/>
    <s v="Mumbai"/>
    <s v="Email"/>
    <s v="Resolved"/>
    <n v="48"/>
    <n v="27.96"/>
    <n v="4.0999999999999996"/>
    <s v="No"/>
    <x v="0"/>
  </r>
  <r>
    <s v="INC100141"/>
    <d v="2025-06-27T00:00:00"/>
    <d v="2025-06-27T17:47:24"/>
    <x v="1"/>
    <x v="2"/>
    <s v="Connectivity"/>
    <s v="Application Support"/>
    <s v="Hyderabad"/>
    <s v="Portal"/>
    <s v="Resolved"/>
    <n v="24"/>
    <n v="17.79"/>
    <n v="4.4000000000000004"/>
    <s v="Yes"/>
    <x v="0"/>
  </r>
  <r>
    <s v="INC100142"/>
    <d v="2025-02-08T00:00:00"/>
    <d v="2025-02-08T04:36:36"/>
    <x v="3"/>
    <x v="4"/>
    <s v="Delivery"/>
    <s v="Network Support"/>
    <s v="Noida"/>
    <s v="Portal"/>
    <s v="Resolved"/>
    <n v="8"/>
    <n v="4.6100000000000003"/>
    <n v="3.7"/>
    <s v="No"/>
    <x v="0"/>
  </r>
  <r>
    <s v="INC100143"/>
    <d v="2025-02-20T00:00:00"/>
    <d v="2025-02-20T20:15:00"/>
    <x v="1"/>
    <x v="3"/>
    <s v="Printer"/>
    <s v="Access Management"/>
    <s v="Delhi"/>
    <s v="Email"/>
    <s v="Closed"/>
    <n v="24"/>
    <n v="20.25"/>
    <n v="4.7"/>
    <s v="Yes"/>
    <x v="0"/>
  </r>
  <r>
    <s v="INC100144"/>
    <d v="2025-03-15T00:00:00"/>
    <d v="2025-03-15T10:37:12"/>
    <x v="3"/>
    <x v="0"/>
    <s v="License"/>
    <s v="Access Management"/>
    <s v="Gurugram"/>
    <s v="Phone"/>
    <s v="Resolved"/>
    <n v="8"/>
    <n v="10.62"/>
    <n v="4"/>
    <s v="No"/>
    <x v="1"/>
  </r>
  <r>
    <s v="INC100145"/>
    <d v="2025-06-29T00:00:00"/>
    <d v="2025-06-29T23:44:24"/>
    <x v="0"/>
    <x v="0"/>
    <s v="License"/>
    <s v="Access Management"/>
    <s v="Bengaluru"/>
    <s v="Portal"/>
    <s v="In Progress"/>
    <n v="48"/>
    <n v="23.74"/>
    <n v="5"/>
    <s v="No"/>
    <x v="0"/>
  </r>
  <r>
    <s v="INC100146"/>
    <d v="2025-06-04T00:00:00"/>
    <d v="2025-06-04T02:01:48"/>
    <x v="3"/>
    <x v="2"/>
    <s v="Packet Loss"/>
    <s v="Network Support"/>
    <s v="Bengaluru"/>
    <s v="Phone"/>
    <s v="Resolved"/>
    <n v="8"/>
    <n v="2.0299999999999998"/>
    <n v="4.2"/>
    <s v="No"/>
    <x v="0"/>
  </r>
  <r>
    <s v="INC100147"/>
    <d v="2025-01-07T00:00:00"/>
    <d v="2025-01-07T04:42:00"/>
    <x v="3"/>
    <x v="2"/>
    <s v="Connectivity"/>
    <s v="Access Management"/>
    <s v="Mumbai"/>
    <s v="Email"/>
    <s v="Closed"/>
    <n v="8"/>
    <n v="4.7"/>
    <n v="3.7"/>
    <s v="No"/>
    <x v="0"/>
  </r>
  <r>
    <s v="INC100148"/>
    <d v="2025-02-12T00:00:00"/>
    <d v="2025-02-12T02:40:12"/>
    <x v="3"/>
    <x v="3"/>
    <s v="Laptop"/>
    <s v="Application Support"/>
    <s v="Mumbai"/>
    <s v="Email"/>
    <s v="In Progress"/>
    <n v="8"/>
    <n v="2.67"/>
    <n v="5"/>
    <s v="No"/>
    <x v="0"/>
  </r>
  <r>
    <s v="INC100149"/>
    <d v="2025-05-29T00:00:00"/>
    <d v="2025-05-29T04:42:00"/>
    <x v="1"/>
    <x v="3"/>
    <s v="Printer"/>
    <s v="Network Support"/>
    <s v="Mumbai"/>
    <s v="Portal"/>
    <s v="Resolved"/>
    <n v="24"/>
    <n v="4.7"/>
    <n v="4.5999999999999996"/>
    <s v="No"/>
    <x v="0"/>
  </r>
  <r>
    <s v="INC100150"/>
    <d v="2025-01-11T00:00:00"/>
    <d v="2025-01-11T09:37:12"/>
    <x v="3"/>
    <x v="0"/>
    <s v="Performance"/>
    <s v="Desktop Support"/>
    <s v="Bengaluru"/>
    <s v="Chat"/>
    <s v="In Progress"/>
    <n v="8"/>
    <n v="9.6199999999999992"/>
    <n v="4.2"/>
    <s v="No"/>
    <x v="1"/>
  </r>
  <r>
    <s v="INC100151"/>
    <d v="2025-06-04T00:00:00"/>
    <d v="2025-06-04T02:15:00"/>
    <x v="2"/>
    <x v="1"/>
    <s v="Account Lock"/>
    <s v="Desktop Support"/>
    <s v="Delhi"/>
    <s v="Email"/>
    <s v="Closed"/>
    <n v="4"/>
    <n v="2.25"/>
    <n v="5"/>
    <s v="No"/>
    <x v="0"/>
  </r>
  <r>
    <s v="INC100152"/>
    <d v="2025-02-20T00:00:00"/>
    <d v="2025-02-20T09:31:48"/>
    <x v="1"/>
    <x v="2"/>
    <s v="Link Down"/>
    <s v="Application Support"/>
    <s v="Bengaluru"/>
    <s v="Portal"/>
    <s v="Resolved"/>
    <n v="24"/>
    <n v="9.5299999999999994"/>
    <n v="5"/>
    <s v="No"/>
    <x v="0"/>
  </r>
  <r>
    <s v="INC100153"/>
    <d v="2025-06-16T00:00:00"/>
    <d v="2025-06-16T05:01:48"/>
    <x v="3"/>
    <x v="0"/>
    <s v="Performance"/>
    <s v="Network Support"/>
    <s v="Mumbai"/>
    <s v="Phone"/>
    <s v="Closed"/>
    <n v="8"/>
    <n v="5.03"/>
    <n v="4.3"/>
    <s v="No"/>
    <x v="0"/>
  </r>
  <r>
    <s v="INC100154"/>
    <d v="2025-02-23T00:00:00"/>
    <d v="2025-02-23T02:50:24"/>
    <x v="3"/>
    <x v="2"/>
    <s v="Link Down"/>
    <s v="Desktop Support"/>
    <s v="Hyderabad"/>
    <s v="Phone"/>
    <s v="Closed"/>
    <n v="8"/>
    <n v="2.84"/>
    <n v="5"/>
    <s v="No"/>
    <x v="0"/>
  </r>
  <r>
    <s v="INC100155"/>
    <d v="2025-03-20T00:00:00"/>
    <d v="2025-03-21T05:28:48"/>
    <x v="1"/>
    <x v="2"/>
    <s v="Connectivity"/>
    <s v="Application Support"/>
    <s v="Hyderabad"/>
    <s v="Phone"/>
    <s v="Resolved"/>
    <n v="24"/>
    <n v="29.48"/>
    <n v="3.2"/>
    <s v="No"/>
    <x v="1"/>
  </r>
  <r>
    <s v="INC100156"/>
    <d v="2025-04-30T00:00:00"/>
    <d v="2025-04-30T15:15:00"/>
    <x v="3"/>
    <x v="1"/>
    <s v="VPN Access"/>
    <s v="Application Support"/>
    <s v="Delhi"/>
    <s v="Phone"/>
    <s v="Resolved"/>
    <n v="8"/>
    <n v="15.25"/>
    <n v="2.9"/>
    <s v="No"/>
    <x v="1"/>
  </r>
  <r>
    <s v="INC100157"/>
    <d v="2025-01-23T00:00:00"/>
    <d v="2025-01-23T08:54:36"/>
    <x v="1"/>
    <x v="1"/>
    <s v="Account Lock"/>
    <s v="Application Support"/>
    <s v="Noida"/>
    <s v="Portal"/>
    <s v="Resolved"/>
    <n v="24"/>
    <n v="8.91"/>
    <n v="4.5"/>
    <s v="No"/>
    <x v="0"/>
  </r>
  <r>
    <s v="INC100158"/>
    <d v="2025-04-11T00:00:00"/>
    <d v="2025-04-11T11:25:48"/>
    <x v="1"/>
    <x v="1"/>
    <s v="Account Lock"/>
    <s v="Application Support"/>
    <s v="Bengaluru"/>
    <s v="Phone"/>
    <s v="Resolved"/>
    <n v="24"/>
    <n v="11.43"/>
    <n v="4.4000000000000004"/>
    <s v="No"/>
    <x v="0"/>
  </r>
  <r>
    <s v="INC100159"/>
    <d v="2025-04-02T00:00:00"/>
    <d v="2025-04-03T09:10:12"/>
    <x v="0"/>
    <x v="2"/>
    <s v="Connectivity"/>
    <s v="Application Support"/>
    <s v="Gurugram"/>
    <s v="Portal"/>
    <s v="Pending"/>
    <n v="48"/>
    <n v="33.17"/>
    <n v="5"/>
    <s v="No"/>
    <x v="0"/>
  </r>
  <r>
    <s v="INC100160"/>
    <d v="2025-05-22T00:00:00"/>
    <d v="2025-05-22T08:27:36"/>
    <x v="0"/>
    <x v="0"/>
    <s v="Installation"/>
    <s v="Network Support"/>
    <s v="Noida"/>
    <s v="Phone"/>
    <s v="Pending"/>
    <n v="48"/>
    <n v="8.4600000000000009"/>
    <n v="3.9"/>
    <s v="No"/>
    <x v="0"/>
  </r>
  <r>
    <s v="INC100161"/>
    <d v="2025-06-30T00:00:00"/>
    <d v="2025-06-30T00:36:36"/>
    <x v="3"/>
    <x v="3"/>
    <s v="Peripheral"/>
    <s v="Application Support"/>
    <s v="Delhi"/>
    <s v="Portal"/>
    <s v="Closed"/>
    <n v="8"/>
    <n v="0.61"/>
    <n v="4.9000000000000004"/>
    <s v="No"/>
    <x v="0"/>
  </r>
  <r>
    <s v="INC100162"/>
    <d v="2025-05-01T00:00:00"/>
    <d v="2025-05-02T03:15:36"/>
    <x v="1"/>
    <x v="4"/>
    <s v="Mailbox"/>
    <s v="Service Desk"/>
    <s v="Gurugram"/>
    <s v="Portal"/>
    <s v="Resolved"/>
    <n v="24"/>
    <n v="27.26"/>
    <n v="3.7"/>
    <s v="No"/>
    <x v="1"/>
  </r>
  <r>
    <s v="INC100163"/>
    <d v="2025-03-16T00:00:00"/>
    <d v="2025-03-16T09:21:00"/>
    <x v="1"/>
    <x v="0"/>
    <s v="Application Error"/>
    <s v="Desktop Support"/>
    <s v="Delhi"/>
    <s v="Portal"/>
    <s v="Resolved"/>
    <n v="24"/>
    <n v="9.35"/>
    <n v="5"/>
    <s v="No"/>
    <x v="0"/>
  </r>
  <r>
    <s v="INC100164"/>
    <d v="2025-03-15T00:00:00"/>
    <d v="2025-03-15T17:24:36"/>
    <x v="0"/>
    <x v="4"/>
    <s v="Mailbox"/>
    <s v="Desktop Support"/>
    <s v="Hyderabad"/>
    <s v="Phone"/>
    <s v="Resolved"/>
    <n v="48"/>
    <n v="17.41"/>
    <n v="3.9"/>
    <s v="Yes"/>
    <x v="0"/>
  </r>
  <r>
    <s v="INC100165"/>
    <d v="2025-03-17T00:00:00"/>
    <d v="2025-03-17T17:25:12"/>
    <x v="1"/>
    <x v="2"/>
    <s v="Connectivity"/>
    <s v="Access Management"/>
    <s v="Hyderabad"/>
    <s v="Email"/>
    <s v="Resolved"/>
    <n v="24"/>
    <n v="17.420000000000002"/>
    <n v="3.9"/>
    <s v="No"/>
    <x v="0"/>
  </r>
  <r>
    <s v="INC100166"/>
    <d v="2025-05-28T00:00:00"/>
    <d v="2025-05-28T02:01:12"/>
    <x v="3"/>
    <x v="3"/>
    <s v="Printer"/>
    <s v="Service Desk"/>
    <s v="Noida"/>
    <s v="Phone"/>
    <s v="Closed"/>
    <n v="8"/>
    <n v="2.02"/>
    <n v="4.3"/>
    <s v="No"/>
    <x v="0"/>
  </r>
  <r>
    <s v="INC100167"/>
    <d v="2025-02-28T00:00:00"/>
    <d v="2025-02-28T02:51:00"/>
    <x v="3"/>
    <x v="1"/>
    <s v="Account Lock"/>
    <s v="Service Desk"/>
    <s v="Delhi"/>
    <s v="Portal"/>
    <s v="Resolved"/>
    <n v="8"/>
    <n v="2.85"/>
    <n v="3.1"/>
    <s v="No"/>
    <x v="0"/>
  </r>
  <r>
    <s v="INC100168"/>
    <d v="2025-01-31T00:00:00"/>
    <d v="2025-01-31T08:36:36"/>
    <x v="0"/>
    <x v="3"/>
    <s v="Peripheral"/>
    <s v="Application Support"/>
    <s v="Noida"/>
    <s v="Portal"/>
    <s v="Resolved"/>
    <n v="48"/>
    <n v="8.61"/>
    <n v="5"/>
    <s v="No"/>
    <x v="0"/>
  </r>
  <r>
    <s v="INC100169"/>
    <d v="2025-03-02T00:00:00"/>
    <d v="2025-03-02T02:14:24"/>
    <x v="1"/>
    <x v="0"/>
    <s v="Installation"/>
    <s v="Application Support"/>
    <s v="Noida"/>
    <s v="Email"/>
    <s v="Resolved"/>
    <n v="24"/>
    <n v="2.2400000000000002"/>
    <n v="3.9"/>
    <s v="No"/>
    <x v="0"/>
  </r>
  <r>
    <s v="INC100170"/>
    <d v="2025-01-05T00:00:00"/>
    <d v="2025-01-05T08:26:24"/>
    <x v="1"/>
    <x v="0"/>
    <s v="Performance"/>
    <s v="Service Desk"/>
    <s v="Gurugram"/>
    <s v="Portal"/>
    <s v="In Progress"/>
    <n v="24"/>
    <n v="8.44"/>
    <n v="3.5"/>
    <s v="No"/>
    <x v="0"/>
  </r>
  <r>
    <s v="INC100171"/>
    <d v="2025-01-20T00:00:00"/>
    <d v="2025-01-20T06:00:00"/>
    <x v="1"/>
    <x v="4"/>
    <s v="Mailbox"/>
    <s v="Service Desk"/>
    <s v="Bengaluru"/>
    <s v="Email"/>
    <s v="Resolved"/>
    <n v="24"/>
    <n v="6"/>
    <n v="5"/>
    <s v="No"/>
    <x v="0"/>
  </r>
  <r>
    <s v="INC100172"/>
    <d v="2025-01-17T00:00:00"/>
    <d v="2025-01-17T05:19:48"/>
    <x v="1"/>
    <x v="2"/>
    <s v="Link Down"/>
    <s v="Access Management"/>
    <s v="Hyderabad"/>
    <s v="Chat"/>
    <s v="Resolved"/>
    <n v="24"/>
    <n v="5.33"/>
    <n v="4.5"/>
    <s v="No"/>
    <x v="0"/>
  </r>
  <r>
    <s v="INC100173"/>
    <d v="2025-05-20T00:00:00"/>
    <d v="2025-05-20T12:55:12"/>
    <x v="1"/>
    <x v="4"/>
    <s v="Spam"/>
    <s v="Access Management"/>
    <s v="Hyderabad"/>
    <s v="Email"/>
    <s v="Resolved"/>
    <n v="24"/>
    <n v="12.92"/>
    <n v="4.2"/>
    <s v="No"/>
    <x v="0"/>
  </r>
  <r>
    <s v="INC100174"/>
    <d v="2025-05-11T00:00:00"/>
    <d v="2025-05-11T21:49:48"/>
    <x v="1"/>
    <x v="3"/>
    <s v="Laptop"/>
    <s v="Network Support"/>
    <s v="Hyderabad"/>
    <s v="Portal"/>
    <s v="Resolved"/>
    <n v="24"/>
    <n v="21.83"/>
    <n v="3.7"/>
    <s v="No"/>
    <x v="0"/>
  </r>
  <r>
    <s v="INC100175"/>
    <d v="2025-05-07T00:00:00"/>
    <d v="2025-05-07T22:06:00"/>
    <x v="1"/>
    <x v="3"/>
    <s v="Monitor"/>
    <s v="Service Desk"/>
    <s v="Mumbai"/>
    <s v="Email"/>
    <s v="Resolved"/>
    <n v="24"/>
    <n v="22.1"/>
    <n v="4.5999999999999996"/>
    <s v="No"/>
    <x v="0"/>
  </r>
  <r>
    <s v="INC100176"/>
    <d v="2025-03-25T00:00:00"/>
    <d v="2025-03-25T21:29:24"/>
    <x v="1"/>
    <x v="0"/>
    <s v="Installation"/>
    <s v="Application Support"/>
    <s v="Delhi"/>
    <s v="Chat"/>
    <s v="Closed"/>
    <n v="24"/>
    <n v="21.49"/>
    <n v="3.6"/>
    <s v="No"/>
    <x v="0"/>
  </r>
  <r>
    <s v="INC100177"/>
    <d v="2025-05-10T00:00:00"/>
    <d v="2025-05-10T06:48:36"/>
    <x v="1"/>
    <x v="2"/>
    <s v="Link Down"/>
    <s v="Network Support"/>
    <s v="Bengaluru"/>
    <s v="Email"/>
    <s v="Resolved"/>
    <n v="24"/>
    <n v="6.81"/>
    <n v="5"/>
    <s v="No"/>
    <x v="0"/>
  </r>
  <r>
    <s v="INC100178"/>
    <d v="2025-01-30T00:00:00"/>
    <d v="2025-01-30T03:59:24"/>
    <x v="3"/>
    <x v="4"/>
    <s v="Delivery"/>
    <s v="Network Support"/>
    <s v="Bengaluru"/>
    <s v="Phone"/>
    <s v="Resolved"/>
    <n v="8"/>
    <n v="3.99"/>
    <n v="3.7"/>
    <s v="No"/>
    <x v="0"/>
  </r>
  <r>
    <s v="INC100179"/>
    <d v="2025-06-13T00:00:00"/>
    <d v="2025-06-13T02:43:12"/>
    <x v="3"/>
    <x v="4"/>
    <s v="Configuration"/>
    <s v="Network Support"/>
    <s v="Delhi"/>
    <s v="Portal"/>
    <s v="Pending"/>
    <n v="8"/>
    <n v="2.72"/>
    <n v="4.8"/>
    <s v="No"/>
    <x v="0"/>
  </r>
  <r>
    <s v="INC100180"/>
    <d v="2025-04-01T00:00:00"/>
    <d v="2025-04-01T06:52:48"/>
    <x v="1"/>
    <x v="4"/>
    <s v="Configuration"/>
    <s v="Desktop Support"/>
    <s v="Delhi"/>
    <s v="Phone"/>
    <s v="Closed"/>
    <n v="24"/>
    <n v="6.88"/>
    <n v="5"/>
    <s v="Yes"/>
    <x v="0"/>
  </r>
  <r>
    <s v="INC100181"/>
    <d v="2025-06-19T00:00:00"/>
    <d v="2025-06-19T02:25:12"/>
    <x v="3"/>
    <x v="4"/>
    <s v="Mailbox"/>
    <s v="Desktop Support"/>
    <s v="Bengaluru"/>
    <s v="Portal"/>
    <s v="In Progress"/>
    <n v="8"/>
    <n v="2.42"/>
    <n v="5"/>
    <s v="No"/>
    <x v="0"/>
  </r>
  <r>
    <s v="INC100182"/>
    <d v="2025-01-28T00:00:00"/>
    <d v="2025-01-28T01:39:00"/>
    <x v="3"/>
    <x v="0"/>
    <s v="Performance"/>
    <s v="Service Desk"/>
    <s v="Mumbai"/>
    <s v="Phone"/>
    <s v="Resolved"/>
    <n v="8"/>
    <n v="1.65"/>
    <n v="3.7"/>
    <s v="No"/>
    <x v="0"/>
  </r>
  <r>
    <s v="INC100183"/>
    <d v="2025-04-01T00:00:00"/>
    <d v="2025-04-02T06:26:24"/>
    <x v="0"/>
    <x v="3"/>
    <s v="Peripheral"/>
    <s v="Network Support"/>
    <s v="Gurugram"/>
    <s v="Phone"/>
    <s v="Pending"/>
    <n v="48"/>
    <n v="30.44"/>
    <n v="4"/>
    <s v="No"/>
    <x v="0"/>
  </r>
  <r>
    <s v="INC100184"/>
    <d v="2025-05-07T00:00:00"/>
    <d v="2025-05-08T02:16:48"/>
    <x v="1"/>
    <x v="1"/>
    <s v="VPN Access"/>
    <s v="Application Support"/>
    <s v="Noida"/>
    <s v="Chat"/>
    <s v="Closed"/>
    <n v="24"/>
    <n v="26.28"/>
    <n v="4.7"/>
    <s v="Yes"/>
    <x v="1"/>
  </r>
  <r>
    <s v="INC100185"/>
    <d v="2025-03-31T00:00:00"/>
    <d v="2025-03-31T15:58:48"/>
    <x v="0"/>
    <x v="2"/>
    <s v="Link Down"/>
    <s v="Access Management"/>
    <s v="Delhi"/>
    <s v="Portal"/>
    <s v="Resolved"/>
    <n v="48"/>
    <n v="15.98"/>
    <n v="5"/>
    <s v="No"/>
    <x v="0"/>
  </r>
  <r>
    <s v="INC100186"/>
    <d v="2025-03-22T00:00:00"/>
    <d v="2025-03-22T02:25:48"/>
    <x v="3"/>
    <x v="1"/>
    <s v="VPN Access"/>
    <s v="Service Desk"/>
    <s v="Delhi"/>
    <s v="Phone"/>
    <s v="Resolved"/>
    <n v="8"/>
    <n v="2.4300000000000002"/>
    <n v="4.5"/>
    <s v="Yes"/>
    <x v="0"/>
  </r>
  <r>
    <s v="INC100187"/>
    <d v="2025-01-31T00:00:00"/>
    <d v="2025-01-31T03:31:12"/>
    <x v="0"/>
    <x v="0"/>
    <s v="License"/>
    <s v="Application Support"/>
    <s v="Bengaluru"/>
    <s v="Portal"/>
    <s v="Resolved"/>
    <n v="48"/>
    <n v="3.52"/>
    <n v="4.9000000000000004"/>
    <s v="No"/>
    <x v="0"/>
  </r>
  <r>
    <s v="INC100188"/>
    <d v="2025-03-10T00:00:00"/>
    <d v="2025-03-10T19:12:00"/>
    <x v="1"/>
    <x v="0"/>
    <s v="Installation"/>
    <s v="Application Support"/>
    <s v="Bengaluru"/>
    <s v="Email"/>
    <s v="Closed"/>
    <n v="24"/>
    <n v="19.2"/>
    <n v="4.2"/>
    <s v="No"/>
    <x v="0"/>
  </r>
  <r>
    <s v="INC100189"/>
    <d v="2025-02-13T00:00:00"/>
    <d v="2025-02-13T02:39:00"/>
    <x v="0"/>
    <x v="3"/>
    <s v="Peripheral"/>
    <s v="Desktop Support"/>
    <s v="Mumbai"/>
    <s v="Email"/>
    <s v="Resolved"/>
    <n v="48"/>
    <n v="2.65"/>
    <n v="4.7"/>
    <s v="No"/>
    <x v="0"/>
  </r>
  <r>
    <s v="INC100190"/>
    <d v="2025-02-24T00:00:00"/>
    <d v="2025-02-24T13:22:48"/>
    <x v="1"/>
    <x v="3"/>
    <s v="Printer"/>
    <s v="Desktop Support"/>
    <s v="Hyderabad"/>
    <s v="Email"/>
    <s v="Closed"/>
    <n v="24"/>
    <n v="13.38"/>
    <n v="4.7"/>
    <s v="No"/>
    <x v="0"/>
  </r>
  <r>
    <s v="INC100191"/>
    <d v="2025-05-04T00:00:00"/>
    <d v="2025-05-04T02:06:36"/>
    <x v="3"/>
    <x v="2"/>
    <s v="DNS"/>
    <s v="Network Support"/>
    <s v="Gurugram"/>
    <s v="Portal"/>
    <s v="Closed"/>
    <n v="8"/>
    <n v="2.11"/>
    <n v="5"/>
    <s v="No"/>
    <x v="0"/>
  </r>
  <r>
    <s v="INC100192"/>
    <d v="2025-04-25T00:00:00"/>
    <d v="2025-04-25T10:13:48"/>
    <x v="1"/>
    <x v="3"/>
    <s v="Printer"/>
    <s v="Access Management"/>
    <s v="Noida"/>
    <s v="Email"/>
    <s v="Closed"/>
    <n v="24"/>
    <n v="10.23"/>
    <n v="3.8"/>
    <s v="No"/>
    <x v="0"/>
  </r>
  <r>
    <s v="INC100193"/>
    <d v="2025-04-20T00:00:00"/>
    <d v="2025-04-20T04:39:00"/>
    <x v="3"/>
    <x v="3"/>
    <s v="Peripheral"/>
    <s v="Access Management"/>
    <s v="Hyderabad"/>
    <s v="Email"/>
    <s v="Resolved"/>
    <n v="8"/>
    <n v="4.6500000000000004"/>
    <n v="4"/>
    <s v="No"/>
    <x v="0"/>
  </r>
  <r>
    <s v="INC100194"/>
    <d v="2025-03-07T00:00:00"/>
    <d v="2025-03-07T02:13:12"/>
    <x v="2"/>
    <x v="2"/>
    <s v="DNS"/>
    <s v="Application Support"/>
    <s v="Delhi"/>
    <s v="Email"/>
    <s v="In Progress"/>
    <n v="4"/>
    <n v="2.2200000000000002"/>
    <n v="4"/>
    <s v="No"/>
    <x v="0"/>
  </r>
  <r>
    <s v="INC100195"/>
    <d v="2025-06-23T00:00:00"/>
    <d v="2025-06-23T08:03:00"/>
    <x v="3"/>
    <x v="2"/>
    <s v="DNS"/>
    <s v="Access Management"/>
    <s v="Mumbai"/>
    <s v="Email"/>
    <s v="Resolved"/>
    <n v="8"/>
    <n v="8.0500000000000007"/>
    <n v="3.6"/>
    <s v="No"/>
    <x v="1"/>
  </r>
  <r>
    <s v="INC100196"/>
    <d v="2025-01-16T00:00:00"/>
    <d v="2025-01-16T02:49:12"/>
    <x v="0"/>
    <x v="0"/>
    <s v="Installation"/>
    <s v="Application Support"/>
    <s v="Hyderabad"/>
    <s v="Phone"/>
    <s v="Closed"/>
    <n v="48"/>
    <n v="2.82"/>
    <n v="5"/>
    <s v="Yes"/>
    <x v="0"/>
  </r>
  <r>
    <s v="INC100197"/>
    <d v="2025-03-04T00:00:00"/>
    <d v="2025-03-04T07:23:24"/>
    <x v="3"/>
    <x v="3"/>
    <s v="Printer"/>
    <s v="Application Support"/>
    <s v="Delhi"/>
    <s v="Portal"/>
    <s v="Resolved"/>
    <n v="8"/>
    <n v="7.39"/>
    <n v="4"/>
    <s v="No"/>
    <x v="0"/>
  </r>
  <r>
    <s v="INC100198"/>
    <d v="2025-01-22T00:00:00"/>
    <d v="2025-01-23T04:47:24"/>
    <x v="0"/>
    <x v="1"/>
    <s v="Permission"/>
    <s v="Access Management"/>
    <s v="Delhi"/>
    <s v="Portal"/>
    <s v="Resolved"/>
    <n v="48"/>
    <n v="28.79"/>
    <n v="3.8"/>
    <s v="No"/>
    <x v="0"/>
  </r>
  <r>
    <s v="INC100199"/>
    <d v="2025-03-03T00:00:00"/>
    <d v="2025-03-04T01:52:12"/>
    <x v="1"/>
    <x v="2"/>
    <s v="DNS"/>
    <s v="Network Support"/>
    <s v="Mumbai"/>
    <s v="Email"/>
    <s v="Resolved"/>
    <n v="24"/>
    <n v="25.87"/>
    <n v="4.5999999999999996"/>
    <s v="No"/>
    <x v="1"/>
  </r>
  <r>
    <s v="INC100200"/>
    <d v="2025-06-24T00:00:00"/>
    <d v="2025-06-24T04:13:48"/>
    <x v="3"/>
    <x v="0"/>
    <s v="Installation"/>
    <s v="Service Desk"/>
    <s v="Noida"/>
    <s v="Phone"/>
    <s v="Closed"/>
    <n v="8"/>
    <n v="4.2300000000000004"/>
    <n v="4.4000000000000004"/>
    <s v="No"/>
    <x v="0"/>
  </r>
  <r>
    <s v="INC100201"/>
    <d v="2025-03-08T00:00:00"/>
    <d v="2025-03-08T03:16:48"/>
    <x v="1"/>
    <x v="2"/>
    <s v="Link Down"/>
    <s v="Service Desk"/>
    <s v="Hyderabad"/>
    <s v="Portal"/>
    <s v="Closed"/>
    <n v="24"/>
    <n v="3.28"/>
    <n v="5"/>
    <s v="No"/>
    <x v="0"/>
  </r>
  <r>
    <s v="INC100202"/>
    <d v="2025-06-14T00:00:00"/>
    <d v="2025-06-14T11:21:36"/>
    <x v="1"/>
    <x v="0"/>
    <s v="Performance"/>
    <s v="Application Support"/>
    <s v="Bengaluru"/>
    <s v="Portal"/>
    <s v="Resolved"/>
    <n v="24"/>
    <n v="11.36"/>
    <n v="5"/>
    <s v="No"/>
    <x v="0"/>
  </r>
  <r>
    <s v="INC100203"/>
    <d v="2025-03-31T00:00:00"/>
    <d v="2025-03-31T18:48:00"/>
    <x v="1"/>
    <x v="0"/>
    <s v="License"/>
    <s v="Service Desk"/>
    <s v="Bengaluru"/>
    <s v="Chat"/>
    <s v="Resolved"/>
    <n v="24"/>
    <n v="18.8"/>
    <n v="3.4"/>
    <s v="No"/>
    <x v="0"/>
  </r>
  <r>
    <s v="INC100204"/>
    <d v="2025-05-07T00:00:00"/>
    <d v="2025-05-07T07:04:12"/>
    <x v="3"/>
    <x v="0"/>
    <s v="License"/>
    <s v="Service Desk"/>
    <s v="Gurugram"/>
    <s v="Phone"/>
    <s v="Closed"/>
    <n v="8"/>
    <n v="7.07"/>
    <n v="3.6"/>
    <s v="No"/>
    <x v="0"/>
  </r>
  <r>
    <s v="INC100205"/>
    <d v="2025-03-24T00:00:00"/>
    <d v="2025-03-24T11:39:36"/>
    <x v="1"/>
    <x v="3"/>
    <s v="Laptop"/>
    <s v="Desktop Support"/>
    <s v="Gurugram"/>
    <s v="Email"/>
    <s v="Resolved"/>
    <n v="24"/>
    <n v="11.66"/>
    <n v="4.0999999999999996"/>
    <s v="No"/>
    <x v="0"/>
  </r>
  <r>
    <s v="INC100206"/>
    <d v="2025-02-18T00:00:00"/>
    <d v="2025-02-18T10:35:24"/>
    <x v="1"/>
    <x v="0"/>
    <s v="License"/>
    <s v="Application Support"/>
    <s v="Gurugram"/>
    <s v="Phone"/>
    <s v="Resolved"/>
    <n v="24"/>
    <n v="10.59"/>
    <n v="4.7"/>
    <s v="No"/>
    <x v="0"/>
  </r>
  <r>
    <s v="INC100207"/>
    <d v="2025-05-19T00:00:00"/>
    <d v="2025-05-19T04:44:24"/>
    <x v="3"/>
    <x v="2"/>
    <s v="DNS"/>
    <s v="Desktop Support"/>
    <s v="Delhi"/>
    <s v="Chat"/>
    <s v="Closed"/>
    <n v="8"/>
    <n v="4.74"/>
    <n v="4.8"/>
    <s v="No"/>
    <x v="0"/>
  </r>
  <r>
    <s v="INC100208"/>
    <d v="2025-06-25T00:00:00"/>
    <d v="2025-06-26T23:14:24"/>
    <x v="0"/>
    <x v="3"/>
    <s v="Laptop"/>
    <s v="Network Support"/>
    <s v="Delhi"/>
    <s v="Email"/>
    <s v="Resolved"/>
    <n v="48"/>
    <n v="47.24"/>
    <n v="3.9"/>
    <s v="No"/>
    <x v="0"/>
  </r>
  <r>
    <s v="INC100209"/>
    <d v="2025-02-17T00:00:00"/>
    <d v="2025-02-17T17:12:00"/>
    <x v="0"/>
    <x v="3"/>
    <s v="Laptop"/>
    <s v="Application Support"/>
    <s v="Hyderabad"/>
    <s v="Portal"/>
    <s v="Resolved"/>
    <n v="48"/>
    <n v="17.2"/>
    <n v="4.2"/>
    <s v="No"/>
    <x v="0"/>
  </r>
  <r>
    <s v="INC100210"/>
    <d v="2025-05-21T00:00:00"/>
    <d v="2025-05-21T16:39:36"/>
    <x v="1"/>
    <x v="0"/>
    <s v="Application Error"/>
    <s v="Desktop Support"/>
    <s v="Delhi"/>
    <s v="Email"/>
    <s v="Resolved"/>
    <n v="24"/>
    <n v="16.66"/>
    <n v="5"/>
    <s v="No"/>
    <x v="0"/>
  </r>
  <r>
    <s v="INC100211"/>
    <d v="2025-02-17T00:00:00"/>
    <d v="2025-02-17T06:17:23"/>
    <x v="2"/>
    <x v="3"/>
    <s v="Peripheral"/>
    <s v="Network Support"/>
    <s v="Bengaluru"/>
    <s v="Chat"/>
    <s v="Resolved"/>
    <n v="4"/>
    <n v="6.29"/>
    <n v="2.8"/>
    <s v="No"/>
    <x v="1"/>
  </r>
  <r>
    <s v="INC100212"/>
    <d v="2025-05-10T00:00:00"/>
    <d v="2025-05-14T12:36:00"/>
    <x v="0"/>
    <x v="1"/>
    <s v="VPN Access"/>
    <s v="Application Support"/>
    <s v="Bengaluru"/>
    <s v="Email"/>
    <s v="Closed"/>
    <n v="48"/>
    <n v="108.6"/>
    <n v="2.8"/>
    <s v="No"/>
    <x v="1"/>
  </r>
  <r>
    <s v="INC100213"/>
    <d v="2025-05-23T00:00:00"/>
    <d v="2025-05-24T23:03:36"/>
    <x v="0"/>
    <x v="3"/>
    <s v="Printer"/>
    <s v="Service Desk"/>
    <s v="Delhi"/>
    <s v="Portal"/>
    <s v="Resolved"/>
    <n v="48"/>
    <n v="47.06"/>
    <n v="3.8"/>
    <s v="No"/>
    <x v="0"/>
  </r>
  <r>
    <s v="INC100214"/>
    <d v="2025-03-23T00:00:00"/>
    <d v="2025-03-23T20:41:24"/>
    <x v="0"/>
    <x v="2"/>
    <s v="Packet Loss"/>
    <s v="Desktop Support"/>
    <s v="Hyderabad"/>
    <s v="Chat"/>
    <s v="Resolved"/>
    <n v="48"/>
    <n v="20.69"/>
    <n v="4.4000000000000004"/>
    <s v="Yes"/>
    <x v="0"/>
  </r>
  <r>
    <s v="INC100215"/>
    <d v="2025-05-14T00:00:00"/>
    <d v="2025-05-14T01:24:36"/>
    <x v="3"/>
    <x v="2"/>
    <s v="Link Down"/>
    <s v="Access Management"/>
    <s v="Bengaluru"/>
    <s v="Phone"/>
    <s v="Resolved"/>
    <n v="8"/>
    <n v="1.41"/>
    <n v="5"/>
    <s v="Yes"/>
    <x v="0"/>
  </r>
  <r>
    <s v="INC100216"/>
    <d v="2025-02-19T00:00:00"/>
    <d v="2025-02-20T08:04:48"/>
    <x v="0"/>
    <x v="2"/>
    <s v="DNS"/>
    <s v="Service Desk"/>
    <s v="Delhi"/>
    <s v="Portal"/>
    <s v="Resolved"/>
    <n v="48"/>
    <n v="32.08"/>
    <n v="5"/>
    <s v="No"/>
    <x v="0"/>
  </r>
  <r>
    <s v="INC100217"/>
    <d v="2025-01-15T00:00:00"/>
    <d v="2025-01-16T08:17:23"/>
    <x v="1"/>
    <x v="0"/>
    <s v="Application Error"/>
    <s v="Access Management"/>
    <s v="Delhi"/>
    <s v="Chat"/>
    <s v="Resolved"/>
    <n v="24"/>
    <n v="32.29"/>
    <n v="3.6"/>
    <s v="No"/>
    <x v="1"/>
  </r>
  <r>
    <s v="INC100218"/>
    <d v="2025-01-18T00:00:00"/>
    <d v="2025-01-18T01:57:00"/>
    <x v="2"/>
    <x v="1"/>
    <s v="Account Lock"/>
    <s v="Desktop Support"/>
    <s v="Mumbai"/>
    <s v="Phone"/>
    <s v="Resolved"/>
    <n v="4"/>
    <n v="1.95"/>
    <n v="4.0999999999999996"/>
    <s v="No"/>
    <x v="0"/>
  </r>
  <r>
    <s v="INC100219"/>
    <d v="2025-03-22T00:00:00"/>
    <d v="2025-03-24T02:49:48"/>
    <x v="0"/>
    <x v="1"/>
    <s v="Password Reset"/>
    <s v="Access Management"/>
    <s v="Bengaluru"/>
    <s v="Phone"/>
    <s v="Closed"/>
    <n v="48"/>
    <n v="50.83"/>
    <n v="4.7"/>
    <s v="No"/>
    <x v="1"/>
  </r>
  <r>
    <s v="INC100220"/>
    <d v="2025-06-13T00:00:00"/>
    <d v="2025-06-14T00:03:36"/>
    <x v="1"/>
    <x v="3"/>
    <s v="Peripheral"/>
    <s v="Access Management"/>
    <s v="Noida"/>
    <s v="Chat"/>
    <s v="Resolved"/>
    <n v="24"/>
    <n v="24.06"/>
    <n v="4.0999999999999996"/>
    <s v="No"/>
    <x v="1"/>
  </r>
  <r>
    <s v="INC100221"/>
    <d v="2025-01-24T00:00:00"/>
    <d v="2025-01-24T12:39:36"/>
    <x v="1"/>
    <x v="2"/>
    <s v="Packet Loss"/>
    <s v="Access Management"/>
    <s v="Noida"/>
    <s v="Portal"/>
    <s v="Pending"/>
    <n v="24"/>
    <n v="12.66"/>
    <n v="4.5"/>
    <s v="No"/>
    <x v="0"/>
  </r>
  <r>
    <s v="INC100222"/>
    <d v="2025-03-24T00:00:00"/>
    <d v="2025-03-24T07:31:48"/>
    <x v="3"/>
    <x v="1"/>
    <s v="Permission"/>
    <s v="Service Desk"/>
    <s v="Delhi"/>
    <s v="Phone"/>
    <s v="Pending"/>
    <n v="8"/>
    <n v="7.53"/>
    <n v="4.5"/>
    <s v="No"/>
    <x v="0"/>
  </r>
  <r>
    <s v="INC100223"/>
    <d v="2025-05-08T00:00:00"/>
    <d v="2025-05-08T04:41:24"/>
    <x v="1"/>
    <x v="2"/>
    <s v="DNS"/>
    <s v="Application Support"/>
    <s v="Delhi"/>
    <s v="Portal"/>
    <s v="Resolved"/>
    <n v="24"/>
    <n v="4.6900000000000004"/>
    <n v="5"/>
    <s v="No"/>
    <x v="0"/>
  </r>
  <r>
    <s v="INC100224"/>
    <d v="2025-02-06T00:00:00"/>
    <d v="2025-02-06T10:46:12"/>
    <x v="1"/>
    <x v="3"/>
    <s v="Laptop"/>
    <s v="Service Desk"/>
    <s v="Bengaluru"/>
    <s v="Phone"/>
    <s v="Closed"/>
    <n v="24"/>
    <n v="10.77"/>
    <n v="5"/>
    <s v="No"/>
    <x v="0"/>
  </r>
  <r>
    <s v="INC100225"/>
    <d v="2025-05-11T00:00:00"/>
    <d v="2025-05-12T10:45:36"/>
    <x v="0"/>
    <x v="1"/>
    <s v="VPN Access"/>
    <s v="Access Management"/>
    <s v="Noida"/>
    <s v="Phone"/>
    <s v="Closed"/>
    <n v="48"/>
    <n v="34.76"/>
    <n v="4.0999999999999996"/>
    <s v="No"/>
    <x v="0"/>
  </r>
  <r>
    <s v="INC100226"/>
    <d v="2025-02-25T00:00:00"/>
    <d v="2025-02-25T04:08:24"/>
    <x v="3"/>
    <x v="3"/>
    <s v="Laptop"/>
    <s v="Access Management"/>
    <s v="Gurugram"/>
    <s v="Phone"/>
    <s v="Resolved"/>
    <n v="8"/>
    <n v="4.1399999999999997"/>
    <n v="5"/>
    <s v="No"/>
    <x v="0"/>
  </r>
  <r>
    <s v="INC100227"/>
    <d v="2025-05-27T00:00:00"/>
    <d v="2025-05-27T01:42:36"/>
    <x v="3"/>
    <x v="2"/>
    <s v="DNS"/>
    <s v="Application Support"/>
    <s v="Noida"/>
    <s v="Phone"/>
    <s v="Resolved"/>
    <n v="8"/>
    <n v="1.71"/>
    <n v="5"/>
    <s v="No"/>
    <x v="0"/>
  </r>
  <r>
    <s v="INC100228"/>
    <d v="2025-04-15T00:00:00"/>
    <d v="2025-04-16T21:13:48"/>
    <x v="0"/>
    <x v="2"/>
    <s v="Packet Loss"/>
    <s v="Access Management"/>
    <s v="Bengaluru"/>
    <s v="Phone"/>
    <s v="Pending"/>
    <n v="48"/>
    <n v="45.23"/>
    <n v="4.2"/>
    <s v="No"/>
    <x v="0"/>
  </r>
  <r>
    <s v="INC100229"/>
    <d v="2025-04-09T00:00:00"/>
    <d v="2025-04-09T17:13:48"/>
    <x v="1"/>
    <x v="0"/>
    <s v="License"/>
    <s v="Desktop Support"/>
    <s v="Gurugram"/>
    <s v="Portal"/>
    <s v="Resolved"/>
    <n v="24"/>
    <n v="17.23"/>
    <n v="3.9"/>
    <s v="No"/>
    <x v="0"/>
  </r>
  <r>
    <s v="INC100230"/>
    <d v="2025-02-01T00:00:00"/>
    <d v="2025-02-01T04:46:48"/>
    <x v="3"/>
    <x v="2"/>
    <s v="Connectivity"/>
    <s v="Network Support"/>
    <s v="Noida"/>
    <s v="Portal"/>
    <s v="Resolved"/>
    <n v="8"/>
    <n v="4.78"/>
    <n v="4.0999999999999996"/>
    <s v="No"/>
    <x v="0"/>
  </r>
  <r>
    <s v="INC100231"/>
    <d v="2025-03-25T00:00:00"/>
    <d v="2025-03-27T10:10:12"/>
    <x v="0"/>
    <x v="0"/>
    <s v="License"/>
    <s v="Access Management"/>
    <s v="Gurugram"/>
    <s v="Portal"/>
    <s v="Resolved"/>
    <n v="48"/>
    <n v="58.17"/>
    <n v="3.9"/>
    <s v="Yes"/>
    <x v="1"/>
  </r>
  <r>
    <s v="INC100232"/>
    <d v="2025-06-05T00:00:00"/>
    <d v="2025-06-06T21:52:48"/>
    <x v="0"/>
    <x v="3"/>
    <s v="Peripheral"/>
    <s v="Desktop Support"/>
    <s v="Bengaluru"/>
    <s v="Phone"/>
    <s v="Resolved"/>
    <n v="48"/>
    <n v="45.88"/>
    <n v="3.3"/>
    <s v="No"/>
    <x v="0"/>
  </r>
  <r>
    <s v="INC100233"/>
    <d v="2025-01-04T00:00:00"/>
    <d v="2025-01-04T00:51:36"/>
    <x v="1"/>
    <x v="3"/>
    <s v="Laptop"/>
    <s v="Network Support"/>
    <s v="Delhi"/>
    <s v="Email"/>
    <s v="Resolved"/>
    <n v="24"/>
    <n v="0.86"/>
    <n v="4.5999999999999996"/>
    <s v="No"/>
    <x v="0"/>
  </r>
  <r>
    <s v="INC100234"/>
    <d v="2025-05-18T00:00:00"/>
    <d v="2025-05-18T14:30:00"/>
    <x v="1"/>
    <x v="2"/>
    <s v="Packet Loss"/>
    <s v="Network Support"/>
    <s v="Hyderabad"/>
    <s v="Email"/>
    <s v="In Progress"/>
    <n v="24"/>
    <n v="14.5"/>
    <n v="4.3"/>
    <s v="No"/>
    <x v="0"/>
  </r>
  <r>
    <s v="INC100235"/>
    <d v="2025-03-31T00:00:00"/>
    <d v="2025-04-01T04:21:00"/>
    <x v="0"/>
    <x v="1"/>
    <s v="VPN Access"/>
    <s v="Application Support"/>
    <s v="Bengaluru"/>
    <s v="Portal"/>
    <s v="Resolved"/>
    <n v="48"/>
    <n v="28.35"/>
    <n v="5"/>
    <s v="No"/>
    <x v="0"/>
  </r>
  <r>
    <s v="INC100236"/>
    <d v="2025-05-11T00:00:00"/>
    <d v="2025-05-11T09:37:12"/>
    <x v="1"/>
    <x v="3"/>
    <s v="Monitor"/>
    <s v="Access Management"/>
    <s v="Gurugram"/>
    <s v="Email"/>
    <s v="Resolved"/>
    <n v="24"/>
    <n v="9.6199999999999992"/>
    <n v="4.5999999999999996"/>
    <s v="Yes"/>
    <x v="0"/>
  </r>
  <r>
    <s v="INC100237"/>
    <d v="2025-05-01T00:00:00"/>
    <d v="2025-05-01T02:50:24"/>
    <x v="0"/>
    <x v="1"/>
    <s v="Account Lock"/>
    <s v="Application Support"/>
    <s v="Mumbai"/>
    <s v="Email"/>
    <s v="Resolved"/>
    <n v="48"/>
    <n v="2.84"/>
    <n v="5"/>
    <s v="No"/>
    <x v="0"/>
  </r>
  <r>
    <s v="INC100238"/>
    <d v="2025-03-20T00:00:00"/>
    <d v="2025-03-20T06:34:47"/>
    <x v="1"/>
    <x v="3"/>
    <s v="Monitor"/>
    <s v="Desktop Support"/>
    <s v="Hyderabad"/>
    <s v="Chat"/>
    <s v="Closed"/>
    <n v="24"/>
    <n v="6.58"/>
    <n v="4"/>
    <s v="No"/>
    <x v="0"/>
  </r>
  <r>
    <s v="INC100239"/>
    <d v="2025-02-25T00:00:00"/>
    <d v="2025-02-25T01:02:24"/>
    <x v="1"/>
    <x v="2"/>
    <s v="Packet Loss"/>
    <s v="Service Desk"/>
    <s v="Delhi"/>
    <s v="Phone"/>
    <s v="Resolved"/>
    <n v="24"/>
    <n v="1.04"/>
    <n v="5"/>
    <s v="No"/>
    <x v="0"/>
  </r>
  <r>
    <s v="INC100240"/>
    <d v="2025-04-24T00:00:00"/>
    <d v="2025-04-25T22:21:00"/>
    <x v="1"/>
    <x v="3"/>
    <s v="Peripheral"/>
    <s v="Desktop Support"/>
    <s v="Gurugram"/>
    <s v="Email"/>
    <s v="Resolved"/>
    <n v="24"/>
    <n v="46.35"/>
    <n v="3.4"/>
    <s v="No"/>
    <x v="1"/>
  </r>
  <r>
    <s v="INC100241"/>
    <d v="2025-01-26T00:00:00"/>
    <d v="2025-01-27T00:57:00"/>
    <x v="0"/>
    <x v="0"/>
    <s v="Performance"/>
    <s v="Service Desk"/>
    <s v="Delhi"/>
    <s v="Phone"/>
    <s v="Closed"/>
    <n v="48"/>
    <n v="24.95"/>
    <n v="5"/>
    <s v="No"/>
    <x v="0"/>
  </r>
  <r>
    <s v="INC100242"/>
    <d v="2025-04-16T00:00:00"/>
    <d v="2025-04-16T06:01:12"/>
    <x v="3"/>
    <x v="3"/>
    <s v="Printer"/>
    <s v="Service Desk"/>
    <s v="Delhi"/>
    <s v="Portal"/>
    <s v="Pending"/>
    <n v="8"/>
    <n v="6.02"/>
    <n v="3.2"/>
    <s v="No"/>
    <x v="0"/>
  </r>
  <r>
    <s v="INC100243"/>
    <d v="2025-01-18T00:00:00"/>
    <d v="2025-01-18T10:07:12"/>
    <x v="0"/>
    <x v="1"/>
    <s v="VPN Access"/>
    <s v="Network Support"/>
    <s v="Mumbai"/>
    <s v="Portal"/>
    <s v="Resolved"/>
    <n v="48"/>
    <n v="10.119999999999999"/>
    <n v="5"/>
    <s v="No"/>
    <x v="0"/>
  </r>
  <r>
    <s v="INC100244"/>
    <d v="2025-04-28T00:00:00"/>
    <d v="2025-04-28T00:32:24"/>
    <x v="3"/>
    <x v="4"/>
    <s v="Configuration"/>
    <s v="Desktop Support"/>
    <s v="Gurugram"/>
    <s v="Email"/>
    <s v="Closed"/>
    <n v="8"/>
    <n v="0.54"/>
    <n v="4.3"/>
    <s v="No"/>
    <x v="0"/>
  </r>
  <r>
    <s v="INC100245"/>
    <d v="2025-04-24T00:00:00"/>
    <d v="2025-04-24T09:04:48"/>
    <x v="1"/>
    <x v="1"/>
    <s v="Account Lock"/>
    <s v="Service Desk"/>
    <s v="Noida"/>
    <s v="Phone"/>
    <s v="Resolved"/>
    <n v="24"/>
    <n v="9.08"/>
    <n v="5"/>
    <s v="No"/>
    <x v="0"/>
  </r>
  <r>
    <s v="INC100246"/>
    <d v="2025-01-16T00:00:00"/>
    <d v="2025-01-16T02:41:24"/>
    <x v="3"/>
    <x v="0"/>
    <s v="License"/>
    <s v="Network Support"/>
    <s v="Mumbai"/>
    <s v="Portal"/>
    <s v="Resolved"/>
    <n v="8"/>
    <n v="2.69"/>
    <n v="4.8"/>
    <s v="No"/>
    <x v="0"/>
  </r>
  <r>
    <s v="INC100247"/>
    <d v="2025-05-18T00:00:00"/>
    <d v="2025-05-19T06:08:24"/>
    <x v="0"/>
    <x v="0"/>
    <s v="Installation"/>
    <s v="Service Desk"/>
    <s v="Bengaluru"/>
    <s v="Portal"/>
    <s v="Resolved"/>
    <n v="48"/>
    <n v="30.14"/>
    <n v="4.5999999999999996"/>
    <s v="No"/>
    <x v="0"/>
  </r>
  <r>
    <s v="INC100248"/>
    <d v="2025-03-17T00:00:00"/>
    <d v="2025-03-17T18:49:12"/>
    <x v="0"/>
    <x v="0"/>
    <s v="Performance"/>
    <s v="Application Support"/>
    <s v="Mumbai"/>
    <s v="Email"/>
    <s v="Resolved"/>
    <n v="48"/>
    <n v="18.82"/>
    <n v="4.0999999999999996"/>
    <s v="No"/>
    <x v="0"/>
  </r>
  <r>
    <s v="INC100249"/>
    <d v="2025-05-23T00:00:00"/>
    <d v="2025-05-25T05:01:48"/>
    <x v="1"/>
    <x v="3"/>
    <s v="Monitor"/>
    <s v="Desktop Support"/>
    <s v="Delhi"/>
    <s v="Portal"/>
    <s v="In Progress"/>
    <n v="24"/>
    <n v="53.03"/>
    <n v="1.7"/>
    <s v="No"/>
    <x v="1"/>
  </r>
  <r>
    <s v="INC100250"/>
    <d v="2025-01-08T00:00:00"/>
    <d v="2025-01-10T04:22:48"/>
    <x v="0"/>
    <x v="1"/>
    <s v="VPN Access"/>
    <s v="Desktop Support"/>
    <s v="Hyderabad"/>
    <s v="Portal"/>
    <s v="Resolved"/>
    <n v="48"/>
    <n v="52.38"/>
    <n v="3.3"/>
    <s v="No"/>
    <x v="1"/>
  </r>
  <r>
    <s v="INC100251"/>
    <d v="2025-02-02T00:00:00"/>
    <d v="2025-02-04T20:14:24"/>
    <x v="0"/>
    <x v="1"/>
    <s v="Permission"/>
    <s v="Desktop Support"/>
    <s v="Delhi"/>
    <s v="Email"/>
    <s v="Closed"/>
    <n v="48"/>
    <n v="68.239999999999995"/>
    <n v="3.5"/>
    <s v="No"/>
    <x v="1"/>
  </r>
  <r>
    <s v="INC100252"/>
    <d v="2025-03-31T00:00:00"/>
    <d v="2025-03-31T04:10:48"/>
    <x v="3"/>
    <x v="2"/>
    <s v="Packet Loss"/>
    <s v="Desktop Support"/>
    <s v="Mumbai"/>
    <s v="Chat"/>
    <s v="Resolved"/>
    <n v="8"/>
    <n v="4.18"/>
    <n v="4.2"/>
    <s v="No"/>
    <x v="0"/>
  </r>
  <r>
    <s v="INC100253"/>
    <d v="2025-02-04T00:00:00"/>
    <d v="2025-02-04T04:57:00"/>
    <x v="3"/>
    <x v="4"/>
    <s v="Spam"/>
    <s v="Desktop Support"/>
    <s v="Bengaluru"/>
    <s v="Portal"/>
    <s v="Resolved"/>
    <n v="8"/>
    <n v="4.95"/>
    <n v="4.4000000000000004"/>
    <s v="No"/>
    <x v="0"/>
  </r>
  <r>
    <s v="INC100254"/>
    <d v="2025-03-01T00:00:00"/>
    <d v="2025-03-03T16:06:36"/>
    <x v="0"/>
    <x v="1"/>
    <s v="Permission"/>
    <s v="Access Management"/>
    <s v="Noida"/>
    <s v="Portal"/>
    <s v="Pending"/>
    <n v="48"/>
    <n v="64.11"/>
    <n v="2.7"/>
    <s v="Yes"/>
    <x v="1"/>
  </r>
  <r>
    <s v="INC100255"/>
    <d v="2025-04-30T00:00:00"/>
    <d v="2025-04-30T02:56:24"/>
    <x v="3"/>
    <x v="3"/>
    <s v="Peripheral"/>
    <s v="Application Support"/>
    <s v="Hyderabad"/>
    <s v="Portal"/>
    <s v="Closed"/>
    <n v="8"/>
    <n v="2.94"/>
    <n v="4.5999999999999996"/>
    <s v="No"/>
    <x v="0"/>
  </r>
  <r>
    <s v="INC100256"/>
    <d v="2025-01-27T00:00:00"/>
    <d v="2025-01-27T05:48:00"/>
    <x v="3"/>
    <x v="4"/>
    <s v="Spam"/>
    <s v="Network Support"/>
    <s v="Hyderabad"/>
    <s v="Portal"/>
    <s v="Resolved"/>
    <n v="8"/>
    <n v="5.8"/>
    <n v="5"/>
    <s v="No"/>
    <x v="0"/>
  </r>
  <r>
    <s v="INC100257"/>
    <d v="2025-05-03T00:00:00"/>
    <d v="2025-05-03T03:08:24"/>
    <x v="3"/>
    <x v="2"/>
    <s v="DNS"/>
    <s v="Access Management"/>
    <s v="Delhi"/>
    <s v="Phone"/>
    <s v="Resolved"/>
    <n v="8"/>
    <n v="3.14"/>
    <n v="4.7"/>
    <s v="No"/>
    <x v="0"/>
  </r>
  <r>
    <s v="INC100258"/>
    <d v="2025-01-19T00:00:00"/>
    <d v="2025-01-19T18:06:00"/>
    <x v="1"/>
    <x v="2"/>
    <s v="Link Down"/>
    <s v="Network Support"/>
    <s v="Hyderabad"/>
    <s v="Portal"/>
    <s v="Resolved"/>
    <n v="24"/>
    <n v="18.100000000000001"/>
    <n v="4.4000000000000004"/>
    <s v="No"/>
    <x v="0"/>
  </r>
  <r>
    <s v="INC100259"/>
    <d v="2025-02-01T00:00:00"/>
    <d v="2025-02-01T03:43:12"/>
    <x v="1"/>
    <x v="3"/>
    <s v="Laptop"/>
    <s v="Network Support"/>
    <s v="Gurugram"/>
    <s v="Portal"/>
    <s v="Pending"/>
    <n v="24"/>
    <n v="3.72"/>
    <n v="5"/>
    <s v="No"/>
    <x v="0"/>
  </r>
  <r>
    <s v="INC100260"/>
    <d v="2025-04-17T00:00:00"/>
    <d v="2025-04-17T07:45:00"/>
    <x v="1"/>
    <x v="0"/>
    <s v="Performance"/>
    <s v="Desktop Support"/>
    <s v="Mumbai"/>
    <s v="Chat"/>
    <s v="Resolved"/>
    <n v="24"/>
    <n v="7.75"/>
    <n v="4.3"/>
    <s v="No"/>
    <x v="0"/>
  </r>
  <r>
    <s v="INC100261"/>
    <d v="2025-05-24T00:00:00"/>
    <d v="2025-05-24T15:06:00"/>
    <x v="1"/>
    <x v="3"/>
    <s v="Printer"/>
    <s v="Service Desk"/>
    <s v="Mumbai"/>
    <s v="Phone"/>
    <s v="Resolved"/>
    <n v="24"/>
    <n v="15.1"/>
    <n v="5"/>
    <s v="No"/>
    <x v="0"/>
  </r>
  <r>
    <s v="INC100262"/>
    <d v="2025-01-31T00:00:00"/>
    <d v="2025-01-31T05:28:48"/>
    <x v="3"/>
    <x v="4"/>
    <s v="Spam"/>
    <s v="Application Support"/>
    <s v="Bengaluru"/>
    <s v="Portal"/>
    <s v="Closed"/>
    <n v="8"/>
    <n v="5.48"/>
    <n v="4.4000000000000004"/>
    <s v="No"/>
    <x v="0"/>
  </r>
  <r>
    <s v="INC100263"/>
    <d v="2025-02-24T00:00:00"/>
    <d v="2025-02-25T18:15:36"/>
    <x v="0"/>
    <x v="2"/>
    <s v="Packet Loss"/>
    <s v="Application Support"/>
    <s v="Hyderabad"/>
    <s v="Portal"/>
    <s v="Pending"/>
    <n v="48"/>
    <n v="42.26"/>
    <n v="4.0999999999999996"/>
    <s v="No"/>
    <x v="0"/>
  </r>
  <r>
    <s v="INC100264"/>
    <d v="2025-06-17T00:00:00"/>
    <d v="2025-06-17T04:27:00"/>
    <x v="1"/>
    <x v="3"/>
    <s v="Printer"/>
    <s v="Network Support"/>
    <s v="Mumbai"/>
    <s v="Phone"/>
    <s v="Resolved"/>
    <n v="24"/>
    <n v="4.45"/>
    <n v="5"/>
    <s v="No"/>
    <x v="0"/>
  </r>
  <r>
    <s v="INC100265"/>
    <d v="2025-06-29T00:00:00"/>
    <d v="2025-06-30T05:19:12"/>
    <x v="0"/>
    <x v="0"/>
    <s v="License"/>
    <s v="Desktop Support"/>
    <s v="Bengaluru"/>
    <s v="Email"/>
    <s v="Closed"/>
    <n v="48"/>
    <n v="29.32"/>
    <n v="4.9000000000000004"/>
    <s v="No"/>
    <x v="0"/>
  </r>
  <r>
    <s v="INC100266"/>
    <d v="2025-04-16T00:00:00"/>
    <d v="2025-04-16T00:54:36"/>
    <x v="3"/>
    <x v="2"/>
    <s v="DNS"/>
    <s v="Application Support"/>
    <s v="Gurugram"/>
    <s v="Chat"/>
    <s v="Resolved"/>
    <n v="8"/>
    <n v="0.91"/>
    <n v="4.0999999999999996"/>
    <s v="No"/>
    <x v="0"/>
  </r>
  <r>
    <s v="INC100267"/>
    <d v="2025-03-22T00:00:00"/>
    <d v="2025-03-22T09:50:24"/>
    <x v="1"/>
    <x v="1"/>
    <s v="VPN Access"/>
    <s v="Application Support"/>
    <s v="Noida"/>
    <s v="Portal"/>
    <s v="Closed"/>
    <n v="24"/>
    <n v="9.84"/>
    <n v="4.5"/>
    <s v="No"/>
    <x v="0"/>
  </r>
  <r>
    <s v="INC100268"/>
    <d v="2025-03-04T00:00:00"/>
    <d v="2025-03-04T12:51:00"/>
    <x v="1"/>
    <x v="3"/>
    <s v="Monitor"/>
    <s v="Desktop Support"/>
    <s v="Hyderabad"/>
    <s v="Phone"/>
    <s v="Resolved"/>
    <n v="24"/>
    <n v="12.85"/>
    <n v="5"/>
    <s v="No"/>
    <x v="0"/>
  </r>
  <r>
    <s v="INC100269"/>
    <d v="2025-04-21T00:00:00"/>
    <d v="2025-04-21T03:48:36"/>
    <x v="3"/>
    <x v="4"/>
    <s v="Mailbox"/>
    <s v="Application Support"/>
    <s v="Gurugram"/>
    <s v="Portal"/>
    <s v="In Progress"/>
    <n v="8"/>
    <n v="3.81"/>
    <n v="5"/>
    <s v="No"/>
    <x v="0"/>
  </r>
  <r>
    <s v="INC100270"/>
    <d v="2025-04-17T00:00:00"/>
    <d v="2025-04-17T06:10:48"/>
    <x v="2"/>
    <x v="0"/>
    <s v="Application Error"/>
    <s v="Desktop Support"/>
    <s v="Hyderabad"/>
    <s v="Portal"/>
    <s v="Closed"/>
    <n v="4"/>
    <n v="6.18"/>
    <n v="3.1"/>
    <s v="Yes"/>
    <x v="1"/>
  </r>
  <r>
    <s v="INC100271"/>
    <d v="2025-02-23T00:00:00"/>
    <d v="2025-02-24T01:52:48"/>
    <x v="0"/>
    <x v="2"/>
    <s v="Packet Loss"/>
    <s v="Service Desk"/>
    <s v="Gurugram"/>
    <s v="Phone"/>
    <s v="Pending"/>
    <n v="48"/>
    <n v="25.88"/>
    <n v="4.8"/>
    <s v="No"/>
    <x v="0"/>
  </r>
  <r>
    <s v="INC100272"/>
    <d v="2025-01-05T00:00:00"/>
    <d v="2025-01-05T06:21:36"/>
    <x v="3"/>
    <x v="2"/>
    <s v="Packet Loss"/>
    <s v="Desktop Support"/>
    <s v="Bengaluru"/>
    <s v="Phone"/>
    <s v="Resolved"/>
    <n v="8"/>
    <n v="6.36"/>
    <n v="3.8"/>
    <s v="No"/>
    <x v="0"/>
  </r>
  <r>
    <s v="INC100273"/>
    <d v="2025-01-28T00:00:00"/>
    <d v="2025-01-28T05:02:24"/>
    <x v="3"/>
    <x v="2"/>
    <s v="Packet Loss"/>
    <s v="Application Support"/>
    <s v="Bengaluru"/>
    <s v="Portal"/>
    <s v="In Progress"/>
    <n v="8"/>
    <n v="5.04"/>
    <n v="4.5"/>
    <s v="No"/>
    <x v="0"/>
  </r>
  <r>
    <s v="INC100274"/>
    <d v="2025-06-23T00:00:00"/>
    <d v="2025-06-24T00:37:48"/>
    <x v="0"/>
    <x v="4"/>
    <s v="Mailbox"/>
    <s v="Network Support"/>
    <s v="Gurugram"/>
    <s v="Portal"/>
    <s v="Resolved"/>
    <n v="48"/>
    <n v="24.63"/>
    <n v="4.0999999999999996"/>
    <s v="No"/>
    <x v="0"/>
  </r>
  <r>
    <s v="INC100275"/>
    <d v="2025-03-17T00:00:00"/>
    <d v="2025-03-17T06:01:48"/>
    <x v="3"/>
    <x v="0"/>
    <s v="Performance"/>
    <s v="Application Support"/>
    <s v="Noida"/>
    <s v="Phone"/>
    <s v="Resolved"/>
    <n v="8"/>
    <n v="6.03"/>
    <n v="3.8"/>
    <s v="No"/>
    <x v="0"/>
  </r>
  <r>
    <s v="INC100276"/>
    <d v="2025-03-29T00:00:00"/>
    <d v="2025-03-29T14:09:00"/>
    <x v="1"/>
    <x v="3"/>
    <s v="Peripheral"/>
    <s v="Service Desk"/>
    <s v="Delhi"/>
    <s v="Portal"/>
    <s v="Resolved"/>
    <n v="24"/>
    <n v="14.15"/>
    <n v="3.9"/>
    <s v="No"/>
    <x v="0"/>
  </r>
  <r>
    <s v="INC100277"/>
    <d v="2025-03-26T00:00:00"/>
    <d v="2025-03-26T13:15:00"/>
    <x v="1"/>
    <x v="2"/>
    <s v="Packet Loss"/>
    <s v="Network Support"/>
    <s v="Noida"/>
    <s v="Portal"/>
    <s v="Closed"/>
    <n v="24"/>
    <n v="13.25"/>
    <n v="5"/>
    <s v="No"/>
    <x v="0"/>
  </r>
  <r>
    <s v="INC100278"/>
    <d v="2025-05-22T00:00:00"/>
    <d v="2025-05-22T10:34:11"/>
    <x v="1"/>
    <x v="1"/>
    <s v="Permission"/>
    <s v="Application Support"/>
    <s v="Hyderabad"/>
    <s v="Portal"/>
    <s v="Resolved"/>
    <n v="24"/>
    <n v="10.57"/>
    <n v="4.2"/>
    <s v="No"/>
    <x v="0"/>
  </r>
  <r>
    <s v="INC100279"/>
    <d v="2025-01-12T00:00:00"/>
    <d v="2025-01-12T17:39:00"/>
    <x v="0"/>
    <x v="2"/>
    <s v="Connectivity"/>
    <s v="Service Desk"/>
    <s v="Delhi"/>
    <s v="Portal"/>
    <s v="Closed"/>
    <n v="48"/>
    <n v="17.649999999999999"/>
    <n v="5"/>
    <s v="No"/>
    <x v="0"/>
  </r>
  <r>
    <s v="INC100280"/>
    <d v="2025-01-15T00:00:00"/>
    <d v="2025-01-15T15:41:24"/>
    <x v="0"/>
    <x v="0"/>
    <s v="Installation"/>
    <s v="Desktop Support"/>
    <s v="Hyderabad"/>
    <s v="Phone"/>
    <s v="Closed"/>
    <n v="48"/>
    <n v="15.69"/>
    <n v="4.3"/>
    <s v="No"/>
    <x v="0"/>
  </r>
  <r>
    <s v="INC100281"/>
    <d v="2025-02-19T00:00:00"/>
    <d v="2025-02-20T02:32:24"/>
    <x v="0"/>
    <x v="1"/>
    <s v="Permission"/>
    <s v="Application Support"/>
    <s v="Mumbai"/>
    <s v="Portal"/>
    <s v="Closed"/>
    <n v="48"/>
    <n v="26.54"/>
    <n v="4"/>
    <s v="No"/>
    <x v="0"/>
  </r>
  <r>
    <s v="INC100282"/>
    <d v="2025-03-30T00:00:00"/>
    <d v="2025-03-31T01:08:24"/>
    <x v="0"/>
    <x v="3"/>
    <s v="Printer"/>
    <s v="Desktop Support"/>
    <s v="Mumbai"/>
    <s v="Email"/>
    <s v="Resolved"/>
    <n v="48"/>
    <n v="25.14"/>
    <n v="4.5999999999999996"/>
    <s v="No"/>
    <x v="0"/>
  </r>
  <r>
    <s v="INC100283"/>
    <d v="2025-05-02T00:00:00"/>
    <d v="2025-05-03T07:24:36"/>
    <x v="1"/>
    <x v="0"/>
    <s v="Performance"/>
    <s v="Application Support"/>
    <s v="Gurugram"/>
    <s v="Email"/>
    <s v="Closed"/>
    <n v="24"/>
    <n v="31.41"/>
    <n v="2.6"/>
    <s v="No"/>
    <x v="1"/>
  </r>
  <r>
    <s v="INC100284"/>
    <d v="2025-03-30T00:00:00"/>
    <d v="2025-03-30T03:19:12"/>
    <x v="1"/>
    <x v="2"/>
    <s v="Packet Loss"/>
    <s v="Access Management"/>
    <s v="Hyderabad"/>
    <s v="Portal"/>
    <s v="Resolved"/>
    <n v="24"/>
    <n v="3.32"/>
    <n v="5"/>
    <s v="Yes"/>
    <x v="0"/>
  </r>
  <r>
    <s v="INC100285"/>
    <d v="2025-03-21T00:00:00"/>
    <d v="2025-03-24T05:59:24"/>
    <x v="0"/>
    <x v="3"/>
    <s v="Printer"/>
    <s v="Application Support"/>
    <s v="Gurugram"/>
    <s v="Email"/>
    <s v="Closed"/>
    <n v="48"/>
    <n v="77.989999999999995"/>
    <n v="3"/>
    <s v="No"/>
    <x v="1"/>
  </r>
  <r>
    <s v="INC100286"/>
    <d v="2025-06-19T00:00:00"/>
    <d v="2025-06-19T04:34:11"/>
    <x v="1"/>
    <x v="4"/>
    <s v="Spam"/>
    <s v="Network Support"/>
    <s v="Bengaluru"/>
    <s v="Portal"/>
    <s v="Resolved"/>
    <n v="24"/>
    <n v="4.57"/>
    <n v="4.4000000000000004"/>
    <s v="No"/>
    <x v="0"/>
  </r>
  <r>
    <s v="INC100287"/>
    <d v="2025-01-30T00:00:00"/>
    <d v="2025-01-30T12:12:36"/>
    <x v="1"/>
    <x v="0"/>
    <s v="Performance"/>
    <s v="Service Desk"/>
    <s v="Delhi"/>
    <s v="Phone"/>
    <s v="Closed"/>
    <n v="24"/>
    <n v="12.21"/>
    <n v="3.9"/>
    <s v="No"/>
    <x v="0"/>
  </r>
  <r>
    <s v="INC100288"/>
    <d v="2025-04-14T00:00:00"/>
    <d v="2025-04-14T16:33:36"/>
    <x v="1"/>
    <x v="1"/>
    <s v="Account Lock"/>
    <s v="Desktop Support"/>
    <s v="Hyderabad"/>
    <s v="Phone"/>
    <s v="Closed"/>
    <n v="24"/>
    <n v="16.559999999999999"/>
    <n v="5"/>
    <s v="No"/>
    <x v="0"/>
  </r>
  <r>
    <s v="INC100289"/>
    <d v="2025-04-09T00:00:00"/>
    <d v="2025-04-09T01:51:36"/>
    <x v="3"/>
    <x v="0"/>
    <s v="Installation"/>
    <s v="Desktop Support"/>
    <s v="Mumbai"/>
    <s v="Phone"/>
    <s v="Resolved"/>
    <n v="8"/>
    <n v="1.86"/>
    <n v="4.7"/>
    <s v="No"/>
    <x v="0"/>
  </r>
  <r>
    <s v="INC100290"/>
    <d v="2025-03-27T00:00:00"/>
    <d v="2025-03-27T04:28:12"/>
    <x v="1"/>
    <x v="2"/>
    <s v="Link Down"/>
    <s v="Service Desk"/>
    <s v="Delhi"/>
    <s v="Portal"/>
    <s v="Resolved"/>
    <n v="24"/>
    <n v="4.47"/>
    <n v="4.7"/>
    <s v="No"/>
    <x v="0"/>
  </r>
  <r>
    <s v="INC100291"/>
    <d v="2025-05-27T00:00:00"/>
    <d v="2025-05-27T03:43:12"/>
    <x v="3"/>
    <x v="0"/>
    <s v="Performance"/>
    <s v="Network Support"/>
    <s v="Bengaluru"/>
    <s v="Phone"/>
    <s v="Resolved"/>
    <n v="8"/>
    <n v="3.72"/>
    <n v="5"/>
    <s v="No"/>
    <x v="0"/>
  </r>
  <r>
    <s v="INC100292"/>
    <d v="2025-02-18T00:00:00"/>
    <d v="2025-02-19T14:49:48"/>
    <x v="0"/>
    <x v="0"/>
    <s v="License"/>
    <s v="Network Support"/>
    <s v="Gurugram"/>
    <s v="Email"/>
    <s v="Closed"/>
    <n v="48"/>
    <n v="38.83"/>
    <n v="3.5"/>
    <s v="No"/>
    <x v="0"/>
  </r>
  <r>
    <s v="INC100293"/>
    <d v="2025-06-22T00:00:00"/>
    <d v="2025-06-22T07:43:12"/>
    <x v="3"/>
    <x v="2"/>
    <s v="Packet Loss"/>
    <s v="Network Support"/>
    <s v="Noida"/>
    <s v="Portal"/>
    <s v="In Progress"/>
    <n v="8"/>
    <n v="7.72"/>
    <n v="4.5999999999999996"/>
    <s v="No"/>
    <x v="0"/>
  </r>
  <r>
    <s v="INC100294"/>
    <d v="2025-03-02T00:00:00"/>
    <d v="2025-03-02T00:38:24"/>
    <x v="2"/>
    <x v="3"/>
    <s v="Laptop"/>
    <s v="Access Management"/>
    <s v="Bengaluru"/>
    <s v="Portal"/>
    <s v="Resolved"/>
    <n v="4"/>
    <n v="0.64"/>
    <n v="4.8"/>
    <s v="No"/>
    <x v="0"/>
  </r>
  <r>
    <s v="INC100295"/>
    <d v="2025-04-09T00:00:00"/>
    <d v="2025-04-09T03:36:00"/>
    <x v="3"/>
    <x v="0"/>
    <s v="Performance"/>
    <s v="Service Desk"/>
    <s v="Hyderabad"/>
    <s v="Portal"/>
    <s v="Pending"/>
    <n v="8"/>
    <n v="3.6"/>
    <n v="3.6"/>
    <s v="No"/>
    <x v="0"/>
  </r>
  <r>
    <s v="INC100296"/>
    <d v="2025-04-05T00:00:00"/>
    <d v="2025-04-05T02:15:36"/>
    <x v="1"/>
    <x v="1"/>
    <s v="Account Lock"/>
    <s v="Access Management"/>
    <s v="Gurugram"/>
    <s v="Portal"/>
    <s v="Resolved"/>
    <n v="24"/>
    <n v="2.2599999999999998"/>
    <n v="4.5"/>
    <s v="Yes"/>
    <x v="0"/>
  </r>
  <r>
    <s v="INC100297"/>
    <d v="2025-06-03T00:00:00"/>
    <d v="2025-06-03T05:41:24"/>
    <x v="1"/>
    <x v="2"/>
    <s v="Connectivity"/>
    <s v="Service Desk"/>
    <s v="Delhi"/>
    <s v="Portal"/>
    <s v="In Progress"/>
    <n v="24"/>
    <n v="5.69"/>
    <n v="4"/>
    <s v="No"/>
    <x v="0"/>
  </r>
  <r>
    <s v="INC100298"/>
    <d v="2025-03-21T00:00:00"/>
    <d v="2025-03-22T03:39:36"/>
    <x v="1"/>
    <x v="1"/>
    <s v="Password Reset"/>
    <s v="Service Desk"/>
    <s v="Noida"/>
    <s v="Chat"/>
    <s v="Pending"/>
    <n v="24"/>
    <n v="27.66"/>
    <n v="3.7"/>
    <s v="No"/>
    <x v="1"/>
  </r>
  <r>
    <s v="INC100299"/>
    <d v="2025-02-21T00:00:00"/>
    <d v="2025-02-21T15:53:24"/>
    <x v="1"/>
    <x v="3"/>
    <s v="Peripheral"/>
    <s v="Desktop Support"/>
    <s v="Hyderabad"/>
    <s v="Chat"/>
    <s v="Resolved"/>
    <n v="24"/>
    <n v="15.89"/>
    <n v="3.7"/>
    <s v="No"/>
    <x v="0"/>
  </r>
  <r>
    <s v="INC100300"/>
    <d v="2025-01-04T00:00:00"/>
    <d v="2025-01-04T02:02:24"/>
    <x v="3"/>
    <x v="2"/>
    <s v="Link Down"/>
    <s v="Access Management"/>
    <s v="Mumbai"/>
    <s v="Portal"/>
    <s v="Pending"/>
    <n v="8"/>
    <n v="2.04"/>
    <n v="4.0999999999999996"/>
    <s v="No"/>
    <x v="0"/>
  </r>
  <r>
    <s v="INC100301"/>
    <d v="2025-03-07T00:00:00"/>
    <d v="2025-03-07T04:19:12"/>
    <x v="2"/>
    <x v="2"/>
    <s v="Connectivity"/>
    <s v="Desktop Support"/>
    <s v="Delhi"/>
    <s v="Chat"/>
    <s v="Resolved"/>
    <n v="4"/>
    <n v="4.32"/>
    <n v="3.9"/>
    <s v="No"/>
    <x v="1"/>
  </r>
  <r>
    <s v="INC100302"/>
    <d v="2025-05-30T00:00:00"/>
    <d v="2025-05-30T06:55:48"/>
    <x v="1"/>
    <x v="1"/>
    <s v="Password Reset"/>
    <s v="Network Support"/>
    <s v="Delhi"/>
    <s v="Phone"/>
    <s v="Resolved"/>
    <n v="24"/>
    <n v="6.93"/>
    <n v="4.7"/>
    <s v="No"/>
    <x v="0"/>
  </r>
  <r>
    <s v="INC100303"/>
    <d v="2025-01-02T00:00:00"/>
    <d v="2025-01-02T23:59:24"/>
    <x v="0"/>
    <x v="3"/>
    <s v="Printer"/>
    <s v="Service Desk"/>
    <s v="Mumbai"/>
    <s v="Email"/>
    <s v="Closed"/>
    <n v="48"/>
    <n v="23.99"/>
    <n v="5"/>
    <s v="Yes"/>
    <x v="0"/>
  </r>
  <r>
    <s v="INC100304"/>
    <d v="2025-06-12T00:00:00"/>
    <d v="2025-06-12T01:46:12"/>
    <x v="1"/>
    <x v="0"/>
    <s v="License"/>
    <s v="Access Management"/>
    <s v="Mumbai"/>
    <s v="Chat"/>
    <s v="Resolved"/>
    <n v="24"/>
    <n v="1.77"/>
    <n v="5"/>
    <s v="No"/>
    <x v="0"/>
  </r>
  <r>
    <s v="INC100305"/>
    <d v="2025-04-09T00:00:00"/>
    <d v="2025-04-09T12:18:00"/>
    <x v="0"/>
    <x v="2"/>
    <s v="Link Down"/>
    <s v="Network Support"/>
    <s v="Bengaluru"/>
    <s v="Phone"/>
    <s v="Resolved"/>
    <n v="48"/>
    <n v="12.3"/>
    <n v="4.7"/>
    <s v="No"/>
    <x v="0"/>
  </r>
  <r>
    <s v="INC100306"/>
    <d v="2025-01-26T00:00:00"/>
    <d v="2025-01-27T05:40:12"/>
    <x v="0"/>
    <x v="0"/>
    <s v="Application Error"/>
    <s v="Access Management"/>
    <s v="Delhi"/>
    <s v="Email"/>
    <s v="Resolved"/>
    <n v="48"/>
    <n v="29.67"/>
    <n v="4.5999999999999996"/>
    <s v="No"/>
    <x v="0"/>
  </r>
  <r>
    <s v="INC100307"/>
    <d v="2025-02-24T00:00:00"/>
    <d v="2025-02-24T14:19:12"/>
    <x v="1"/>
    <x v="1"/>
    <s v="Account Lock"/>
    <s v="Access Management"/>
    <s v="Gurugram"/>
    <s v="Portal"/>
    <s v="Closed"/>
    <n v="24"/>
    <n v="14.32"/>
    <n v="3.4"/>
    <s v="No"/>
    <x v="0"/>
  </r>
  <r>
    <s v="INC100308"/>
    <d v="2025-04-11T00:00:00"/>
    <d v="2025-04-11T02:56:24"/>
    <x v="3"/>
    <x v="3"/>
    <s v="Printer"/>
    <s v="Service Desk"/>
    <s v="Hyderabad"/>
    <s v="Portal"/>
    <s v="Closed"/>
    <n v="8"/>
    <n v="2.94"/>
    <n v="5"/>
    <s v="No"/>
    <x v="0"/>
  </r>
  <r>
    <s v="INC100309"/>
    <d v="2025-02-27T00:00:00"/>
    <d v="2025-02-27T22:12:00"/>
    <x v="0"/>
    <x v="4"/>
    <s v="Mailbox"/>
    <s v="Desktop Support"/>
    <s v="Delhi"/>
    <s v="Chat"/>
    <s v="Closed"/>
    <n v="48"/>
    <n v="22.2"/>
    <n v="4.7"/>
    <s v="No"/>
    <x v="0"/>
  </r>
  <r>
    <s v="INC100310"/>
    <d v="2025-01-20T00:00:00"/>
    <d v="2025-01-21T16:53:24"/>
    <x v="0"/>
    <x v="2"/>
    <s v="Link Down"/>
    <s v="Desktop Support"/>
    <s v="Gurugram"/>
    <s v="Portal"/>
    <s v="In Progress"/>
    <n v="48"/>
    <n v="40.89"/>
    <n v="4.5999999999999996"/>
    <s v="No"/>
    <x v="0"/>
  </r>
  <r>
    <s v="INC100311"/>
    <d v="2025-05-01T00:00:00"/>
    <d v="2025-05-01T20:51:36"/>
    <x v="0"/>
    <x v="2"/>
    <s v="Connectivity"/>
    <s v="Application Support"/>
    <s v="Noida"/>
    <s v="Portal"/>
    <s v="In Progress"/>
    <n v="48"/>
    <n v="20.86"/>
    <n v="4.3"/>
    <s v="No"/>
    <x v="0"/>
  </r>
  <r>
    <s v="INC100312"/>
    <d v="2025-05-02T00:00:00"/>
    <d v="2025-05-02T05:31:48"/>
    <x v="3"/>
    <x v="0"/>
    <s v="Installation"/>
    <s v="Application Support"/>
    <s v="Mumbai"/>
    <s v="Portal"/>
    <s v="Closed"/>
    <n v="8"/>
    <n v="5.53"/>
    <n v="4"/>
    <s v="No"/>
    <x v="0"/>
  </r>
  <r>
    <s v="INC100313"/>
    <d v="2025-01-22T00:00:00"/>
    <d v="2025-01-22T07:39:36"/>
    <x v="1"/>
    <x v="0"/>
    <s v="Application Error"/>
    <s v="Network Support"/>
    <s v="Mumbai"/>
    <s v="Email"/>
    <s v="In Progress"/>
    <n v="24"/>
    <n v="7.66"/>
    <n v="4.4000000000000004"/>
    <s v="No"/>
    <x v="0"/>
  </r>
  <r>
    <s v="INC100314"/>
    <d v="2025-02-20T00:00:00"/>
    <d v="2025-02-20T23:45:00"/>
    <x v="0"/>
    <x v="2"/>
    <s v="Connectivity"/>
    <s v="Service Desk"/>
    <s v="Bengaluru"/>
    <s v="Portal"/>
    <s v="Resolved"/>
    <n v="48"/>
    <n v="23.75"/>
    <n v="5"/>
    <s v="No"/>
    <x v="0"/>
  </r>
  <r>
    <s v="INC100315"/>
    <d v="2025-02-14T00:00:00"/>
    <d v="2025-02-14T03:13:48"/>
    <x v="0"/>
    <x v="0"/>
    <s v="Application Error"/>
    <s v="Access Management"/>
    <s v="Noida"/>
    <s v="Chat"/>
    <s v="Closed"/>
    <n v="48"/>
    <n v="3.23"/>
    <n v="5"/>
    <s v="No"/>
    <x v="0"/>
  </r>
  <r>
    <s v="INC100316"/>
    <d v="2025-04-30T00:00:00"/>
    <d v="2025-04-30T08:08:24"/>
    <x v="1"/>
    <x v="3"/>
    <s v="Printer"/>
    <s v="Service Desk"/>
    <s v="Noida"/>
    <s v="Portal"/>
    <s v="Resolved"/>
    <n v="24"/>
    <n v="8.14"/>
    <n v="3.6"/>
    <s v="No"/>
    <x v="0"/>
  </r>
  <r>
    <s v="INC100317"/>
    <d v="2025-05-13T00:00:00"/>
    <d v="2025-05-14T01:51:00"/>
    <x v="0"/>
    <x v="0"/>
    <s v="Installation"/>
    <s v="Service Desk"/>
    <s v="Delhi"/>
    <s v="Phone"/>
    <s v="Resolved"/>
    <n v="48"/>
    <n v="25.85"/>
    <n v="4.8"/>
    <s v="No"/>
    <x v="0"/>
  </r>
  <r>
    <s v="INC100318"/>
    <d v="2025-05-12T00:00:00"/>
    <d v="2025-05-12T11:21:00"/>
    <x v="1"/>
    <x v="0"/>
    <s v="License"/>
    <s v="Application Support"/>
    <s v="Gurugram"/>
    <s v="Email"/>
    <s v="Resolved"/>
    <n v="24"/>
    <n v="11.35"/>
    <n v="4.0999999999999996"/>
    <s v="Yes"/>
    <x v="0"/>
  </r>
  <r>
    <s v="INC100319"/>
    <d v="2025-06-19T00:00:00"/>
    <d v="2025-06-19T07:39:00"/>
    <x v="1"/>
    <x v="4"/>
    <s v="Spam"/>
    <s v="Network Support"/>
    <s v="Gurugram"/>
    <s v="Email"/>
    <s v="Resolved"/>
    <n v="24"/>
    <n v="7.65"/>
    <n v="5"/>
    <s v="No"/>
    <x v="0"/>
  </r>
  <r>
    <s v="INC100320"/>
    <d v="2025-05-20T00:00:00"/>
    <d v="2025-05-20T01:41:24"/>
    <x v="3"/>
    <x v="3"/>
    <s v="Laptop"/>
    <s v="Network Support"/>
    <s v="Delhi"/>
    <s v="Portal"/>
    <s v="Pending"/>
    <n v="8"/>
    <n v="1.69"/>
    <n v="5"/>
    <s v="No"/>
    <x v="0"/>
  </r>
  <r>
    <s v="INC100321"/>
    <d v="2025-02-28T00:00:00"/>
    <d v="2025-03-01T02:30:00"/>
    <x v="0"/>
    <x v="0"/>
    <s v="Application Error"/>
    <s v="Application Support"/>
    <s v="Mumbai"/>
    <s v="Portal"/>
    <s v="Resolved"/>
    <n v="48"/>
    <n v="26.5"/>
    <n v="5"/>
    <s v="No"/>
    <x v="0"/>
  </r>
  <r>
    <s v="INC100322"/>
    <d v="2025-01-20T00:00:00"/>
    <d v="2025-01-20T11:03:36"/>
    <x v="1"/>
    <x v="0"/>
    <s v="License"/>
    <s v="Network Support"/>
    <s v="Noida"/>
    <s v="Phone"/>
    <s v="In Progress"/>
    <n v="24"/>
    <n v="11.06"/>
    <n v="5"/>
    <s v="No"/>
    <x v="0"/>
  </r>
  <r>
    <s v="INC100323"/>
    <d v="2025-04-22T00:00:00"/>
    <d v="2025-04-23T06:51:00"/>
    <x v="0"/>
    <x v="3"/>
    <s v="Printer"/>
    <s v="Access Management"/>
    <s v="Bengaluru"/>
    <s v="Phone"/>
    <s v="Resolved"/>
    <n v="48"/>
    <n v="30.85"/>
    <n v="4.8"/>
    <s v="No"/>
    <x v="0"/>
  </r>
  <r>
    <s v="INC100324"/>
    <d v="2025-06-15T00:00:00"/>
    <d v="2025-06-15T01:07:12"/>
    <x v="2"/>
    <x v="2"/>
    <s v="Link Down"/>
    <s v="Service Desk"/>
    <s v="Gurugram"/>
    <s v="Portal"/>
    <s v="Closed"/>
    <n v="4"/>
    <n v="1.1200000000000001"/>
    <n v="5"/>
    <s v="No"/>
    <x v="0"/>
  </r>
  <r>
    <s v="INC100325"/>
    <d v="2025-06-26T00:00:00"/>
    <d v="2025-06-26T03:03:00"/>
    <x v="2"/>
    <x v="4"/>
    <s v="Delivery"/>
    <s v="Network Support"/>
    <s v="Bengaluru"/>
    <s v="Chat"/>
    <s v="Resolved"/>
    <n v="4"/>
    <n v="3.05"/>
    <n v="4.5999999999999996"/>
    <s v="No"/>
    <x v="0"/>
  </r>
  <r>
    <s v="INC100326"/>
    <d v="2025-02-11T00:00:00"/>
    <d v="2025-02-11T01:27:36"/>
    <x v="3"/>
    <x v="2"/>
    <s v="Packet Loss"/>
    <s v="Application Support"/>
    <s v="Delhi"/>
    <s v="Phone"/>
    <s v="Pending"/>
    <n v="8"/>
    <n v="1.46"/>
    <n v="4.3"/>
    <s v="No"/>
    <x v="0"/>
  </r>
  <r>
    <s v="INC100327"/>
    <d v="2025-02-12T00:00:00"/>
    <d v="2025-02-12T02:58:48"/>
    <x v="1"/>
    <x v="1"/>
    <s v="Password Reset"/>
    <s v="Network Support"/>
    <s v="Mumbai"/>
    <s v="Portal"/>
    <s v="Resolved"/>
    <n v="24"/>
    <n v="2.98"/>
    <n v="4.0999999999999996"/>
    <s v="No"/>
    <x v="0"/>
  </r>
  <r>
    <s v="INC100328"/>
    <d v="2025-01-07T00:00:00"/>
    <d v="2025-01-09T07:38:24"/>
    <x v="0"/>
    <x v="2"/>
    <s v="Packet Loss"/>
    <s v="Service Desk"/>
    <s v="Mumbai"/>
    <s v="Email"/>
    <s v="Closed"/>
    <n v="48"/>
    <n v="55.64"/>
    <n v="3.1"/>
    <s v="No"/>
    <x v="1"/>
  </r>
  <r>
    <s v="INC100329"/>
    <d v="2025-01-26T00:00:00"/>
    <d v="2025-01-26T01:33:00"/>
    <x v="3"/>
    <x v="1"/>
    <s v="Password Reset"/>
    <s v="Service Desk"/>
    <s v="Gurugram"/>
    <s v="Phone"/>
    <s v="Pending"/>
    <n v="8"/>
    <n v="1.55"/>
    <n v="5"/>
    <s v="No"/>
    <x v="0"/>
  </r>
  <r>
    <s v="INC100330"/>
    <d v="2025-04-11T00:00:00"/>
    <d v="2025-04-11T04:27:00"/>
    <x v="3"/>
    <x v="2"/>
    <s v="Connectivity"/>
    <s v="Desktop Support"/>
    <s v="Gurugram"/>
    <s v="Phone"/>
    <s v="Closed"/>
    <n v="8"/>
    <n v="4.45"/>
    <n v="2.9"/>
    <s v="No"/>
    <x v="0"/>
  </r>
  <r>
    <s v="INC100331"/>
    <d v="2025-04-09T00:00:00"/>
    <d v="2025-04-09T19:06:00"/>
    <x v="0"/>
    <x v="4"/>
    <s v="Delivery"/>
    <s v="Desktop Support"/>
    <s v="Mumbai"/>
    <s v="Portal"/>
    <s v="Closed"/>
    <n v="48"/>
    <n v="19.100000000000001"/>
    <n v="4.5"/>
    <s v="No"/>
    <x v="0"/>
  </r>
  <r>
    <s v="INC100332"/>
    <d v="2025-03-09T00:00:00"/>
    <d v="2025-03-10T04:16:12"/>
    <x v="1"/>
    <x v="0"/>
    <s v="Installation"/>
    <s v="Network Support"/>
    <s v="Gurugram"/>
    <s v="Portal"/>
    <s v="Resolved"/>
    <n v="24"/>
    <n v="28.27"/>
    <n v="3.4"/>
    <s v="No"/>
    <x v="1"/>
  </r>
  <r>
    <s v="INC100333"/>
    <d v="2025-02-26T00:00:00"/>
    <d v="2025-02-26T18:46:48"/>
    <x v="1"/>
    <x v="2"/>
    <s v="Connectivity"/>
    <s v="Service Desk"/>
    <s v="Gurugram"/>
    <s v="Portal"/>
    <s v="Resolved"/>
    <n v="24"/>
    <n v="18.78"/>
    <n v="4.9000000000000004"/>
    <s v="No"/>
    <x v="0"/>
  </r>
  <r>
    <s v="INC100334"/>
    <d v="2025-05-31T00:00:00"/>
    <d v="2025-05-31T01:01:48"/>
    <x v="3"/>
    <x v="0"/>
    <s v="Application Error"/>
    <s v="Network Support"/>
    <s v="Noida"/>
    <s v="Portal"/>
    <s v="Resolved"/>
    <n v="8"/>
    <n v="1.03"/>
    <n v="4.8"/>
    <s v="No"/>
    <x v="0"/>
  </r>
  <r>
    <s v="INC100335"/>
    <d v="2025-03-25T00:00:00"/>
    <d v="2025-03-26T09:58:12"/>
    <x v="1"/>
    <x v="0"/>
    <s v="Performance"/>
    <s v="Network Support"/>
    <s v="Hyderabad"/>
    <s v="Portal"/>
    <s v="Resolved"/>
    <n v="24"/>
    <n v="33.97"/>
    <n v="3.1"/>
    <s v="No"/>
    <x v="1"/>
  </r>
  <r>
    <s v="INC100336"/>
    <d v="2025-05-27T00:00:00"/>
    <d v="2025-05-27T23:28:48"/>
    <x v="1"/>
    <x v="3"/>
    <s v="Printer"/>
    <s v="Application Support"/>
    <s v="Noida"/>
    <s v="Email"/>
    <s v="Resolved"/>
    <n v="24"/>
    <n v="23.48"/>
    <n v="4.7"/>
    <s v="No"/>
    <x v="0"/>
  </r>
  <r>
    <s v="INC100337"/>
    <d v="2025-06-24T00:00:00"/>
    <d v="2025-06-24T08:38:24"/>
    <x v="1"/>
    <x v="2"/>
    <s v="Connectivity"/>
    <s v="Desktop Support"/>
    <s v="Gurugram"/>
    <s v="Email"/>
    <s v="Closed"/>
    <n v="24"/>
    <n v="8.64"/>
    <n v="4.5"/>
    <s v="No"/>
    <x v="0"/>
  </r>
  <r>
    <s v="INC100338"/>
    <d v="2025-02-27T00:00:00"/>
    <d v="2025-02-27T08:40:12"/>
    <x v="0"/>
    <x v="0"/>
    <s v="Installation"/>
    <s v="Network Support"/>
    <s v="Bengaluru"/>
    <s v="Portal"/>
    <s v="Pending"/>
    <n v="48"/>
    <n v="8.67"/>
    <n v="4.5999999999999996"/>
    <s v="No"/>
    <x v="0"/>
  </r>
  <r>
    <s v="INC100339"/>
    <d v="2025-02-06T00:00:00"/>
    <d v="2025-02-06T14:01:48"/>
    <x v="1"/>
    <x v="1"/>
    <s v="Account Lock"/>
    <s v="Service Desk"/>
    <s v="Noida"/>
    <s v="Email"/>
    <s v="Closed"/>
    <n v="24"/>
    <n v="14.03"/>
    <n v="4"/>
    <s v="Yes"/>
    <x v="0"/>
  </r>
  <r>
    <s v="INC100340"/>
    <d v="2025-06-22T00:00:00"/>
    <d v="2025-06-23T05:13:12"/>
    <x v="0"/>
    <x v="3"/>
    <s v="Peripheral"/>
    <s v="Application Support"/>
    <s v="Bengaluru"/>
    <s v="Portal"/>
    <s v="Closed"/>
    <n v="48"/>
    <n v="29.22"/>
    <n v="4.5"/>
    <s v="No"/>
    <x v="0"/>
  </r>
  <r>
    <s v="INC100341"/>
    <d v="2025-04-25T00:00:00"/>
    <d v="2025-04-25T00:39:00"/>
    <x v="3"/>
    <x v="1"/>
    <s v="VPN Access"/>
    <s v="Service Desk"/>
    <s v="Noida"/>
    <s v="Portal"/>
    <s v="Resolved"/>
    <n v="8"/>
    <n v="0.65"/>
    <n v="4.7"/>
    <s v="No"/>
    <x v="0"/>
  </r>
  <r>
    <s v="INC100342"/>
    <d v="2025-02-22T00:00:00"/>
    <d v="2025-02-22T13:18:00"/>
    <x v="1"/>
    <x v="2"/>
    <s v="Link Down"/>
    <s v="Desktop Support"/>
    <s v="Bengaluru"/>
    <s v="Phone"/>
    <s v="Resolved"/>
    <n v="24"/>
    <n v="13.3"/>
    <n v="4.0999999999999996"/>
    <s v="Yes"/>
    <x v="0"/>
  </r>
  <r>
    <s v="INC100343"/>
    <d v="2025-04-23T00:00:00"/>
    <d v="2025-04-23T22:10:48"/>
    <x v="1"/>
    <x v="2"/>
    <s v="Packet Loss"/>
    <s v="Application Support"/>
    <s v="Noida"/>
    <s v="Phone"/>
    <s v="Closed"/>
    <n v="24"/>
    <n v="22.18"/>
    <n v="4.8"/>
    <s v="No"/>
    <x v="0"/>
  </r>
  <r>
    <s v="INC100344"/>
    <d v="2025-04-04T00:00:00"/>
    <d v="2025-04-05T01:33:00"/>
    <x v="0"/>
    <x v="0"/>
    <s v="License"/>
    <s v="Application Support"/>
    <s v="Noida"/>
    <s v="Portal"/>
    <s v="Resolved"/>
    <n v="48"/>
    <n v="25.55"/>
    <n v="4.4000000000000004"/>
    <s v="Yes"/>
    <x v="0"/>
  </r>
  <r>
    <s v="INC100345"/>
    <d v="2025-06-13T00:00:00"/>
    <d v="2025-06-13T22:31:48"/>
    <x v="0"/>
    <x v="2"/>
    <s v="Link Down"/>
    <s v="Application Support"/>
    <s v="Noida"/>
    <s v="Phone"/>
    <s v="Resolved"/>
    <n v="48"/>
    <n v="22.53"/>
    <n v="4.0999999999999996"/>
    <s v="No"/>
    <x v="0"/>
  </r>
  <r>
    <s v="INC100346"/>
    <d v="2025-02-16T00:00:00"/>
    <d v="2025-02-16T10:15:00"/>
    <x v="1"/>
    <x v="2"/>
    <s v="Connectivity"/>
    <s v="Service Desk"/>
    <s v="Noida"/>
    <s v="Phone"/>
    <s v="In Progress"/>
    <n v="24"/>
    <n v="10.25"/>
    <n v="3.8"/>
    <s v="No"/>
    <x v="0"/>
  </r>
  <r>
    <s v="INC100347"/>
    <d v="2025-06-29T00:00:00"/>
    <d v="2025-06-29T12:07:12"/>
    <x v="0"/>
    <x v="0"/>
    <s v="Installation"/>
    <s v="Desktop Support"/>
    <s v="Hyderabad"/>
    <s v="Email"/>
    <s v="Resolved"/>
    <n v="48"/>
    <n v="12.12"/>
    <n v="4.8"/>
    <s v="No"/>
    <x v="0"/>
  </r>
  <r>
    <s v="INC100348"/>
    <d v="2025-06-19T00:00:00"/>
    <d v="2025-06-21T02:36:00"/>
    <x v="0"/>
    <x v="3"/>
    <s v="Printer"/>
    <s v="Access Management"/>
    <s v="Gurugram"/>
    <s v="Chat"/>
    <s v="Resolved"/>
    <n v="48"/>
    <n v="50.6"/>
    <n v="3.4"/>
    <s v="No"/>
    <x v="1"/>
  </r>
  <r>
    <s v="INC100349"/>
    <d v="2025-02-02T00:00:00"/>
    <d v="2025-02-02T03:00:36"/>
    <x v="3"/>
    <x v="2"/>
    <s v="DNS"/>
    <s v="Access Management"/>
    <s v="Mumbai"/>
    <s v="Portal"/>
    <s v="Resolved"/>
    <n v="8"/>
    <n v="3.01"/>
    <n v="4.3"/>
    <s v="No"/>
    <x v="0"/>
  </r>
  <r>
    <s v="INC100350"/>
    <d v="2025-01-30T00:00:00"/>
    <d v="2025-01-30T14:01:12"/>
    <x v="1"/>
    <x v="0"/>
    <s v="Installation"/>
    <s v="Network Support"/>
    <s v="Mumbai"/>
    <s v="Portal"/>
    <s v="Closed"/>
    <n v="24"/>
    <n v="14.02"/>
    <n v="3.7"/>
    <s v="No"/>
    <x v="0"/>
  </r>
  <r>
    <s v="INC100351"/>
    <d v="2025-04-07T00:00:00"/>
    <d v="2025-04-07T03:34:47"/>
    <x v="1"/>
    <x v="0"/>
    <s v="Application Error"/>
    <s v="Access Management"/>
    <s v="Bengaluru"/>
    <s v="Phone"/>
    <s v="Resolved"/>
    <n v="24"/>
    <n v="3.58"/>
    <n v="4.9000000000000004"/>
    <s v="No"/>
    <x v="0"/>
  </r>
  <r>
    <s v="INC100352"/>
    <d v="2025-01-09T00:00:00"/>
    <d v="2025-01-09T10:57:36"/>
    <x v="1"/>
    <x v="1"/>
    <s v="Password Reset"/>
    <s v="Access Management"/>
    <s v="Gurugram"/>
    <s v="Email"/>
    <s v="Closed"/>
    <n v="24"/>
    <n v="10.96"/>
    <n v="3.6"/>
    <s v="No"/>
    <x v="0"/>
  </r>
  <r>
    <s v="INC100353"/>
    <d v="2025-02-24T00:00:00"/>
    <d v="2025-02-24T05:43:12"/>
    <x v="3"/>
    <x v="0"/>
    <s v="Installation"/>
    <s v="Access Management"/>
    <s v="Noida"/>
    <s v="Portal"/>
    <s v="Resolved"/>
    <n v="8"/>
    <n v="5.72"/>
    <n v="4.4000000000000004"/>
    <s v="No"/>
    <x v="0"/>
  </r>
  <r>
    <s v="INC100354"/>
    <d v="2025-03-20T00:00:00"/>
    <d v="2025-03-20T08:52:12"/>
    <x v="1"/>
    <x v="0"/>
    <s v="Application Error"/>
    <s v="Service Desk"/>
    <s v="Hyderabad"/>
    <s v="Portal"/>
    <s v="Closed"/>
    <n v="24"/>
    <n v="8.8699999999999992"/>
    <n v="4.2"/>
    <s v="No"/>
    <x v="0"/>
  </r>
  <r>
    <s v="INC100355"/>
    <d v="2025-06-25T00:00:00"/>
    <d v="2025-06-25T03:01:48"/>
    <x v="3"/>
    <x v="2"/>
    <s v="Connectivity"/>
    <s v="Desktop Support"/>
    <s v="Gurugram"/>
    <s v="Portal"/>
    <s v="In Progress"/>
    <n v="8"/>
    <n v="3.03"/>
    <n v="5"/>
    <s v="No"/>
    <x v="0"/>
  </r>
  <r>
    <s v="INC100356"/>
    <d v="2025-06-29T00:00:00"/>
    <d v="2025-06-29T03:57:00"/>
    <x v="3"/>
    <x v="1"/>
    <s v="Permission"/>
    <s v="Network Support"/>
    <s v="Bengaluru"/>
    <s v="Portal"/>
    <s v="Resolved"/>
    <n v="8"/>
    <n v="3.95"/>
    <n v="4.7"/>
    <s v="No"/>
    <x v="0"/>
  </r>
  <r>
    <s v="INC100357"/>
    <d v="2025-01-28T00:00:00"/>
    <d v="2025-01-28T16:40:48"/>
    <x v="1"/>
    <x v="2"/>
    <s v="DNS"/>
    <s v="Network Support"/>
    <s v="Mumbai"/>
    <s v="Portal"/>
    <s v="Closed"/>
    <n v="24"/>
    <n v="16.68"/>
    <n v="4.2"/>
    <s v="No"/>
    <x v="0"/>
  </r>
  <r>
    <s v="INC100358"/>
    <d v="2025-06-11T00:00:00"/>
    <d v="2025-06-11T13:13:48"/>
    <x v="1"/>
    <x v="2"/>
    <s v="Connectivity"/>
    <s v="Desktop Support"/>
    <s v="Bengaluru"/>
    <s v="Chat"/>
    <s v="Resolved"/>
    <n v="24"/>
    <n v="13.23"/>
    <n v="4.9000000000000004"/>
    <s v="Yes"/>
    <x v="0"/>
  </r>
  <r>
    <s v="INC100359"/>
    <d v="2025-01-17T00:00:00"/>
    <d v="2025-01-17T14:06:36"/>
    <x v="3"/>
    <x v="1"/>
    <s v="Permission"/>
    <s v="Service Desk"/>
    <s v="Delhi"/>
    <s v="Portal"/>
    <s v="Resolved"/>
    <n v="8"/>
    <n v="14.11"/>
    <n v="3.9"/>
    <s v="No"/>
    <x v="1"/>
  </r>
  <r>
    <s v="INC100360"/>
    <d v="2025-05-16T00:00:00"/>
    <d v="2025-05-17T03:50:24"/>
    <x v="1"/>
    <x v="1"/>
    <s v="Permission"/>
    <s v="Service Desk"/>
    <s v="Bengaluru"/>
    <s v="Phone"/>
    <s v="Resolved"/>
    <n v="24"/>
    <n v="27.84"/>
    <n v="4.4000000000000004"/>
    <s v="No"/>
    <x v="1"/>
  </r>
  <r>
    <s v="INC100361"/>
    <d v="2025-06-03T00:00:00"/>
    <d v="2025-06-03T07:33:00"/>
    <x v="1"/>
    <x v="0"/>
    <s v="Performance"/>
    <s v="Service Desk"/>
    <s v="Gurugram"/>
    <s v="Portal"/>
    <s v="Resolved"/>
    <n v="24"/>
    <n v="7.55"/>
    <n v="3.8"/>
    <s v="No"/>
    <x v="0"/>
  </r>
  <r>
    <s v="INC100362"/>
    <d v="2025-06-11T00:00:00"/>
    <d v="2025-06-12T00:21:36"/>
    <x v="1"/>
    <x v="2"/>
    <s v="DNS"/>
    <s v="Desktop Support"/>
    <s v="Hyderabad"/>
    <s v="Portal"/>
    <s v="Pending"/>
    <n v="24"/>
    <n v="24.36"/>
    <n v="3.4"/>
    <s v="No"/>
    <x v="1"/>
  </r>
  <r>
    <s v="INC100363"/>
    <d v="2025-02-10T00:00:00"/>
    <d v="2025-02-10T01:54:36"/>
    <x v="1"/>
    <x v="2"/>
    <s v="DNS"/>
    <s v="Network Support"/>
    <s v="Noida"/>
    <s v="Chat"/>
    <s v="Closed"/>
    <n v="24"/>
    <n v="1.91"/>
    <n v="4.5999999999999996"/>
    <s v="No"/>
    <x v="0"/>
  </r>
  <r>
    <s v="INC100364"/>
    <d v="2025-06-11T00:00:00"/>
    <d v="2025-06-11T19:01:12"/>
    <x v="0"/>
    <x v="0"/>
    <s v="Installation"/>
    <s v="Access Management"/>
    <s v="Noida"/>
    <s v="Portal"/>
    <s v="In Progress"/>
    <n v="48"/>
    <n v="19.02"/>
    <n v="4.9000000000000004"/>
    <s v="No"/>
    <x v="0"/>
  </r>
  <r>
    <s v="INC100365"/>
    <d v="2025-01-21T00:00:00"/>
    <d v="2025-01-21T02:49:48"/>
    <x v="1"/>
    <x v="1"/>
    <s v="VPN Access"/>
    <s v="Application Support"/>
    <s v="Hyderabad"/>
    <s v="Portal"/>
    <s v="Resolved"/>
    <n v="24"/>
    <n v="2.83"/>
    <n v="4.5"/>
    <s v="No"/>
    <x v="0"/>
  </r>
  <r>
    <s v="INC100366"/>
    <d v="2025-04-04T00:00:00"/>
    <d v="2025-04-05T12:01:48"/>
    <x v="0"/>
    <x v="3"/>
    <s v="Laptop"/>
    <s v="Application Support"/>
    <s v="Noida"/>
    <s v="Phone"/>
    <s v="Closed"/>
    <n v="48"/>
    <n v="36.03"/>
    <n v="3.7"/>
    <s v="No"/>
    <x v="0"/>
  </r>
  <r>
    <s v="INC100367"/>
    <d v="2025-03-26T00:00:00"/>
    <d v="2025-03-26T08:52:12"/>
    <x v="1"/>
    <x v="2"/>
    <s v="DNS"/>
    <s v="Access Management"/>
    <s v="Gurugram"/>
    <s v="Portal"/>
    <s v="Closed"/>
    <n v="24"/>
    <n v="8.8699999999999992"/>
    <n v="4.0999999999999996"/>
    <s v="No"/>
    <x v="0"/>
  </r>
  <r>
    <s v="INC100368"/>
    <d v="2025-02-27T00:00:00"/>
    <d v="2025-02-27T04:05:24"/>
    <x v="1"/>
    <x v="2"/>
    <s v="Connectivity"/>
    <s v="Application Support"/>
    <s v="Hyderabad"/>
    <s v="Portal"/>
    <s v="Resolved"/>
    <n v="24"/>
    <n v="4.09"/>
    <n v="5"/>
    <s v="No"/>
    <x v="0"/>
  </r>
  <r>
    <s v="INC100369"/>
    <d v="2025-01-05T00:00:00"/>
    <d v="2025-01-05T06:54:00"/>
    <x v="3"/>
    <x v="0"/>
    <s v="Application Error"/>
    <s v="Service Desk"/>
    <s v="Bengaluru"/>
    <s v="Chat"/>
    <s v="Closed"/>
    <n v="8"/>
    <n v="6.9"/>
    <n v="4.4000000000000004"/>
    <s v="No"/>
    <x v="0"/>
  </r>
  <r>
    <s v="INC100370"/>
    <d v="2025-05-20T00:00:00"/>
    <d v="2025-05-20T09:17:23"/>
    <x v="0"/>
    <x v="0"/>
    <s v="Application Error"/>
    <s v="Access Management"/>
    <s v="Bengaluru"/>
    <s v="Portal"/>
    <s v="In Progress"/>
    <n v="48"/>
    <n v="9.2899999999999991"/>
    <n v="4"/>
    <s v="No"/>
    <x v="0"/>
  </r>
  <r>
    <s v="INC100371"/>
    <d v="2025-03-02T00:00:00"/>
    <d v="2025-03-02T19:19:12"/>
    <x v="1"/>
    <x v="2"/>
    <s v="Connectivity"/>
    <s v="Desktop Support"/>
    <s v="Delhi"/>
    <s v="Email"/>
    <s v="In Progress"/>
    <n v="24"/>
    <n v="19.32"/>
    <n v="3.7"/>
    <s v="No"/>
    <x v="0"/>
  </r>
  <r>
    <s v="INC100372"/>
    <d v="2025-04-30T00:00:00"/>
    <d v="2025-04-30T14:20:24"/>
    <x v="1"/>
    <x v="2"/>
    <s v="Link Down"/>
    <s v="Desktop Support"/>
    <s v="Noida"/>
    <s v="Portal"/>
    <s v="Pending"/>
    <n v="24"/>
    <n v="14.34"/>
    <n v="3.1"/>
    <s v="No"/>
    <x v="0"/>
  </r>
  <r>
    <s v="INC100373"/>
    <d v="2025-03-16T00:00:00"/>
    <d v="2025-03-16T20:25:12"/>
    <x v="0"/>
    <x v="2"/>
    <s v="Packet Loss"/>
    <s v="Desktop Support"/>
    <s v="Noida"/>
    <s v="Portal"/>
    <s v="Resolved"/>
    <n v="48"/>
    <n v="20.420000000000002"/>
    <n v="2.9"/>
    <s v="No"/>
    <x v="0"/>
  </r>
  <r>
    <s v="INC100374"/>
    <d v="2025-03-09T00:00:00"/>
    <d v="2025-03-10T21:13:48"/>
    <x v="0"/>
    <x v="2"/>
    <s v="Packet Loss"/>
    <s v="Network Support"/>
    <s v="Gurugram"/>
    <s v="Email"/>
    <s v="In Progress"/>
    <n v="48"/>
    <n v="45.23"/>
    <n v="4.2"/>
    <s v="No"/>
    <x v="0"/>
  </r>
  <r>
    <s v="INC100375"/>
    <d v="2025-06-10T00:00:00"/>
    <d v="2025-06-10T10:59:24"/>
    <x v="0"/>
    <x v="0"/>
    <s v="Application Error"/>
    <s v="Access Management"/>
    <s v="Bengaluru"/>
    <s v="Email"/>
    <s v="Pending"/>
    <n v="48"/>
    <n v="10.99"/>
    <n v="4.9000000000000004"/>
    <s v="No"/>
    <x v="0"/>
  </r>
  <r>
    <s v="INC100376"/>
    <d v="2025-01-18T00:00:00"/>
    <d v="2025-01-18T04:33:00"/>
    <x v="0"/>
    <x v="2"/>
    <s v="Link Down"/>
    <s v="Access Management"/>
    <s v="Gurugram"/>
    <s v="Portal"/>
    <s v="Closed"/>
    <n v="48"/>
    <n v="4.55"/>
    <n v="5"/>
    <s v="No"/>
    <x v="0"/>
  </r>
  <r>
    <s v="INC100377"/>
    <d v="2025-05-14T00:00:00"/>
    <d v="2025-05-14T08:45:36"/>
    <x v="0"/>
    <x v="0"/>
    <s v="Application Error"/>
    <s v="Application Support"/>
    <s v="Noida"/>
    <s v="Phone"/>
    <s v="Resolved"/>
    <n v="48"/>
    <n v="8.76"/>
    <n v="5"/>
    <s v="No"/>
    <x v="0"/>
  </r>
  <r>
    <s v="INC100378"/>
    <d v="2025-05-16T00:00:00"/>
    <d v="2025-05-17T17:58:12"/>
    <x v="1"/>
    <x v="1"/>
    <s v="Password Reset"/>
    <s v="Service Desk"/>
    <s v="Mumbai"/>
    <s v="Phone"/>
    <s v="Resolved"/>
    <n v="24"/>
    <n v="41.97"/>
    <n v="1.8"/>
    <s v="No"/>
    <x v="1"/>
  </r>
  <r>
    <s v="INC100379"/>
    <d v="2025-03-10T00:00:00"/>
    <d v="2025-03-10T06:07:48"/>
    <x v="1"/>
    <x v="4"/>
    <s v="Delivery"/>
    <s v="Access Management"/>
    <s v="Mumbai"/>
    <s v="Email"/>
    <s v="Resolved"/>
    <n v="24"/>
    <n v="6.13"/>
    <n v="3.3"/>
    <s v="No"/>
    <x v="0"/>
  </r>
  <r>
    <s v="INC100380"/>
    <d v="2025-02-17T00:00:00"/>
    <d v="2025-02-17T16:57:36"/>
    <x v="0"/>
    <x v="4"/>
    <s v="Delivery"/>
    <s v="Network Support"/>
    <s v="Gurugram"/>
    <s v="Email"/>
    <s v="Resolved"/>
    <n v="48"/>
    <n v="16.96"/>
    <n v="3.8"/>
    <s v="No"/>
    <x v="0"/>
  </r>
  <r>
    <s v="INC100381"/>
    <d v="2025-01-01T00:00:00"/>
    <d v="2025-01-03T16:09:36"/>
    <x v="0"/>
    <x v="2"/>
    <s v="Connectivity"/>
    <s v="Service Desk"/>
    <s v="Gurugram"/>
    <s v="Email"/>
    <s v="In Progress"/>
    <n v="48"/>
    <n v="64.16"/>
    <n v="2"/>
    <s v="No"/>
    <x v="1"/>
  </r>
  <r>
    <s v="INC100382"/>
    <d v="2025-06-19T00:00:00"/>
    <d v="2025-06-19T16:58:48"/>
    <x v="0"/>
    <x v="2"/>
    <s v="Link Down"/>
    <s v="Network Support"/>
    <s v="Delhi"/>
    <s v="Phone"/>
    <s v="Pending"/>
    <n v="48"/>
    <n v="16.98"/>
    <n v="4.2"/>
    <s v="No"/>
    <x v="0"/>
  </r>
  <r>
    <s v="INC100383"/>
    <d v="2025-06-21T00:00:00"/>
    <d v="2025-06-21T18:22:12"/>
    <x v="1"/>
    <x v="3"/>
    <s v="Peripheral"/>
    <s v="Service Desk"/>
    <s v="Noida"/>
    <s v="Portal"/>
    <s v="In Progress"/>
    <n v="24"/>
    <n v="18.37"/>
    <n v="4.5"/>
    <s v="No"/>
    <x v="0"/>
  </r>
  <r>
    <s v="INC100384"/>
    <d v="2025-02-13T00:00:00"/>
    <d v="2025-02-14T10:32:24"/>
    <x v="1"/>
    <x v="0"/>
    <s v="Performance"/>
    <s v="Service Desk"/>
    <s v="Delhi"/>
    <s v="Phone"/>
    <s v="Resolved"/>
    <n v="24"/>
    <n v="34.54"/>
    <n v="3.5"/>
    <s v="No"/>
    <x v="1"/>
  </r>
  <r>
    <s v="INC100385"/>
    <d v="2025-01-06T00:00:00"/>
    <d v="2025-01-06T16:19:48"/>
    <x v="1"/>
    <x v="2"/>
    <s v="Connectivity"/>
    <s v="Application Support"/>
    <s v="Delhi"/>
    <s v="Email"/>
    <s v="Closed"/>
    <n v="24"/>
    <n v="16.329999999999998"/>
    <n v="4.9000000000000004"/>
    <s v="No"/>
    <x v="0"/>
  </r>
  <r>
    <s v="INC100386"/>
    <d v="2025-01-23T00:00:00"/>
    <d v="2025-01-23T23:15:36"/>
    <x v="0"/>
    <x v="3"/>
    <s v="Peripheral"/>
    <s v="Service Desk"/>
    <s v="Hyderabad"/>
    <s v="Chat"/>
    <s v="Resolved"/>
    <n v="48"/>
    <n v="23.26"/>
    <n v="4.7"/>
    <s v="No"/>
    <x v="0"/>
  </r>
  <r>
    <s v="INC100387"/>
    <d v="2025-01-13T00:00:00"/>
    <d v="2025-01-14T18:18:36"/>
    <x v="0"/>
    <x v="3"/>
    <s v="Laptop"/>
    <s v="Access Management"/>
    <s v="Hyderabad"/>
    <s v="Chat"/>
    <s v="Resolved"/>
    <n v="48"/>
    <n v="42.31"/>
    <n v="3.7"/>
    <s v="No"/>
    <x v="0"/>
  </r>
  <r>
    <s v="INC100388"/>
    <d v="2025-05-31T00:00:00"/>
    <d v="2025-05-31T00:30:00"/>
    <x v="3"/>
    <x v="2"/>
    <s v="Link Down"/>
    <s v="Service Desk"/>
    <s v="Bengaluru"/>
    <s v="Portal"/>
    <s v="Resolved"/>
    <n v="8"/>
    <n v="0.5"/>
    <n v="4.5999999999999996"/>
    <s v="No"/>
    <x v="0"/>
  </r>
  <r>
    <s v="INC100389"/>
    <d v="2025-06-11T00:00:00"/>
    <d v="2025-06-11T16:48:00"/>
    <x v="0"/>
    <x v="0"/>
    <s v="Performance"/>
    <s v="Desktop Support"/>
    <s v="Mumbai"/>
    <s v="Portal"/>
    <s v="Pending"/>
    <n v="48"/>
    <n v="16.8"/>
    <n v="4.9000000000000004"/>
    <s v="No"/>
    <x v="0"/>
  </r>
  <r>
    <s v="INC100390"/>
    <d v="2025-01-28T00:00:00"/>
    <d v="2025-01-30T08:18:36"/>
    <x v="0"/>
    <x v="0"/>
    <s v="Performance"/>
    <s v="Desktop Support"/>
    <s v="Noida"/>
    <s v="Email"/>
    <s v="Closed"/>
    <n v="48"/>
    <n v="56.31"/>
    <n v="2.6"/>
    <s v="No"/>
    <x v="1"/>
  </r>
  <r>
    <s v="INC100391"/>
    <d v="2025-05-16T00:00:00"/>
    <d v="2025-05-16T12:23:24"/>
    <x v="0"/>
    <x v="0"/>
    <s v="Application Error"/>
    <s v="Access Management"/>
    <s v="Bengaluru"/>
    <s v="Email"/>
    <s v="Closed"/>
    <n v="48"/>
    <n v="12.39"/>
    <n v="2.6"/>
    <s v="No"/>
    <x v="0"/>
  </r>
  <r>
    <s v="INC100392"/>
    <d v="2025-02-02T00:00:00"/>
    <d v="2025-02-02T02:12:00"/>
    <x v="2"/>
    <x v="4"/>
    <s v="Configuration"/>
    <s v="Application Support"/>
    <s v="Hyderabad"/>
    <s v="Phone"/>
    <s v="Resolved"/>
    <n v="4"/>
    <n v="2.2000000000000002"/>
    <n v="4.5999999999999996"/>
    <s v="No"/>
    <x v="0"/>
  </r>
  <r>
    <s v="INC100393"/>
    <d v="2025-03-08T00:00:00"/>
    <d v="2025-03-08T18:31:48"/>
    <x v="1"/>
    <x v="2"/>
    <s v="Connectivity"/>
    <s v="Access Management"/>
    <s v="Delhi"/>
    <s v="Portal"/>
    <s v="Resolved"/>
    <n v="24"/>
    <n v="18.53"/>
    <n v="4.2"/>
    <s v="No"/>
    <x v="0"/>
  </r>
  <r>
    <s v="INC100394"/>
    <d v="2025-04-19T00:00:00"/>
    <d v="2025-04-19T09:19:12"/>
    <x v="1"/>
    <x v="2"/>
    <s v="Packet Loss"/>
    <s v="Access Management"/>
    <s v="Noida"/>
    <s v="Email"/>
    <s v="Resolved"/>
    <n v="24"/>
    <n v="9.32"/>
    <n v="5"/>
    <s v="No"/>
    <x v="0"/>
  </r>
  <r>
    <s v="INC100395"/>
    <d v="2025-05-11T00:00:00"/>
    <d v="2025-05-11T03:07:12"/>
    <x v="2"/>
    <x v="3"/>
    <s v="Monitor"/>
    <s v="Network Support"/>
    <s v="Delhi"/>
    <s v="Chat"/>
    <s v="Closed"/>
    <n v="4"/>
    <n v="3.12"/>
    <n v="4.5"/>
    <s v="No"/>
    <x v="0"/>
  </r>
  <r>
    <s v="INC100396"/>
    <d v="2025-06-08T00:00:00"/>
    <d v="2025-06-09T04:49:48"/>
    <x v="0"/>
    <x v="0"/>
    <s v="License"/>
    <s v="Network Support"/>
    <s v="Mumbai"/>
    <s v="Chat"/>
    <s v="In Progress"/>
    <n v="48"/>
    <n v="28.83"/>
    <n v="4.5"/>
    <s v="Yes"/>
    <x v="0"/>
  </r>
  <r>
    <s v="INC100397"/>
    <d v="2025-01-09T00:00:00"/>
    <d v="2025-01-09T10:45:00"/>
    <x v="2"/>
    <x v="0"/>
    <s v="License"/>
    <s v="Desktop Support"/>
    <s v="Mumbai"/>
    <s v="Portal"/>
    <s v="Resolved"/>
    <n v="4"/>
    <n v="10.75"/>
    <n v="1.6"/>
    <s v="No"/>
    <x v="1"/>
  </r>
  <r>
    <s v="INC100398"/>
    <d v="2025-02-05T00:00:00"/>
    <d v="2025-02-06T18:51:36"/>
    <x v="0"/>
    <x v="2"/>
    <s v="DNS"/>
    <s v="Network Support"/>
    <s v="Mumbai"/>
    <s v="Chat"/>
    <s v="Resolved"/>
    <n v="48"/>
    <n v="42.86"/>
    <n v="3.4"/>
    <s v="No"/>
    <x v="0"/>
  </r>
  <r>
    <s v="INC100399"/>
    <d v="2025-02-20T00:00:00"/>
    <d v="2025-02-20T14:25:48"/>
    <x v="1"/>
    <x v="4"/>
    <s v="Configuration"/>
    <s v="Desktop Support"/>
    <s v="Bengaluru"/>
    <s v="Portal"/>
    <s v="In Progress"/>
    <n v="24"/>
    <n v="14.43"/>
    <n v="4.0999999999999996"/>
    <s v="No"/>
    <x v="0"/>
  </r>
  <r>
    <s v="INC100400"/>
    <d v="2025-02-26T00:00:00"/>
    <d v="2025-02-26T01:37:12"/>
    <x v="1"/>
    <x v="3"/>
    <s v="Printer"/>
    <s v="Desktop Support"/>
    <s v="Noida"/>
    <s v="Email"/>
    <s v="Resolved"/>
    <n v="24"/>
    <n v="1.62"/>
    <n v="5"/>
    <s v="Yes"/>
    <x v="0"/>
  </r>
  <r>
    <s v="INC100401"/>
    <d v="2025-06-30T00:00:00"/>
    <d v="2025-06-30T06:39:00"/>
    <x v="1"/>
    <x v="3"/>
    <s v="Laptop"/>
    <s v="Service Desk"/>
    <s v="Delhi"/>
    <s v="Portal"/>
    <s v="Resolved"/>
    <n v="24"/>
    <n v="6.65"/>
    <n v="5"/>
    <s v="No"/>
    <x v="0"/>
  </r>
  <r>
    <s v="INC100402"/>
    <d v="2025-05-21T00:00:00"/>
    <d v="2025-05-21T01:34:47"/>
    <x v="3"/>
    <x v="0"/>
    <s v="Performance"/>
    <s v="Network Support"/>
    <s v="Mumbai"/>
    <s v="Email"/>
    <s v="In Progress"/>
    <n v="8"/>
    <n v="1.58"/>
    <n v="5"/>
    <s v="No"/>
    <x v="0"/>
  </r>
  <r>
    <s v="INC100403"/>
    <d v="2025-02-27T00:00:00"/>
    <d v="2025-03-01T15:00:00"/>
    <x v="0"/>
    <x v="4"/>
    <s v="Spam"/>
    <s v="Access Management"/>
    <s v="Hyderabad"/>
    <s v="Portal"/>
    <s v="Closed"/>
    <n v="48"/>
    <n v="63"/>
    <n v="3.5"/>
    <s v="No"/>
    <x v="1"/>
  </r>
  <r>
    <s v="INC100404"/>
    <d v="2025-06-25T00:00:00"/>
    <d v="2025-06-25T00:42:00"/>
    <x v="2"/>
    <x v="0"/>
    <s v="Performance"/>
    <s v="Service Desk"/>
    <s v="Hyderabad"/>
    <s v="Portal"/>
    <s v="Closed"/>
    <n v="4"/>
    <n v="0.7"/>
    <n v="4.2"/>
    <s v="No"/>
    <x v="0"/>
  </r>
  <r>
    <s v="INC100405"/>
    <d v="2025-04-01T00:00:00"/>
    <d v="2025-04-01T09:11:24"/>
    <x v="1"/>
    <x v="4"/>
    <s v="Mailbox"/>
    <s v="Access Management"/>
    <s v="Noida"/>
    <s v="Portal"/>
    <s v="Resolved"/>
    <n v="24"/>
    <n v="9.19"/>
    <n v="5"/>
    <s v="No"/>
    <x v="0"/>
  </r>
  <r>
    <s v="INC100406"/>
    <d v="2025-04-01T00:00:00"/>
    <d v="2025-04-01T15:41:24"/>
    <x v="1"/>
    <x v="2"/>
    <s v="Packet Loss"/>
    <s v="Application Support"/>
    <s v="Gurugram"/>
    <s v="Chat"/>
    <s v="Closed"/>
    <n v="24"/>
    <n v="15.69"/>
    <n v="4.9000000000000004"/>
    <s v="Yes"/>
    <x v="0"/>
  </r>
  <r>
    <s v="INC100407"/>
    <d v="2025-03-20T00:00:00"/>
    <d v="2025-03-20T01:17:23"/>
    <x v="2"/>
    <x v="0"/>
    <s v="Installation"/>
    <s v="Application Support"/>
    <s v="Bengaluru"/>
    <s v="Email"/>
    <s v="Resolved"/>
    <n v="4"/>
    <n v="1.29"/>
    <n v="4.7"/>
    <s v="No"/>
    <x v="0"/>
  </r>
  <r>
    <s v="INC100408"/>
    <d v="2025-01-27T00:00:00"/>
    <d v="2025-01-27T17:34:47"/>
    <x v="0"/>
    <x v="1"/>
    <s v="Permission"/>
    <s v="Application Support"/>
    <s v="Delhi"/>
    <s v="Phone"/>
    <s v="Closed"/>
    <n v="48"/>
    <n v="17.579999999999998"/>
    <n v="4.9000000000000004"/>
    <s v="No"/>
    <x v="0"/>
  </r>
  <r>
    <s v="INC100409"/>
    <d v="2025-06-19T00:00:00"/>
    <d v="2025-06-19T04:48:36"/>
    <x v="3"/>
    <x v="0"/>
    <s v="Installation"/>
    <s v="Service Desk"/>
    <s v="Delhi"/>
    <s v="Email"/>
    <s v="Resolved"/>
    <n v="8"/>
    <n v="4.8099999999999996"/>
    <n v="4.5999999999999996"/>
    <s v="No"/>
    <x v="0"/>
  </r>
  <r>
    <s v="INC100410"/>
    <d v="2025-01-03T00:00:00"/>
    <d v="2025-01-03T06:11:24"/>
    <x v="1"/>
    <x v="3"/>
    <s v="Monitor"/>
    <s v="Service Desk"/>
    <s v="Mumbai"/>
    <s v="Portal"/>
    <s v="Resolved"/>
    <n v="24"/>
    <n v="6.19"/>
    <n v="4.4000000000000004"/>
    <s v="No"/>
    <x v="0"/>
  </r>
  <r>
    <s v="INC100411"/>
    <d v="2025-02-01T00:00:00"/>
    <d v="2025-02-01T13:08:24"/>
    <x v="1"/>
    <x v="4"/>
    <s v="Mailbox"/>
    <s v="Access Management"/>
    <s v="Hyderabad"/>
    <s v="Portal"/>
    <s v="Resolved"/>
    <n v="24"/>
    <n v="13.14"/>
    <n v="4.2"/>
    <s v="No"/>
    <x v="0"/>
  </r>
  <r>
    <s v="INC100412"/>
    <d v="2025-02-11T00:00:00"/>
    <d v="2025-02-12T17:21:00"/>
    <x v="0"/>
    <x v="2"/>
    <s v="DNS"/>
    <s v="Application Support"/>
    <s v="Noida"/>
    <s v="Portal"/>
    <s v="Resolved"/>
    <n v="48"/>
    <n v="41.35"/>
    <n v="3.4"/>
    <s v="No"/>
    <x v="0"/>
  </r>
  <r>
    <s v="INC100413"/>
    <d v="2025-02-20T00:00:00"/>
    <d v="2025-02-20T07:02:24"/>
    <x v="1"/>
    <x v="3"/>
    <s v="Laptop"/>
    <s v="Service Desk"/>
    <s v="Bengaluru"/>
    <s v="Email"/>
    <s v="Resolved"/>
    <n v="24"/>
    <n v="7.04"/>
    <n v="4.5"/>
    <s v="No"/>
    <x v="0"/>
  </r>
  <r>
    <s v="INC100414"/>
    <d v="2025-01-24T00:00:00"/>
    <d v="2025-01-24T04:34:11"/>
    <x v="1"/>
    <x v="1"/>
    <s v="Password Reset"/>
    <s v="Application Support"/>
    <s v="Bengaluru"/>
    <s v="Chat"/>
    <s v="Resolved"/>
    <n v="24"/>
    <n v="4.57"/>
    <n v="5"/>
    <s v="No"/>
    <x v="0"/>
  </r>
  <r>
    <s v="INC100415"/>
    <d v="2025-01-04T00:00:00"/>
    <d v="2025-01-05T12:07:48"/>
    <x v="1"/>
    <x v="4"/>
    <s v="Spam"/>
    <s v="Service Desk"/>
    <s v="Delhi"/>
    <s v="Portal"/>
    <s v="In Progress"/>
    <n v="24"/>
    <n v="36.130000000000003"/>
    <n v="3.7"/>
    <s v="Yes"/>
    <x v="1"/>
  </r>
  <r>
    <s v="INC100416"/>
    <d v="2025-05-03T00:00:00"/>
    <d v="2025-05-06T00:57:36"/>
    <x v="0"/>
    <x v="4"/>
    <s v="Mailbox"/>
    <s v="Access Management"/>
    <s v="Gurugram"/>
    <s v="Email"/>
    <s v="Resolved"/>
    <n v="48"/>
    <n v="72.959999999999994"/>
    <n v="3.5"/>
    <s v="No"/>
    <x v="1"/>
  </r>
  <r>
    <s v="INC100417"/>
    <d v="2025-06-25T00:00:00"/>
    <d v="2025-06-25T22:29:24"/>
    <x v="0"/>
    <x v="4"/>
    <s v="Configuration"/>
    <s v="Desktop Support"/>
    <s v="Gurugram"/>
    <s v="Phone"/>
    <s v="Resolved"/>
    <n v="48"/>
    <n v="22.49"/>
    <n v="5"/>
    <s v="No"/>
    <x v="0"/>
  </r>
  <r>
    <s v="INC100418"/>
    <d v="2025-01-23T00:00:00"/>
    <d v="2025-01-23T04:16:48"/>
    <x v="3"/>
    <x v="2"/>
    <s v="Link Down"/>
    <s v="Service Desk"/>
    <s v="Hyderabad"/>
    <s v="Chat"/>
    <s v="Closed"/>
    <n v="8"/>
    <n v="4.28"/>
    <n v="4.0999999999999996"/>
    <s v="No"/>
    <x v="0"/>
  </r>
  <r>
    <s v="INC100419"/>
    <d v="2025-02-23T00:00:00"/>
    <d v="2025-02-24T01:30:36"/>
    <x v="0"/>
    <x v="4"/>
    <s v="Mailbox"/>
    <s v="Application Support"/>
    <s v="Noida"/>
    <s v="Portal"/>
    <s v="Closed"/>
    <n v="48"/>
    <n v="25.51"/>
    <n v="3.6"/>
    <s v="No"/>
    <x v="0"/>
  </r>
  <r>
    <s v="INC100420"/>
    <d v="2025-04-02T00:00:00"/>
    <d v="2025-04-02T08:19:48"/>
    <x v="1"/>
    <x v="3"/>
    <s v="Monitor"/>
    <s v="Application Support"/>
    <s v="Mumbai"/>
    <s v="Chat"/>
    <s v="Resolved"/>
    <n v="24"/>
    <n v="8.33"/>
    <n v="4.5"/>
    <s v="No"/>
    <x v="0"/>
  </r>
  <r>
    <s v="INC100421"/>
    <d v="2025-06-17T00:00:00"/>
    <d v="2025-06-17T01:50:24"/>
    <x v="2"/>
    <x v="0"/>
    <s v="Application Error"/>
    <s v="Service Desk"/>
    <s v="Gurugram"/>
    <s v="Email"/>
    <s v="Resolved"/>
    <n v="4"/>
    <n v="1.84"/>
    <n v="4.4000000000000004"/>
    <s v="No"/>
    <x v="0"/>
  </r>
  <r>
    <s v="INC100422"/>
    <d v="2025-05-06T00:00:00"/>
    <d v="2025-05-06T03:19:12"/>
    <x v="0"/>
    <x v="3"/>
    <s v="Printer"/>
    <s v="Application Support"/>
    <s v="Hyderabad"/>
    <s v="Email"/>
    <s v="Resolved"/>
    <n v="48"/>
    <n v="3.32"/>
    <n v="5"/>
    <s v="No"/>
    <x v="0"/>
  </r>
  <r>
    <s v="INC100423"/>
    <d v="2025-05-19T00:00:00"/>
    <d v="2025-05-19T06:39:00"/>
    <x v="0"/>
    <x v="1"/>
    <s v="Account Lock"/>
    <s v="Service Desk"/>
    <s v="Hyderabad"/>
    <s v="Phone"/>
    <s v="Resolved"/>
    <n v="48"/>
    <n v="6.65"/>
    <n v="5"/>
    <s v="No"/>
    <x v="0"/>
  </r>
  <r>
    <s v="INC100424"/>
    <d v="2025-04-16T00:00:00"/>
    <d v="2025-04-16T08:49:48"/>
    <x v="1"/>
    <x v="0"/>
    <s v="Application Error"/>
    <s v="Service Desk"/>
    <s v="Noida"/>
    <s v="Portal"/>
    <s v="Resolved"/>
    <n v="24"/>
    <n v="8.83"/>
    <n v="5"/>
    <s v="No"/>
    <x v="0"/>
  </r>
  <r>
    <s v="INC100425"/>
    <d v="2025-03-17T00:00:00"/>
    <d v="2025-03-17T14:11:24"/>
    <x v="0"/>
    <x v="1"/>
    <s v="VPN Access"/>
    <s v="Access Management"/>
    <s v="Gurugram"/>
    <s v="Phone"/>
    <s v="Closed"/>
    <n v="48"/>
    <n v="14.19"/>
    <n v="3.3"/>
    <s v="No"/>
    <x v="0"/>
  </r>
  <r>
    <s v="INC100426"/>
    <d v="2025-02-06T00:00:00"/>
    <d v="2025-02-06T03:49:48"/>
    <x v="1"/>
    <x v="2"/>
    <s v="Packet Loss"/>
    <s v="Application Support"/>
    <s v="Hyderabad"/>
    <s v="Email"/>
    <s v="Resolved"/>
    <n v="24"/>
    <n v="3.83"/>
    <n v="4.3"/>
    <s v="No"/>
    <x v="0"/>
  </r>
  <r>
    <s v="INC100427"/>
    <d v="2025-06-06T00:00:00"/>
    <d v="2025-06-06T10:59:24"/>
    <x v="1"/>
    <x v="2"/>
    <s v="Link Down"/>
    <s v="Network Support"/>
    <s v="Mumbai"/>
    <s v="Phone"/>
    <s v="Resolved"/>
    <n v="24"/>
    <n v="10.99"/>
    <n v="4.4000000000000004"/>
    <s v="No"/>
    <x v="0"/>
  </r>
  <r>
    <s v="INC100428"/>
    <d v="2025-05-26T00:00:00"/>
    <d v="2025-05-26T19:06:00"/>
    <x v="1"/>
    <x v="3"/>
    <s v="Printer"/>
    <s v="Application Support"/>
    <s v="Bengaluru"/>
    <s v="Phone"/>
    <s v="Closed"/>
    <n v="24"/>
    <n v="19.100000000000001"/>
    <n v="4.4000000000000004"/>
    <s v="No"/>
    <x v="0"/>
  </r>
  <r>
    <s v="INC100429"/>
    <d v="2025-01-05T00:00:00"/>
    <d v="2025-01-05T06:12:00"/>
    <x v="1"/>
    <x v="2"/>
    <s v="Packet Loss"/>
    <s v="Service Desk"/>
    <s v="Gurugram"/>
    <s v="Email"/>
    <s v="Resolved"/>
    <n v="24"/>
    <n v="6.2"/>
    <n v="5"/>
    <s v="No"/>
    <x v="0"/>
  </r>
  <r>
    <s v="INC100430"/>
    <d v="2025-05-10T00:00:00"/>
    <d v="2025-05-10T14:25:48"/>
    <x v="1"/>
    <x v="0"/>
    <s v="Application Error"/>
    <s v="Service Desk"/>
    <s v="Bengaluru"/>
    <s v="Portal"/>
    <s v="In Progress"/>
    <n v="24"/>
    <n v="14.43"/>
    <n v="3.6"/>
    <s v="No"/>
    <x v="0"/>
  </r>
  <r>
    <s v="INC100431"/>
    <d v="2025-01-16T00:00:00"/>
    <d v="2025-01-16T09:01:48"/>
    <x v="1"/>
    <x v="3"/>
    <s v="Peripheral"/>
    <s v="Desktop Support"/>
    <s v="Noida"/>
    <s v="Portal"/>
    <s v="Resolved"/>
    <n v="24"/>
    <n v="9.0299999999999994"/>
    <n v="4.0999999999999996"/>
    <s v="No"/>
    <x v="0"/>
  </r>
  <r>
    <s v="INC100432"/>
    <d v="2025-05-14T00:00:00"/>
    <d v="2025-05-15T18:46:12"/>
    <x v="0"/>
    <x v="0"/>
    <s v="Installation"/>
    <s v="Desktop Support"/>
    <s v="Mumbai"/>
    <s v="Phone"/>
    <s v="Resolved"/>
    <n v="48"/>
    <n v="42.77"/>
    <n v="3.7"/>
    <s v="No"/>
    <x v="0"/>
  </r>
  <r>
    <s v="INC100433"/>
    <d v="2025-05-30T00:00:00"/>
    <d v="2025-05-30T03:03:00"/>
    <x v="1"/>
    <x v="2"/>
    <s v="Connectivity"/>
    <s v="Access Management"/>
    <s v="Mumbai"/>
    <s v="Email"/>
    <s v="Resolved"/>
    <n v="24"/>
    <n v="3.05"/>
    <n v="4.4000000000000004"/>
    <s v="No"/>
    <x v="0"/>
  </r>
  <r>
    <s v="INC100434"/>
    <d v="2025-01-24T00:00:00"/>
    <d v="2025-01-24T01:27:36"/>
    <x v="3"/>
    <x v="2"/>
    <s v="Packet Loss"/>
    <s v="Desktop Support"/>
    <s v="Noida"/>
    <s v="Phone"/>
    <s v="Resolved"/>
    <n v="8"/>
    <n v="1.46"/>
    <n v="4.2"/>
    <s v="No"/>
    <x v="0"/>
  </r>
  <r>
    <s v="INC100435"/>
    <d v="2025-03-20T00:00:00"/>
    <d v="2025-03-20T08:36:00"/>
    <x v="1"/>
    <x v="0"/>
    <s v="License"/>
    <s v="Service Desk"/>
    <s v="Delhi"/>
    <s v="Portal"/>
    <s v="Resolved"/>
    <n v="24"/>
    <n v="8.6"/>
    <n v="4.5999999999999996"/>
    <s v="Yes"/>
    <x v="0"/>
  </r>
  <r>
    <s v="INC100436"/>
    <d v="2025-01-23T00:00:00"/>
    <d v="2025-01-23T05:17:23"/>
    <x v="1"/>
    <x v="3"/>
    <s v="Printer"/>
    <s v="Application Support"/>
    <s v="Bengaluru"/>
    <s v="Email"/>
    <s v="Pending"/>
    <n v="24"/>
    <n v="5.29"/>
    <n v="5"/>
    <s v="No"/>
    <x v="0"/>
  </r>
  <r>
    <s v="INC100437"/>
    <d v="2025-04-13T00:00:00"/>
    <d v="2025-04-14T02:03:36"/>
    <x v="1"/>
    <x v="2"/>
    <s v="Link Down"/>
    <s v="Desktop Support"/>
    <s v="Hyderabad"/>
    <s v="Phone"/>
    <s v="Resolved"/>
    <n v="24"/>
    <n v="26.06"/>
    <n v="3.8"/>
    <s v="No"/>
    <x v="1"/>
  </r>
  <r>
    <s v="INC100438"/>
    <d v="2025-06-17T00:00:00"/>
    <d v="2025-06-17T06:28:12"/>
    <x v="0"/>
    <x v="2"/>
    <s v="Link Down"/>
    <s v="Network Support"/>
    <s v="Gurugram"/>
    <s v="Phone"/>
    <s v="Resolved"/>
    <n v="48"/>
    <n v="6.47"/>
    <n v="4.3"/>
    <s v="No"/>
    <x v="0"/>
  </r>
  <r>
    <s v="INC100439"/>
    <d v="2025-01-15T00:00:00"/>
    <d v="2025-01-15T16:42:36"/>
    <x v="0"/>
    <x v="2"/>
    <s v="Packet Loss"/>
    <s v="Application Support"/>
    <s v="Hyderabad"/>
    <s v="Portal"/>
    <s v="Closed"/>
    <n v="48"/>
    <n v="16.71"/>
    <n v="4.5"/>
    <s v="No"/>
    <x v="0"/>
  </r>
  <r>
    <s v="INC100440"/>
    <d v="2025-03-13T00:00:00"/>
    <d v="2025-03-16T11:11:24"/>
    <x v="0"/>
    <x v="0"/>
    <s v="Application Error"/>
    <s v="Desktop Support"/>
    <s v="Noida"/>
    <s v="Portal"/>
    <s v="Resolved"/>
    <n v="48"/>
    <n v="83.19"/>
    <n v="2.2000000000000002"/>
    <s v="No"/>
    <x v="1"/>
  </r>
  <r>
    <s v="INC100441"/>
    <d v="2025-06-26T00:00:00"/>
    <d v="2025-06-26T00:30:00"/>
    <x v="2"/>
    <x v="2"/>
    <s v="DNS"/>
    <s v="Desktop Support"/>
    <s v="Mumbai"/>
    <s v="Phone"/>
    <s v="Resolved"/>
    <n v="4"/>
    <n v="0.5"/>
    <n v="5"/>
    <s v="No"/>
    <x v="0"/>
  </r>
  <r>
    <s v="INC100442"/>
    <d v="2025-02-24T00:00:00"/>
    <d v="2025-02-24T23:42:36"/>
    <x v="0"/>
    <x v="3"/>
    <s v="Monitor"/>
    <s v="Network Support"/>
    <s v="Mumbai"/>
    <s v="Phone"/>
    <s v="In Progress"/>
    <n v="48"/>
    <n v="23.71"/>
    <n v="5"/>
    <s v="No"/>
    <x v="0"/>
  </r>
  <r>
    <s v="INC100443"/>
    <d v="2025-01-24T00:00:00"/>
    <d v="2025-01-24T03:03:36"/>
    <x v="3"/>
    <x v="0"/>
    <s v="Application Error"/>
    <s v="Desktop Support"/>
    <s v="Gurugram"/>
    <s v="Portal"/>
    <s v="Resolved"/>
    <n v="8"/>
    <n v="3.06"/>
    <n v="3.5"/>
    <s v="No"/>
    <x v="0"/>
  </r>
  <r>
    <s v="INC100444"/>
    <d v="2025-03-30T00:00:00"/>
    <d v="2025-03-31T08:04:12"/>
    <x v="0"/>
    <x v="0"/>
    <s v="Application Error"/>
    <s v="Application Support"/>
    <s v="Delhi"/>
    <s v="Email"/>
    <s v="Resolved"/>
    <n v="48"/>
    <n v="32.07"/>
    <n v="4.3"/>
    <s v="Yes"/>
    <x v="0"/>
  </r>
  <r>
    <s v="INC100445"/>
    <d v="2025-04-03T00:00:00"/>
    <d v="2025-04-04T05:43:12"/>
    <x v="0"/>
    <x v="0"/>
    <s v="Performance"/>
    <s v="Application Support"/>
    <s v="Hyderabad"/>
    <s v="Portal"/>
    <s v="In Progress"/>
    <n v="48"/>
    <n v="29.72"/>
    <n v="3.8"/>
    <s v="No"/>
    <x v="0"/>
  </r>
  <r>
    <s v="INC100446"/>
    <d v="2025-04-30T00:00:00"/>
    <d v="2025-04-30T14:09:36"/>
    <x v="1"/>
    <x v="2"/>
    <s v="Connectivity"/>
    <s v="Application Support"/>
    <s v="Mumbai"/>
    <s v="Portal"/>
    <s v="Resolved"/>
    <n v="24"/>
    <n v="14.16"/>
    <n v="4.3"/>
    <s v="No"/>
    <x v="0"/>
  </r>
  <r>
    <s v="INC100447"/>
    <d v="2025-02-26T00:00:00"/>
    <d v="2025-02-26T22:25:12"/>
    <x v="1"/>
    <x v="4"/>
    <s v="Configuration"/>
    <s v="Access Management"/>
    <s v="Bengaluru"/>
    <s v="Portal"/>
    <s v="Closed"/>
    <n v="24"/>
    <n v="22.42"/>
    <n v="3.8"/>
    <s v="Yes"/>
    <x v="0"/>
  </r>
  <r>
    <s v="INC100448"/>
    <d v="2025-06-22T00:00:00"/>
    <d v="2025-06-22T07:20:24"/>
    <x v="3"/>
    <x v="3"/>
    <s v="Peripheral"/>
    <s v="Desktop Support"/>
    <s v="Gurugram"/>
    <s v="Portal"/>
    <s v="Resolved"/>
    <n v="8"/>
    <n v="7.34"/>
    <n v="3"/>
    <s v="No"/>
    <x v="0"/>
  </r>
  <r>
    <s v="INC100449"/>
    <d v="2025-04-05T00:00:00"/>
    <d v="2025-04-05T01:10:12"/>
    <x v="2"/>
    <x v="3"/>
    <s v="Laptop"/>
    <s v="Desktop Support"/>
    <s v="Delhi"/>
    <s v="Phone"/>
    <s v="Resolved"/>
    <n v="4"/>
    <n v="1.17"/>
    <n v="5"/>
    <s v="No"/>
    <x v="0"/>
  </r>
  <r>
    <s v="INC100450"/>
    <d v="2025-02-21T00:00:00"/>
    <d v="2025-02-21T02:15:36"/>
    <x v="3"/>
    <x v="4"/>
    <s v="Mailbox"/>
    <s v="Desktop Support"/>
    <s v="Gurugram"/>
    <s v="Portal"/>
    <s v="Resolved"/>
    <n v="8"/>
    <n v="2.2599999999999998"/>
    <n v="4.5999999999999996"/>
    <s v="No"/>
    <x v="0"/>
  </r>
  <r>
    <s v="INC100451"/>
    <d v="2025-06-23T00:00:00"/>
    <d v="2025-06-24T12:58:48"/>
    <x v="0"/>
    <x v="0"/>
    <s v="License"/>
    <s v="Service Desk"/>
    <s v="Bengaluru"/>
    <s v="Phone"/>
    <s v="In Progress"/>
    <n v="48"/>
    <n v="36.979999999999997"/>
    <n v="3.8"/>
    <s v="No"/>
    <x v="0"/>
  </r>
  <r>
    <s v="INC100452"/>
    <d v="2025-06-17T00:00:00"/>
    <d v="2025-06-17T04:24:00"/>
    <x v="3"/>
    <x v="0"/>
    <s v="Application Error"/>
    <s v="Service Desk"/>
    <s v="Mumbai"/>
    <s v="Email"/>
    <s v="Resolved"/>
    <n v="8"/>
    <n v="4.4000000000000004"/>
    <n v="4.4000000000000004"/>
    <s v="No"/>
    <x v="0"/>
  </r>
  <r>
    <s v="INC100453"/>
    <d v="2025-04-01T00:00:00"/>
    <d v="2025-04-02T06:13:12"/>
    <x v="0"/>
    <x v="4"/>
    <s v="Spam"/>
    <s v="Application Support"/>
    <s v="Gurugram"/>
    <s v="Portal"/>
    <s v="Resolved"/>
    <n v="48"/>
    <n v="30.22"/>
    <n v="3.7"/>
    <s v="No"/>
    <x v="0"/>
  </r>
  <r>
    <s v="INC100454"/>
    <d v="2025-01-05T00:00:00"/>
    <d v="2025-01-05T04:00:00"/>
    <x v="3"/>
    <x v="2"/>
    <s v="DNS"/>
    <s v="Service Desk"/>
    <s v="Gurugram"/>
    <s v="Portal"/>
    <s v="Resolved"/>
    <n v="8"/>
    <n v="4"/>
    <n v="4.3"/>
    <s v="No"/>
    <x v="0"/>
  </r>
  <r>
    <s v="INC100455"/>
    <d v="2025-04-19T00:00:00"/>
    <d v="2025-04-19T07:52:48"/>
    <x v="1"/>
    <x v="1"/>
    <s v="Password Reset"/>
    <s v="Application Support"/>
    <s v="Gurugram"/>
    <s v="Portal"/>
    <s v="Resolved"/>
    <n v="24"/>
    <n v="7.88"/>
    <n v="3.4"/>
    <s v="No"/>
    <x v="0"/>
  </r>
  <r>
    <s v="INC100456"/>
    <d v="2025-04-11T00:00:00"/>
    <d v="2025-04-11T17:49:12"/>
    <x v="1"/>
    <x v="0"/>
    <s v="Performance"/>
    <s v="Application Support"/>
    <s v="Hyderabad"/>
    <s v="Email"/>
    <s v="Resolved"/>
    <n v="24"/>
    <n v="17.82"/>
    <n v="2.6"/>
    <s v="No"/>
    <x v="0"/>
  </r>
  <r>
    <s v="INC100457"/>
    <d v="2025-01-27T00:00:00"/>
    <d v="2025-01-27T11:53:24"/>
    <x v="0"/>
    <x v="3"/>
    <s v="Monitor"/>
    <s v="Access Management"/>
    <s v="Bengaluru"/>
    <s v="Chat"/>
    <s v="In Progress"/>
    <n v="48"/>
    <n v="11.89"/>
    <n v="4.0999999999999996"/>
    <s v="No"/>
    <x v="0"/>
  </r>
  <r>
    <s v="INC100458"/>
    <d v="2025-04-25T00:00:00"/>
    <d v="2025-04-28T12:24:00"/>
    <x v="0"/>
    <x v="2"/>
    <s v="Link Down"/>
    <s v="Network Support"/>
    <s v="Hyderabad"/>
    <s v="Phone"/>
    <s v="Closed"/>
    <n v="48"/>
    <n v="84.4"/>
    <n v="2.5"/>
    <s v="No"/>
    <x v="1"/>
  </r>
  <r>
    <s v="INC100459"/>
    <d v="2025-06-02T00:00:00"/>
    <d v="2025-06-05T07:00:36"/>
    <x v="0"/>
    <x v="2"/>
    <s v="DNS"/>
    <s v="Service Desk"/>
    <s v="Delhi"/>
    <s v="Phone"/>
    <s v="Resolved"/>
    <n v="48"/>
    <n v="79.010000000000005"/>
    <n v="1.9"/>
    <s v="No"/>
    <x v="1"/>
  </r>
  <r>
    <s v="INC100460"/>
    <d v="2025-01-20T00:00:00"/>
    <d v="2025-01-20T16:12:36"/>
    <x v="3"/>
    <x v="4"/>
    <s v="Delivery"/>
    <s v="Application Support"/>
    <s v="Noida"/>
    <s v="Phone"/>
    <s v="Resolved"/>
    <n v="8"/>
    <n v="16.21"/>
    <n v="2.2000000000000002"/>
    <s v="No"/>
    <x v="1"/>
  </r>
  <r>
    <s v="INC100461"/>
    <d v="2025-05-11T00:00:00"/>
    <d v="2025-05-11T04:37:12"/>
    <x v="3"/>
    <x v="2"/>
    <s v="Link Down"/>
    <s v="Desktop Support"/>
    <s v="Noida"/>
    <s v="Phone"/>
    <s v="Resolved"/>
    <n v="8"/>
    <n v="4.62"/>
    <n v="4"/>
    <s v="No"/>
    <x v="0"/>
  </r>
  <r>
    <s v="INC100462"/>
    <d v="2025-01-26T00:00:00"/>
    <d v="2025-01-26T01:27:36"/>
    <x v="2"/>
    <x v="2"/>
    <s v="DNS"/>
    <s v="Application Support"/>
    <s v="Noida"/>
    <s v="Email"/>
    <s v="Resolved"/>
    <n v="4"/>
    <n v="1.46"/>
    <n v="4.5"/>
    <s v="No"/>
    <x v="0"/>
  </r>
  <r>
    <s v="INC100463"/>
    <d v="2025-05-16T00:00:00"/>
    <d v="2025-05-18T12:38:24"/>
    <x v="0"/>
    <x v="0"/>
    <s v="Performance"/>
    <s v="Application Support"/>
    <s v="Noida"/>
    <s v="Phone"/>
    <s v="Resolved"/>
    <n v="48"/>
    <n v="60.64"/>
    <n v="3.9"/>
    <s v="No"/>
    <x v="1"/>
  </r>
  <r>
    <s v="INC100464"/>
    <d v="2025-03-17T00:00:00"/>
    <d v="2025-03-17T12:12:00"/>
    <x v="1"/>
    <x v="0"/>
    <s v="Application Error"/>
    <s v="Access Management"/>
    <s v="Delhi"/>
    <s v="Portal"/>
    <s v="In Progress"/>
    <n v="24"/>
    <n v="12.2"/>
    <n v="5"/>
    <s v="No"/>
    <x v="0"/>
  </r>
  <r>
    <s v="INC100465"/>
    <d v="2025-01-02T00:00:00"/>
    <d v="2025-01-03T18:43:48"/>
    <x v="0"/>
    <x v="2"/>
    <s v="Link Down"/>
    <s v="Service Desk"/>
    <s v="Delhi"/>
    <s v="Portal"/>
    <s v="Resolved"/>
    <n v="48"/>
    <n v="42.73"/>
    <n v="4.2"/>
    <s v="No"/>
    <x v="0"/>
  </r>
  <r>
    <s v="INC100466"/>
    <d v="2025-06-24T00:00:00"/>
    <d v="2025-06-24T21:15:36"/>
    <x v="1"/>
    <x v="1"/>
    <s v="Password Reset"/>
    <s v="Service Desk"/>
    <s v="Mumbai"/>
    <s v="Phone"/>
    <s v="Resolved"/>
    <n v="24"/>
    <n v="21.26"/>
    <n v="3.3"/>
    <s v="No"/>
    <x v="0"/>
  </r>
  <r>
    <s v="INC100467"/>
    <d v="2025-01-31T00:00:00"/>
    <d v="2025-01-31T06:06:00"/>
    <x v="1"/>
    <x v="0"/>
    <s v="Performance"/>
    <s v="Desktop Support"/>
    <s v="Noida"/>
    <s v="Phone"/>
    <s v="Closed"/>
    <n v="24"/>
    <n v="6.1"/>
    <n v="5"/>
    <s v="No"/>
    <x v="0"/>
  </r>
  <r>
    <s v="INC100468"/>
    <d v="2025-04-18T00:00:00"/>
    <d v="2025-04-19T11:02:24"/>
    <x v="0"/>
    <x v="1"/>
    <s v="VPN Access"/>
    <s v="Desktop Support"/>
    <s v="Delhi"/>
    <s v="Portal"/>
    <s v="Resolved"/>
    <n v="48"/>
    <n v="35.04"/>
    <n v="5"/>
    <s v="No"/>
    <x v="0"/>
  </r>
  <r>
    <s v="INC100469"/>
    <d v="2025-02-02T00:00:00"/>
    <d v="2025-02-02T20:36:00"/>
    <x v="1"/>
    <x v="2"/>
    <s v="Connectivity"/>
    <s v="Access Management"/>
    <s v="Noida"/>
    <s v="Chat"/>
    <s v="Closed"/>
    <n v="24"/>
    <n v="20.6"/>
    <n v="3.2"/>
    <s v="No"/>
    <x v="0"/>
  </r>
  <r>
    <s v="INC100470"/>
    <d v="2025-06-18T00:00:00"/>
    <d v="2025-06-18T22:11:24"/>
    <x v="0"/>
    <x v="2"/>
    <s v="DNS"/>
    <s v="Network Support"/>
    <s v="Hyderabad"/>
    <s v="Portal"/>
    <s v="Closed"/>
    <n v="48"/>
    <n v="22.19"/>
    <n v="3.8"/>
    <s v="No"/>
    <x v="0"/>
  </r>
  <r>
    <s v="INC100471"/>
    <d v="2025-05-14T00:00:00"/>
    <d v="2025-05-14T03:17:23"/>
    <x v="1"/>
    <x v="0"/>
    <s v="License"/>
    <s v="Service Desk"/>
    <s v="Noida"/>
    <s v="Phone"/>
    <s v="Resolved"/>
    <n v="24"/>
    <n v="3.29"/>
    <n v="3.9"/>
    <s v="No"/>
    <x v="0"/>
  </r>
  <r>
    <s v="INC100472"/>
    <d v="2025-05-26T00:00:00"/>
    <d v="2025-05-27T06:48:00"/>
    <x v="1"/>
    <x v="2"/>
    <s v="DNS"/>
    <s v="Access Management"/>
    <s v="Hyderabad"/>
    <s v="Chat"/>
    <s v="In Progress"/>
    <n v="24"/>
    <n v="30.8"/>
    <n v="3.1"/>
    <s v="No"/>
    <x v="1"/>
  </r>
  <r>
    <s v="INC100473"/>
    <d v="2025-03-20T00:00:00"/>
    <d v="2025-03-23T11:09:00"/>
    <x v="0"/>
    <x v="0"/>
    <s v="Performance"/>
    <s v="Application Support"/>
    <s v="Delhi"/>
    <s v="Portal"/>
    <s v="Resolved"/>
    <n v="48"/>
    <n v="83.15"/>
    <n v="3.2"/>
    <s v="No"/>
    <x v="1"/>
  </r>
  <r>
    <s v="INC100474"/>
    <d v="2025-03-26T00:00:00"/>
    <d v="2025-03-26T04:16:12"/>
    <x v="3"/>
    <x v="2"/>
    <s v="Link Down"/>
    <s v="Application Support"/>
    <s v="Delhi"/>
    <s v="Chat"/>
    <s v="Resolved"/>
    <n v="8"/>
    <n v="4.2699999999999996"/>
    <n v="5"/>
    <s v="No"/>
    <x v="0"/>
  </r>
  <r>
    <s v="INC100475"/>
    <d v="2025-04-25T00:00:00"/>
    <d v="2025-04-25T09:25:48"/>
    <x v="1"/>
    <x v="1"/>
    <s v="Password Reset"/>
    <s v="Service Desk"/>
    <s v="Bengaluru"/>
    <s v="Phone"/>
    <s v="Closed"/>
    <n v="24"/>
    <n v="9.43"/>
    <n v="5"/>
    <s v="No"/>
    <x v="0"/>
  </r>
  <r>
    <s v="INC100476"/>
    <d v="2025-05-23T00:00:00"/>
    <d v="2025-05-23T00:54:00"/>
    <x v="3"/>
    <x v="4"/>
    <s v="Configuration"/>
    <s v="Application Support"/>
    <s v="Mumbai"/>
    <s v="Phone"/>
    <s v="Closed"/>
    <n v="8"/>
    <n v="0.9"/>
    <n v="5"/>
    <s v="No"/>
    <x v="0"/>
  </r>
  <r>
    <s v="INC100477"/>
    <d v="2025-06-03T00:00:00"/>
    <d v="2025-06-03T13:20:24"/>
    <x v="1"/>
    <x v="1"/>
    <s v="Account Lock"/>
    <s v="Service Desk"/>
    <s v="Hyderabad"/>
    <s v="Chat"/>
    <s v="Resolved"/>
    <n v="24"/>
    <n v="13.34"/>
    <n v="4.4000000000000004"/>
    <s v="No"/>
    <x v="0"/>
  </r>
  <r>
    <s v="INC100478"/>
    <d v="2025-01-04T00:00:00"/>
    <d v="2025-01-04T08:15:36"/>
    <x v="1"/>
    <x v="4"/>
    <s v="Spam"/>
    <s v="Application Support"/>
    <s v="Noida"/>
    <s v="Email"/>
    <s v="Resolved"/>
    <n v="24"/>
    <n v="8.26"/>
    <n v="4.8"/>
    <s v="No"/>
    <x v="0"/>
  </r>
  <r>
    <s v="INC100479"/>
    <d v="2025-05-01T00:00:00"/>
    <d v="2025-05-01T02:42:00"/>
    <x v="1"/>
    <x v="4"/>
    <s v="Delivery"/>
    <s v="Network Support"/>
    <s v="Gurugram"/>
    <s v="Email"/>
    <s v="In Progress"/>
    <n v="24"/>
    <n v="2.7"/>
    <n v="5"/>
    <s v="No"/>
    <x v="0"/>
  </r>
  <r>
    <s v="INC100480"/>
    <d v="2025-01-20T00:00:00"/>
    <d v="2025-01-20T07:33:00"/>
    <x v="3"/>
    <x v="3"/>
    <s v="Printer"/>
    <s v="Service Desk"/>
    <s v="Bengaluru"/>
    <s v="Email"/>
    <s v="Closed"/>
    <n v="8"/>
    <n v="7.55"/>
    <n v="4.7"/>
    <s v="No"/>
    <x v="0"/>
  </r>
  <r>
    <s v="INC100481"/>
    <d v="2025-02-22T00:00:00"/>
    <d v="2025-02-22T18:12:00"/>
    <x v="1"/>
    <x v="3"/>
    <s v="Peripheral"/>
    <s v="Application Support"/>
    <s v="Gurugram"/>
    <s v="Portal"/>
    <s v="Resolved"/>
    <n v="24"/>
    <n v="18.2"/>
    <n v="4.0999999999999996"/>
    <s v="Yes"/>
    <x v="0"/>
  </r>
  <r>
    <s v="INC100482"/>
    <d v="2025-05-31T00:00:00"/>
    <d v="2025-05-31T14:45:36"/>
    <x v="0"/>
    <x v="4"/>
    <s v="Configuration"/>
    <s v="Application Support"/>
    <s v="Gurugram"/>
    <s v="Portal"/>
    <s v="Resolved"/>
    <n v="48"/>
    <n v="14.76"/>
    <n v="4.8"/>
    <s v="No"/>
    <x v="0"/>
  </r>
  <r>
    <s v="INC100483"/>
    <d v="2025-02-15T00:00:00"/>
    <d v="2025-02-18T00:37:48"/>
    <x v="0"/>
    <x v="4"/>
    <s v="Configuration"/>
    <s v="Access Management"/>
    <s v="Delhi"/>
    <s v="Portal"/>
    <s v="Closed"/>
    <n v="48"/>
    <n v="72.63"/>
    <n v="2.9"/>
    <s v="No"/>
    <x v="1"/>
  </r>
  <r>
    <s v="INC100484"/>
    <d v="2025-05-25T00:00:00"/>
    <d v="2025-05-25T11:29:24"/>
    <x v="1"/>
    <x v="4"/>
    <s v="Mailbox"/>
    <s v="Access Management"/>
    <s v="Mumbai"/>
    <s v="Portal"/>
    <s v="Closed"/>
    <n v="24"/>
    <n v="11.49"/>
    <n v="4.5"/>
    <s v="No"/>
    <x v="0"/>
  </r>
  <r>
    <s v="INC100485"/>
    <d v="2025-03-25T00:00:00"/>
    <d v="2025-03-26T01:58:48"/>
    <x v="0"/>
    <x v="1"/>
    <s v="Password Reset"/>
    <s v="Network Support"/>
    <s v="Bengaluru"/>
    <s v="Phone"/>
    <s v="Resolved"/>
    <n v="48"/>
    <n v="25.98"/>
    <n v="4.2"/>
    <s v="No"/>
    <x v="0"/>
  </r>
  <r>
    <s v="INC100486"/>
    <d v="2025-02-12T00:00:00"/>
    <d v="2025-02-12T20:31:12"/>
    <x v="0"/>
    <x v="2"/>
    <s v="Connectivity"/>
    <s v="Network Support"/>
    <s v="Delhi"/>
    <s v="Chat"/>
    <s v="Resolved"/>
    <n v="48"/>
    <n v="20.52"/>
    <n v="3.7"/>
    <s v="No"/>
    <x v="0"/>
  </r>
  <r>
    <s v="INC100487"/>
    <d v="2025-03-02T00:00:00"/>
    <d v="2025-03-04T01:40:12"/>
    <x v="0"/>
    <x v="4"/>
    <s v="Delivery"/>
    <s v="Service Desk"/>
    <s v="Bengaluru"/>
    <s v="Chat"/>
    <s v="Resolved"/>
    <n v="48"/>
    <n v="49.67"/>
    <n v="4.3"/>
    <s v="Yes"/>
    <x v="1"/>
  </r>
  <r>
    <s v="INC100488"/>
    <d v="2025-04-07T00:00:00"/>
    <d v="2025-04-07T17:43:48"/>
    <x v="1"/>
    <x v="4"/>
    <s v="Delivery"/>
    <s v="Access Management"/>
    <s v="Hyderabad"/>
    <s v="Portal"/>
    <s v="Closed"/>
    <n v="24"/>
    <n v="17.73"/>
    <n v="5"/>
    <s v="No"/>
    <x v="0"/>
  </r>
  <r>
    <s v="INC100489"/>
    <d v="2025-05-19T00:00:00"/>
    <d v="2025-05-19T03:16:48"/>
    <x v="0"/>
    <x v="0"/>
    <s v="License"/>
    <s v="Desktop Support"/>
    <s v="Mumbai"/>
    <s v="Email"/>
    <s v="Closed"/>
    <n v="48"/>
    <n v="3.28"/>
    <n v="4.9000000000000004"/>
    <s v="No"/>
    <x v="0"/>
  </r>
  <r>
    <s v="INC100490"/>
    <d v="2025-04-20T00:00:00"/>
    <d v="2025-04-20T12:09:00"/>
    <x v="1"/>
    <x v="1"/>
    <s v="VPN Access"/>
    <s v="Access Management"/>
    <s v="Noida"/>
    <s v="Email"/>
    <s v="Closed"/>
    <n v="24"/>
    <n v="12.15"/>
    <n v="4.5999999999999996"/>
    <s v="No"/>
    <x v="0"/>
  </r>
  <r>
    <s v="INC100491"/>
    <d v="2025-06-18T00:00:00"/>
    <d v="2025-06-18T07:02:24"/>
    <x v="3"/>
    <x v="0"/>
    <s v="License"/>
    <s v="Network Support"/>
    <s v="Delhi"/>
    <s v="Portal"/>
    <s v="Resolved"/>
    <n v="8"/>
    <n v="7.04"/>
    <n v="4.5"/>
    <s v="No"/>
    <x v="0"/>
  </r>
  <r>
    <s v="INC100492"/>
    <d v="2025-06-07T00:00:00"/>
    <d v="2025-06-07T00:54:00"/>
    <x v="3"/>
    <x v="4"/>
    <s v="Mailbox"/>
    <s v="Access Management"/>
    <s v="Bengaluru"/>
    <s v="Email"/>
    <s v="Resolved"/>
    <n v="8"/>
    <n v="0.9"/>
    <n v="4.8"/>
    <s v="No"/>
    <x v="0"/>
  </r>
  <r>
    <s v="INC100493"/>
    <d v="2025-05-17T00:00:00"/>
    <d v="2025-05-17T20:57:36"/>
    <x v="1"/>
    <x v="2"/>
    <s v="Packet Loss"/>
    <s v="Network Support"/>
    <s v="Bengaluru"/>
    <s v="Portal"/>
    <s v="Closed"/>
    <n v="24"/>
    <n v="20.96"/>
    <n v="4.0999999999999996"/>
    <s v="No"/>
    <x v="0"/>
  </r>
  <r>
    <s v="INC100494"/>
    <d v="2025-04-20T00:00:00"/>
    <d v="2025-04-20T18:01:12"/>
    <x v="1"/>
    <x v="1"/>
    <s v="VPN Access"/>
    <s v="Access Management"/>
    <s v="Hyderabad"/>
    <s v="Chat"/>
    <s v="In Progress"/>
    <n v="24"/>
    <n v="18.02"/>
    <n v="4"/>
    <s v="No"/>
    <x v="0"/>
  </r>
  <r>
    <s v="INC100495"/>
    <d v="2025-02-22T00:00:00"/>
    <d v="2025-02-22T05:09:00"/>
    <x v="1"/>
    <x v="2"/>
    <s v="DNS"/>
    <s v="Access Management"/>
    <s v="Bengaluru"/>
    <s v="Portal"/>
    <s v="Closed"/>
    <n v="24"/>
    <n v="5.15"/>
    <n v="4.4000000000000004"/>
    <s v="No"/>
    <x v="0"/>
  </r>
  <r>
    <s v="INC100496"/>
    <d v="2025-03-16T00:00:00"/>
    <d v="2025-03-16T09:58:48"/>
    <x v="1"/>
    <x v="3"/>
    <s v="Monitor"/>
    <s v="Service Desk"/>
    <s v="Mumbai"/>
    <s v="Phone"/>
    <s v="In Progress"/>
    <n v="24"/>
    <n v="9.98"/>
    <n v="4.8"/>
    <s v="No"/>
    <x v="0"/>
  </r>
  <r>
    <s v="INC100497"/>
    <d v="2025-01-22T00:00:00"/>
    <d v="2025-01-22T03:45:36"/>
    <x v="1"/>
    <x v="2"/>
    <s v="DNS"/>
    <s v="Service Desk"/>
    <s v="Bengaluru"/>
    <s v="Phone"/>
    <s v="In Progress"/>
    <n v="24"/>
    <n v="3.76"/>
    <n v="5"/>
    <s v="No"/>
    <x v="0"/>
  </r>
  <r>
    <s v="INC100498"/>
    <d v="2025-03-09T00:00:00"/>
    <d v="2025-03-09T14:56:24"/>
    <x v="0"/>
    <x v="3"/>
    <s v="Monitor"/>
    <s v="Desktop Support"/>
    <s v="Bengaluru"/>
    <s v="Phone"/>
    <s v="Resolved"/>
    <n v="48"/>
    <n v="14.94"/>
    <n v="5"/>
    <s v="No"/>
    <x v="0"/>
  </r>
  <r>
    <s v="INC100499"/>
    <d v="2025-06-17T00:00:00"/>
    <d v="2025-06-17T01:38:24"/>
    <x v="2"/>
    <x v="2"/>
    <s v="Connectivity"/>
    <s v="Application Support"/>
    <s v="Gurugram"/>
    <s v="Portal"/>
    <s v="Resolved"/>
    <n v="4"/>
    <n v="1.64"/>
    <n v="4.5"/>
    <s v="No"/>
    <x v="0"/>
  </r>
  <r>
    <s v="INC100500"/>
    <d v="2025-03-19T00:00:00"/>
    <d v="2025-03-20T14:24:00"/>
    <x v="0"/>
    <x v="4"/>
    <s v="Spam"/>
    <s v="Network Support"/>
    <s v="Noida"/>
    <s v="Portal"/>
    <s v="Resolved"/>
    <n v="48"/>
    <n v="38.4"/>
    <n v="3.3"/>
    <s v="No"/>
    <x v="0"/>
  </r>
  <r>
    <s v="INC100501"/>
    <d v="2025-01-21T00:00:00"/>
    <d v="2025-01-21T07:19:12"/>
    <x v="3"/>
    <x v="0"/>
    <s v="Installation"/>
    <s v="Service Desk"/>
    <s v="Gurugram"/>
    <s v="Chat"/>
    <s v="Resolved"/>
    <n v="8"/>
    <n v="7.32"/>
    <n v="4.5999999999999996"/>
    <s v="No"/>
    <x v="0"/>
  </r>
  <r>
    <s v="INC100502"/>
    <d v="2025-04-28T00:00:00"/>
    <d v="2025-04-28T14:18:00"/>
    <x v="1"/>
    <x v="4"/>
    <s v="Configuration"/>
    <s v="Application Support"/>
    <s v="Noida"/>
    <s v="Portal"/>
    <s v="Closed"/>
    <n v="24"/>
    <n v="14.3"/>
    <n v="3.8"/>
    <s v="No"/>
    <x v="0"/>
  </r>
  <r>
    <s v="INC100503"/>
    <d v="2025-06-24T00:00:00"/>
    <d v="2025-06-24T19:01:12"/>
    <x v="0"/>
    <x v="2"/>
    <s v="Connectivity"/>
    <s v="Access Management"/>
    <s v="Hyderabad"/>
    <s v="Portal"/>
    <s v="Resolved"/>
    <n v="48"/>
    <n v="19.02"/>
    <n v="4"/>
    <s v="No"/>
    <x v="0"/>
  </r>
  <r>
    <s v="INC100504"/>
    <d v="2025-06-07T00:00:00"/>
    <d v="2025-06-07T06:49:48"/>
    <x v="3"/>
    <x v="2"/>
    <s v="Connectivity"/>
    <s v="Network Support"/>
    <s v="Noida"/>
    <s v="Chat"/>
    <s v="Resolved"/>
    <n v="8"/>
    <n v="6.83"/>
    <n v="3.6"/>
    <s v="No"/>
    <x v="0"/>
  </r>
  <r>
    <s v="INC100505"/>
    <d v="2025-02-19T00:00:00"/>
    <d v="2025-02-20T02:03:00"/>
    <x v="0"/>
    <x v="1"/>
    <s v="Permission"/>
    <s v="Access Management"/>
    <s v="Noida"/>
    <s v="Phone"/>
    <s v="Resolved"/>
    <n v="48"/>
    <n v="26.05"/>
    <n v="3.2"/>
    <s v="No"/>
    <x v="0"/>
  </r>
  <r>
    <s v="INC100506"/>
    <d v="2025-03-24T00:00:00"/>
    <d v="2025-03-24T05:10:12"/>
    <x v="3"/>
    <x v="0"/>
    <s v="Performance"/>
    <s v="Access Management"/>
    <s v="Hyderabad"/>
    <s v="Phone"/>
    <s v="Resolved"/>
    <n v="8"/>
    <n v="5.17"/>
    <n v="4.0999999999999996"/>
    <s v="No"/>
    <x v="0"/>
  </r>
  <r>
    <s v="INC100507"/>
    <d v="2025-04-07T00:00:00"/>
    <d v="2025-04-07T22:44:24"/>
    <x v="1"/>
    <x v="0"/>
    <s v="Performance"/>
    <s v="Access Management"/>
    <s v="Delhi"/>
    <s v="Portal"/>
    <s v="Resolved"/>
    <n v="24"/>
    <n v="22.74"/>
    <n v="4.3"/>
    <s v="No"/>
    <x v="0"/>
  </r>
  <r>
    <s v="INC100508"/>
    <d v="2025-02-14T00:00:00"/>
    <d v="2025-02-15T15:16:48"/>
    <x v="0"/>
    <x v="1"/>
    <s v="Password Reset"/>
    <s v="Service Desk"/>
    <s v="Gurugram"/>
    <s v="Email"/>
    <s v="Resolved"/>
    <n v="48"/>
    <n v="39.28"/>
    <n v="3.7"/>
    <s v="No"/>
    <x v="0"/>
  </r>
  <r>
    <s v="INC100509"/>
    <d v="2025-02-18T00:00:00"/>
    <d v="2025-02-19T06:51:36"/>
    <x v="0"/>
    <x v="1"/>
    <s v="Account Lock"/>
    <s v="Application Support"/>
    <s v="Noida"/>
    <s v="Phone"/>
    <s v="Resolved"/>
    <n v="48"/>
    <n v="30.86"/>
    <n v="5"/>
    <s v="No"/>
    <x v="0"/>
  </r>
  <r>
    <s v="INC100510"/>
    <d v="2025-02-12T00:00:00"/>
    <d v="2025-02-12T05:54:36"/>
    <x v="3"/>
    <x v="0"/>
    <s v="License"/>
    <s v="Network Support"/>
    <s v="Noida"/>
    <s v="Portal"/>
    <s v="Resolved"/>
    <n v="8"/>
    <n v="5.91"/>
    <n v="4.9000000000000004"/>
    <s v="No"/>
    <x v="0"/>
  </r>
  <r>
    <s v="INC100511"/>
    <d v="2025-06-30T00:00:00"/>
    <d v="2025-06-30T14:41:24"/>
    <x v="0"/>
    <x v="4"/>
    <s v="Mailbox"/>
    <s v="Network Support"/>
    <s v="Noida"/>
    <s v="Portal"/>
    <s v="Closed"/>
    <n v="48"/>
    <n v="14.69"/>
    <n v="5"/>
    <s v="No"/>
    <x v="0"/>
  </r>
  <r>
    <s v="INC100512"/>
    <d v="2025-05-16T00:00:00"/>
    <d v="2025-05-16T02:10:48"/>
    <x v="3"/>
    <x v="0"/>
    <s v="License"/>
    <s v="Network Support"/>
    <s v="Mumbai"/>
    <s v="Portal"/>
    <s v="Closed"/>
    <n v="8"/>
    <n v="2.1800000000000002"/>
    <n v="3.4"/>
    <s v="Yes"/>
    <x v="0"/>
  </r>
  <r>
    <s v="INC100513"/>
    <d v="2025-06-02T00:00:00"/>
    <d v="2025-06-02T13:43:48"/>
    <x v="3"/>
    <x v="0"/>
    <s v="Application Error"/>
    <s v="Desktop Support"/>
    <s v="Noida"/>
    <s v="Email"/>
    <s v="Resolved"/>
    <n v="8"/>
    <n v="13.73"/>
    <n v="3.9"/>
    <s v="No"/>
    <x v="1"/>
  </r>
  <r>
    <s v="INC100514"/>
    <d v="2025-05-28T00:00:00"/>
    <d v="2025-05-28T06:13:12"/>
    <x v="1"/>
    <x v="3"/>
    <s v="Laptop"/>
    <s v="Application Support"/>
    <s v="Noida"/>
    <s v="Portal"/>
    <s v="Pending"/>
    <n v="24"/>
    <n v="6.22"/>
    <n v="4.5"/>
    <s v="No"/>
    <x v="0"/>
  </r>
  <r>
    <s v="INC100515"/>
    <d v="2025-06-23T00:00:00"/>
    <d v="2025-06-24T21:48:36"/>
    <x v="0"/>
    <x v="2"/>
    <s v="DNS"/>
    <s v="Network Support"/>
    <s v="Noida"/>
    <s v="Phone"/>
    <s v="Resolved"/>
    <n v="48"/>
    <n v="45.81"/>
    <n v="4.9000000000000004"/>
    <s v="No"/>
    <x v="0"/>
  </r>
  <r>
    <s v="INC100516"/>
    <d v="2025-01-20T00:00:00"/>
    <d v="2025-01-20T09:24:00"/>
    <x v="1"/>
    <x v="2"/>
    <s v="Link Down"/>
    <s v="Network Support"/>
    <s v="Hyderabad"/>
    <s v="Portal"/>
    <s v="Closed"/>
    <n v="24"/>
    <n v="9.4"/>
    <n v="4.0999999999999996"/>
    <s v="Yes"/>
    <x v="0"/>
  </r>
  <r>
    <s v="INC100517"/>
    <d v="2025-06-09T00:00:00"/>
    <d v="2025-06-09T06:22:12"/>
    <x v="3"/>
    <x v="1"/>
    <s v="Permission"/>
    <s v="Service Desk"/>
    <s v="Hyderabad"/>
    <s v="Portal"/>
    <s v="In Progress"/>
    <n v="8"/>
    <n v="6.37"/>
    <n v="4"/>
    <s v="Yes"/>
    <x v="0"/>
  </r>
  <r>
    <s v="INC100518"/>
    <d v="2025-01-13T00:00:00"/>
    <d v="2025-01-13T02:52:48"/>
    <x v="0"/>
    <x v="0"/>
    <s v="Installation"/>
    <s v="Network Support"/>
    <s v="Gurugram"/>
    <s v="Chat"/>
    <s v="In Progress"/>
    <n v="48"/>
    <n v="2.88"/>
    <n v="5"/>
    <s v="No"/>
    <x v="0"/>
  </r>
  <r>
    <s v="INC100519"/>
    <d v="2025-03-28T00:00:00"/>
    <d v="2025-03-28T03:28:48"/>
    <x v="1"/>
    <x v="3"/>
    <s v="Printer"/>
    <s v="Access Management"/>
    <s v="Delhi"/>
    <s v="Chat"/>
    <s v="Resolved"/>
    <n v="24"/>
    <n v="3.48"/>
    <n v="4.2"/>
    <s v="No"/>
    <x v="0"/>
  </r>
  <r>
    <s v="INC100520"/>
    <d v="2025-04-18T00:00:00"/>
    <d v="2025-04-19T23:40:48"/>
    <x v="0"/>
    <x v="0"/>
    <s v="Installation"/>
    <s v="Network Support"/>
    <s v="Delhi"/>
    <s v="Email"/>
    <s v="Resolved"/>
    <n v="48"/>
    <n v="47.68"/>
    <n v="2.8"/>
    <s v="No"/>
    <x v="0"/>
  </r>
  <r>
    <s v="INC100521"/>
    <d v="2025-03-06T00:00:00"/>
    <d v="2025-03-06T02:24:36"/>
    <x v="1"/>
    <x v="2"/>
    <s v="Link Down"/>
    <s v="Service Desk"/>
    <s v="Noida"/>
    <s v="Chat"/>
    <s v="Closed"/>
    <n v="24"/>
    <n v="2.41"/>
    <n v="3.3"/>
    <s v="No"/>
    <x v="0"/>
  </r>
  <r>
    <s v="INC100522"/>
    <d v="2025-01-27T00:00:00"/>
    <d v="2025-01-27T02:28:48"/>
    <x v="3"/>
    <x v="2"/>
    <s v="DNS"/>
    <s v="Service Desk"/>
    <s v="Bengaluru"/>
    <s v="Portal"/>
    <s v="Closed"/>
    <n v="8"/>
    <n v="2.48"/>
    <n v="5"/>
    <s v="No"/>
    <x v="0"/>
  </r>
  <r>
    <s v="INC100523"/>
    <d v="2025-02-04T00:00:00"/>
    <d v="2025-02-05T07:15:00"/>
    <x v="1"/>
    <x v="4"/>
    <s v="Delivery"/>
    <s v="Service Desk"/>
    <s v="Delhi"/>
    <s v="Email"/>
    <s v="Closed"/>
    <n v="24"/>
    <n v="31.25"/>
    <n v="2.4"/>
    <s v="Yes"/>
    <x v="1"/>
  </r>
  <r>
    <s v="INC100524"/>
    <d v="2025-05-30T00:00:00"/>
    <d v="2025-05-30T21:59:24"/>
    <x v="1"/>
    <x v="3"/>
    <s v="Printer"/>
    <s v="Access Management"/>
    <s v="Bengaluru"/>
    <s v="Portal"/>
    <s v="Resolved"/>
    <n v="24"/>
    <n v="21.99"/>
    <n v="2.8"/>
    <s v="No"/>
    <x v="0"/>
  </r>
  <r>
    <s v="INC100525"/>
    <d v="2025-02-27T00:00:00"/>
    <d v="2025-02-27T08:59:24"/>
    <x v="1"/>
    <x v="2"/>
    <s v="DNS"/>
    <s v="Service Desk"/>
    <s v="Noida"/>
    <s v="Email"/>
    <s v="In Progress"/>
    <n v="24"/>
    <n v="8.99"/>
    <n v="4.9000000000000004"/>
    <s v="No"/>
    <x v="0"/>
  </r>
  <r>
    <s v="INC100526"/>
    <d v="2025-02-26T00:00:00"/>
    <d v="2025-02-26T12:29:24"/>
    <x v="0"/>
    <x v="0"/>
    <s v="Installation"/>
    <s v="Desktop Support"/>
    <s v="Hyderabad"/>
    <s v="Phone"/>
    <s v="In Progress"/>
    <n v="48"/>
    <n v="12.49"/>
    <n v="3.8"/>
    <s v="No"/>
    <x v="0"/>
  </r>
  <r>
    <s v="INC100527"/>
    <d v="2025-06-17T00:00:00"/>
    <d v="2025-06-19T21:01:48"/>
    <x v="0"/>
    <x v="3"/>
    <s v="Peripheral"/>
    <s v="Desktop Support"/>
    <s v="Bengaluru"/>
    <s v="Phone"/>
    <s v="Closed"/>
    <n v="48"/>
    <n v="69.03"/>
    <n v="2.2000000000000002"/>
    <s v="No"/>
    <x v="1"/>
  </r>
  <r>
    <s v="INC100528"/>
    <d v="2025-01-27T00:00:00"/>
    <d v="2025-01-27T02:14:24"/>
    <x v="3"/>
    <x v="1"/>
    <s v="Permission"/>
    <s v="Service Desk"/>
    <s v="Noida"/>
    <s v="Portal"/>
    <s v="Pending"/>
    <n v="8"/>
    <n v="2.2400000000000002"/>
    <n v="2.8"/>
    <s v="No"/>
    <x v="0"/>
  </r>
  <r>
    <s v="INC100529"/>
    <d v="2025-06-15T00:00:00"/>
    <d v="2025-06-15T15:01:12"/>
    <x v="1"/>
    <x v="4"/>
    <s v="Configuration"/>
    <s v="Desktop Support"/>
    <s v="Bengaluru"/>
    <s v="Portal"/>
    <s v="Resolved"/>
    <n v="24"/>
    <n v="15.02"/>
    <n v="4.4000000000000004"/>
    <s v="No"/>
    <x v="0"/>
  </r>
  <r>
    <s v="INC100530"/>
    <d v="2025-06-16T00:00:00"/>
    <d v="2025-06-17T05:25:48"/>
    <x v="1"/>
    <x v="0"/>
    <s v="Installation"/>
    <s v="Network Support"/>
    <s v="Delhi"/>
    <s v="Chat"/>
    <s v="Resolved"/>
    <n v="24"/>
    <n v="29.43"/>
    <n v="2.8"/>
    <s v="No"/>
    <x v="1"/>
  </r>
  <r>
    <s v="INC100531"/>
    <d v="2025-04-19T00:00:00"/>
    <d v="2025-04-19T05:39:36"/>
    <x v="3"/>
    <x v="0"/>
    <s v="Performance"/>
    <s v="Desktop Support"/>
    <s v="Noida"/>
    <s v="Email"/>
    <s v="Closed"/>
    <n v="8"/>
    <n v="5.66"/>
    <n v="4.5999999999999996"/>
    <s v="No"/>
    <x v="0"/>
  </r>
  <r>
    <s v="INC100532"/>
    <d v="2025-01-30T00:00:00"/>
    <d v="2025-02-01T10:57:36"/>
    <x v="0"/>
    <x v="3"/>
    <s v="Laptop"/>
    <s v="Network Support"/>
    <s v="Gurugram"/>
    <s v="Portal"/>
    <s v="Closed"/>
    <n v="48"/>
    <n v="58.96"/>
    <n v="3.5"/>
    <s v="No"/>
    <x v="1"/>
  </r>
  <r>
    <s v="INC100533"/>
    <d v="2025-01-29T00:00:00"/>
    <d v="2025-01-29T17:24:00"/>
    <x v="0"/>
    <x v="0"/>
    <s v="Application Error"/>
    <s v="Desktop Support"/>
    <s v="Gurugram"/>
    <s v="Portal"/>
    <s v="Resolved"/>
    <n v="48"/>
    <n v="17.399999999999999"/>
    <n v="4.5999999999999996"/>
    <s v="No"/>
    <x v="0"/>
  </r>
  <r>
    <s v="INC100534"/>
    <d v="2025-02-21T00:00:00"/>
    <d v="2025-02-21T09:25:48"/>
    <x v="0"/>
    <x v="3"/>
    <s v="Laptop"/>
    <s v="Service Desk"/>
    <s v="Noida"/>
    <s v="Portal"/>
    <s v="Resolved"/>
    <n v="48"/>
    <n v="9.43"/>
    <n v="4.5"/>
    <s v="No"/>
    <x v="0"/>
  </r>
  <r>
    <s v="INC100535"/>
    <d v="2025-04-15T00:00:00"/>
    <d v="2025-04-15T03:16:48"/>
    <x v="2"/>
    <x v="2"/>
    <s v="Packet Loss"/>
    <s v="Service Desk"/>
    <s v="Bengaluru"/>
    <s v="Portal"/>
    <s v="Closed"/>
    <n v="4"/>
    <n v="3.28"/>
    <n v="3.8"/>
    <s v="No"/>
    <x v="0"/>
  </r>
  <r>
    <s v="INC100536"/>
    <d v="2025-01-28T00:00:00"/>
    <d v="2025-01-29T03:15:36"/>
    <x v="1"/>
    <x v="1"/>
    <s v="Account Lock"/>
    <s v="Network Support"/>
    <s v="Bengaluru"/>
    <s v="Portal"/>
    <s v="Resolved"/>
    <n v="24"/>
    <n v="27.26"/>
    <n v="3.1"/>
    <s v="No"/>
    <x v="1"/>
  </r>
  <r>
    <s v="INC100537"/>
    <d v="2025-03-24T00:00:00"/>
    <d v="2025-03-24T17:44:24"/>
    <x v="1"/>
    <x v="3"/>
    <s v="Monitor"/>
    <s v="Access Management"/>
    <s v="Hyderabad"/>
    <s v="Email"/>
    <s v="Closed"/>
    <n v="24"/>
    <n v="17.739999999999998"/>
    <n v="3.6"/>
    <s v="No"/>
    <x v="0"/>
  </r>
  <r>
    <s v="INC100538"/>
    <d v="2025-01-21T00:00:00"/>
    <d v="2025-01-21T10:58:48"/>
    <x v="0"/>
    <x v="0"/>
    <s v="Performance"/>
    <s v="Network Support"/>
    <s v="Gurugram"/>
    <s v="Email"/>
    <s v="In Progress"/>
    <n v="48"/>
    <n v="10.98"/>
    <n v="4"/>
    <s v="No"/>
    <x v="0"/>
  </r>
  <r>
    <s v="INC100539"/>
    <d v="2025-04-08T00:00:00"/>
    <d v="2025-04-12T10:29:24"/>
    <x v="0"/>
    <x v="2"/>
    <s v="Link Down"/>
    <s v="Network Support"/>
    <s v="Mumbai"/>
    <s v="Email"/>
    <s v="Resolved"/>
    <n v="48"/>
    <n v="106.49"/>
    <n v="3.3"/>
    <s v="No"/>
    <x v="1"/>
  </r>
  <r>
    <s v="INC100540"/>
    <d v="2025-01-04T00:00:00"/>
    <d v="2025-01-04T03:45:36"/>
    <x v="1"/>
    <x v="1"/>
    <s v="Password Reset"/>
    <s v="Network Support"/>
    <s v="Bengaluru"/>
    <s v="Portal"/>
    <s v="Closed"/>
    <n v="24"/>
    <n v="3.76"/>
    <n v="4.5999999999999996"/>
    <s v="Yes"/>
    <x v="0"/>
  </r>
  <r>
    <s v="INC100541"/>
    <d v="2025-05-09T00:00:00"/>
    <d v="2025-05-09T13:51:36"/>
    <x v="1"/>
    <x v="2"/>
    <s v="Packet Loss"/>
    <s v="Access Management"/>
    <s v="Hyderabad"/>
    <s v="Portal"/>
    <s v="Resolved"/>
    <n v="24"/>
    <n v="13.86"/>
    <n v="2.8"/>
    <s v="No"/>
    <x v="0"/>
  </r>
  <r>
    <s v="INC100542"/>
    <d v="2025-01-11T00:00:00"/>
    <d v="2025-01-11T09:46:48"/>
    <x v="3"/>
    <x v="3"/>
    <s v="Printer"/>
    <s v="Service Desk"/>
    <s v="Hyderabad"/>
    <s v="Portal"/>
    <s v="Resolved"/>
    <n v="8"/>
    <n v="9.7799999999999994"/>
    <n v="3.7"/>
    <s v="No"/>
    <x v="1"/>
  </r>
  <r>
    <s v="INC100543"/>
    <d v="2025-02-05T00:00:00"/>
    <d v="2025-02-05T04:17:23"/>
    <x v="3"/>
    <x v="1"/>
    <s v="Password Reset"/>
    <s v="Desktop Support"/>
    <s v="Mumbai"/>
    <s v="Phone"/>
    <s v="In Progress"/>
    <n v="8"/>
    <n v="4.29"/>
    <n v="3.8"/>
    <s v="No"/>
    <x v="0"/>
  </r>
  <r>
    <s v="INC100544"/>
    <d v="2025-02-01T00:00:00"/>
    <d v="2025-02-01T19:53:24"/>
    <x v="1"/>
    <x v="3"/>
    <s v="Monitor"/>
    <s v="Application Support"/>
    <s v="Noida"/>
    <s v="Phone"/>
    <s v="Resolved"/>
    <n v="24"/>
    <n v="19.89"/>
    <n v="4"/>
    <s v="No"/>
    <x v="0"/>
  </r>
  <r>
    <s v="INC100545"/>
    <d v="2025-05-31T00:00:00"/>
    <d v="2025-05-31T00:44:24"/>
    <x v="3"/>
    <x v="4"/>
    <s v="Mailbox"/>
    <s v="Network Support"/>
    <s v="Bengaluru"/>
    <s v="Portal"/>
    <s v="Resolved"/>
    <n v="8"/>
    <n v="0.74"/>
    <n v="4.7"/>
    <s v="No"/>
    <x v="0"/>
  </r>
  <r>
    <s v="INC100546"/>
    <d v="2025-01-10T00:00:00"/>
    <d v="2025-01-10T03:13:12"/>
    <x v="2"/>
    <x v="2"/>
    <s v="Packet Loss"/>
    <s v="Network Support"/>
    <s v="Bengaluru"/>
    <s v="Email"/>
    <s v="Pending"/>
    <n v="4"/>
    <n v="3.22"/>
    <n v="5"/>
    <s v="No"/>
    <x v="0"/>
  </r>
  <r>
    <s v="INC100547"/>
    <d v="2025-03-19T00:00:00"/>
    <d v="2025-03-19T05:12:00"/>
    <x v="1"/>
    <x v="0"/>
    <s v="Application Error"/>
    <s v="Network Support"/>
    <s v="Mumbai"/>
    <s v="Email"/>
    <s v="Resolved"/>
    <n v="24"/>
    <n v="5.2"/>
    <n v="4.5"/>
    <s v="No"/>
    <x v="0"/>
  </r>
  <r>
    <s v="INC100548"/>
    <d v="2025-04-17T00:00:00"/>
    <d v="2025-04-17T14:02:24"/>
    <x v="1"/>
    <x v="4"/>
    <s v="Mailbox"/>
    <s v="Application Support"/>
    <s v="Gurugram"/>
    <s v="Email"/>
    <s v="Resolved"/>
    <n v="24"/>
    <n v="14.04"/>
    <n v="4.8"/>
    <s v="No"/>
    <x v="0"/>
  </r>
  <r>
    <s v="INC100549"/>
    <d v="2025-04-04T00:00:00"/>
    <d v="2025-04-04T01:13:12"/>
    <x v="3"/>
    <x v="0"/>
    <s v="Installation"/>
    <s v="Access Management"/>
    <s v="Hyderabad"/>
    <s v="Email"/>
    <s v="Resolved"/>
    <n v="8"/>
    <n v="1.22"/>
    <n v="5"/>
    <s v="No"/>
    <x v="0"/>
  </r>
  <r>
    <s v="INC100550"/>
    <d v="2025-05-04T00:00:00"/>
    <d v="2025-05-05T17:21:00"/>
    <x v="0"/>
    <x v="0"/>
    <s v="Installation"/>
    <s v="Application Support"/>
    <s v="Mumbai"/>
    <s v="Chat"/>
    <s v="Resolved"/>
    <n v="48"/>
    <n v="41.35"/>
    <n v="3.1"/>
    <s v="No"/>
    <x v="0"/>
  </r>
  <r>
    <s v="INC100551"/>
    <d v="2025-05-26T00:00:00"/>
    <d v="2025-05-26T05:51:00"/>
    <x v="3"/>
    <x v="3"/>
    <s v="Peripheral"/>
    <s v="Access Management"/>
    <s v="Delhi"/>
    <s v="Portal"/>
    <s v="Resolved"/>
    <n v="8"/>
    <n v="5.85"/>
    <n v="4.2"/>
    <s v="No"/>
    <x v="0"/>
  </r>
  <r>
    <s v="INC100552"/>
    <d v="2025-03-13T00:00:00"/>
    <d v="2025-03-14T03:48:36"/>
    <x v="0"/>
    <x v="1"/>
    <s v="Password Reset"/>
    <s v="Access Management"/>
    <s v="Gurugram"/>
    <s v="Email"/>
    <s v="Closed"/>
    <n v="48"/>
    <n v="27.81"/>
    <n v="3.8"/>
    <s v="No"/>
    <x v="0"/>
  </r>
  <r>
    <s v="INC100553"/>
    <d v="2025-05-30T00:00:00"/>
    <d v="2025-05-31T00:18:36"/>
    <x v="1"/>
    <x v="4"/>
    <s v="Configuration"/>
    <s v="Service Desk"/>
    <s v="Gurugram"/>
    <s v="Email"/>
    <s v="Resolved"/>
    <n v="24"/>
    <n v="24.31"/>
    <n v="3"/>
    <s v="No"/>
    <x v="1"/>
  </r>
  <r>
    <s v="INC100554"/>
    <d v="2025-02-27T00:00:00"/>
    <d v="2025-02-27T06:16:48"/>
    <x v="3"/>
    <x v="0"/>
    <s v="Installation"/>
    <s v="Network Support"/>
    <s v="Bengaluru"/>
    <s v="Email"/>
    <s v="Resolved"/>
    <n v="8"/>
    <n v="6.28"/>
    <n v="3.3"/>
    <s v="No"/>
    <x v="0"/>
  </r>
  <r>
    <s v="INC100555"/>
    <d v="2025-06-28T00:00:00"/>
    <d v="2025-06-28T03:31:48"/>
    <x v="1"/>
    <x v="4"/>
    <s v="Spam"/>
    <s v="Network Support"/>
    <s v="Gurugram"/>
    <s v="Portal"/>
    <s v="Closed"/>
    <n v="24"/>
    <n v="3.53"/>
    <n v="5"/>
    <s v="No"/>
    <x v="0"/>
  </r>
  <r>
    <s v="INC100556"/>
    <d v="2025-04-02T00:00:00"/>
    <d v="2025-04-02T23:49:48"/>
    <x v="1"/>
    <x v="0"/>
    <s v="Application Error"/>
    <s v="Application Support"/>
    <s v="Gurugram"/>
    <s v="Email"/>
    <s v="Resolved"/>
    <n v="24"/>
    <n v="23.83"/>
    <n v="5"/>
    <s v="Yes"/>
    <x v="0"/>
  </r>
  <r>
    <s v="INC100557"/>
    <d v="2025-05-14T00:00:00"/>
    <d v="2025-05-14T19:03:00"/>
    <x v="1"/>
    <x v="0"/>
    <s v="Installation"/>
    <s v="Application Support"/>
    <s v="Gurugram"/>
    <s v="Portal"/>
    <s v="Resolved"/>
    <n v="24"/>
    <n v="19.05"/>
    <n v="3.5"/>
    <s v="No"/>
    <x v="0"/>
  </r>
  <r>
    <s v="INC100558"/>
    <d v="2025-06-08T00:00:00"/>
    <d v="2025-06-08T12:26:24"/>
    <x v="0"/>
    <x v="3"/>
    <s v="Monitor"/>
    <s v="Access Management"/>
    <s v="Delhi"/>
    <s v="Phone"/>
    <s v="Pending"/>
    <n v="48"/>
    <n v="12.44"/>
    <n v="4.8"/>
    <s v="No"/>
    <x v="0"/>
  </r>
  <r>
    <s v="INC100559"/>
    <d v="2025-05-24T00:00:00"/>
    <d v="2025-05-25T00:51:36"/>
    <x v="0"/>
    <x v="0"/>
    <s v="Performance"/>
    <s v="Desktop Support"/>
    <s v="Noida"/>
    <s v="Email"/>
    <s v="Closed"/>
    <n v="48"/>
    <n v="24.86"/>
    <n v="4.5999999999999996"/>
    <s v="No"/>
    <x v="0"/>
  </r>
  <r>
    <s v="INC100560"/>
    <d v="2025-06-04T00:00:00"/>
    <d v="2025-06-04T16:48:36"/>
    <x v="0"/>
    <x v="4"/>
    <s v="Configuration"/>
    <s v="Access Management"/>
    <s v="Gurugram"/>
    <s v="Portal"/>
    <s v="Resolved"/>
    <n v="48"/>
    <n v="16.809999999999999"/>
    <n v="4.2"/>
    <s v="Yes"/>
    <x v="0"/>
  </r>
  <r>
    <s v="INC100561"/>
    <d v="2025-04-08T00:00:00"/>
    <d v="2025-04-09T20:49:12"/>
    <x v="1"/>
    <x v="0"/>
    <s v="Performance"/>
    <s v="Access Management"/>
    <s v="Bengaluru"/>
    <s v="Chat"/>
    <s v="Resolved"/>
    <n v="24"/>
    <n v="44.82"/>
    <n v="3.7"/>
    <s v="No"/>
    <x v="1"/>
  </r>
  <r>
    <s v="INC100562"/>
    <d v="2025-01-08T00:00:00"/>
    <d v="2025-01-08T04:37:48"/>
    <x v="1"/>
    <x v="2"/>
    <s v="Connectivity"/>
    <s v="Access Management"/>
    <s v="Gurugram"/>
    <s v="Phone"/>
    <s v="Closed"/>
    <n v="24"/>
    <n v="4.63"/>
    <n v="5"/>
    <s v="No"/>
    <x v="0"/>
  </r>
  <r>
    <s v="INC100563"/>
    <d v="2025-03-31T00:00:00"/>
    <d v="2025-03-31T17:30:00"/>
    <x v="0"/>
    <x v="0"/>
    <s v="Installation"/>
    <s v="Access Management"/>
    <s v="Gurugram"/>
    <s v="Email"/>
    <s v="Closed"/>
    <n v="48"/>
    <n v="17.5"/>
    <n v="4.2"/>
    <s v="No"/>
    <x v="0"/>
  </r>
  <r>
    <s v="INC100564"/>
    <d v="2025-02-02T00:00:00"/>
    <d v="2025-02-02T03:55:12"/>
    <x v="3"/>
    <x v="1"/>
    <s v="Permission"/>
    <s v="Network Support"/>
    <s v="Hyderabad"/>
    <s v="Chat"/>
    <s v="Resolved"/>
    <n v="8"/>
    <n v="3.92"/>
    <n v="5"/>
    <s v="Yes"/>
    <x v="0"/>
  </r>
  <r>
    <s v="INC100565"/>
    <d v="2025-06-10T00:00:00"/>
    <d v="2025-06-10T13:33:36"/>
    <x v="1"/>
    <x v="4"/>
    <s v="Delivery"/>
    <s v="Application Support"/>
    <s v="Mumbai"/>
    <s v="Phone"/>
    <s v="Resolved"/>
    <n v="24"/>
    <n v="13.56"/>
    <n v="4"/>
    <s v="No"/>
    <x v="0"/>
  </r>
  <r>
    <s v="INC100566"/>
    <d v="2025-02-12T00:00:00"/>
    <d v="2025-02-12T09:00:00"/>
    <x v="1"/>
    <x v="2"/>
    <s v="Packet Loss"/>
    <s v="Access Management"/>
    <s v="Gurugram"/>
    <s v="Portal"/>
    <s v="Resolved"/>
    <n v="24"/>
    <n v="9"/>
    <n v="3.9"/>
    <s v="No"/>
    <x v="0"/>
  </r>
  <r>
    <s v="INC100567"/>
    <d v="2025-02-11T00:00:00"/>
    <d v="2025-02-11T13:16:48"/>
    <x v="1"/>
    <x v="2"/>
    <s v="Packet Loss"/>
    <s v="Service Desk"/>
    <s v="Delhi"/>
    <s v="Email"/>
    <s v="Pending"/>
    <n v="24"/>
    <n v="13.28"/>
    <n v="4.2"/>
    <s v="No"/>
    <x v="0"/>
  </r>
  <r>
    <s v="INC100568"/>
    <d v="2025-02-15T00:00:00"/>
    <d v="2025-02-16T11:34:11"/>
    <x v="0"/>
    <x v="3"/>
    <s v="Printer"/>
    <s v="Access Management"/>
    <s v="Hyderabad"/>
    <s v="Email"/>
    <s v="Closed"/>
    <n v="48"/>
    <n v="35.57"/>
    <n v="4.7"/>
    <s v="No"/>
    <x v="0"/>
  </r>
  <r>
    <s v="INC100569"/>
    <d v="2025-04-27T00:00:00"/>
    <d v="2025-04-27T02:15:36"/>
    <x v="3"/>
    <x v="2"/>
    <s v="DNS"/>
    <s v="Service Desk"/>
    <s v="Mumbai"/>
    <s v="Email"/>
    <s v="Resolved"/>
    <n v="8"/>
    <n v="2.2599999999999998"/>
    <n v="4.5999999999999996"/>
    <s v="No"/>
    <x v="0"/>
  </r>
  <r>
    <s v="INC100570"/>
    <d v="2025-04-14T00:00:00"/>
    <d v="2025-04-14T09:00:36"/>
    <x v="1"/>
    <x v="4"/>
    <s v="Delivery"/>
    <s v="Service Desk"/>
    <s v="Noida"/>
    <s v="Chat"/>
    <s v="Resolved"/>
    <n v="24"/>
    <n v="9.01"/>
    <n v="5"/>
    <s v="No"/>
    <x v="0"/>
  </r>
  <r>
    <s v="INC100571"/>
    <d v="2025-06-21T00:00:00"/>
    <d v="2025-06-24T04:52:12"/>
    <x v="0"/>
    <x v="3"/>
    <s v="Printer"/>
    <s v="Application Support"/>
    <s v="Mumbai"/>
    <s v="Email"/>
    <s v="In Progress"/>
    <n v="48"/>
    <n v="76.87"/>
    <n v="3.2"/>
    <s v="No"/>
    <x v="1"/>
  </r>
  <r>
    <s v="INC100572"/>
    <d v="2025-03-17T00:00:00"/>
    <d v="2025-03-17T04:02:24"/>
    <x v="2"/>
    <x v="0"/>
    <s v="Installation"/>
    <s v="Network Support"/>
    <s v="Gurugram"/>
    <s v="Portal"/>
    <s v="Resolved"/>
    <n v="4"/>
    <n v="4.04"/>
    <n v="4.7"/>
    <s v="No"/>
    <x v="1"/>
  </r>
  <r>
    <s v="INC100573"/>
    <d v="2025-02-21T00:00:00"/>
    <d v="2025-02-21T07:56:24"/>
    <x v="3"/>
    <x v="2"/>
    <s v="Link Down"/>
    <s v="Desktop Support"/>
    <s v="Noida"/>
    <s v="Email"/>
    <s v="Closed"/>
    <n v="8"/>
    <n v="7.94"/>
    <n v="4.2"/>
    <s v="No"/>
    <x v="0"/>
  </r>
  <r>
    <s v="INC100574"/>
    <d v="2025-01-09T00:00:00"/>
    <d v="2025-01-09T01:07:12"/>
    <x v="3"/>
    <x v="3"/>
    <s v="Printer"/>
    <s v="Access Management"/>
    <s v="Noida"/>
    <s v="Phone"/>
    <s v="Closed"/>
    <n v="8"/>
    <n v="1.1200000000000001"/>
    <n v="5"/>
    <s v="No"/>
    <x v="0"/>
  </r>
  <r>
    <s v="INC100575"/>
    <d v="2025-01-02T00:00:00"/>
    <d v="2025-01-02T14:12:36"/>
    <x v="3"/>
    <x v="4"/>
    <s v="Configuration"/>
    <s v="Network Support"/>
    <s v="Mumbai"/>
    <s v="Portal"/>
    <s v="In Progress"/>
    <n v="8"/>
    <n v="14.21"/>
    <n v="2.2999999999999998"/>
    <s v="Yes"/>
    <x v="1"/>
  </r>
  <r>
    <s v="INC100576"/>
    <d v="2025-03-09T00:00:00"/>
    <d v="2025-03-09T03:48:36"/>
    <x v="3"/>
    <x v="0"/>
    <s v="License"/>
    <s v="Network Support"/>
    <s v="Gurugram"/>
    <s v="Portal"/>
    <s v="Resolved"/>
    <n v="8"/>
    <n v="3.81"/>
    <n v="4.3"/>
    <s v="No"/>
    <x v="0"/>
  </r>
  <r>
    <s v="INC100577"/>
    <d v="2025-06-17T00:00:00"/>
    <d v="2025-06-18T01:42:00"/>
    <x v="1"/>
    <x v="2"/>
    <s v="Packet Loss"/>
    <s v="Access Management"/>
    <s v="Noida"/>
    <s v="Portal"/>
    <s v="Closed"/>
    <n v="24"/>
    <n v="25.7"/>
    <n v="3.7"/>
    <s v="Yes"/>
    <x v="1"/>
  </r>
  <r>
    <s v="INC100578"/>
    <d v="2025-04-05T00:00:00"/>
    <d v="2025-04-05T14:08:24"/>
    <x v="1"/>
    <x v="2"/>
    <s v="DNS"/>
    <s v="Application Support"/>
    <s v="Hyderabad"/>
    <s v="Email"/>
    <s v="Resolved"/>
    <n v="24"/>
    <n v="14.14"/>
    <n v="3.7"/>
    <s v="No"/>
    <x v="0"/>
  </r>
  <r>
    <s v="INC100579"/>
    <d v="2025-06-11T00:00:00"/>
    <d v="2025-06-11T02:09:00"/>
    <x v="1"/>
    <x v="4"/>
    <s v="Mailbox"/>
    <s v="Desktop Support"/>
    <s v="Gurugram"/>
    <s v="Portal"/>
    <s v="Pending"/>
    <n v="24"/>
    <n v="2.15"/>
    <n v="4.2"/>
    <s v="No"/>
    <x v="0"/>
  </r>
  <r>
    <s v="INC100580"/>
    <d v="2025-01-19T00:00:00"/>
    <d v="2025-01-19T18:46:12"/>
    <x v="0"/>
    <x v="4"/>
    <s v="Spam"/>
    <s v="Desktop Support"/>
    <s v="Delhi"/>
    <s v="Portal"/>
    <s v="Resolved"/>
    <n v="48"/>
    <n v="18.77"/>
    <n v="4.8"/>
    <s v="No"/>
    <x v="0"/>
  </r>
  <r>
    <s v="INC100581"/>
    <d v="2025-01-17T00:00:00"/>
    <d v="2025-01-19T00:55:48"/>
    <x v="0"/>
    <x v="2"/>
    <s v="Connectivity"/>
    <s v="Access Management"/>
    <s v="Mumbai"/>
    <s v="Portal"/>
    <s v="Resolved"/>
    <n v="48"/>
    <n v="48.93"/>
    <n v="4.2"/>
    <s v="No"/>
    <x v="1"/>
  </r>
  <r>
    <s v="INC100582"/>
    <d v="2025-05-31T00:00:00"/>
    <d v="2025-06-02T01:54:36"/>
    <x v="0"/>
    <x v="0"/>
    <s v="Performance"/>
    <s v="Application Support"/>
    <s v="Hyderabad"/>
    <s v="Email"/>
    <s v="Resolved"/>
    <n v="48"/>
    <n v="49.91"/>
    <n v="3.8"/>
    <s v="No"/>
    <x v="1"/>
  </r>
  <r>
    <s v="INC100583"/>
    <d v="2025-01-20T00:00:00"/>
    <d v="2025-01-20T14:34:47"/>
    <x v="1"/>
    <x v="2"/>
    <s v="DNS"/>
    <s v="Access Management"/>
    <s v="Noida"/>
    <s v="Portal"/>
    <s v="In Progress"/>
    <n v="24"/>
    <n v="14.58"/>
    <n v="5"/>
    <s v="Yes"/>
    <x v="0"/>
  </r>
  <r>
    <s v="INC100584"/>
    <d v="2025-01-10T00:00:00"/>
    <d v="2025-01-10T01:29:24"/>
    <x v="3"/>
    <x v="0"/>
    <s v="Application Error"/>
    <s v="Network Support"/>
    <s v="Delhi"/>
    <s v="Portal"/>
    <s v="Resolved"/>
    <n v="8"/>
    <n v="1.49"/>
    <n v="4.0999999999999996"/>
    <s v="No"/>
    <x v="0"/>
  </r>
  <r>
    <s v="INC100585"/>
    <d v="2025-03-15T00:00:00"/>
    <d v="2025-03-15T08:44:24"/>
    <x v="3"/>
    <x v="2"/>
    <s v="Connectivity"/>
    <s v="Desktop Support"/>
    <s v="Bengaluru"/>
    <s v="Email"/>
    <s v="Resolved"/>
    <n v="8"/>
    <n v="8.74"/>
    <n v="3.4"/>
    <s v="No"/>
    <x v="1"/>
  </r>
  <r>
    <s v="INC100586"/>
    <d v="2025-06-17T00:00:00"/>
    <d v="2025-06-17T06:46:12"/>
    <x v="1"/>
    <x v="1"/>
    <s v="Account Lock"/>
    <s v="Application Support"/>
    <s v="Gurugram"/>
    <s v="Portal"/>
    <s v="Closed"/>
    <n v="24"/>
    <n v="6.77"/>
    <n v="3.9"/>
    <s v="Yes"/>
    <x v="0"/>
  </r>
  <r>
    <s v="INC100587"/>
    <d v="2025-05-05T00:00:00"/>
    <d v="2025-05-06T04:05:24"/>
    <x v="0"/>
    <x v="4"/>
    <s v="Configuration"/>
    <s v="Network Support"/>
    <s v="Bengaluru"/>
    <s v="Portal"/>
    <s v="Resolved"/>
    <n v="48"/>
    <n v="28.09"/>
    <n v="4.4000000000000004"/>
    <s v="No"/>
    <x v="0"/>
  </r>
  <r>
    <s v="INC100588"/>
    <d v="2025-01-18T00:00:00"/>
    <d v="2025-01-18T18:34:47"/>
    <x v="1"/>
    <x v="2"/>
    <s v="Connectivity"/>
    <s v="Desktop Support"/>
    <s v="Delhi"/>
    <s v="Email"/>
    <s v="Resolved"/>
    <n v="24"/>
    <n v="18.579999999999998"/>
    <n v="4.4000000000000004"/>
    <s v="No"/>
    <x v="0"/>
  </r>
  <r>
    <s v="INC100589"/>
    <d v="2025-06-01T00:00:00"/>
    <d v="2025-06-01T19:53:24"/>
    <x v="1"/>
    <x v="3"/>
    <s v="Peripheral"/>
    <s v="Network Support"/>
    <s v="Mumbai"/>
    <s v="Portal"/>
    <s v="Resolved"/>
    <n v="24"/>
    <n v="19.89"/>
    <n v="4.9000000000000004"/>
    <s v="No"/>
    <x v="0"/>
  </r>
  <r>
    <s v="INC100590"/>
    <d v="2025-06-02T00:00:00"/>
    <d v="2025-06-02T06:02:24"/>
    <x v="3"/>
    <x v="2"/>
    <s v="Connectivity"/>
    <s v="Access Management"/>
    <s v="Mumbai"/>
    <s v="Portal"/>
    <s v="In Progress"/>
    <n v="8"/>
    <n v="6.04"/>
    <n v="3.3"/>
    <s v="No"/>
    <x v="0"/>
  </r>
  <r>
    <s v="INC100591"/>
    <d v="2025-05-25T00:00:00"/>
    <d v="2025-05-25T01:57:36"/>
    <x v="3"/>
    <x v="3"/>
    <s v="Monitor"/>
    <s v="Application Support"/>
    <s v="Bengaluru"/>
    <s v="Portal"/>
    <s v="Closed"/>
    <n v="8"/>
    <n v="1.96"/>
    <n v="4.9000000000000004"/>
    <s v="No"/>
    <x v="0"/>
  </r>
  <r>
    <s v="INC100592"/>
    <d v="2025-06-13T00:00:00"/>
    <d v="2025-06-13T02:54:00"/>
    <x v="3"/>
    <x v="2"/>
    <s v="Packet Loss"/>
    <s v="Network Support"/>
    <s v="Bengaluru"/>
    <s v="Portal"/>
    <s v="Closed"/>
    <n v="8"/>
    <n v="2.9"/>
    <n v="5"/>
    <s v="No"/>
    <x v="0"/>
  </r>
  <r>
    <s v="INC100593"/>
    <d v="2025-02-13T00:00:00"/>
    <d v="2025-02-13T01:54:36"/>
    <x v="3"/>
    <x v="2"/>
    <s v="Packet Loss"/>
    <s v="Desktop Support"/>
    <s v="Gurugram"/>
    <s v="Email"/>
    <s v="In Progress"/>
    <n v="8"/>
    <n v="1.91"/>
    <n v="4.0999999999999996"/>
    <s v="No"/>
    <x v="0"/>
  </r>
  <r>
    <s v="INC100594"/>
    <d v="2025-06-27T00:00:00"/>
    <d v="2025-06-27T03:30:00"/>
    <x v="2"/>
    <x v="4"/>
    <s v="Configuration"/>
    <s v="Network Support"/>
    <s v="Hyderabad"/>
    <s v="Chat"/>
    <s v="Closed"/>
    <n v="4"/>
    <n v="3.5"/>
    <n v="3.1"/>
    <s v="No"/>
    <x v="0"/>
  </r>
  <r>
    <s v="INC100595"/>
    <d v="2025-02-28T00:00:00"/>
    <d v="2025-02-28T19:00:00"/>
    <x v="1"/>
    <x v="2"/>
    <s v="Connectivity"/>
    <s v="Access Management"/>
    <s v="Gurugram"/>
    <s v="Portal"/>
    <s v="Resolved"/>
    <n v="24"/>
    <n v="19"/>
    <n v="3.1"/>
    <s v="No"/>
    <x v="0"/>
  </r>
  <r>
    <s v="INC100596"/>
    <d v="2025-05-26T00:00:00"/>
    <d v="2025-05-26T13:13:48"/>
    <x v="0"/>
    <x v="1"/>
    <s v="Password Reset"/>
    <s v="Network Support"/>
    <s v="Noida"/>
    <s v="Email"/>
    <s v="Resolved"/>
    <n v="48"/>
    <n v="13.23"/>
    <n v="5"/>
    <s v="No"/>
    <x v="0"/>
  </r>
  <r>
    <s v="INC100597"/>
    <d v="2025-04-15T00:00:00"/>
    <d v="2025-04-16T22:30:36"/>
    <x v="0"/>
    <x v="2"/>
    <s v="Link Down"/>
    <s v="Application Support"/>
    <s v="Hyderabad"/>
    <s v="Chat"/>
    <s v="Closed"/>
    <n v="48"/>
    <n v="46.51"/>
    <n v="3.4"/>
    <s v="No"/>
    <x v="0"/>
  </r>
  <r>
    <s v="INC100598"/>
    <d v="2025-05-22T00:00:00"/>
    <d v="2025-05-22T23:09:36"/>
    <x v="1"/>
    <x v="0"/>
    <s v="Performance"/>
    <s v="Network Support"/>
    <s v="Delhi"/>
    <s v="Email"/>
    <s v="Closed"/>
    <n v="24"/>
    <n v="23.16"/>
    <n v="4.2"/>
    <s v="No"/>
    <x v="0"/>
  </r>
  <r>
    <s v="INC100599"/>
    <d v="2025-04-24T00:00:00"/>
    <d v="2025-04-26T09:26:24"/>
    <x v="0"/>
    <x v="3"/>
    <s v="Monitor"/>
    <s v="Network Support"/>
    <s v="Delhi"/>
    <s v="Phone"/>
    <s v="Resolved"/>
    <n v="48"/>
    <n v="57.44"/>
    <n v="3.4"/>
    <s v="No"/>
    <x v="1"/>
  </r>
  <r>
    <s v="INC100600"/>
    <d v="2025-04-27T00:00:00"/>
    <d v="2025-04-28T13:03:00"/>
    <x v="0"/>
    <x v="4"/>
    <s v="Delivery"/>
    <s v="Access Management"/>
    <s v="Mumbai"/>
    <s v="Email"/>
    <s v="In Progress"/>
    <n v="48"/>
    <n v="37.049999999999997"/>
    <n v="5"/>
    <s v="No"/>
    <x v="0"/>
  </r>
  <r>
    <s v="INC100601"/>
    <d v="2025-04-22T00:00:00"/>
    <d v="2025-04-22T03:13:48"/>
    <x v="2"/>
    <x v="2"/>
    <s v="Link Down"/>
    <s v="Service Desk"/>
    <s v="Noida"/>
    <s v="Email"/>
    <s v="Resolved"/>
    <n v="4"/>
    <n v="3.23"/>
    <n v="4.5"/>
    <s v="No"/>
    <x v="0"/>
  </r>
  <r>
    <s v="INC100602"/>
    <d v="2025-05-21T00:00:00"/>
    <d v="2025-05-21T18:27:00"/>
    <x v="0"/>
    <x v="2"/>
    <s v="DNS"/>
    <s v="Network Support"/>
    <s v="Bengaluru"/>
    <s v="Chat"/>
    <s v="Resolved"/>
    <n v="48"/>
    <n v="18.45"/>
    <n v="4"/>
    <s v="No"/>
    <x v="0"/>
  </r>
  <r>
    <s v="INC100603"/>
    <d v="2025-05-14T00:00:00"/>
    <d v="2025-05-14T01:51:00"/>
    <x v="2"/>
    <x v="1"/>
    <s v="Password Reset"/>
    <s v="Application Support"/>
    <s v="Bengaluru"/>
    <s v="Portal"/>
    <s v="Resolved"/>
    <n v="4"/>
    <n v="1.85"/>
    <n v="4.2"/>
    <s v="No"/>
    <x v="0"/>
  </r>
  <r>
    <s v="INC100604"/>
    <d v="2025-01-25T00:00:00"/>
    <d v="2025-01-25T08:57:00"/>
    <x v="3"/>
    <x v="1"/>
    <s v="Permission"/>
    <s v="Service Desk"/>
    <s v="Mumbai"/>
    <s v="Chat"/>
    <s v="In Progress"/>
    <n v="8"/>
    <n v="8.9499999999999993"/>
    <n v="4.2"/>
    <s v="No"/>
    <x v="1"/>
  </r>
  <r>
    <s v="INC100605"/>
    <d v="2025-05-30T00:00:00"/>
    <d v="2025-05-30T07:41:24"/>
    <x v="1"/>
    <x v="0"/>
    <s v="Performance"/>
    <s v="Desktop Support"/>
    <s v="Bengaluru"/>
    <s v="Email"/>
    <s v="Resolved"/>
    <n v="24"/>
    <n v="7.69"/>
    <n v="3.9"/>
    <s v="No"/>
    <x v="0"/>
  </r>
  <r>
    <s v="INC100606"/>
    <d v="2025-04-08T00:00:00"/>
    <d v="2025-04-08T06:07:12"/>
    <x v="1"/>
    <x v="2"/>
    <s v="Connectivity"/>
    <s v="Access Management"/>
    <s v="Noida"/>
    <s v="Email"/>
    <s v="Resolved"/>
    <n v="24"/>
    <n v="6.12"/>
    <n v="5"/>
    <s v="Yes"/>
    <x v="0"/>
  </r>
  <r>
    <s v="INC100607"/>
    <d v="2025-02-28T00:00:00"/>
    <d v="2025-02-28T19:31:48"/>
    <x v="1"/>
    <x v="2"/>
    <s v="Packet Loss"/>
    <s v="Application Support"/>
    <s v="Bengaluru"/>
    <s v="Email"/>
    <s v="Resolved"/>
    <n v="24"/>
    <n v="19.53"/>
    <n v="3.9"/>
    <s v="No"/>
    <x v="0"/>
  </r>
  <r>
    <s v="INC100608"/>
    <d v="2025-04-04T00:00:00"/>
    <d v="2025-04-04T01:45:36"/>
    <x v="1"/>
    <x v="1"/>
    <s v="Password Reset"/>
    <s v="Service Desk"/>
    <s v="Mumbai"/>
    <s v="Portal"/>
    <s v="Pending"/>
    <n v="24"/>
    <n v="1.76"/>
    <n v="5"/>
    <s v="No"/>
    <x v="0"/>
  </r>
  <r>
    <s v="INC100609"/>
    <d v="2025-06-25T00:00:00"/>
    <d v="2025-06-25T14:37:12"/>
    <x v="0"/>
    <x v="0"/>
    <s v="Performance"/>
    <s v="Service Desk"/>
    <s v="Noida"/>
    <s v="Portal"/>
    <s v="Resolved"/>
    <n v="48"/>
    <n v="14.62"/>
    <n v="4.5"/>
    <s v="No"/>
    <x v="0"/>
  </r>
  <r>
    <s v="INC100610"/>
    <d v="2025-06-05T00:00:00"/>
    <d v="2025-06-05T09:49:48"/>
    <x v="3"/>
    <x v="0"/>
    <s v="Performance"/>
    <s v="Service Desk"/>
    <s v="Gurugram"/>
    <s v="Chat"/>
    <s v="Resolved"/>
    <n v="8"/>
    <n v="9.83"/>
    <n v="3.2"/>
    <s v="No"/>
    <x v="1"/>
  </r>
  <r>
    <s v="INC100611"/>
    <d v="2025-05-31T00:00:00"/>
    <d v="2025-06-01T09:33:00"/>
    <x v="1"/>
    <x v="3"/>
    <s v="Laptop"/>
    <s v="Application Support"/>
    <s v="Noida"/>
    <s v="Email"/>
    <s v="Pending"/>
    <n v="24"/>
    <n v="33.549999999999997"/>
    <n v="2.9"/>
    <s v="No"/>
    <x v="1"/>
  </r>
  <r>
    <s v="INC100612"/>
    <d v="2025-03-25T00:00:00"/>
    <d v="2025-03-27T02:00:36"/>
    <x v="0"/>
    <x v="2"/>
    <s v="Connectivity"/>
    <s v="Application Support"/>
    <s v="Hyderabad"/>
    <s v="Phone"/>
    <s v="Closed"/>
    <n v="48"/>
    <n v="50.01"/>
    <n v="4.9000000000000004"/>
    <s v="No"/>
    <x v="1"/>
  </r>
  <r>
    <s v="INC100613"/>
    <d v="2025-05-22T00:00:00"/>
    <d v="2025-05-22T13:34:11"/>
    <x v="1"/>
    <x v="4"/>
    <s v="Spam"/>
    <s v="Desktop Support"/>
    <s v="Delhi"/>
    <s v="Portal"/>
    <s v="Resolved"/>
    <n v="24"/>
    <n v="13.57"/>
    <n v="4.0999999999999996"/>
    <s v="No"/>
    <x v="0"/>
  </r>
  <r>
    <s v="INC100614"/>
    <d v="2025-03-11T00:00:00"/>
    <d v="2025-03-11T06:09:36"/>
    <x v="1"/>
    <x v="1"/>
    <s v="VPN Access"/>
    <s v="Service Desk"/>
    <s v="Gurugram"/>
    <s v="Portal"/>
    <s v="Resolved"/>
    <n v="24"/>
    <n v="6.16"/>
    <n v="5"/>
    <s v="No"/>
    <x v="0"/>
  </r>
  <r>
    <s v="INC100615"/>
    <d v="2025-05-05T00:00:00"/>
    <d v="2025-05-05T03:32:24"/>
    <x v="1"/>
    <x v="2"/>
    <s v="Connectivity"/>
    <s v="Network Support"/>
    <s v="Hyderabad"/>
    <s v="Portal"/>
    <s v="Closed"/>
    <n v="24"/>
    <n v="3.54"/>
    <n v="4.9000000000000004"/>
    <s v="No"/>
    <x v="0"/>
  </r>
  <r>
    <s v="INC100616"/>
    <d v="2025-04-26T00:00:00"/>
    <d v="2025-04-26T09:47:24"/>
    <x v="1"/>
    <x v="4"/>
    <s v="Configuration"/>
    <s v="Access Management"/>
    <s v="Mumbai"/>
    <s v="Portal"/>
    <s v="Resolved"/>
    <n v="24"/>
    <n v="9.7899999999999991"/>
    <n v="4"/>
    <s v="No"/>
    <x v="0"/>
  </r>
  <r>
    <s v="INC100617"/>
    <d v="2025-02-15T00:00:00"/>
    <d v="2025-02-15T07:13:12"/>
    <x v="0"/>
    <x v="0"/>
    <s v="Performance"/>
    <s v="Application Support"/>
    <s v="Delhi"/>
    <s v="Email"/>
    <s v="Resolved"/>
    <n v="48"/>
    <n v="7.22"/>
    <n v="3.8"/>
    <s v="No"/>
    <x v="0"/>
  </r>
  <r>
    <s v="INC100618"/>
    <d v="2025-02-18T00:00:00"/>
    <d v="2025-02-19T17:28:48"/>
    <x v="1"/>
    <x v="3"/>
    <s v="Peripheral"/>
    <s v="Application Support"/>
    <s v="Gurugram"/>
    <s v="Chat"/>
    <s v="Resolved"/>
    <n v="24"/>
    <n v="41.48"/>
    <n v="3.7"/>
    <s v="No"/>
    <x v="1"/>
  </r>
  <r>
    <s v="INC100619"/>
    <d v="2025-01-12T00:00:00"/>
    <d v="2025-01-12T18:46:48"/>
    <x v="0"/>
    <x v="3"/>
    <s v="Peripheral"/>
    <s v="Network Support"/>
    <s v="Mumbai"/>
    <s v="Phone"/>
    <s v="Pending"/>
    <n v="48"/>
    <n v="18.78"/>
    <n v="4.4000000000000004"/>
    <s v="No"/>
    <x v="0"/>
  </r>
  <r>
    <s v="INC100620"/>
    <d v="2025-01-26T00:00:00"/>
    <d v="2025-01-26T20:39:36"/>
    <x v="0"/>
    <x v="1"/>
    <s v="Account Lock"/>
    <s v="Service Desk"/>
    <s v="Mumbai"/>
    <s v="Email"/>
    <s v="Closed"/>
    <n v="48"/>
    <n v="20.66"/>
    <n v="5"/>
    <s v="No"/>
    <x v="0"/>
  </r>
  <r>
    <s v="INC100621"/>
    <d v="2025-03-20T00:00:00"/>
    <d v="2025-03-21T20:27:36"/>
    <x v="0"/>
    <x v="3"/>
    <s v="Printer"/>
    <s v="Service Desk"/>
    <s v="Mumbai"/>
    <s v="Portal"/>
    <s v="Resolved"/>
    <n v="48"/>
    <n v="44.46"/>
    <n v="5"/>
    <s v="No"/>
    <x v="0"/>
  </r>
  <r>
    <s v="INC100622"/>
    <d v="2025-03-28T00:00:00"/>
    <d v="2025-03-28T03:00:00"/>
    <x v="1"/>
    <x v="0"/>
    <s v="Performance"/>
    <s v="Desktop Support"/>
    <s v="Hyderabad"/>
    <s v="Email"/>
    <s v="Resolved"/>
    <n v="24"/>
    <n v="3"/>
    <n v="5"/>
    <s v="No"/>
    <x v="0"/>
  </r>
  <r>
    <s v="INC100623"/>
    <d v="2025-01-30T00:00:00"/>
    <d v="2025-01-30T10:33:36"/>
    <x v="1"/>
    <x v="0"/>
    <s v="Application Error"/>
    <s v="Application Support"/>
    <s v="Bengaluru"/>
    <s v="Email"/>
    <s v="Resolved"/>
    <n v="24"/>
    <n v="10.56"/>
    <n v="4.7"/>
    <s v="Yes"/>
    <x v="0"/>
  </r>
  <r>
    <s v="INC100624"/>
    <d v="2025-03-17T00:00:00"/>
    <d v="2025-03-17T12:43:48"/>
    <x v="1"/>
    <x v="2"/>
    <s v="Packet Loss"/>
    <s v="Access Management"/>
    <s v="Hyderabad"/>
    <s v="Email"/>
    <s v="Pending"/>
    <n v="24"/>
    <n v="12.73"/>
    <n v="5"/>
    <s v="No"/>
    <x v="0"/>
  </r>
  <r>
    <s v="INC100625"/>
    <d v="2025-04-20T00:00:00"/>
    <d v="2025-04-20T07:25:48"/>
    <x v="0"/>
    <x v="4"/>
    <s v="Spam"/>
    <s v="Desktop Support"/>
    <s v="Bengaluru"/>
    <s v="Email"/>
    <s v="Closed"/>
    <n v="48"/>
    <n v="7.43"/>
    <n v="5"/>
    <s v="No"/>
    <x v="0"/>
  </r>
  <r>
    <s v="INC100626"/>
    <d v="2025-02-12T00:00:00"/>
    <d v="2025-02-12T11:33:00"/>
    <x v="0"/>
    <x v="3"/>
    <s v="Laptop"/>
    <s v="Service Desk"/>
    <s v="Noida"/>
    <s v="Portal"/>
    <s v="Resolved"/>
    <n v="48"/>
    <n v="11.55"/>
    <n v="3.9"/>
    <s v="No"/>
    <x v="0"/>
  </r>
  <r>
    <s v="INC100627"/>
    <d v="2025-03-03T00:00:00"/>
    <d v="2025-03-03T07:48:36"/>
    <x v="1"/>
    <x v="3"/>
    <s v="Peripheral"/>
    <s v="Desktop Support"/>
    <s v="Bengaluru"/>
    <s v="Portal"/>
    <s v="Closed"/>
    <n v="24"/>
    <n v="7.81"/>
    <n v="5"/>
    <s v="No"/>
    <x v="0"/>
  </r>
  <r>
    <s v="INC100628"/>
    <d v="2025-03-08T00:00:00"/>
    <d v="2025-03-10T03:19:48"/>
    <x v="0"/>
    <x v="0"/>
    <s v="Installation"/>
    <s v="Application Support"/>
    <s v="Noida"/>
    <s v="Chat"/>
    <s v="Resolved"/>
    <n v="48"/>
    <n v="51.33"/>
    <n v="3.7"/>
    <s v="No"/>
    <x v="1"/>
  </r>
  <r>
    <s v="INC100629"/>
    <d v="2025-04-02T00:00:00"/>
    <d v="2025-04-03T08:52:12"/>
    <x v="1"/>
    <x v="0"/>
    <s v="License"/>
    <s v="Service Desk"/>
    <s v="Bengaluru"/>
    <s v="Phone"/>
    <s v="Resolved"/>
    <n v="24"/>
    <n v="32.869999999999997"/>
    <n v="4.4000000000000004"/>
    <s v="No"/>
    <x v="1"/>
  </r>
  <r>
    <s v="INC100630"/>
    <d v="2025-03-08T00:00:00"/>
    <d v="2025-03-08T05:55:48"/>
    <x v="3"/>
    <x v="3"/>
    <s v="Laptop"/>
    <s v="Desktop Support"/>
    <s v="Hyderabad"/>
    <s v="Chat"/>
    <s v="Resolved"/>
    <n v="8"/>
    <n v="5.93"/>
    <n v="4.4000000000000004"/>
    <s v="No"/>
    <x v="0"/>
  </r>
  <r>
    <s v="INC100631"/>
    <d v="2025-05-14T00:00:00"/>
    <d v="2025-05-14T12:00:36"/>
    <x v="1"/>
    <x v="0"/>
    <s v="Performance"/>
    <s v="Application Support"/>
    <s v="Hyderabad"/>
    <s v="Portal"/>
    <s v="In Progress"/>
    <n v="24"/>
    <n v="12.01"/>
    <n v="5"/>
    <s v="No"/>
    <x v="0"/>
  </r>
  <r>
    <s v="INC100632"/>
    <d v="2025-03-01T00:00:00"/>
    <d v="2025-03-01T09:51:00"/>
    <x v="3"/>
    <x v="4"/>
    <s v="Spam"/>
    <s v="Desktop Support"/>
    <s v="Bengaluru"/>
    <s v="Email"/>
    <s v="Closed"/>
    <n v="8"/>
    <n v="9.85"/>
    <n v="3.4"/>
    <s v="No"/>
    <x v="1"/>
  </r>
  <r>
    <s v="INC100633"/>
    <d v="2025-03-20T00:00:00"/>
    <d v="2025-03-21T22:42:00"/>
    <x v="0"/>
    <x v="1"/>
    <s v="VPN Access"/>
    <s v="Desktop Support"/>
    <s v="Delhi"/>
    <s v="Portal"/>
    <s v="Resolved"/>
    <n v="48"/>
    <n v="46.7"/>
    <n v="2.8"/>
    <s v="No"/>
    <x v="0"/>
  </r>
  <r>
    <s v="INC100634"/>
    <d v="2025-03-10T00:00:00"/>
    <d v="2025-03-14T03:47:24"/>
    <x v="0"/>
    <x v="1"/>
    <s v="VPN Access"/>
    <s v="Application Support"/>
    <s v="Bengaluru"/>
    <s v="Chat"/>
    <s v="Resolved"/>
    <n v="48"/>
    <n v="99.79"/>
    <n v="2.9"/>
    <s v="No"/>
    <x v="1"/>
  </r>
  <r>
    <s v="INC100635"/>
    <d v="2025-02-03T00:00:00"/>
    <d v="2025-02-03T00:49:12"/>
    <x v="3"/>
    <x v="2"/>
    <s v="DNS"/>
    <s v="Service Desk"/>
    <s v="Gurugram"/>
    <s v="Portal"/>
    <s v="In Progress"/>
    <n v="8"/>
    <n v="0.82"/>
    <n v="5"/>
    <s v="No"/>
    <x v="0"/>
  </r>
  <r>
    <s v="INC100636"/>
    <d v="2025-05-05T00:00:00"/>
    <d v="2025-05-05T04:21:36"/>
    <x v="3"/>
    <x v="3"/>
    <s v="Peripheral"/>
    <s v="Network Support"/>
    <s v="Gurugram"/>
    <s v="Email"/>
    <s v="Resolved"/>
    <n v="8"/>
    <n v="4.3600000000000003"/>
    <n v="4"/>
    <s v="Yes"/>
    <x v="0"/>
  </r>
  <r>
    <s v="INC100637"/>
    <d v="2025-02-12T00:00:00"/>
    <d v="2025-02-12T02:43:48"/>
    <x v="3"/>
    <x v="0"/>
    <s v="License"/>
    <s v="Application Support"/>
    <s v="Hyderabad"/>
    <s v="Portal"/>
    <s v="Resolved"/>
    <n v="8"/>
    <n v="2.73"/>
    <n v="4.5"/>
    <s v="No"/>
    <x v="0"/>
  </r>
  <r>
    <s v="INC100638"/>
    <d v="2025-02-23T00:00:00"/>
    <d v="2025-02-23T05:55:12"/>
    <x v="0"/>
    <x v="2"/>
    <s v="Link Down"/>
    <s v="Desktop Support"/>
    <s v="Noida"/>
    <s v="Portal"/>
    <s v="In Progress"/>
    <n v="48"/>
    <n v="5.92"/>
    <n v="3.4"/>
    <s v="No"/>
    <x v="0"/>
  </r>
  <r>
    <s v="INC100639"/>
    <d v="2025-05-24T00:00:00"/>
    <d v="2025-05-24T04:23:24"/>
    <x v="3"/>
    <x v="1"/>
    <s v="VPN Access"/>
    <s v="Service Desk"/>
    <s v="Mumbai"/>
    <s v="Portal"/>
    <s v="In Progress"/>
    <n v="8"/>
    <n v="4.3899999999999997"/>
    <n v="4.2"/>
    <s v="Yes"/>
    <x v="0"/>
  </r>
  <r>
    <s v="INC100640"/>
    <d v="2025-06-21T00:00:00"/>
    <d v="2025-06-22T22:34:47"/>
    <x v="1"/>
    <x v="3"/>
    <s v="Printer"/>
    <s v="Network Support"/>
    <s v="Noida"/>
    <s v="Email"/>
    <s v="Resolved"/>
    <n v="24"/>
    <n v="46.58"/>
    <n v="1.9"/>
    <s v="Yes"/>
    <x v="1"/>
  </r>
  <r>
    <s v="INC100641"/>
    <d v="2025-05-02T00:00:00"/>
    <d v="2025-05-02T04:53:24"/>
    <x v="1"/>
    <x v="3"/>
    <s v="Monitor"/>
    <s v="Access Management"/>
    <s v="Bengaluru"/>
    <s v="Phone"/>
    <s v="Resolved"/>
    <n v="24"/>
    <n v="4.8899999999999997"/>
    <n v="5"/>
    <s v="No"/>
    <x v="0"/>
  </r>
  <r>
    <s v="INC100642"/>
    <d v="2025-06-15T00:00:00"/>
    <d v="2025-06-20T04:14:24"/>
    <x v="0"/>
    <x v="2"/>
    <s v="Connectivity"/>
    <s v="Application Support"/>
    <s v="Bengaluru"/>
    <s v="Chat"/>
    <s v="Closed"/>
    <n v="48"/>
    <n v="124.24"/>
    <n v="2.1"/>
    <s v="Yes"/>
    <x v="1"/>
  </r>
  <r>
    <s v="INC100643"/>
    <d v="2025-06-04T00:00:00"/>
    <d v="2025-06-04T03:57:36"/>
    <x v="2"/>
    <x v="3"/>
    <s v="Printer"/>
    <s v="Service Desk"/>
    <s v="Hyderabad"/>
    <s v="Email"/>
    <s v="Resolved"/>
    <n v="4"/>
    <n v="3.96"/>
    <n v="3.8"/>
    <s v="No"/>
    <x v="0"/>
  </r>
  <r>
    <s v="INC100644"/>
    <d v="2025-03-29T00:00:00"/>
    <d v="2025-03-31T12:41:24"/>
    <x v="0"/>
    <x v="3"/>
    <s v="Monitor"/>
    <s v="Application Support"/>
    <s v="Gurugram"/>
    <s v="Email"/>
    <s v="Closed"/>
    <n v="48"/>
    <n v="60.69"/>
    <n v="4.3"/>
    <s v="No"/>
    <x v="1"/>
  </r>
  <r>
    <s v="INC100645"/>
    <d v="2025-05-20T00:00:00"/>
    <d v="2025-05-20T10:03:36"/>
    <x v="3"/>
    <x v="0"/>
    <s v="Performance"/>
    <s v="Desktop Support"/>
    <s v="Bengaluru"/>
    <s v="Phone"/>
    <s v="Closed"/>
    <n v="8"/>
    <n v="10.06"/>
    <n v="3.6"/>
    <s v="No"/>
    <x v="1"/>
  </r>
  <r>
    <s v="INC100646"/>
    <d v="2025-03-01T00:00:00"/>
    <d v="2025-03-01T17:51:36"/>
    <x v="1"/>
    <x v="0"/>
    <s v="Application Error"/>
    <s v="Service Desk"/>
    <s v="Noida"/>
    <s v="Portal"/>
    <s v="Closed"/>
    <n v="24"/>
    <n v="17.86"/>
    <n v="4.2"/>
    <s v="No"/>
    <x v="0"/>
  </r>
  <r>
    <s v="INC100647"/>
    <d v="2025-03-25T00:00:00"/>
    <d v="2025-03-25T03:06:00"/>
    <x v="3"/>
    <x v="2"/>
    <s v="Packet Loss"/>
    <s v="Service Desk"/>
    <s v="Noida"/>
    <s v="Phone"/>
    <s v="Resolved"/>
    <n v="8"/>
    <n v="3.1"/>
    <n v="4.7"/>
    <s v="No"/>
    <x v="0"/>
  </r>
  <r>
    <s v="INC100648"/>
    <d v="2025-04-07T00:00:00"/>
    <d v="2025-04-07T03:34:47"/>
    <x v="1"/>
    <x v="2"/>
    <s v="Packet Loss"/>
    <s v="Network Support"/>
    <s v="Hyderabad"/>
    <s v="Phone"/>
    <s v="Closed"/>
    <n v="24"/>
    <n v="3.58"/>
    <n v="4.4000000000000004"/>
    <s v="No"/>
    <x v="0"/>
  </r>
  <r>
    <s v="INC100649"/>
    <d v="2025-06-23T00:00:00"/>
    <d v="2025-06-23T01:39:00"/>
    <x v="3"/>
    <x v="1"/>
    <s v="Permission"/>
    <s v="Access Management"/>
    <s v="Delhi"/>
    <s v="Email"/>
    <s v="In Progress"/>
    <n v="8"/>
    <n v="1.65"/>
    <n v="5"/>
    <s v="No"/>
    <x v="0"/>
  </r>
  <r>
    <s v="INC100650"/>
    <d v="2025-06-03T00:00:00"/>
    <d v="2025-06-04T15:09:36"/>
    <x v="0"/>
    <x v="2"/>
    <s v="Packet Loss"/>
    <s v="Access Management"/>
    <s v="Bengaluru"/>
    <s v="Portal"/>
    <s v="Closed"/>
    <n v="48"/>
    <n v="39.159999999999997"/>
    <n v="3.4"/>
    <s v="No"/>
    <x v="0"/>
  </r>
  <r>
    <s v="INC100651"/>
    <d v="2025-03-30T00:00:00"/>
    <d v="2025-03-30T19:14:24"/>
    <x v="0"/>
    <x v="0"/>
    <s v="License"/>
    <s v="Access Management"/>
    <s v="Noida"/>
    <s v="Portal"/>
    <s v="Resolved"/>
    <n v="48"/>
    <n v="19.239999999999998"/>
    <n v="4.8"/>
    <s v="No"/>
    <x v="0"/>
  </r>
  <r>
    <s v="INC100652"/>
    <d v="2025-04-29T00:00:00"/>
    <d v="2025-04-29T05:31:48"/>
    <x v="1"/>
    <x v="0"/>
    <s v="License"/>
    <s v="Service Desk"/>
    <s v="Hyderabad"/>
    <s v="Portal"/>
    <s v="Pending"/>
    <n v="24"/>
    <n v="5.53"/>
    <n v="5"/>
    <s v="No"/>
    <x v="0"/>
  </r>
  <r>
    <s v="INC100653"/>
    <d v="2025-02-06T00:00:00"/>
    <d v="2025-02-06T15:43:48"/>
    <x v="1"/>
    <x v="0"/>
    <s v="Installation"/>
    <s v="Access Management"/>
    <s v="Gurugram"/>
    <s v="Chat"/>
    <s v="Resolved"/>
    <n v="24"/>
    <n v="15.73"/>
    <n v="3.5"/>
    <s v="No"/>
    <x v="0"/>
  </r>
  <r>
    <s v="INC100654"/>
    <d v="2025-05-26T00:00:00"/>
    <d v="2025-05-27T10:11:24"/>
    <x v="0"/>
    <x v="4"/>
    <s v="Configuration"/>
    <s v="Service Desk"/>
    <s v="Gurugram"/>
    <s v="Email"/>
    <s v="Resolved"/>
    <n v="48"/>
    <n v="34.19"/>
    <n v="3.3"/>
    <s v="Yes"/>
    <x v="0"/>
  </r>
  <r>
    <s v="INC100655"/>
    <d v="2025-04-11T00:00:00"/>
    <d v="2025-04-12T20:36:00"/>
    <x v="0"/>
    <x v="0"/>
    <s v="License"/>
    <s v="Access Management"/>
    <s v="Delhi"/>
    <s v="Email"/>
    <s v="Resolved"/>
    <n v="48"/>
    <n v="44.6"/>
    <n v="3.2"/>
    <s v="No"/>
    <x v="0"/>
  </r>
  <r>
    <s v="INC100656"/>
    <d v="2025-04-07T00:00:00"/>
    <d v="2025-04-07T06:37:48"/>
    <x v="1"/>
    <x v="4"/>
    <s v="Mailbox"/>
    <s v="Network Support"/>
    <s v="Noida"/>
    <s v="Email"/>
    <s v="Resolved"/>
    <n v="24"/>
    <n v="6.63"/>
    <n v="5"/>
    <s v="No"/>
    <x v="0"/>
  </r>
  <r>
    <s v="INC100657"/>
    <d v="2025-05-19T00:00:00"/>
    <d v="2025-05-19T23:57:00"/>
    <x v="0"/>
    <x v="1"/>
    <s v="Account Lock"/>
    <s v="Service Desk"/>
    <s v="Delhi"/>
    <s v="Phone"/>
    <s v="Resolved"/>
    <n v="48"/>
    <n v="23.95"/>
    <n v="4"/>
    <s v="Yes"/>
    <x v="0"/>
  </r>
  <r>
    <s v="INC100658"/>
    <d v="2025-04-25T00:00:00"/>
    <d v="2025-04-25T13:36:00"/>
    <x v="0"/>
    <x v="2"/>
    <s v="Packet Loss"/>
    <s v="Desktop Support"/>
    <s v="Bengaluru"/>
    <s v="Portal"/>
    <s v="Closed"/>
    <n v="48"/>
    <n v="13.6"/>
    <n v="3.9"/>
    <s v="No"/>
    <x v="0"/>
  </r>
  <r>
    <s v="INC100659"/>
    <d v="2025-01-14T00:00:00"/>
    <d v="2025-01-14T01:24:00"/>
    <x v="3"/>
    <x v="2"/>
    <s v="Packet Loss"/>
    <s v="Access Management"/>
    <s v="Gurugram"/>
    <s v="Portal"/>
    <s v="Resolved"/>
    <n v="8"/>
    <n v="1.4"/>
    <n v="5"/>
    <s v="No"/>
    <x v="0"/>
  </r>
  <r>
    <s v="INC100660"/>
    <d v="2025-02-22T00:00:00"/>
    <d v="2025-02-23T02:55:48"/>
    <x v="1"/>
    <x v="3"/>
    <s v="Laptop"/>
    <s v="Service Desk"/>
    <s v="Noida"/>
    <s v="Email"/>
    <s v="Resolved"/>
    <n v="24"/>
    <n v="26.93"/>
    <n v="1.9"/>
    <s v="No"/>
    <x v="1"/>
  </r>
  <r>
    <s v="INC100661"/>
    <d v="2025-02-01T00:00:00"/>
    <d v="2025-02-01T04:16:48"/>
    <x v="2"/>
    <x v="3"/>
    <s v="Monitor"/>
    <s v="Desktop Support"/>
    <s v="Bengaluru"/>
    <s v="Portal"/>
    <s v="In Progress"/>
    <n v="4"/>
    <n v="4.28"/>
    <n v="3.1"/>
    <s v="No"/>
    <x v="1"/>
  </r>
  <r>
    <s v="INC100662"/>
    <d v="2025-05-14T00:00:00"/>
    <d v="2025-05-14T00:30:00"/>
    <x v="2"/>
    <x v="0"/>
    <s v="Installation"/>
    <s v="Access Management"/>
    <s v="Mumbai"/>
    <s v="Portal"/>
    <s v="Resolved"/>
    <n v="4"/>
    <n v="0.5"/>
    <n v="5"/>
    <s v="No"/>
    <x v="0"/>
  </r>
  <r>
    <s v="INC100663"/>
    <d v="2025-01-07T00:00:00"/>
    <d v="2025-01-08T03:19:48"/>
    <x v="0"/>
    <x v="2"/>
    <s v="Packet Loss"/>
    <s v="Desktop Support"/>
    <s v="Delhi"/>
    <s v="Email"/>
    <s v="Resolved"/>
    <n v="48"/>
    <n v="27.33"/>
    <n v="3.7"/>
    <s v="No"/>
    <x v="0"/>
  </r>
  <r>
    <s v="INC100664"/>
    <d v="2025-02-06T00:00:00"/>
    <d v="2025-02-07T05:39:36"/>
    <x v="1"/>
    <x v="2"/>
    <s v="Packet Loss"/>
    <s v="Application Support"/>
    <s v="Delhi"/>
    <s v="Portal"/>
    <s v="Pending"/>
    <n v="24"/>
    <n v="29.66"/>
    <n v="3.3"/>
    <s v="No"/>
    <x v="1"/>
  </r>
  <r>
    <s v="INC100665"/>
    <d v="2025-04-19T00:00:00"/>
    <d v="2025-04-19T22:51:00"/>
    <x v="1"/>
    <x v="3"/>
    <s v="Laptop"/>
    <s v="Desktop Support"/>
    <s v="Gurugram"/>
    <s v="Chat"/>
    <s v="Resolved"/>
    <n v="24"/>
    <n v="22.85"/>
    <n v="4"/>
    <s v="No"/>
    <x v="0"/>
  </r>
  <r>
    <s v="INC100666"/>
    <d v="2025-05-06T00:00:00"/>
    <d v="2025-05-06T06:00:00"/>
    <x v="1"/>
    <x v="0"/>
    <s v="Application Error"/>
    <s v="Network Support"/>
    <s v="Bengaluru"/>
    <s v="Phone"/>
    <s v="Resolved"/>
    <n v="24"/>
    <n v="6"/>
    <n v="4.9000000000000004"/>
    <s v="No"/>
    <x v="0"/>
  </r>
  <r>
    <s v="INC100667"/>
    <d v="2025-04-02T00:00:00"/>
    <d v="2025-04-04T15:51:36"/>
    <x v="0"/>
    <x v="0"/>
    <s v="Installation"/>
    <s v="Service Desk"/>
    <s v="Hyderabad"/>
    <s v="Chat"/>
    <s v="Resolved"/>
    <n v="48"/>
    <n v="63.86"/>
    <n v="3.1"/>
    <s v="No"/>
    <x v="1"/>
  </r>
  <r>
    <s v="INC100668"/>
    <d v="2025-06-05T00:00:00"/>
    <d v="2025-06-07T11:21:36"/>
    <x v="0"/>
    <x v="4"/>
    <s v="Mailbox"/>
    <s v="Desktop Support"/>
    <s v="Delhi"/>
    <s v="Chat"/>
    <s v="Closed"/>
    <n v="48"/>
    <n v="59.36"/>
    <n v="3.9"/>
    <s v="No"/>
    <x v="1"/>
  </r>
  <r>
    <s v="INC100669"/>
    <d v="2025-06-16T00:00:00"/>
    <d v="2025-06-17T09:20:24"/>
    <x v="0"/>
    <x v="2"/>
    <s v="DNS"/>
    <s v="Network Support"/>
    <s v="Delhi"/>
    <s v="Portal"/>
    <s v="Resolved"/>
    <n v="48"/>
    <n v="33.340000000000003"/>
    <n v="5"/>
    <s v="No"/>
    <x v="0"/>
  </r>
  <r>
    <s v="INC100670"/>
    <d v="2025-01-24T00:00:00"/>
    <d v="2025-01-24T10:37:48"/>
    <x v="1"/>
    <x v="3"/>
    <s v="Monitor"/>
    <s v="Service Desk"/>
    <s v="Bengaluru"/>
    <s v="Portal"/>
    <s v="Pending"/>
    <n v="24"/>
    <n v="10.63"/>
    <n v="3.8"/>
    <s v="No"/>
    <x v="0"/>
  </r>
  <r>
    <s v="INC100671"/>
    <d v="2025-06-22T00:00:00"/>
    <d v="2025-06-22T00:59:24"/>
    <x v="2"/>
    <x v="4"/>
    <s v="Delivery"/>
    <s v="Access Management"/>
    <s v="Hyderabad"/>
    <s v="Email"/>
    <s v="Closed"/>
    <n v="4"/>
    <n v="0.99"/>
    <n v="4.4000000000000004"/>
    <s v="Yes"/>
    <x v="0"/>
  </r>
  <r>
    <s v="INC100672"/>
    <d v="2025-04-22T00:00:00"/>
    <d v="2025-04-22T13:06:00"/>
    <x v="1"/>
    <x v="0"/>
    <s v="Application Error"/>
    <s v="Network Support"/>
    <s v="Mumbai"/>
    <s v="Portal"/>
    <s v="Closed"/>
    <n v="24"/>
    <n v="13.1"/>
    <n v="4.3"/>
    <s v="No"/>
    <x v="0"/>
  </r>
  <r>
    <s v="INC100673"/>
    <d v="2025-04-26T00:00:00"/>
    <d v="2025-04-27T11:05:24"/>
    <x v="1"/>
    <x v="0"/>
    <s v="Installation"/>
    <s v="Service Desk"/>
    <s v="Bengaluru"/>
    <s v="Chat"/>
    <s v="In Progress"/>
    <n v="24"/>
    <n v="35.090000000000003"/>
    <n v="3.7"/>
    <s v="No"/>
    <x v="1"/>
  </r>
  <r>
    <s v="INC100674"/>
    <d v="2025-01-18T00:00:00"/>
    <d v="2025-01-18T01:01:12"/>
    <x v="2"/>
    <x v="0"/>
    <s v="License"/>
    <s v="Application Support"/>
    <s v="Delhi"/>
    <s v="Portal"/>
    <s v="Resolved"/>
    <n v="4"/>
    <n v="1.02"/>
    <n v="4.7"/>
    <s v="No"/>
    <x v="0"/>
  </r>
  <r>
    <s v="INC100675"/>
    <d v="2025-04-23T00:00:00"/>
    <d v="2025-04-24T13:12:36"/>
    <x v="1"/>
    <x v="2"/>
    <s v="Packet Loss"/>
    <s v="Desktop Support"/>
    <s v="Bengaluru"/>
    <s v="Email"/>
    <s v="Closed"/>
    <n v="24"/>
    <n v="37.21"/>
    <n v="3.1"/>
    <s v="No"/>
    <x v="1"/>
  </r>
  <r>
    <s v="INC100676"/>
    <d v="2025-05-12T00:00:00"/>
    <d v="2025-05-13T20:09:36"/>
    <x v="0"/>
    <x v="4"/>
    <s v="Spam"/>
    <s v="Service Desk"/>
    <s v="Noida"/>
    <s v="Email"/>
    <s v="Closed"/>
    <n v="48"/>
    <n v="44.16"/>
    <n v="2.9"/>
    <s v="No"/>
    <x v="0"/>
  </r>
  <r>
    <s v="INC100677"/>
    <d v="2025-04-16T00:00:00"/>
    <d v="2025-04-16T04:21:36"/>
    <x v="3"/>
    <x v="0"/>
    <s v="Performance"/>
    <s v="Network Support"/>
    <s v="Noida"/>
    <s v="Chat"/>
    <s v="Closed"/>
    <n v="8"/>
    <n v="4.3600000000000003"/>
    <n v="3.6"/>
    <s v="Yes"/>
    <x v="0"/>
  </r>
  <r>
    <s v="INC100678"/>
    <d v="2025-01-16T00:00:00"/>
    <d v="2025-01-17T05:51:36"/>
    <x v="1"/>
    <x v="0"/>
    <s v="Performance"/>
    <s v="Access Management"/>
    <s v="Noida"/>
    <s v="Email"/>
    <s v="Closed"/>
    <n v="24"/>
    <n v="29.86"/>
    <n v="3.6"/>
    <s v="No"/>
    <x v="1"/>
  </r>
  <r>
    <s v="INC100679"/>
    <d v="2025-04-05T00:00:00"/>
    <d v="2025-04-06T01:34:47"/>
    <x v="0"/>
    <x v="0"/>
    <s v="Application Error"/>
    <s v="Desktop Support"/>
    <s v="Bengaluru"/>
    <s v="Email"/>
    <s v="Resolved"/>
    <n v="48"/>
    <n v="25.58"/>
    <n v="4"/>
    <s v="No"/>
    <x v="0"/>
  </r>
  <r>
    <s v="INC100680"/>
    <d v="2025-06-19T00:00:00"/>
    <d v="2025-06-19T11:17:23"/>
    <x v="1"/>
    <x v="3"/>
    <s v="Peripheral"/>
    <s v="Desktop Support"/>
    <s v="Mumbai"/>
    <s v="Portal"/>
    <s v="Closed"/>
    <n v="24"/>
    <n v="11.29"/>
    <n v="4.2"/>
    <s v="No"/>
    <x v="0"/>
  </r>
  <r>
    <s v="INC100681"/>
    <d v="2025-05-11T00:00:00"/>
    <d v="2025-05-11T08:42:36"/>
    <x v="3"/>
    <x v="2"/>
    <s v="DNS"/>
    <s v="Network Support"/>
    <s v="Gurugram"/>
    <s v="Email"/>
    <s v="Closed"/>
    <n v="8"/>
    <n v="8.7100000000000009"/>
    <n v="3.7"/>
    <s v="No"/>
    <x v="1"/>
  </r>
  <r>
    <s v="INC100682"/>
    <d v="2025-01-25T00:00:00"/>
    <d v="2025-01-26T03:02:24"/>
    <x v="0"/>
    <x v="1"/>
    <s v="Permission"/>
    <s v="Service Desk"/>
    <s v="Delhi"/>
    <s v="Phone"/>
    <s v="Closed"/>
    <n v="48"/>
    <n v="27.04"/>
    <n v="5"/>
    <s v="No"/>
    <x v="0"/>
  </r>
  <r>
    <s v="INC100683"/>
    <d v="2025-06-23T00:00:00"/>
    <d v="2025-06-23T12:49:12"/>
    <x v="1"/>
    <x v="0"/>
    <s v="Application Error"/>
    <s v="Network Support"/>
    <s v="Delhi"/>
    <s v="Email"/>
    <s v="In Progress"/>
    <n v="24"/>
    <n v="12.82"/>
    <n v="4"/>
    <s v="No"/>
    <x v="0"/>
  </r>
  <r>
    <s v="INC100684"/>
    <d v="2025-06-23T00:00:00"/>
    <d v="2025-06-23T16:01:12"/>
    <x v="0"/>
    <x v="2"/>
    <s v="Link Down"/>
    <s v="Access Management"/>
    <s v="Noida"/>
    <s v="Phone"/>
    <s v="Resolved"/>
    <n v="48"/>
    <n v="16.02"/>
    <n v="5"/>
    <s v="No"/>
    <x v="0"/>
  </r>
  <r>
    <s v="INC100685"/>
    <d v="2025-01-31T00:00:00"/>
    <d v="2025-01-31T22:13:12"/>
    <x v="0"/>
    <x v="3"/>
    <s v="Printer"/>
    <s v="Application Support"/>
    <s v="Bengaluru"/>
    <s v="Portal"/>
    <s v="Pending"/>
    <n v="48"/>
    <n v="22.22"/>
    <n v="5"/>
    <s v="No"/>
    <x v="0"/>
  </r>
  <r>
    <s v="INC100686"/>
    <d v="2025-05-25T00:00:00"/>
    <d v="2025-05-28T08:30:36"/>
    <x v="0"/>
    <x v="4"/>
    <s v="Configuration"/>
    <s v="Desktop Support"/>
    <s v="Mumbai"/>
    <s v="Portal"/>
    <s v="Resolved"/>
    <n v="48"/>
    <n v="80.510000000000005"/>
    <n v="3.5"/>
    <s v="No"/>
    <x v="1"/>
  </r>
  <r>
    <s v="INC100687"/>
    <d v="2025-03-15T00:00:00"/>
    <d v="2025-03-15T00:30:00"/>
    <x v="3"/>
    <x v="3"/>
    <s v="Printer"/>
    <s v="Application Support"/>
    <s v="Noida"/>
    <s v="Chat"/>
    <s v="Resolved"/>
    <n v="8"/>
    <n v="0.5"/>
    <n v="4.4000000000000004"/>
    <s v="No"/>
    <x v="0"/>
  </r>
  <r>
    <s v="INC100688"/>
    <d v="2025-04-18T00:00:00"/>
    <d v="2025-04-18T01:59:24"/>
    <x v="3"/>
    <x v="3"/>
    <s v="Laptop"/>
    <s v="Network Support"/>
    <s v="Bengaluru"/>
    <s v="Portal"/>
    <s v="Resolved"/>
    <n v="8"/>
    <n v="1.99"/>
    <n v="4.8"/>
    <s v="No"/>
    <x v="0"/>
  </r>
  <r>
    <s v="INC100689"/>
    <d v="2025-03-22T00:00:00"/>
    <d v="2025-03-22T14:00:00"/>
    <x v="0"/>
    <x v="0"/>
    <s v="Performance"/>
    <s v="Access Management"/>
    <s v="Hyderabad"/>
    <s v="Email"/>
    <s v="Resolved"/>
    <n v="48"/>
    <n v="14"/>
    <n v="4.4000000000000004"/>
    <s v="No"/>
    <x v="0"/>
  </r>
  <r>
    <s v="INC100690"/>
    <d v="2025-05-22T00:00:00"/>
    <d v="2025-05-23T00:04:48"/>
    <x v="0"/>
    <x v="1"/>
    <s v="Password Reset"/>
    <s v="Desktop Support"/>
    <s v="Mumbai"/>
    <s v="Email"/>
    <s v="Resolved"/>
    <n v="48"/>
    <n v="24.08"/>
    <n v="5"/>
    <s v="No"/>
    <x v="0"/>
  </r>
  <r>
    <s v="INC100691"/>
    <d v="2025-06-30T00:00:00"/>
    <d v="2025-06-30T21:05:24"/>
    <x v="0"/>
    <x v="0"/>
    <s v="Installation"/>
    <s v="Desktop Support"/>
    <s v="Mumbai"/>
    <s v="Chat"/>
    <s v="Resolved"/>
    <n v="48"/>
    <n v="21.09"/>
    <n v="4.7"/>
    <s v="No"/>
    <x v="0"/>
  </r>
  <r>
    <s v="INC100692"/>
    <d v="2025-05-24T00:00:00"/>
    <d v="2025-05-25T06:18:36"/>
    <x v="0"/>
    <x v="1"/>
    <s v="Permission"/>
    <s v="Access Management"/>
    <s v="Noida"/>
    <s v="Portal"/>
    <s v="Closed"/>
    <n v="48"/>
    <n v="30.31"/>
    <n v="4.0999999999999996"/>
    <s v="No"/>
    <x v="0"/>
  </r>
  <r>
    <s v="INC100693"/>
    <d v="2025-06-18T00:00:00"/>
    <d v="2025-06-18T01:34:47"/>
    <x v="1"/>
    <x v="2"/>
    <s v="Packet Loss"/>
    <s v="Network Support"/>
    <s v="Delhi"/>
    <s v="Portal"/>
    <s v="Pending"/>
    <n v="24"/>
    <n v="1.58"/>
    <n v="5"/>
    <s v="No"/>
    <x v="0"/>
  </r>
  <r>
    <s v="INC100694"/>
    <d v="2025-06-21T00:00:00"/>
    <d v="2025-06-21T14:58:48"/>
    <x v="1"/>
    <x v="4"/>
    <s v="Spam"/>
    <s v="Desktop Support"/>
    <s v="Hyderabad"/>
    <s v="Phone"/>
    <s v="Closed"/>
    <n v="24"/>
    <n v="14.98"/>
    <n v="4"/>
    <s v="No"/>
    <x v="0"/>
  </r>
  <r>
    <s v="INC100695"/>
    <d v="2025-01-17T00:00:00"/>
    <d v="2025-01-18T16:02:24"/>
    <x v="1"/>
    <x v="4"/>
    <s v="Spam"/>
    <s v="Network Support"/>
    <s v="Bengaluru"/>
    <s v="Email"/>
    <s v="Resolved"/>
    <n v="24"/>
    <n v="40.04"/>
    <n v="3.4"/>
    <s v="No"/>
    <x v="1"/>
  </r>
  <r>
    <s v="INC100696"/>
    <d v="2025-02-15T00:00:00"/>
    <d v="2025-02-15T13:30:36"/>
    <x v="1"/>
    <x v="0"/>
    <s v="License"/>
    <s v="Desktop Support"/>
    <s v="Delhi"/>
    <s v="Email"/>
    <s v="Pending"/>
    <n v="24"/>
    <n v="13.51"/>
    <n v="4.8"/>
    <s v="No"/>
    <x v="0"/>
  </r>
  <r>
    <s v="INC100697"/>
    <d v="2025-05-11T00:00:00"/>
    <d v="2025-05-11T10:50:24"/>
    <x v="1"/>
    <x v="0"/>
    <s v="Performance"/>
    <s v="Service Desk"/>
    <s v="Noida"/>
    <s v="Portal"/>
    <s v="Closed"/>
    <n v="24"/>
    <n v="10.84"/>
    <n v="4.7"/>
    <s v="No"/>
    <x v="0"/>
  </r>
  <r>
    <s v="INC100698"/>
    <d v="2025-04-17T00:00:00"/>
    <d v="2025-04-18T00:34:11"/>
    <x v="0"/>
    <x v="2"/>
    <s v="Connectivity"/>
    <s v="Desktop Support"/>
    <s v="Delhi"/>
    <s v="Portal"/>
    <s v="Closed"/>
    <n v="48"/>
    <n v="24.57"/>
    <n v="4.3"/>
    <s v="No"/>
    <x v="0"/>
  </r>
  <r>
    <s v="INC100699"/>
    <d v="2025-01-10T00:00:00"/>
    <d v="2025-01-10T19:25:48"/>
    <x v="0"/>
    <x v="3"/>
    <s v="Printer"/>
    <s v="Application Support"/>
    <s v="Hyderabad"/>
    <s v="Chat"/>
    <s v="Resolved"/>
    <n v="48"/>
    <n v="19.43"/>
    <n v="5"/>
    <s v="No"/>
    <x v="0"/>
  </r>
  <r>
    <s v="INC100700"/>
    <d v="2025-01-18T00:00:00"/>
    <d v="2025-01-18T07:21:36"/>
    <x v="3"/>
    <x v="2"/>
    <s v="Packet Loss"/>
    <s v="Service Desk"/>
    <s v="Bengaluru"/>
    <s v="Email"/>
    <s v="Closed"/>
    <n v="8"/>
    <n v="7.36"/>
    <n v="3.5"/>
    <s v="No"/>
    <x v="0"/>
  </r>
  <r>
    <s v="INC100701"/>
    <d v="2025-04-05T00:00:00"/>
    <d v="2025-04-05T05:36:36"/>
    <x v="3"/>
    <x v="2"/>
    <s v="Packet Loss"/>
    <s v="Network Support"/>
    <s v="Mumbai"/>
    <s v="Chat"/>
    <s v="Resolved"/>
    <n v="8"/>
    <n v="5.61"/>
    <n v="4.9000000000000004"/>
    <s v="No"/>
    <x v="0"/>
  </r>
  <r>
    <s v="INC100702"/>
    <d v="2025-04-22T00:00:00"/>
    <d v="2025-04-22T05:19:48"/>
    <x v="3"/>
    <x v="4"/>
    <s v="Delivery"/>
    <s v="Network Support"/>
    <s v="Noida"/>
    <s v="Chat"/>
    <s v="Resolved"/>
    <n v="8"/>
    <n v="5.33"/>
    <n v="4"/>
    <s v="No"/>
    <x v="0"/>
  </r>
  <r>
    <s v="INC100703"/>
    <d v="2025-01-31T00:00:00"/>
    <d v="2025-01-31T09:57:00"/>
    <x v="3"/>
    <x v="2"/>
    <s v="Connectivity"/>
    <s v="Application Support"/>
    <s v="Delhi"/>
    <s v="Email"/>
    <s v="Resolved"/>
    <n v="8"/>
    <n v="9.9499999999999993"/>
    <n v="4.4000000000000004"/>
    <s v="No"/>
    <x v="1"/>
  </r>
  <r>
    <s v="INC100704"/>
    <d v="2025-02-01T00:00:00"/>
    <d v="2025-02-01T22:13:48"/>
    <x v="1"/>
    <x v="0"/>
    <s v="License"/>
    <s v="Desktop Support"/>
    <s v="Bengaluru"/>
    <s v="Email"/>
    <s v="Closed"/>
    <n v="24"/>
    <n v="22.23"/>
    <n v="4.5999999999999996"/>
    <s v="No"/>
    <x v="0"/>
  </r>
  <r>
    <s v="INC100705"/>
    <d v="2025-01-24T00:00:00"/>
    <d v="2025-01-24T00:30:00"/>
    <x v="3"/>
    <x v="3"/>
    <s v="Peripheral"/>
    <s v="Access Management"/>
    <s v="Bengaluru"/>
    <s v="Email"/>
    <s v="Resolved"/>
    <n v="8"/>
    <n v="0.5"/>
    <n v="5"/>
    <s v="No"/>
    <x v="0"/>
  </r>
  <r>
    <s v="INC100706"/>
    <d v="2025-04-13T00:00:00"/>
    <d v="2025-04-13T09:32:24"/>
    <x v="1"/>
    <x v="3"/>
    <s v="Laptop"/>
    <s v="Access Management"/>
    <s v="Gurugram"/>
    <s v="Phone"/>
    <s v="Resolved"/>
    <n v="24"/>
    <n v="9.5399999999999991"/>
    <n v="4.5"/>
    <s v="No"/>
    <x v="0"/>
  </r>
  <r>
    <s v="INC100707"/>
    <d v="2025-01-02T00:00:00"/>
    <d v="2025-01-02T07:59:24"/>
    <x v="0"/>
    <x v="3"/>
    <s v="Laptop"/>
    <s v="Network Support"/>
    <s v="Mumbai"/>
    <s v="Email"/>
    <s v="Closed"/>
    <n v="48"/>
    <n v="7.99"/>
    <n v="5"/>
    <s v="No"/>
    <x v="0"/>
  </r>
  <r>
    <s v="INC100708"/>
    <d v="2025-04-14T00:00:00"/>
    <d v="2025-04-14T13:34:47"/>
    <x v="0"/>
    <x v="3"/>
    <s v="Laptop"/>
    <s v="Application Support"/>
    <s v="Gurugram"/>
    <s v="Portal"/>
    <s v="Resolved"/>
    <n v="48"/>
    <n v="13.58"/>
    <n v="5"/>
    <s v="Yes"/>
    <x v="0"/>
  </r>
  <r>
    <s v="INC100709"/>
    <d v="2025-03-28T00:00:00"/>
    <d v="2025-03-28T16:16:12"/>
    <x v="0"/>
    <x v="0"/>
    <s v="License"/>
    <s v="Network Support"/>
    <s v="Mumbai"/>
    <s v="Chat"/>
    <s v="Resolved"/>
    <n v="48"/>
    <n v="16.27"/>
    <n v="2.5"/>
    <s v="No"/>
    <x v="0"/>
  </r>
  <r>
    <s v="INC100710"/>
    <d v="2025-03-26T00:00:00"/>
    <d v="2025-03-26T13:10:48"/>
    <x v="0"/>
    <x v="4"/>
    <s v="Configuration"/>
    <s v="Network Support"/>
    <s v="Mumbai"/>
    <s v="Email"/>
    <s v="In Progress"/>
    <n v="48"/>
    <n v="13.18"/>
    <n v="4.0999999999999996"/>
    <s v="No"/>
    <x v="0"/>
  </r>
  <r>
    <s v="INC100711"/>
    <d v="2025-05-03T00:00:00"/>
    <d v="2025-05-03T22:56:24"/>
    <x v="1"/>
    <x v="3"/>
    <s v="Monitor"/>
    <s v="Application Support"/>
    <s v="Delhi"/>
    <s v="Phone"/>
    <s v="In Progress"/>
    <n v="24"/>
    <n v="22.94"/>
    <n v="4"/>
    <s v="No"/>
    <x v="0"/>
  </r>
  <r>
    <s v="INC100712"/>
    <d v="2025-04-05T00:00:00"/>
    <d v="2025-04-05T20:21:36"/>
    <x v="1"/>
    <x v="4"/>
    <s v="Delivery"/>
    <s v="Desktop Support"/>
    <s v="Gurugram"/>
    <s v="Portal"/>
    <s v="In Progress"/>
    <n v="24"/>
    <n v="20.36"/>
    <n v="4.2"/>
    <s v="No"/>
    <x v="0"/>
  </r>
  <r>
    <s v="INC100713"/>
    <d v="2025-05-12T00:00:00"/>
    <d v="2025-05-12T03:10:12"/>
    <x v="3"/>
    <x v="0"/>
    <s v="Application Error"/>
    <s v="Access Management"/>
    <s v="Delhi"/>
    <s v="Email"/>
    <s v="Closed"/>
    <n v="8"/>
    <n v="3.17"/>
    <n v="5"/>
    <s v="No"/>
    <x v="0"/>
  </r>
  <r>
    <s v="INC100714"/>
    <d v="2025-05-19T00:00:00"/>
    <d v="2025-05-19T19:49:12"/>
    <x v="1"/>
    <x v="0"/>
    <s v="Application Error"/>
    <s v="Network Support"/>
    <s v="Mumbai"/>
    <s v="Email"/>
    <s v="Resolved"/>
    <n v="24"/>
    <n v="19.82"/>
    <n v="5"/>
    <s v="No"/>
    <x v="0"/>
  </r>
  <r>
    <s v="INC100715"/>
    <d v="2025-06-16T00:00:00"/>
    <d v="2025-06-17T12:03:00"/>
    <x v="0"/>
    <x v="2"/>
    <s v="Connectivity"/>
    <s v="Desktop Support"/>
    <s v="Gurugram"/>
    <s v="Phone"/>
    <s v="Resolved"/>
    <n v="48"/>
    <n v="36.049999999999997"/>
    <n v="4.5"/>
    <s v="No"/>
    <x v="0"/>
  </r>
  <r>
    <s v="INC100716"/>
    <d v="2025-05-25T00:00:00"/>
    <d v="2025-05-25T04:47:24"/>
    <x v="3"/>
    <x v="2"/>
    <s v="Connectivity"/>
    <s v="Service Desk"/>
    <s v="Bengaluru"/>
    <s v="Portal"/>
    <s v="Resolved"/>
    <n v="8"/>
    <n v="4.79"/>
    <n v="2.9"/>
    <s v="No"/>
    <x v="0"/>
  </r>
  <r>
    <s v="INC100717"/>
    <d v="2025-04-04T00:00:00"/>
    <d v="2025-04-04T11:42:00"/>
    <x v="1"/>
    <x v="1"/>
    <s v="VPN Access"/>
    <s v="Access Management"/>
    <s v="Noida"/>
    <s v="Portal"/>
    <s v="In Progress"/>
    <n v="24"/>
    <n v="11.7"/>
    <n v="4.5"/>
    <s v="Yes"/>
    <x v="0"/>
  </r>
  <r>
    <s v="INC100718"/>
    <d v="2025-03-31T00:00:00"/>
    <d v="2025-04-02T01:13:12"/>
    <x v="0"/>
    <x v="0"/>
    <s v="License"/>
    <s v="Application Support"/>
    <s v="Delhi"/>
    <s v="Phone"/>
    <s v="Resolved"/>
    <n v="48"/>
    <n v="49.22"/>
    <n v="4.5999999999999996"/>
    <s v="No"/>
    <x v="1"/>
  </r>
  <r>
    <s v="INC100719"/>
    <d v="2025-02-12T00:00:00"/>
    <d v="2025-02-13T01:37:12"/>
    <x v="0"/>
    <x v="3"/>
    <s v="Laptop"/>
    <s v="Application Support"/>
    <s v="Hyderabad"/>
    <s v="Chat"/>
    <s v="Resolved"/>
    <n v="48"/>
    <n v="25.62"/>
    <n v="4.4000000000000004"/>
    <s v="No"/>
    <x v="0"/>
  </r>
  <r>
    <s v="INC100720"/>
    <d v="2025-04-19T00:00:00"/>
    <d v="2025-04-19T15:37:48"/>
    <x v="1"/>
    <x v="1"/>
    <s v="Permission"/>
    <s v="Service Desk"/>
    <s v="Mumbai"/>
    <s v="Portal"/>
    <s v="Closed"/>
    <n v="24"/>
    <n v="15.63"/>
    <n v="4.4000000000000004"/>
    <s v="No"/>
    <x v="0"/>
  </r>
  <r>
    <s v="INC100721"/>
    <d v="2025-01-26T00:00:00"/>
    <d v="2025-01-27T05:41:24"/>
    <x v="0"/>
    <x v="3"/>
    <s v="Laptop"/>
    <s v="Access Management"/>
    <s v="Gurugram"/>
    <s v="Portal"/>
    <s v="Resolved"/>
    <n v="48"/>
    <n v="29.69"/>
    <n v="3.9"/>
    <s v="No"/>
    <x v="0"/>
  </r>
  <r>
    <s v="INC100722"/>
    <d v="2025-06-18T00:00:00"/>
    <d v="2025-06-18T02:48:00"/>
    <x v="3"/>
    <x v="1"/>
    <s v="Permission"/>
    <s v="Access Management"/>
    <s v="Hyderabad"/>
    <s v="Email"/>
    <s v="Resolved"/>
    <n v="8"/>
    <n v="2.8"/>
    <n v="5"/>
    <s v="No"/>
    <x v="0"/>
  </r>
  <r>
    <s v="INC100723"/>
    <d v="2025-06-02T00:00:00"/>
    <d v="2025-06-02T02:40:12"/>
    <x v="3"/>
    <x v="3"/>
    <s v="Peripheral"/>
    <s v="Application Support"/>
    <s v="Mumbai"/>
    <s v="Portal"/>
    <s v="In Progress"/>
    <n v="8"/>
    <n v="2.67"/>
    <n v="4.4000000000000004"/>
    <s v="No"/>
    <x v="0"/>
  </r>
  <r>
    <s v="INC100724"/>
    <d v="2025-01-22T00:00:00"/>
    <d v="2025-01-22T11:06:00"/>
    <x v="1"/>
    <x v="4"/>
    <s v="Configuration"/>
    <s v="Desktop Support"/>
    <s v="Mumbai"/>
    <s v="Portal"/>
    <s v="Resolved"/>
    <n v="24"/>
    <n v="11.1"/>
    <n v="4.8"/>
    <s v="No"/>
    <x v="0"/>
  </r>
  <r>
    <s v="INC100725"/>
    <d v="2025-05-23T00:00:00"/>
    <d v="2025-05-24T21:18:00"/>
    <x v="0"/>
    <x v="2"/>
    <s v="DNS"/>
    <s v="Access Management"/>
    <s v="Gurugram"/>
    <s v="Email"/>
    <s v="In Progress"/>
    <n v="48"/>
    <n v="45.3"/>
    <n v="4.0999999999999996"/>
    <s v="Yes"/>
    <x v="0"/>
  </r>
  <r>
    <s v="INC100726"/>
    <d v="2025-01-22T00:00:00"/>
    <d v="2025-01-22T04:00:36"/>
    <x v="3"/>
    <x v="2"/>
    <s v="Connectivity"/>
    <s v="Application Support"/>
    <s v="Delhi"/>
    <s v="Email"/>
    <s v="Resolved"/>
    <n v="8"/>
    <n v="4.01"/>
    <n v="4.4000000000000004"/>
    <s v="No"/>
    <x v="0"/>
  </r>
  <r>
    <s v="INC100727"/>
    <d v="2025-05-11T00:00:00"/>
    <d v="2025-05-11T02:02:24"/>
    <x v="1"/>
    <x v="0"/>
    <s v="Application Error"/>
    <s v="Network Support"/>
    <s v="Delhi"/>
    <s v="Portal"/>
    <s v="Resolved"/>
    <n v="24"/>
    <n v="2.04"/>
    <n v="5"/>
    <s v="No"/>
    <x v="0"/>
  </r>
  <r>
    <s v="INC100728"/>
    <d v="2025-01-16T00:00:00"/>
    <d v="2025-01-17T09:31:48"/>
    <x v="0"/>
    <x v="2"/>
    <s v="Connectivity"/>
    <s v="Access Management"/>
    <s v="Bengaluru"/>
    <s v="Portal"/>
    <s v="Resolved"/>
    <n v="48"/>
    <n v="33.53"/>
    <n v="4.3"/>
    <s v="No"/>
    <x v="0"/>
  </r>
  <r>
    <s v="INC100729"/>
    <d v="2025-03-30T00:00:00"/>
    <d v="2025-03-30T08:42:36"/>
    <x v="1"/>
    <x v="4"/>
    <s v="Mailbox"/>
    <s v="Network Support"/>
    <s v="Mumbai"/>
    <s v="Chat"/>
    <s v="Resolved"/>
    <n v="24"/>
    <n v="8.7100000000000009"/>
    <n v="5"/>
    <s v="No"/>
    <x v="0"/>
  </r>
  <r>
    <s v="INC100730"/>
    <d v="2025-04-30T00:00:00"/>
    <d v="2025-04-30T06:31:48"/>
    <x v="1"/>
    <x v="0"/>
    <s v="Performance"/>
    <s v="Application Support"/>
    <s v="Hyderabad"/>
    <s v="Email"/>
    <s v="Resolved"/>
    <n v="24"/>
    <n v="6.53"/>
    <n v="5"/>
    <s v="No"/>
    <x v="0"/>
  </r>
  <r>
    <s v="INC100731"/>
    <d v="2025-05-12T00:00:00"/>
    <d v="2025-05-12T21:10:12"/>
    <x v="1"/>
    <x v="2"/>
    <s v="Packet Loss"/>
    <s v="Service Desk"/>
    <s v="Hyderabad"/>
    <s v="Phone"/>
    <s v="Resolved"/>
    <n v="24"/>
    <n v="21.17"/>
    <n v="4.5999999999999996"/>
    <s v="No"/>
    <x v="0"/>
  </r>
  <r>
    <s v="INC100732"/>
    <d v="2025-03-17T00:00:00"/>
    <d v="2025-03-18T18:08:24"/>
    <x v="0"/>
    <x v="2"/>
    <s v="DNS"/>
    <s v="Access Management"/>
    <s v="Bengaluru"/>
    <s v="Portal"/>
    <s v="Resolved"/>
    <n v="48"/>
    <n v="42.14"/>
    <n v="3.4"/>
    <s v="No"/>
    <x v="0"/>
  </r>
  <r>
    <s v="INC100733"/>
    <d v="2025-06-16T00:00:00"/>
    <d v="2025-06-16T14:27:00"/>
    <x v="1"/>
    <x v="4"/>
    <s v="Mailbox"/>
    <s v="Application Support"/>
    <s v="Bengaluru"/>
    <s v="Phone"/>
    <s v="Resolved"/>
    <n v="24"/>
    <n v="14.45"/>
    <n v="3.7"/>
    <s v="No"/>
    <x v="0"/>
  </r>
  <r>
    <s v="INC100734"/>
    <d v="2025-05-21T00:00:00"/>
    <d v="2025-05-21T20:58:12"/>
    <x v="0"/>
    <x v="0"/>
    <s v="Installation"/>
    <s v="Access Management"/>
    <s v="Gurugram"/>
    <s v="Phone"/>
    <s v="Resolved"/>
    <n v="48"/>
    <n v="20.97"/>
    <n v="4.5"/>
    <s v="No"/>
    <x v="0"/>
  </r>
  <r>
    <s v="INC100735"/>
    <d v="2025-02-07T00:00:00"/>
    <d v="2025-02-07T18:01:12"/>
    <x v="0"/>
    <x v="4"/>
    <s v="Delivery"/>
    <s v="Application Support"/>
    <s v="Delhi"/>
    <s v="Portal"/>
    <s v="Resolved"/>
    <n v="48"/>
    <n v="18.02"/>
    <n v="5"/>
    <s v="No"/>
    <x v="0"/>
  </r>
  <r>
    <s v="INC100736"/>
    <d v="2025-05-02T00:00:00"/>
    <d v="2025-05-02T08:05:24"/>
    <x v="0"/>
    <x v="2"/>
    <s v="Packet Loss"/>
    <s v="Desktop Support"/>
    <s v="Gurugram"/>
    <s v="Email"/>
    <s v="Resolved"/>
    <n v="48"/>
    <n v="8.09"/>
    <n v="5"/>
    <s v="No"/>
    <x v="0"/>
  </r>
  <r>
    <s v="INC100737"/>
    <d v="2025-05-13T00:00:00"/>
    <d v="2025-05-13T00:30:00"/>
    <x v="2"/>
    <x v="4"/>
    <s v="Spam"/>
    <s v="Access Management"/>
    <s v="Delhi"/>
    <s v="Email"/>
    <s v="Resolved"/>
    <n v="4"/>
    <n v="0.5"/>
    <n v="4.4000000000000004"/>
    <s v="No"/>
    <x v="0"/>
  </r>
  <r>
    <s v="INC100738"/>
    <d v="2025-03-02T00:00:00"/>
    <d v="2025-03-02T19:04:12"/>
    <x v="0"/>
    <x v="0"/>
    <s v="Application Error"/>
    <s v="Service Desk"/>
    <s v="Mumbai"/>
    <s v="Portal"/>
    <s v="Resolved"/>
    <n v="48"/>
    <n v="19.07"/>
    <n v="5"/>
    <s v="Yes"/>
    <x v="0"/>
  </r>
  <r>
    <s v="INC100739"/>
    <d v="2025-05-14T00:00:00"/>
    <d v="2025-05-14T09:42:00"/>
    <x v="1"/>
    <x v="0"/>
    <s v="Installation"/>
    <s v="Desktop Support"/>
    <s v="Bengaluru"/>
    <s v="Phone"/>
    <s v="Pending"/>
    <n v="24"/>
    <n v="9.6999999999999993"/>
    <n v="4.0999999999999996"/>
    <s v="No"/>
    <x v="0"/>
  </r>
  <r>
    <s v="INC100740"/>
    <d v="2025-06-12T00:00:00"/>
    <d v="2025-06-12T06:07:48"/>
    <x v="1"/>
    <x v="3"/>
    <s v="Laptop"/>
    <s v="Service Desk"/>
    <s v="Mumbai"/>
    <s v="Portal"/>
    <s v="Resolved"/>
    <n v="24"/>
    <n v="6.13"/>
    <n v="5"/>
    <s v="No"/>
    <x v="0"/>
  </r>
  <r>
    <s v="INC100741"/>
    <d v="2025-05-28T00:00:00"/>
    <d v="2025-05-28T09:55:12"/>
    <x v="3"/>
    <x v="2"/>
    <s v="Packet Loss"/>
    <s v="Network Support"/>
    <s v="Delhi"/>
    <s v="Email"/>
    <s v="Closed"/>
    <n v="8"/>
    <n v="9.92"/>
    <n v="3.7"/>
    <s v="No"/>
    <x v="1"/>
  </r>
  <r>
    <s v="INC100742"/>
    <d v="2025-05-19T00:00:00"/>
    <d v="2025-05-19T08:27:00"/>
    <x v="1"/>
    <x v="4"/>
    <s v="Configuration"/>
    <s v="Access Management"/>
    <s v="Hyderabad"/>
    <s v="Chat"/>
    <s v="Resolved"/>
    <n v="24"/>
    <n v="8.4499999999999993"/>
    <n v="4.4000000000000004"/>
    <s v="No"/>
    <x v="0"/>
  </r>
  <r>
    <s v="INC100743"/>
    <d v="2025-04-25T00:00:00"/>
    <d v="2025-04-25T04:46:12"/>
    <x v="3"/>
    <x v="4"/>
    <s v="Mailbox"/>
    <s v="Desktop Support"/>
    <s v="Mumbai"/>
    <s v="Portal"/>
    <s v="Resolved"/>
    <n v="8"/>
    <n v="4.7699999999999996"/>
    <n v="3.9"/>
    <s v="No"/>
    <x v="0"/>
  </r>
  <r>
    <s v="INC100744"/>
    <d v="2025-02-18T00:00:00"/>
    <d v="2025-02-19T09:07:12"/>
    <x v="0"/>
    <x v="3"/>
    <s v="Laptop"/>
    <s v="Network Support"/>
    <s v="Hyderabad"/>
    <s v="Portal"/>
    <s v="Resolved"/>
    <n v="48"/>
    <n v="33.119999999999997"/>
    <n v="4.3"/>
    <s v="Yes"/>
    <x v="0"/>
  </r>
  <r>
    <s v="INC100745"/>
    <d v="2025-05-24T00:00:00"/>
    <d v="2025-05-25T12:28:12"/>
    <x v="0"/>
    <x v="4"/>
    <s v="Delivery"/>
    <s v="Access Management"/>
    <s v="Bengaluru"/>
    <s v="Portal"/>
    <s v="Resolved"/>
    <n v="48"/>
    <n v="36.47"/>
    <n v="4.0999999999999996"/>
    <s v="Yes"/>
    <x v="0"/>
  </r>
  <r>
    <s v="INC100746"/>
    <d v="2025-03-07T00:00:00"/>
    <d v="2025-03-07T07:35:24"/>
    <x v="1"/>
    <x v="2"/>
    <s v="Connectivity"/>
    <s v="Access Management"/>
    <s v="Noida"/>
    <s v="Chat"/>
    <s v="Closed"/>
    <n v="24"/>
    <n v="7.59"/>
    <n v="3.9"/>
    <s v="No"/>
    <x v="0"/>
  </r>
  <r>
    <s v="INC100747"/>
    <d v="2025-04-07T00:00:00"/>
    <d v="2025-04-07T10:15:36"/>
    <x v="1"/>
    <x v="2"/>
    <s v="DNS"/>
    <s v="Application Support"/>
    <s v="Bengaluru"/>
    <s v="Portal"/>
    <s v="In Progress"/>
    <n v="24"/>
    <n v="10.26"/>
    <n v="4.9000000000000004"/>
    <s v="No"/>
    <x v="0"/>
  </r>
  <r>
    <s v="INC100748"/>
    <d v="2025-02-26T00:00:00"/>
    <d v="2025-02-26T04:25:48"/>
    <x v="3"/>
    <x v="2"/>
    <s v="DNS"/>
    <s v="Service Desk"/>
    <s v="Bengaluru"/>
    <s v="Portal"/>
    <s v="Resolved"/>
    <n v="8"/>
    <n v="4.43"/>
    <n v="5"/>
    <s v="No"/>
    <x v="0"/>
  </r>
  <r>
    <s v="INC100749"/>
    <d v="2025-02-26T00:00:00"/>
    <d v="2025-02-26T02:32:24"/>
    <x v="3"/>
    <x v="3"/>
    <s v="Monitor"/>
    <s v="Access Management"/>
    <s v="Gurugram"/>
    <s v="Email"/>
    <s v="Resolved"/>
    <n v="8"/>
    <n v="2.54"/>
    <n v="5"/>
    <s v="No"/>
    <x v="0"/>
  </r>
  <r>
    <s v="INC100750"/>
    <d v="2025-01-29T00:00:00"/>
    <d v="2025-01-30T03:52:12"/>
    <x v="1"/>
    <x v="2"/>
    <s v="Link Down"/>
    <s v="Application Support"/>
    <s v="Delhi"/>
    <s v="Phone"/>
    <s v="Closed"/>
    <n v="24"/>
    <n v="27.87"/>
    <n v="3.8"/>
    <s v="No"/>
    <x v="1"/>
  </r>
  <r>
    <s v="INC100751"/>
    <d v="2025-06-23T00:00:00"/>
    <d v="2025-06-23T08:39:36"/>
    <x v="2"/>
    <x v="3"/>
    <s v="Monitor"/>
    <s v="Service Desk"/>
    <s v="Bengaluru"/>
    <s v="Email"/>
    <s v="Closed"/>
    <n v="4"/>
    <n v="8.66"/>
    <n v="2.1"/>
    <s v="No"/>
    <x v="1"/>
  </r>
  <r>
    <s v="INC100752"/>
    <d v="2025-01-27T00:00:00"/>
    <d v="2025-01-27T16:13:12"/>
    <x v="1"/>
    <x v="2"/>
    <s v="Link Down"/>
    <s v="Service Desk"/>
    <s v="Delhi"/>
    <s v="Chat"/>
    <s v="Resolved"/>
    <n v="24"/>
    <n v="16.22"/>
    <n v="4.3"/>
    <s v="No"/>
    <x v="0"/>
  </r>
  <r>
    <s v="INC100753"/>
    <d v="2025-01-16T00:00:00"/>
    <d v="2025-01-17T08:13:12"/>
    <x v="0"/>
    <x v="1"/>
    <s v="VPN Access"/>
    <s v="Access Management"/>
    <s v="Delhi"/>
    <s v="Portal"/>
    <s v="Resolved"/>
    <n v="48"/>
    <n v="32.22"/>
    <n v="4.0999999999999996"/>
    <s v="No"/>
    <x v="0"/>
  </r>
  <r>
    <s v="INC100754"/>
    <d v="2025-06-19T00:00:00"/>
    <d v="2025-06-20T02:31:48"/>
    <x v="1"/>
    <x v="1"/>
    <s v="VPN Access"/>
    <s v="Access Management"/>
    <s v="Delhi"/>
    <s v="Email"/>
    <s v="Resolved"/>
    <n v="24"/>
    <n v="26.53"/>
    <n v="3.8"/>
    <s v="No"/>
    <x v="1"/>
  </r>
  <r>
    <s v="INC100755"/>
    <d v="2025-04-11T00:00:00"/>
    <d v="2025-04-12T21:30:00"/>
    <x v="0"/>
    <x v="0"/>
    <s v="Application Error"/>
    <s v="Application Support"/>
    <s v="Bengaluru"/>
    <s v="Email"/>
    <s v="Resolved"/>
    <n v="48"/>
    <n v="45.5"/>
    <n v="4.5"/>
    <s v="No"/>
    <x v="0"/>
  </r>
  <r>
    <s v="INC100756"/>
    <d v="2025-03-21T00:00:00"/>
    <d v="2025-03-21T04:16:48"/>
    <x v="3"/>
    <x v="2"/>
    <s v="Connectivity"/>
    <s v="Network Support"/>
    <s v="Hyderabad"/>
    <s v="Portal"/>
    <s v="Resolved"/>
    <n v="8"/>
    <n v="4.28"/>
    <n v="4.3"/>
    <s v="No"/>
    <x v="0"/>
  </r>
  <r>
    <s v="INC100757"/>
    <d v="2025-05-14T00:00:00"/>
    <d v="2025-05-17T04:37:12"/>
    <x v="0"/>
    <x v="1"/>
    <s v="Permission"/>
    <s v="Service Desk"/>
    <s v="Noida"/>
    <s v="Phone"/>
    <s v="Resolved"/>
    <n v="48"/>
    <n v="76.62"/>
    <n v="1.9"/>
    <s v="No"/>
    <x v="1"/>
  </r>
  <r>
    <s v="INC100758"/>
    <d v="2025-03-11T00:00:00"/>
    <d v="2025-03-11T07:56:24"/>
    <x v="1"/>
    <x v="2"/>
    <s v="Packet Loss"/>
    <s v="Service Desk"/>
    <s v="Delhi"/>
    <s v="Email"/>
    <s v="Resolved"/>
    <n v="24"/>
    <n v="7.94"/>
    <n v="5"/>
    <s v="No"/>
    <x v="0"/>
  </r>
  <r>
    <s v="INC100759"/>
    <d v="2025-01-24T00:00:00"/>
    <d v="2025-01-24T21:19:12"/>
    <x v="1"/>
    <x v="1"/>
    <s v="Permission"/>
    <s v="Desktop Support"/>
    <s v="Bengaluru"/>
    <s v="Portal"/>
    <s v="Resolved"/>
    <n v="24"/>
    <n v="21.32"/>
    <n v="4.2"/>
    <s v="No"/>
    <x v="0"/>
  </r>
  <r>
    <s v="INC100760"/>
    <d v="2025-05-13T00:00:00"/>
    <d v="2025-05-13T20:22:48"/>
    <x v="0"/>
    <x v="0"/>
    <s v="Installation"/>
    <s v="Access Management"/>
    <s v="Noida"/>
    <s v="Portal"/>
    <s v="Resolved"/>
    <n v="48"/>
    <n v="20.38"/>
    <n v="4.5999999999999996"/>
    <s v="No"/>
    <x v="0"/>
  </r>
  <r>
    <s v="INC100761"/>
    <d v="2025-02-01T00:00:00"/>
    <d v="2025-02-02T11:14:24"/>
    <x v="0"/>
    <x v="3"/>
    <s v="Monitor"/>
    <s v="Access Management"/>
    <s v="Bengaluru"/>
    <s v="Portal"/>
    <s v="Resolved"/>
    <n v="48"/>
    <n v="35.24"/>
    <n v="3.4"/>
    <s v="Yes"/>
    <x v="0"/>
  </r>
  <r>
    <s v="INC100762"/>
    <d v="2025-04-11T00:00:00"/>
    <d v="2025-04-11T09:24:00"/>
    <x v="1"/>
    <x v="2"/>
    <s v="Connectivity"/>
    <s v="Service Desk"/>
    <s v="Noida"/>
    <s v="Phone"/>
    <s v="Closed"/>
    <n v="24"/>
    <n v="9.4"/>
    <n v="4"/>
    <s v="No"/>
    <x v="0"/>
  </r>
  <r>
    <s v="INC100763"/>
    <d v="2025-06-21T00:00:00"/>
    <d v="2025-06-24T02:58:12"/>
    <x v="0"/>
    <x v="1"/>
    <s v="Account Lock"/>
    <s v="Network Support"/>
    <s v="Bengaluru"/>
    <s v="Portal"/>
    <s v="Resolved"/>
    <n v="48"/>
    <n v="74.97"/>
    <n v="2.7"/>
    <s v="No"/>
    <x v="1"/>
  </r>
  <r>
    <s v="INC100764"/>
    <d v="2025-06-19T00:00:00"/>
    <d v="2025-06-20T03:25:12"/>
    <x v="1"/>
    <x v="4"/>
    <s v="Delivery"/>
    <s v="Service Desk"/>
    <s v="Gurugram"/>
    <s v="Chat"/>
    <s v="Resolved"/>
    <n v="24"/>
    <n v="27.42"/>
    <n v="3.2"/>
    <s v="No"/>
    <x v="1"/>
  </r>
  <r>
    <s v="INC100765"/>
    <d v="2025-03-07T00:00:00"/>
    <d v="2025-03-07T16:58:48"/>
    <x v="1"/>
    <x v="0"/>
    <s v="Installation"/>
    <s v="Service Desk"/>
    <s v="Hyderabad"/>
    <s v="Portal"/>
    <s v="Resolved"/>
    <n v="24"/>
    <n v="16.98"/>
    <n v="3.8"/>
    <s v="No"/>
    <x v="0"/>
  </r>
  <r>
    <s v="INC100766"/>
    <d v="2025-05-22T00:00:00"/>
    <d v="2025-05-23T22:00:36"/>
    <x v="0"/>
    <x v="4"/>
    <s v="Spam"/>
    <s v="Access Management"/>
    <s v="Bengaluru"/>
    <s v="Chat"/>
    <s v="Resolved"/>
    <n v="48"/>
    <n v="46.01"/>
    <n v="3.1"/>
    <s v="No"/>
    <x v="0"/>
  </r>
  <r>
    <s v="INC100767"/>
    <d v="2025-04-21T00:00:00"/>
    <d v="2025-04-21T12:19:12"/>
    <x v="0"/>
    <x v="4"/>
    <s v="Spam"/>
    <s v="Network Support"/>
    <s v="Gurugram"/>
    <s v="Phone"/>
    <s v="Resolved"/>
    <n v="48"/>
    <n v="12.32"/>
    <n v="5"/>
    <s v="No"/>
    <x v="0"/>
  </r>
  <r>
    <s v="INC100768"/>
    <d v="2025-03-28T00:00:00"/>
    <d v="2025-03-28T01:07:48"/>
    <x v="3"/>
    <x v="2"/>
    <s v="DNS"/>
    <s v="Access Management"/>
    <s v="Delhi"/>
    <s v="Portal"/>
    <s v="Resolved"/>
    <n v="8"/>
    <n v="1.1299999999999999"/>
    <n v="5"/>
    <s v="No"/>
    <x v="0"/>
  </r>
  <r>
    <s v="INC100769"/>
    <d v="2025-01-26T00:00:00"/>
    <d v="2025-01-26T01:16:48"/>
    <x v="2"/>
    <x v="1"/>
    <s v="Permission"/>
    <s v="Application Support"/>
    <s v="Mumbai"/>
    <s v="Portal"/>
    <s v="Resolved"/>
    <n v="4"/>
    <n v="1.28"/>
    <n v="4.8"/>
    <s v="No"/>
    <x v="0"/>
  </r>
  <r>
    <s v="INC100770"/>
    <d v="2025-03-10T00:00:00"/>
    <d v="2025-03-13T01:33:36"/>
    <x v="0"/>
    <x v="3"/>
    <s v="Peripheral"/>
    <s v="Network Support"/>
    <s v="Noida"/>
    <s v="Phone"/>
    <s v="Resolved"/>
    <n v="48"/>
    <n v="73.56"/>
    <n v="3.1"/>
    <s v="No"/>
    <x v="1"/>
  </r>
  <r>
    <s v="INC100771"/>
    <d v="2025-04-28T00:00:00"/>
    <d v="2025-04-28T01:33:36"/>
    <x v="2"/>
    <x v="0"/>
    <s v="Application Error"/>
    <s v="Application Support"/>
    <s v="Gurugram"/>
    <s v="Portal"/>
    <s v="Resolved"/>
    <n v="4"/>
    <n v="1.56"/>
    <n v="5"/>
    <s v="No"/>
    <x v="0"/>
  </r>
  <r>
    <s v="INC100772"/>
    <d v="2025-06-28T00:00:00"/>
    <d v="2025-06-29T00:01:48"/>
    <x v="1"/>
    <x v="2"/>
    <s v="DNS"/>
    <s v="Desktop Support"/>
    <s v="Noida"/>
    <s v="Portal"/>
    <s v="Resolved"/>
    <n v="24"/>
    <n v="24.03"/>
    <n v="4.9000000000000004"/>
    <s v="No"/>
    <x v="1"/>
  </r>
  <r>
    <s v="INC100773"/>
    <d v="2025-01-01T00:00:00"/>
    <d v="2025-01-01T10:55:48"/>
    <x v="1"/>
    <x v="4"/>
    <s v="Mailbox"/>
    <s v="Network Support"/>
    <s v="Noida"/>
    <s v="Phone"/>
    <s v="Resolved"/>
    <n v="24"/>
    <n v="10.93"/>
    <n v="4"/>
    <s v="No"/>
    <x v="0"/>
  </r>
  <r>
    <s v="INC100774"/>
    <d v="2025-05-10T00:00:00"/>
    <d v="2025-05-10T11:27:36"/>
    <x v="1"/>
    <x v="1"/>
    <s v="Account Lock"/>
    <s v="Service Desk"/>
    <s v="Mumbai"/>
    <s v="Chat"/>
    <s v="Pending"/>
    <n v="24"/>
    <n v="11.46"/>
    <n v="4.5999999999999996"/>
    <s v="No"/>
    <x v="0"/>
  </r>
  <r>
    <s v="INC100775"/>
    <d v="2025-06-03T00:00:00"/>
    <d v="2025-06-03T09:28:48"/>
    <x v="1"/>
    <x v="2"/>
    <s v="Link Down"/>
    <s v="Service Desk"/>
    <s v="Bengaluru"/>
    <s v="Phone"/>
    <s v="Resolved"/>
    <n v="24"/>
    <n v="9.48"/>
    <n v="4.4000000000000004"/>
    <s v="No"/>
    <x v="0"/>
  </r>
  <r>
    <s v="INC100776"/>
    <d v="2025-06-22T00:00:00"/>
    <d v="2025-06-22T02:59:24"/>
    <x v="3"/>
    <x v="3"/>
    <s v="Laptop"/>
    <s v="Service Desk"/>
    <s v="Mumbai"/>
    <s v="Phone"/>
    <s v="Closed"/>
    <n v="8"/>
    <n v="2.99"/>
    <n v="4.4000000000000004"/>
    <s v="No"/>
    <x v="0"/>
  </r>
  <r>
    <s v="INC100777"/>
    <d v="2025-03-18T00:00:00"/>
    <d v="2025-03-18T22:51:00"/>
    <x v="1"/>
    <x v="3"/>
    <s v="Peripheral"/>
    <s v="Desktop Support"/>
    <s v="Bengaluru"/>
    <s v="Email"/>
    <s v="Resolved"/>
    <n v="24"/>
    <n v="22.85"/>
    <n v="3.7"/>
    <s v="No"/>
    <x v="0"/>
  </r>
  <r>
    <s v="INC100778"/>
    <d v="2025-01-22T00:00:00"/>
    <d v="2025-01-22T09:04:48"/>
    <x v="1"/>
    <x v="1"/>
    <s v="VPN Access"/>
    <s v="Application Support"/>
    <s v="Hyderabad"/>
    <s v="Phone"/>
    <s v="In Progress"/>
    <n v="24"/>
    <n v="9.08"/>
    <n v="4.5"/>
    <s v="No"/>
    <x v="0"/>
  </r>
  <r>
    <s v="INC100779"/>
    <d v="2025-02-19T00:00:00"/>
    <d v="2025-02-19T08:52:48"/>
    <x v="1"/>
    <x v="4"/>
    <s v="Delivery"/>
    <s v="Network Support"/>
    <s v="Delhi"/>
    <s v="Portal"/>
    <s v="Resolved"/>
    <n v="24"/>
    <n v="8.8800000000000008"/>
    <n v="4.7"/>
    <s v="Yes"/>
    <x v="0"/>
  </r>
  <r>
    <s v="INC100780"/>
    <d v="2025-06-03T00:00:00"/>
    <d v="2025-06-04T01:55:48"/>
    <x v="0"/>
    <x v="3"/>
    <s v="Monitor"/>
    <s v="Network Support"/>
    <s v="Noida"/>
    <s v="Phone"/>
    <s v="Resolved"/>
    <n v="48"/>
    <n v="25.93"/>
    <n v="4.5"/>
    <s v="No"/>
    <x v="0"/>
  </r>
  <r>
    <s v="INC100781"/>
    <d v="2025-06-08T00:00:00"/>
    <d v="2025-06-08T10:16:48"/>
    <x v="1"/>
    <x v="3"/>
    <s v="Peripheral"/>
    <s v="Application Support"/>
    <s v="Mumbai"/>
    <s v="Email"/>
    <s v="Closed"/>
    <n v="24"/>
    <n v="10.28"/>
    <n v="5"/>
    <s v="No"/>
    <x v="0"/>
  </r>
  <r>
    <s v="INC100782"/>
    <d v="2025-04-26T00:00:00"/>
    <d v="2025-04-26T13:15:00"/>
    <x v="0"/>
    <x v="0"/>
    <s v="Performance"/>
    <s v="Desktop Support"/>
    <s v="Delhi"/>
    <s v="Email"/>
    <s v="Resolved"/>
    <n v="48"/>
    <n v="13.25"/>
    <n v="4.0999999999999996"/>
    <s v="No"/>
    <x v="0"/>
  </r>
  <r>
    <s v="INC100783"/>
    <d v="2025-01-23T00:00:00"/>
    <d v="2025-01-24T18:15:00"/>
    <x v="0"/>
    <x v="3"/>
    <s v="Monitor"/>
    <s v="Service Desk"/>
    <s v="Noida"/>
    <s v="Chat"/>
    <s v="Pending"/>
    <n v="48"/>
    <n v="42.25"/>
    <n v="4.5999999999999996"/>
    <s v="No"/>
    <x v="0"/>
  </r>
  <r>
    <s v="INC100784"/>
    <d v="2025-01-23T00:00:00"/>
    <d v="2025-01-24T06:29:24"/>
    <x v="0"/>
    <x v="0"/>
    <s v="License"/>
    <s v="Service Desk"/>
    <s v="Noida"/>
    <s v="Email"/>
    <s v="Resolved"/>
    <n v="48"/>
    <n v="30.49"/>
    <n v="3.5"/>
    <s v="No"/>
    <x v="0"/>
  </r>
  <r>
    <s v="INC100785"/>
    <d v="2025-03-28T00:00:00"/>
    <d v="2025-03-28T17:14:24"/>
    <x v="0"/>
    <x v="2"/>
    <s v="Connectivity"/>
    <s v="Network Support"/>
    <s v="Mumbai"/>
    <s v="Email"/>
    <s v="Closed"/>
    <n v="48"/>
    <n v="17.239999999999998"/>
    <n v="4.7"/>
    <s v="No"/>
    <x v="0"/>
  </r>
  <r>
    <s v="INC100786"/>
    <d v="2025-04-17T00:00:00"/>
    <d v="2025-04-17T06:38:24"/>
    <x v="1"/>
    <x v="2"/>
    <s v="Link Down"/>
    <s v="Access Management"/>
    <s v="Hyderabad"/>
    <s v="Email"/>
    <s v="Pending"/>
    <n v="24"/>
    <n v="6.64"/>
    <n v="5"/>
    <s v="Yes"/>
    <x v="0"/>
  </r>
  <r>
    <s v="INC100787"/>
    <d v="2025-01-06T00:00:00"/>
    <d v="2025-01-07T02:53:24"/>
    <x v="1"/>
    <x v="3"/>
    <s v="Laptop"/>
    <s v="Access Management"/>
    <s v="Delhi"/>
    <s v="Portal"/>
    <s v="Resolved"/>
    <n v="24"/>
    <n v="26.89"/>
    <n v="4"/>
    <s v="No"/>
    <x v="1"/>
  </r>
  <r>
    <s v="INC100788"/>
    <d v="2025-05-05T00:00:00"/>
    <d v="2025-05-05T04:28:12"/>
    <x v="1"/>
    <x v="4"/>
    <s v="Mailbox"/>
    <s v="Desktop Support"/>
    <s v="Gurugram"/>
    <s v="Portal"/>
    <s v="In Progress"/>
    <n v="24"/>
    <n v="4.47"/>
    <n v="4.5999999999999996"/>
    <s v="No"/>
    <x v="0"/>
  </r>
  <r>
    <s v="INC100789"/>
    <d v="2025-04-09T00:00:00"/>
    <d v="2025-04-10T14:27:00"/>
    <x v="0"/>
    <x v="3"/>
    <s v="Laptop"/>
    <s v="Service Desk"/>
    <s v="Mumbai"/>
    <s v="Chat"/>
    <s v="Resolved"/>
    <n v="48"/>
    <n v="38.450000000000003"/>
    <n v="4.2"/>
    <s v="No"/>
    <x v="0"/>
  </r>
  <r>
    <s v="INC100790"/>
    <d v="2025-01-03T00:00:00"/>
    <d v="2025-01-03T01:57:00"/>
    <x v="1"/>
    <x v="2"/>
    <s v="Packet Loss"/>
    <s v="Service Desk"/>
    <s v="Gurugram"/>
    <s v="Portal"/>
    <s v="Closed"/>
    <n v="24"/>
    <n v="1.95"/>
    <n v="5"/>
    <s v="No"/>
    <x v="0"/>
  </r>
  <r>
    <s v="INC100791"/>
    <d v="2025-01-18T00:00:00"/>
    <d v="2025-01-18T13:57:00"/>
    <x v="1"/>
    <x v="1"/>
    <s v="VPN Access"/>
    <s v="Service Desk"/>
    <s v="Noida"/>
    <s v="Email"/>
    <s v="Resolved"/>
    <n v="24"/>
    <n v="13.95"/>
    <n v="3.9"/>
    <s v="No"/>
    <x v="0"/>
  </r>
  <r>
    <s v="INC100792"/>
    <d v="2025-03-24T00:00:00"/>
    <d v="2025-03-24T04:45:00"/>
    <x v="3"/>
    <x v="4"/>
    <s v="Delivery"/>
    <s v="Access Management"/>
    <s v="Hyderabad"/>
    <s v="Email"/>
    <s v="Resolved"/>
    <n v="8"/>
    <n v="4.75"/>
    <n v="4.7"/>
    <s v="No"/>
    <x v="0"/>
  </r>
  <r>
    <s v="INC100793"/>
    <d v="2025-05-11T00:00:00"/>
    <d v="2025-05-11T03:45:00"/>
    <x v="1"/>
    <x v="3"/>
    <s v="Monitor"/>
    <s v="Network Support"/>
    <s v="Hyderabad"/>
    <s v="Phone"/>
    <s v="Resolved"/>
    <n v="24"/>
    <n v="3.75"/>
    <n v="5"/>
    <s v="No"/>
    <x v="0"/>
  </r>
  <r>
    <s v="INC100794"/>
    <d v="2025-05-30T00:00:00"/>
    <d v="2025-05-30T04:03:00"/>
    <x v="1"/>
    <x v="2"/>
    <s v="Link Down"/>
    <s v="Access Management"/>
    <s v="Hyderabad"/>
    <s v="Phone"/>
    <s v="Resolved"/>
    <n v="24"/>
    <n v="4.05"/>
    <n v="4.5"/>
    <s v="No"/>
    <x v="0"/>
  </r>
  <r>
    <s v="INC100795"/>
    <d v="2025-03-20T00:00:00"/>
    <d v="2025-03-20T14:36:36"/>
    <x v="1"/>
    <x v="0"/>
    <s v="Application Error"/>
    <s v="Service Desk"/>
    <s v="Delhi"/>
    <s v="Portal"/>
    <s v="Closed"/>
    <n v="24"/>
    <n v="14.61"/>
    <n v="5"/>
    <s v="No"/>
    <x v="0"/>
  </r>
  <r>
    <s v="INC100796"/>
    <d v="2025-02-23T00:00:00"/>
    <d v="2025-02-23T00:39:36"/>
    <x v="2"/>
    <x v="3"/>
    <s v="Printer"/>
    <s v="Service Desk"/>
    <s v="Delhi"/>
    <s v="Portal"/>
    <s v="Resolved"/>
    <n v="4"/>
    <n v="0.66"/>
    <n v="5"/>
    <s v="No"/>
    <x v="0"/>
  </r>
  <r>
    <s v="INC100797"/>
    <d v="2025-06-25T00:00:00"/>
    <d v="2025-06-25T10:16:12"/>
    <x v="3"/>
    <x v="0"/>
    <s v="Application Error"/>
    <s v="Access Management"/>
    <s v="Gurugram"/>
    <s v="Phone"/>
    <s v="Resolved"/>
    <n v="8"/>
    <n v="10.27"/>
    <n v="4.2"/>
    <s v="No"/>
    <x v="1"/>
  </r>
  <r>
    <s v="INC100798"/>
    <d v="2025-03-24T00:00:00"/>
    <d v="2025-03-24T08:42:36"/>
    <x v="1"/>
    <x v="2"/>
    <s v="DNS"/>
    <s v="Access Management"/>
    <s v="Mumbai"/>
    <s v="Portal"/>
    <s v="Resolved"/>
    <n v="24"/>
    <n v="8.7100000000000009"/>
    <n v="5"/>
    <s v="Yes"/>
    <x v="0"/>
  </r>
  <r>
    <s v="INC100799"/>
    <d v="2025-02-27T00:00:00"/>
    <d v="2025-02-28T10:25:12"/>
    <x v="1"/>
    <x v="2"/>
    <s v="Link Down"/>
    <s v="Access Management"/>
    <s v="Gurugram"/>
    <s v="Email"/>
    <s v="Closed"/>
    <n v="24"/>
    <n v="34.42"/>
    <n v="2.2000000000000002"/>
    <s v="No"/>
    <x v="1"/>
  </r>
  <r>
    <s v="INC100800"/>
    <d v="2025-03-22T00:00:00"/>
    <d v="2025-03-24T11:04:12"/>
    <x v="0"/>
    <x v="3"/>
    <s v="Monitor"/>
    <s v="Service Desk"/>
    <s v="Noida"/>
    <s v="Portal"/>
    <s v="Resolved"/>
    <n v="48"/>
    <n v="59.07"/>
    <n v="2.7"/>
    <s v="No"/>
    <x v="1"/>
  </r>
  <r>
    <s v="INC100801"/>
    <d v="2025-01-03T00:00:00"/>
    <d v="2025-01-03T03:56:24"/>
    <x v="3"/>
    <x v="0"/>
    <s v="Application Error"/>
    <s v="Desktop Support"/>
    <s v="Mumbai"/>
    <s v="Portal"/>
    <s v="Resolved"/>
    <n v="8"/>
    <n v="3.94"/>
    <n v="4.4000000000000004"/>
    <s v="No"/>
    <x v="0"/>
  </r>
  <r>
    <s v="INC100802"/>
    <d v="2025-02-24T00:00:00"/>
    <d v="2025-02-24T14:58:12"/>
    <x v="1"/>
    <x v="3"/>
    <s v="Laptop"/>
    <s v="Service Desk"/>
    <s v="Noida"/>
    <s v="Chat"/>
    <s v="Pending"/>
    <n v="24"/>
    <n v="14.97"/>
    <n v="3.8"/>
    <s v="No"/>
    <x v="0"/>
  </r>
  <r>
    <s v="INC100803"/>
    <d v="2025-04-04T00:00:00"/>
    <d v="2025-04-06T03:36:36"/>
    <x v="0"/>
    <x v="2"/>
    <s v="Connectivity"/>
    <s v="Network Support"/>
    <s v="Hyderabad"/>
    <s v="Chat"/>
    <s v="Pending"/>
    <n v="48"/>
    <n v="51.61"/>
    <n v="4.0999999999999996"/>
    <s v="No"/>
    <x v="1"/>
  </r>
  <r>
    <s v="INC100804"/>
    <d v="2025-06-16T00:00:00"/>
    <d v="2025-06-16T00:52:12"/>
    <x v="2"/>
    <x v="3"/>
    <s v="Printer"/>
    <s v="Service Desk"/>
    <s v="Noida"/>
    <s v="Phone"/>
    <s v="Resolved"/>
    <n v="4"/>
    <n v="0.87"/>
    <n v="2.9"/>
    <s v="No"/>
    <x v="0"/>
  </r>
  <r>
    <s v="INC100805"/>
    <d v="2025-05-14T00:00:00"/>
    <d v="2025-05-14T09:21:36"/>
    <x v="1"/>
    <x v="1"/>
    <s v="Account Lock"/>
    <s v="Network Support"/>
    <s v="Noida"/>
    <s v="Portal"/>
    <s v="Resolved"/>
    <n v="24"/>
    <n v="9.36"/>
    <n v="4.9000000000000004"/>
    <s v="No"/>
    <x v="0"/>
  </r>
  <r>
    <s v="INC100806"/>
    <d v="2025-05-22T00:00:00"/>
    <d v="2025-05-24T19:41:24"/>
    <x v="0"/>
    <x v="2"/>
    <s v="DNS"/>
    <s v="Network Support"/>
    <s v="Hyderabad"/>
    <s v="Chat"/>
    <s v="Resolved"/>
    <n v="48"/>
    <n v="67.69"/>
    <n v="3.2"/>
    <s v="No"/>
    <x v="1"/>
  </r>
  <r>
    <s v="INC100807"/>
    <d v="2025-04-09T00:00:00"/>
    <d v="2025-04-10T23:34:47"/>
    <x v="0"/>
    <x v="0"/>
    <s v="Performance"/>
    <s v="Desktop Support"/>
    <s v="Bengaluru"/>
    <s v="Email"/>
    <s v="Resolved"/>
    <n v="48"/>
    <n v="47.58"/>
    <n v="3.5"/>
    <s v="Yes"/>
    <x v="0"/>
  </r>
  <r>
    <s v="INC100808"/>
    <d v="2025-01-21T00:00:00"/>
    <d v="2025-01-21T21:25:48"/>
    <x v="0"/>
    <x v="0"/>
    <s v="License"/>
    <s v="Application Support"/>
    <s v="Gurugram"/>
    <s v="Chat"/>
    <s v="Resolved"/>
    <n v="48"/>
    <n v="21.43"/>
    <n v="5"/>
    <s v="Yes"/>
    <x v="0"/>
  </r>
  <r>
    <s v="INC100809"/>
    <d v="2025-03-12T00:00:00"/>
    <d v="2025-03-12T15:03:36"/>
    <x v="1"/>
    <x v="3"/>
    <s v="Peripheral"/>
    <s v="Service Desk"/>
    <s v="Bengaluru"/>
    <s v="Portal"/>
    <s v="Pending"/>
    <n v="24"/>
    <n v="15.06"/>
    <n v="4"/>
    <s v="No"/>
    <x v="0"/>
  </r>
  <r>
    <s v="INC100810"/>
    <d v="2025-06-30T00:00:00"/>
    <d v="2025-06-30T15:00:00"/>
    <x v="0"/>
    <x v="4"/>
    <s v="Mailbox"/>
    <s v="Desktop Support"/>
    <s v="Mumbai"/>
    <s v="Portal"/>
    <s v="Resolved"/>
    <n v="48"/>
    <n v="15"/>
    <n v="3.6"/>
    <s v="No"/>
    <x v="0"/>
  </r>
  <r>
    <s v="INC100811"/>
    <d v="2025-01-08T00:00:00"/>
    <d v="2025-01-08T03:20:24"/>
    <x v="3"/>
    <x v="4"/>
    <s v="Mailbox"/>
    <s v="Application Support"/>
    <s v="Hyderabad"/>
    <s v="Email"/>
    <s v="Resolved"/>
    <n v="8"/>
    <n v="3.34"/>
    <n v="4.8"/>
    <s v="No"/>
    <x v="0"/>
  </r>
  <r>
    <s v="INC100812"/>
    <d v="2025-06-09T00:00:00"/>
    <d v="2025-06-09T06:20:24"/>
    <x v="3"/>
    <x v="3"/>
    <s v="Peripheral"/>
    <s v="Access Management"/>
    <s v="Delhi"/>
    <s v="Chat"/>
    <s v="Resolved"/>
    <n v="8"/>
    <n v="6.34"/>
    <n v="4.3"/>
    <s v="No"/>
    <x v="0"/>
  </r>
  <r>
    <s v="INC100813"/>
    <d v="2025-05-04T00:00:00"/>
    <d v="2025-05-04T10:02:24"/>
    <x v="1"/>
    <x v="2"/>
    <s v="Link Down"/>
    <s v="Desktop Support"/>
    <s v="Delhi"/>
    <s v="Portal"/>
    <s v="In Progress"/>
    <n v="24"/>
    <n v="10.039999999999999"/>
    <n v="4.4000000000000004"/>
    <s v="No"/>
    <x v="0"/>
  </r>
  <r>
    <s v="INC100814"/>
    <d v="2025-02-21T00:00:00"/>
    <d v="2025-02-21T21:10:48"/>
    <x v="1"/>
    <x v="3"/>
    <s v="Peripheral"/>
    <s v="Service Desk"/>
    <s v="Bengaluru"/>
    <s v="Portal"/>
    <s v="Closed"/>
    <n v="24"/>
    <n v="21.18"/>
    <n v="5"/>
    <s v="No"/>
    <x v="0"/>
  </r>
  <r>
    <s v="INC100815"/>
    <d v="2025-05-21T00:00:00"/>
    <d v="2025-05-21T07:52:48"/>
    <x v="0"/>
    <x v="2"/>
    <s v="Packet Loss"/>
    <s v="Application Support"/>
    <s v="Mumbai"/>
    <s v="Email"/>
    <s v="Resolved"/>
    <n v="48"/>
    <n v="7.88"/>
    <n v="4.9000000000000004"/>
    <s v="No"/>
    <x v="0"/>
  </r>
  <r>
    <s v="INC100816"/>
    <d v="2025-06-01T00:00:00"/>
    <d v="2025-06-02T13:43:12"/>
    <x v="0"/>
    <x v="0"/>
    <s v="Performance"/>
    <s v="Network Support"/>
    <s v="Bengaluru"/>
    <s v="Chat"/>
    <s v="Closed"/>
    <n v="48"/>
    <n v="37.72"/>
    <n v="4.7"/>
    <s v="No"/>
    <x v="0"/>
  </r>
  <r>
    <s v="INC100817"/>
    <d v="2025-01-08T00:00:00"/>
    <d v="2025-01-08T01:54:36"/>
    <x v="3"/>
    <x v="4"/>
    <s v="Spam"/>
    <s v="Network Support"/>
    <s v="Noida"/>
    <s v="Phone"/>
    <s v="In Progress"/>
    <n v="8"/>
    <n v="1.91"/>
    <n v="4.9000000000000004"/>
    <s v="No"/>
    <x v="0"/>
  </r>
  <r>
    <s v="INC100818"/>
    <d v="2025-01-20T00:00:00"/>
    <d v="2025-01-20T23:07:48"/>
    <x v="0"/>
    <x v="1"/>
    <s v="Account Lock"/>
    <s v="Service Desk"/>
    <s v="Mumbai"/>
    <s v="Chat"/>
    <s v="Closed"/>
    <n v="48"/>
    <n v="23.13"/>
    <n v="5"/>
    <s v="No"/>
    <x v="0"/>
  </r>
  <r>
    <s v="INC100819"/>
    <d v="2025-05-01T00:00:00"/>
    <d v="2025-05-01T14:15:00"/>
    <x v="0"/>
    <x v="3"/>
    <s v="Printer"/>
    <s v="Service Desk"/>
    <s v="Bengaluru"/>
    <s v="Email"/>
    <s v="Resolved"/>
    <n v="48"/>
    <n v="14.25"/>
    <n v="4.4000000000000004"/>
    <s v="No"/>
    <x v="0"/>
  </r>
  <r>
    <s v="INC100820"/>
    <d v="2025-06-30T00:00:00"/>
    <d v="2025-06-30T18:53:24"/>
    <x v="1"/>
    <x v="3"/>
    <s v="Laptop"/>
    <s v="Network Support"/>
    <s v="Hyderabad"/>
    <s v="Phone"/>
    <s v="Resolved"/>
    <n v="24"/>
    <n v="18.89"/>
    <n v="3.4"/>
    <s v="No"/>
    <x v="0"/>
  </r>
  <r>
    <s v="INC100821"/>
    <d v="2025-01-05T00:00:00"/>
    <d v="2025-01-05T08:40:12"/>
    <x v="0"/>
    <x v="2"/>
    <s v="Link Down"/>
    <s v="Network Support"/>
    <s v="Noida"/>
    <s v="Email"/>
    <s v="Closed"/>
    <n v="48"/>
    <n v="8.67"/>
    <n v="5"/>
    <s v="No"/>
    <x v="0"/>
  </r>
  <r>
    <s v="INC100822"/>
    <d v="2025-05-01T00:00:00"/>
    <d v="2025-05-01T21:21:00"/>
    <x v="1"/>
    <x v="0"/>
    <s v="Performance"/>
    <s v="Access Management"/>
    <s v="Mumbai"/>
    <s v="Portal"/>
    <s v="Resolved"/>
    <n v="24"/>
    <n v="21.35"/>
    <n v="4.0999999999999996"/>
    <s v="No"/>
    <x v="0"/>
  </r>
  <r>
    <s v="INC100823"/>
    <d v="2025-01-25T00:00:00"/>
    <d v="2025-01-25T12:51:36"/>
    <x v="1"/>
    <x v="2"/>
    <s v="Connectivity"/>
    <s v="Application Support"/>
    <s v="Delhi"/>
    <s v="Phone"/>
    <s v="Resolved"/>
    <n v="24"/>
    <n v="12.86"/>
    <n v="4.9000000000000004"/>
    <s v="Yes"/>
    <x v="0"/>
  </r>
  <r>
    <s v="INC100824"/>
    <d v="2025-04-28T00:00:00"/>
    <d v="2025-04-28T03:36:36"/>
    <x v="3"/>
    <x v="4"/>
    <s v="Spam"/>
    <s v="Application Support"/>
    <s v="Mumbai"/>
    <s v="Email"/>
    <s v="Closed"/>
    <n v="8"/>
    <n v="3.61"/>
    <n v="4.0999999999999996"/>
    <s v="No"/>
    <x v="0"/>
  </r>
  <r>
    <s v="INC100825"/>
    <d v="2025-04-23T00:00:00"/>
    <d v="2025-04-23T07:57:00"/>
    <x v="1"/>
    <x v="1"/>
    <s v="VPN Access"/>
    <s v="Network Support"/>
    <s v="Mumbai"/>
    <s v="Email"/>
    <s v="Closed"/>
    <n v="24"/>
    <n v="7.95"/>
    <n v="4.9000000000000004"/>
    <s v="No"/>
    <x v="0"/>
  </r>
  <r>
    <s v="INC100826"/>
    <d v="2025-01-17T00:00:00"/>
    <d v="2025-01-17T03:04:12"/>
    <x v="3"/>
    <x v="2"/>
    <s v="Link Down"/>
    <s v="Application Support"/>
    <s v="Gurugram"/>
    <s v="Portal"/>
    <s v="Resolved"/>
    <n v="8"/>
    <n v="3.07"/>
    <n v="3.5"/>
    <s v="No"/>
    <x v="0"/>
  </r>
  <r>
    <s v="INC100827"/>
    <d v="2025-05-04T00:00:00"/>
    <d v="2025-05-05T05:06:00"/>
    <x v="1"/>
    <x v="0"/>
    <s v="License"/>
    <s v="Service Desk"/>
    <s v="Delhi"/>
    <s v="Phone"/>
    <s v="Resolved"/>
    <n v="24"/>
    <n v="29.1"/>
    <n v="3.2"/>
    <s v="Yes"/>
    <x v="1"/>
  </r>
  <r>
    <s v="INC100828"/>
    <d v="2025-06-12T00:00:00"/>
    <d v="2025-06-12T02:36:00"/>
    <x v="3"/>
    <x v="0"/>
    <s v="License"/>
    <s v="Application Support"/>
    <s v="Hyderabad"/>
    <s v="Phone"/>
    <s v="Resolved"/>
    <n v="8"/>
    <n v="2.6"/>
    <n v="4.2"/>
    <s v="No"/>
    <x v="0"/>
  </r>
  <r>
    <s v="INC100829"/>
    <d v="2025-06-06T00:00:00"/>
    <d v="2025-06-07T05:14:24"/>
    <x v="1"/>
    <x v="1"/>
    <s v="Permission"/>
    <s v="Desktop Support"/>
    <s v="Delhi"/>
    <s v="Portal"/>
    <s v="Resolved"/>
    <n v="24"/>
    <n v="29.24"/>
    <n v="3.9"/>
    <s v="No"/>
    <x v="1"/>
  </r>
  <r>
    <s v="INC100830"/>
    <d v="2025-01-06T00:00:00"/>
    <d v="2025-01-08T23:16:48"/>
    <x v="0"/>
    <x v="3"/>
    <s v="Laptop"/>
    <s v="Service Desk"/>
    <s v="Noida"/>
    <s v="Chat"/>
    <s v="Resolved"/>
    <n v="48"/>
    <n v="71.28"/>
    <n v="2.9"/>
    <s v="No"/>
    <x v="1"/>
  </r>
  <r>
    <s v="INC100831"/>
    <d v="2025-02-14T00:00:00"/>
    <d v="2025-02-14T03:32:24"/>
    <x v="3"/>
    <x v="2"/>
    <s v="Connectivity"/>
    <s v="Service Desk"/>
    <s v="Delhi"/>
    <s v="Portal"/>
    <s v="Resolved"/>
    <n v="8"/>
    <n v="3.54"/>
    <n v="3.6"/>
    <s v="No"/>
    <x v="0"/>
  </r>
  <r>
    <s v="INC100832"/>
    <d v="2025-02-13T00:00:00"/>
    <d v="2025-02-13T06:46:12"/>
    <x v="0"/>
    <x v="0"/>
    <s v="License"/>
    <s v="Network Support"/>
    <s v="Noida"/>
    <s v="Portal"/>
    <s v="Resolved"/>
    <n v="48"/>
    <n v="6.77"/>
    <n v="4.5"/>
    <s v="No"/>
    <x v="0"/>
  </r>
  <r>
    <s v="INC100833"/>
    <d v="2025-03-24T00:00:00"/>
    <d v="2025-03-26T01:04:12"/>
    <x v="0"/>
    <x v="2"/>
    <s v="Connectivity"/>
    <s v="Access Management"/>
    <s v="Mumbai"/>
    <s v="Portal"/>
    <s v="Resolved"/>
    <n v="48"/>
    <n v="49.07"/>
    <n v="4.2"/>
    <s v="No"/>
    <x v="1"/>
  </r>
  <r>
    <s v="INC100834"/>
    <d v="2025-01-26T00:00:00"/>
    <d v="2025-01-28T00:42:00"/>
    <x v="0"/>
    <x v="0"/>
    <s v="Performance"/>
    <s v="Desktop Support"/>
    <s v="Bengaluru"/>
    <s v="Email"/>
    <s v="Pending"/>
    <n v="48"/>
    <n v="48.7"/>
    <n v="3.9"/>
    <s v="No"/>
    <x v="1"/>
  </r>
  <r>
    <s v="INC100835"/>
    <d v="2025-06-04T00:00:00"/>
    <d v="2025-06-05T05:31:12"/>
    <x v="1"/>
    <x v="2"/>
    <s v="Packet Loss"/>
    <s v="Application Support"/>
    <s v="Gurugram"/>
    <s v="Portal"/>
    <s v="Resolved"/>
    <n v="24"/>
    <n v="29.52"/>
    <n v="3"/>
    <s v="No"/>
    <x v="1"/>
  </r>
  <r>
    <s v="INC100836"/>
    <d v="2025-05-21T00:00:00"/>
    <d v="2025-05-21T12:12:00"/>
    <x v="1"/>
    <x v="0"/>
    <s v="License"/>
    <s v="Access Management"/>
    <s v="Noida"/>
    <s v="Phone"/>
    <s v="Resolved"/>
    <n v="24"/>
    <n v="12.2"/>
    <n v="4.9000000000000004"/>
    <s v="No"/>
    <x v="0"/>
  </r>
  <r>
    <s v="INC100837"/>
    <d v="2025-05-27T00:00:00"/>
    <d v="2025-05-27T16:10:12"/>
    <x v="1"/>
    <x v="1"/>
    <s v="VPN Access"/>
    <s v="Network Support"/>
    <s v="Delhi"/>
    <s v="Phone"/>
    <s v="Resolved"/>
    <n v="24"/>
    <n v="16.170000000000002"/>
    <n v="5"/>
    <s v="No"/>
    <x v="0"/>
  </r>
  <r>
    <s v="INC100838"/>
    <d v="2025-02-05T00:00:00"/>
    <d v="2025-02-05T03:02:24"/>
    <x v="3"/>
    <x v="2"/>
    <s v="Link Down"/>
    <s v="Service Desk"/>
    <s v="Bengaluru"/>
    <s v="Email"/>
    <s v="Resolved"/>
    <n v="8"/>
    <n v="3.04"/>
    <n v="5"/>
    <s v="No"/>
    <x v="0"/>
  </r>
  <r>
    <s v="INC100839"/>
    <d v="2025-01-03T00:00:00"/>
    <d v="2025-01-03T17:38:24"/>
    <x v="0"/>
    <x v="3"/>
    <s v="Printer"/>
    <s v="Network Support"/>
    <s v="Delhi"/>
    <s v="Phone"/>
    <s v="Resolved"/>
    <n v="48"/>
    <n v="17.64"/>
    <n v="3.1"/>
    <s v="Yes"/>
    <x v="0"/>
  </r>
  <r>
    <s v="INC100840"/>
    <d v="2025-06-14T00:00:00"/>
    <d v="2025-06-14T15:34:47"/>
    <x v="1"/>
    <x v="1"/>
    <s v="Permission"/>
    <s v="Network Support"/>
    <s v="Noida"/>
    <s v="Chat"/>
    <s v="In Progress"/>
    <n v="24"/>
    <n v="15.58"/>
    <n v="4.4000000000000004"/>
    <s v="No"/>
    <x v="0"/>
  </r>
  <r>
    <s v="INC100841"/>
    <d v="2025-02-22T00:00:00"/>
    <d v="2025-02-23T01:57:36"/>
    <x v="1"/>
    <x v="2"/>
    <s v="DNS"/>
    <s v="Access Management"/>
    <s v="Delhi"/>
    <s v="Portal"/>
    <s v="Closed"/>
    <n v="24"/>
    <n v="25.96"/>
    <n v="3.6"/>
    <s v="Yes"/>
    <x v="1"/>
  </r>
  <r>
    <s v="INC100842"/>
    <d v="2025-04-29T00:00:00"/>
    <d v="2025-04-29T07:24:36"/>
    <x v="3"/>
    <x v="0"/>
    <s v="Performance"/>
    <s v="Application Support"/>
    <s v="Gurugram"/>
    <s v="Portal"/>
    <s v="Resolved"/>
    <n v="8"/>
    <n v="7.41"/>
    <n v="2.6"/>
    <s v="No"/>
    <x v="0"/>
  </r>
  <r>
    <s v="INC100843"/>
    <d v="2025-06-14T00:00:00"/>
    <d v="2025-06-15T02:34:11"/>
    <x v="0"/>
    <x v="0"/>
    <s v="Application Error"/>
    <s v="Desktop Support"/>
    <s v="Delhi"/>
    <s v="Portal"/>
    <s v="Resolved"/>
    <n v="48"/>
    <n v="26.57"/>
    <n v="3.5"/>
    <s v="No"/>
    <x v="0"/>
  </r>
  <r>
    <s v="INC100844"/>
    <d v="2025-01-07T00:00:00"/>
    <d v="2025-01-09T06:51:36"/>
    <x v="0"/>
    <x v="3"/>
    <s v="Peripheral"/>
    <s v="Service Desk"/>
    <s v="Hyderabad"/>
    <s v="Email"/>
    <s v="Resolved"/>
    <n v="48"/>
    <n v="54.86"/>
    <n v="4.0999999999999996"/>
    <s v="No"/>
    <x v="1"/>
  </r>
  <r>
    <s v="INC100845"/>
    <d v="2025-01-01T00:00:00"/>
    <d v="2025-01-01T04:26:24"/>
    <x v="1"/>
    <x v="1"/>
    <s v="Permission"/>
    <s v="Desktop Support"/>
    <s v="Mumbai"/>
    <s v="Portal"/>
    <s v="Resolved"/>
    <n v="24"/>
    <n v="4.4400000000000004"/>
    <n v="4.9000000000000004"/>
    <s v="No"/>
    <x v="0"/>
  </r>
  <r>
    <s v="INC100846"/>
    <d v="2025-01-01T00:00:00"/>
    <d v="2025-01-03T07:17:23"/>
    <x v="1"/>
    <x v="0"/>
    <s v="Application Error"/>
    <s v="Desktop Support"/>
    <s v="Hyderabad"/>
    <s v="Email"/>
    <s v="Resolved"/>
    <n v="24"/>
    <n v="55.29"/>
    <n v="2.2999999999999998"/>
    <s v="No"/>
    <x v="1"/>
  </r>
  <r>
    <s v="INC100847"/>
    <d v="2025-01-29T00:00:00"/>
    <d v="2025-01-29T01:37:48"/>
    <x v="3"/>
    <x v="0"/>
    <s v="Application Error"/>
    <s v="Service Desk"/>
    <s v="Mumbai"/>
    <s v="Email"/>
    <s v="Resolved"/>
    <n v="8"/>
    <n v="1.63"/>
    <n v="4.3"/>
    <s v="No"/>
    <x v="0"/>
  </r>
  <r>
    <s v="INC100848"/>
    <d v="2025-01-10T00:00:00"/>
    <d v="2025-01-10T12:29:24"/>
    <x v="1"/>
    <x v="2"/>
    <s v="Connectivity"/>
    <s v="Network Support"/>
    <s v="Noida"/>
    <s v="Email"/>
    <s v="Resolved"/>
    <n v="24"/>
    <n v="12.49"/>
    <n v="5"/>
    <s v="No"/>
    <x v="0"/>
  </r>
  <r>
    <s v="INC100849"/>
    <d v="2025-05-29T00:00:00"/>
    <d v="2025-05-29T05:07:48"/>
    <x v="3"/>
    <x v="2"/>
    <s v="Packet Loss"/>
    <s v="Desktop Support"/>
    <s v="Gurugram"/>
    <s v="Portal"/>
    <s v="Resolved"/>
    <n v="8"/>
    <n v="5.13"/>
    <n v="3.4"/>
    <s v="No"/>
    <x v="0"/>
  </r>
  <r>
    <s v="INC100850"/>
    <d v="2025-04-20T00:00:00"/>
    <d v="2025-04-20T15:49:48"/>
    <x v="1"/>
    <x v="2"/>
    <s v="DNS"/>
    <s v="Desktop Support"/>
    <s v="Hyderabad"/>
    <s v="Portal"/>
    <s v="Closed"/>
    <n v="24"/>
    <n v="15.83"/>
    <n v="3.6"/>
    <s v="No"/>
    <x v="0"/>
  </r>
  <r>
    <s v="INC100851"/>
    <d v="2025-06-27T00:00:00"/>
    <d v="2025-06-29T03:15:00"/>
    <x v="0"/>
    <x v="4"/>
    <s v="Spam"/>
    <s v="Application Support"/>
    <s v="Hyderabad"/>
    <s v="Portal"/>
    <s v="Resolved"/>
    <n v="48"/>
    <n v="51.25"/>
    <n v="3.5"/>
    <s v="No"/>
    <x v="1"/>
  </r>
  <r>
    <s v="INC100852"/>
    <d v="2025-05-26T00:00:00"/>
    <d v="2025-05-26T12:59:24"/>
    <x v="0"/>
    <x v="4"/>
    <s v="Mailbox"/>
    <s v="Service Desk"/>
    <s v="Noida"/>
    <s v="Phone"/>
    <s v="In Progress"/>
    <n v="48"/>
    <n v="12.99"/>
    <n v="3.7"/>
    <s v="No"/>
    <x v="0"/>
  </r>
  <r>
    <s v="INC100853"/>
    <d v="2025-06-24T00:00:00"/>
    <d v="2025-06-25T09:10:48"/>
    <x v="0"/>
    <x v="1"/>
    <s v="VPN Access"/>
    <s v="Network Support"/>
    <s v="Gurugram"/>
    <s v="Email"/>
    <s v="Resolved"/>
    <n v="48"/>
    <n v="33.18"/>
    <n v="3.6"/>
    <s v="No"/>
    <x v="0"/>
  </r>
  <r>
    <s v="INC100854"/>
    <d v="2025-02-13T00:00:00"/>
    <d v="2025-02-13T20:59:24"/>
    <x v="1"/>
    <x v="2"/>
    <s v="Packet Loss"/>
    <s v="Access Management"/>
    <s v="Noida"/>
    <s v="Email"/>
    <s v="Closed"/>
    <n v="24"/>
    <n v="20.99"/>
    <n v="4.5999999999999996"/>
    <s v="No"/>
    <x v="0"/>
  </r>
  <r>
    <s v="INC100855"/>
    <d v="2025-02-22T00:00:00"/>
    <d v="2025-02-23T04:07:12"/>
    <x v="1"/>
    <x v="0"/>
    <s v="Performance"/>
    <s v="Desktop Support"/>
    <s v="Noida"/>
    <s v="Email"/>
    <s v="Closed"/>
    <n v="24"/>
    <n v="28.12"/>
    <n v="3"/>
    <s v="No"/>
    <x v="1"/>
  </r>
  <r>
    <s v="INC100856"/>
    <d v="2025-06-03T00:00:00"/>
    <d v="2025-06-03T10:32:24"/>
    <x v="1"/>
    <x v="1"/>
    <s v="Password Reset"/>
    <s v="Application Support"/>
    <s v="Hyderabad"/>
    <s v="Email"/>
    <s v="Closed"/>
    <n v="24"/>
    <n v="10.54"/>
    <n v="5"/>
    <s v="No"/>
    <x v="0"/>
  </r>
  <r>
    <s v="INC100857"/>
    <d v="2025-02-14T00:00:00"/>
    <d v="2025-02-14T14:24:00"/>
    <x v="1"/>
    <x v="0"/>
    <s v="License"/>
    <s v="Network Support"/>
    <s v="Delhi"/>
    <s v="Portal"/>
    <s v="Closed"/>
    <n v="24"/>
    <n v="14.4"/>
    <n v="4.7"/>
    <s v="No"/>
    <x v="0"/>
  </r>
  <r>
    <s v="INC100858"/>
    <d v="2025-01-11T00:00:00"/>
    <d v="2025-01-11T13:00:00"/>
    <x v="1"/>
    <x v="2"/>
    <s v="Connectivity"/>
    <s v="Network Support"/>
    <s v="Bengaluru"/>
    <s v="Portal"/>
    <s v="Resolved"/>
    <n v="24"/>
    <n v="13"/>
    <n v="4.2"/>
    <s v="No"/>
    <x v="0"/>
  </r>
  <r>
    <s v="INC100859"/>
    <d v="2025-05-02T00:00:00"/>
    <d v="2025-05-02T20:17:23"/>
    <x v="1"/>
    <x v="4"/>
    <s v="Delivery"/>
    <s v="Network Support"/>
    <s v="Mumbai"/>
    <s v="Portal"/>
    <s v="Resolved"/>
    <n v="24"/>
    <n v="20.29"/>
    <n v="3.1"/>
    <s v="No"/>
    <x v="0"/>
  </r>
  <r>
    <s v="INC100860"/>
    <d v="2025-05-25T00:00:00"/>
    <d v="2025-05-25T20:22:48"/>
    <x v="1"/>
    <x v="2"/>
    <s v="Packet Loss"/>
    <s v="Application Support"/>
    <s v="Mumbai"/>
    <s v="Portal"/>
    <s v="Pending"/>
    <n v="24"/>
    <n v="20.38"/>
    <n v="4"/>
    <s v="No"/>
    <x v="0"/>
  </r>
  <r>
    <s v="INC100861"/>
    <d v="2025-06-25T00:00:00"/>
    <d v="2025-06-25T10:12:36"/>
    <x v="1"/>
    <x v="2"/>
    <s v="Packet Loss"/>
    <s v="Service Desk"/>
    <s v="Gurugram"/>
    <s v="Portal"/>
    <s v="Resolved"/>
    <n v="24"/>
    <n v="10.210000000000001"/>
    <n v="3.1"/>
    <s v="No"/>
    <x v="0"/>
  </r>
  <r>
    <s v="INC100862"/>
    <d v="2025-06-17T00:00:00"/>
    <d v="2025-06-17T12:49:12"/>
    <x v="1"/>
    <x v="4"/>
    <s v="Delivery"/>
    <s v="Application Support"/>
    <s v="Noida"/>
    <s v="Phone"/>
    <s v="Closed"/>
    <n v="24"/>
    <n v="12.82"/>
    <n v="4"/>
    <s v="No"/>
    <x v="0"/>
  </r>
  <r>
    <s v="INC100863"/>
    <d v="2025-01-22T00:00:00"/>
    <d v="2025-01-22T13:31:48"/>
    <x v="1"/>
    <x v="0"/>
    <s v="Installation"/>
    <s v="Access Management"/>
    <s v="Noida"/>
    <s v="Portal"/>
    <s v="In Progress"/>
    <n v="24"/>
    <n v="13.53"/>
    <n v="4.5"/>
    <s v="No"/>
    <x v="0"/>
  </r>
  <r>
    <s v="INC100864"/>
    <d v="2025-05-20T00:00:00"/>
    <d v="2025-05-20T05:37:48"/>
    <x v="1"/>
    <x v="3"/>
    <s v="Printer"/>
    <s v="Application Support"/>
    <s v="Noida"/>
    <s v="Portal"/>
    <s v="Resolved"/>
    <n v="24"/>
    <n v="5.63"/>
    <n v="5"/>
    <s v="No"/>
    <x v="0"/>
  </r>
  <r>
    <s v="INC100865"/>
    <d v="2025-06-03T00:00:00"/>
    <d v="2025-06-03T17:15:00"/>
    <x v="1"/>
    <x v="0"/>
    <s v="Installation"/>
    <s v="Access Management"/>
    <s v="Delhi"/>
    <s v="Portal"/>
    <s v="In Progress"/>
    <n v="24"/>
    <n v="17.25"/>
    <n v="4"/>
    <s v="Yes"/>
    <x v="0"/>
  </r>
  <r>
    <s v="INC100866"/>
    <d v="2025-05-07T00:00:00"/>
    <d v="2025-05-07T16:46:48"/>
    <x v="1"/>
    <x v="4"/>
    <s v="Spam"/>
    <s v="Access Management"/>
    <s v="Delhi"/>
    <s v="Portal"/>
    <s v="Resolved"/>
    <n v="24"/>
    <n v="16.78"/>
    <n v="3.8"/>
    <s v="No"/>
    <x v="0"/>
  </r>
  <r>
    <s v="INC100867"/>
    <d v="2025-05-29T00:00:00"/>
    <d v="2025-05-29T05:40:48"/>
    <x v="1"/>
    <x v="2"/>
    <s v="Packet Loss"/>
    <s v="Application Support"/>
    <s v="Delhi"/>
    <s v="Portal"/>
    <s v="Resolved"/>
    <n v="24"/>
    <n v="5.68"/>
    <n v="4.3"/>
    <s v="No"/>
    <x v="0"/>
  </r>
  <r>
    <s v="INC100868"/>
    <d v="2025-06-01T00:00:00"/>
    <d v="2025-06-01T18:03:36"/>
    <x v="1"/>
    <x v="1"/>
    <s v="Permission"/>
    <s v="Access Management"/>
    <s v="Hyderabad"/>
    <s v="Portal"/>
    <s v="Closed"/>
    <n v="24"/>
    <n v="18.059999999999999"/>
    <n v="3.8"/>
    <s v="No"/>
    <x v="0"/>
  </r>
  <r>
    <s v="INC100869"/>
    <d v="2025-03-22T00:00:00"/>
    <d v="2025-03-27T00:42:36"/>
    <x v="0"/>
    <x v="3"/>
    <s v="Laptop"/>
    <s v="Application Support"/>
    <s v="Noida"/>
    <s v="Portal"/>
    <s v="Closed"/>
    <n v="48"/>
    <n v="120.71"/>
    <n v="2.4"/>
    <s v="No"/>
    <x v="1"/>
  </r>
  <r>
    <s v="INC100870"/>
    <d v="2025-01-08T00:00:00"/>
    <d v="2025-01-08T07:07:48"/>
    <x v="1"/>
    <x v="2"/>
    <s v="DNS"/>
    <s v="Service Desk"/>
    <s v="Gurugram"/>
    <s v="Chat"/>
    <s v="Resolved"/>
    <n v="24"/>
    <n v="7.13"/>
    <n v="4.9000000000000004"/>
    <s v="No"/>
    <x v="0"/>
  </r>
  <r>
    <s v="INC100871"/>
    <d v="2025-03-24T00:00:00"/>
    <d v="2025-03-24T01:52:48"/>
    <x v="3"/>
    <x v="3"/>
    <s v="Laptop"/>
    <s v="Network Support"/>
    <s v="Mumbai"/>
    <s v="Portal"/>
    <s v="Resolved"/>
    <n v="8"/>
    <n v="1.88"/>
    <n v="4.7"/>
    <s v="No"/>
    <x v="0"/>
  </r>
  <r>
    <s v="INC100872"/>
    <d v="2025-02-06T00:00:00"/>
    <d v="2025-02-07T17:36:36"/>
    <x v="0"/>
    <x v="0"/>
    <s v="Installation"/>
    <s v="Service Desk"/>
    <s v="Noida"/>
    <s v="Portal"/>
    <s v="Closed"/>
    <n v="48"/>
    <n v="41.61"/>
    <n v="4.4000000000000004"/>
    <s v="No"/>
    <x v="0"/>
  </r>
  <r>
    <s v="INC100873"/>
    <d v="2025-01-21T00:00:00"/>
    <d v="2025-01-21T03:23:24"/>
    <x v="3"/>
    <x v="2"/>
    <s v="Link Down"/>
    <s v="Desktop Support"/>
    <s v="Noida"/>
    <s v="Email"/>
    <s v="Closed"/>
    <n v="8"/>
    <n v="3.39"/>
    <n v="4.5"/>
    <s v="No"/>
    <x v="0"/>
  </r>
  <r>
    <s v="INC100874"/>
    <d v="2025-01-23T00:00:00"/>
    <d v="2025-01-25T03:21:36"/>
    <x v="0"/>
    <x v="3"/>
    <s v="Monitor"/>
    <s v="Service Desk"/>
    <s v="Delhi"/>
    <s v="Portal"/>
    <s v="Closed"/>
    <n v="48"/>
    <n v="51.36"/>
    <n v="2.8"/>
    <s v="No"/>
    <x v="1"/>
  </r>
  <r>
    <s v="INC100875"/>
    <d v="2025-05-07T00:00:00"/>
    <d v="2025-05-07T12:22:48"/>
    <x v="1"/>
    <x v="0"/>
    <s v="Installation"/>
    <s v="Network Support"/>
    <s v="Noida"/>
    <s v="Email"/>
    <s v="Resolved"/>
    <n v="24"/>
    <n v="12.38"/>
    <n v="3.7"/>
    <s v="No"/>
    <x v="0"/>
  </r>
  <r>
    <s v="INC100876"/>
    <d v="2025-04-02T00:00:00"/>
    <d v="2025-04-02T08:19:12"/>
    <x v="1"/>
    <x v="0"/>
    <s v="Installation"/>
    <s v="Desktop Support"/>
    <s v="Bengaluru"/>
    <s v="Portal"/>
    <s v="Resolved"/>
    <n v="24"/>
    <n v="8.32"/>
    <n v="5"/>
    <s v="No"/>
    <x v="0"/>
  </r>
  <r>
    <s v="INC100877"/>
    <d v="2025-04-08T00:00:00"/>
    <d v="2025-04-09T00:27:00"/>
    <x v="0"/>
    <x v="1"/>
    <s v="Account Lock"/>
    <s v="Desktop Support"/>
    <s v="Bengaluru"/>
    <s v="Phone"/>
    <s v="Resolved"/>
    <n v="48"/>
    <n v="24.45"/>
    <n v="3.5"/>
    <s v="Yes"/>
    <x v="0"/>
  </r>
  <r>
    <s v="INC100878"/>
    <d v="2025-05-15T00:00:00"/>
    <d v="2025-05-15T06:47:24"/>
    <x v="3"/>
    <x v="1"/>
    <s v="VPN Access"/>
    <s v="Access Management"/>
    <s v="Noida"/>
    <s v="Chat"/>
    <s v="Resolved"/>
    <n v="8"/>
    <n v="6.79"/>
    <n v="3.7"/>
    <s v="No"/>
    <x v="0"/>
  </r>
  <r>
    <s v="INC100879"/>
    <d v="2025-04-10T00:00:00"/>
    <d v="2025-04-10T19:54:00"/>
    <x v="1"/>
    <x v="3"/>
    <s v="Peripheral"/>
    <s v="Access Management"/>
    <s v="Bengaluru"/>
    <s v="Phone"/>
    <s v="Closed"/>
    <n v="24"/>
    <n v="19.899999999999999"/>
    <n v="3.9"/>
    <s v="No"/>
    <x v="0"/>
  </r>
  <r>
    <s v="INC100880"/>
    <d v="2025-04-25T00:00:00"/>
    <d v="2025-04-25T00:40:12"/>
    <x v="2"/>
    <x v="3"/>
    <s v="Monitor"/>
    <s v="Application Support"/>
    <s v="Mumbai"/>
    <s v="Portal"/>
    <s v="Resolved"/>
    <n v="4"/>
    <n v="0.67"/>
    <n v="4.0999999999999996"/>
    <s v="No"/>
    <x v="0"/>
  </r>
  <r>
    <s v="INC100881"/>
    <d v="2025-01-16T00:00:00"/>
    <d v="2025-01-17T16:40:48"/>
    <x v="0"/>
    <x v="0"/>
    <s v="Installation"/>
    <s v="Access Management"/>
    <s v="Hyderabad"/>
    <s v="Email"/>
    <s v="Resolved"/>
    <n v="48"/>
    <n v="40.68"/>
    <n v="2.9"/>
    <s v="No"/>
    <x v="0"/>
  </r>
  <r>
    <s v="INC100882"/>
    <d v="2025-06-04T00:00:00"/>
    <d v="2025-06-04T04:36:36"/>
    <x v="3"/>
    <x v="0"/>
    <s v="Performance"/>
    <s v="Service Desk"/>
    <s v="Bengaluru"/>
    <s v="Portal"/>
    <s v="In Progress"/>
    <n v="8"/>
    <n v="4.6100000000000003"/>
    <n v="3.5"/>
    <s v="No"/>
    <x v="0"/>
  </r>
  <r>
    <s v="INC100883"/>
    <d v="2025-03-23T00:00:00"/>
    <d v="2025-03-23T04:53:24"/>
    <x v="3"/>
    <x v="2"/>
    <s v="Connectivity"/>
    <s v="Access Management"/>
    <s v="Gurugram"/>
    <s v="Phone"/>
    <s v="Resolved"/>
    <n v="8"/>
    <n v="4.8899999999999997"/>
    <n v="3.1"/>
    <s v="No"/>
    <x v="0"/>
  </r>
  <r>
    <s v="INC100884"/>
    <d v="2025-01-29T00:00:00"/>
    <d v="2025-01-29T17:15:00"/>
    <x v="1"/>
    <x v="3"/>
    <s v="Monitor"/>
    <s v="Access Management"/>
    <s v="Delhi"/>
    <s v="Portal"/>
    <s v="Closed"/>
    <n v="24"/>
    <n v="17.25"/>
    <n v="4.5"/>
    <s v="No"/>
    <x v="0"/>
  </r>
  <r>
    <s v="INC100885"/>
    <d v="2025-05-28T00:00:00"/>
    <d v="2025-05-28T11:04:12"/>
    <x v="0"/>
    <x v="2"/>
    <s v="Connectivity"/>
    <s v="Network Support"/>
    <s v="Delhi"/>
    <s v="Email"/>
    <s v="Resolved"/>
    <n v="48"/>
    <n v="11.07"/>
    <n v="5"/>
    <s v="Yes"/>
    <x v="0"/>
  </r>
  <r>
    <s v="INC100886"/>
    <d v="2025-05-13T00:00:00"/>
    <d v="2025-05-13T03:51:00"/>
    <x v="1"/>
    <x v="3"/>
    <s v="Printer"/>
    <s v="Application Support"/>
    <s v="Delhi"/>
    <s v="Portal"/>
    <s v="Resolved"/>
    <n v="24"/>
    <n v="3.85"/>
    <n v="4.3"/>
    <s v="No"/>
    <x v="0"/>
  </r>
  <r>
    <s v="INC100887"/>
    <d v="2025-01-10T00:00:00"/>
    <d v="2025-01-10T04:07:48"/>
    <x v="1"/>
    <x v="4"/>
    <s v="Mailbox"/>
    <s v="Desktop Support"/>
    <s v="Bengaluru"/>
    <s v="Email"/>
    <s v="Closed"/>
    <n v="24"/>
    <n v="4.13"/>
    <n v="3.9"/>
    <s v="No"/>
    <x v="0"/>
  </r>
  <r>
    <s v="INC100888"/>
    <d v="2025-02-04T00:00:00"/>
    <d v="2025-02-04T08:12:36"/>
    <x v="3"/>
    <x v="0"/>
    <s v="License"/>
    <s v="Service Desk"/>
    <s v="Gurugram"/>
    <s v="Portal"/>
    <s v="In Progress"/>
    <n v="8"/>
    <n v="8.2100000000000009"/>
    <n v="4.5"/>
    <s v="No"/>
    <x v="1"/>
  </r>
  <r>
    <s v="INC100889"/>
    <d v="2025-01-03T00:00:00"/>
    <d v="2025-01-04T00:29:24"/>
    <x v="1"/>
    <x v="3"/>
    <s v="Monitor"/>
    <s v="Desktop Support"/>
    <s v="Gurugram"/>
    <s v="Portal"/>
    <s v="Closed"/>
    <n v="24"/>
    <n v="24.49"/>
    <n v="4.0999999999999996"/>
    <s v="No"/>
    <x v="1"/>
  </r>
  <r>
    <s v="INC100890"/>
    <d v="2025-02-19T00:00:00"/>
    <d v="2025-02-19T02:36:36"/>
    <x v="0"/>
    <x v="0"/>
    <s v="Performance"/>
    <s v="Access Management"/>
    <s v="Mumbai"/>
    <s v="Email"/>
    <s v="Resolved"/>
    <n v="48"/>
    <n v="2.61"/>
    <n v="4.5"/>
    <s v="No"/>
    <x v="0"/>
  </r>
  <r>
    <s v="INC100891"/>
    <d v="2025-01-19T00:00:00"/>
    <d v="2025-01-20T01:36:00"/>
    <x v="0"/>
    <x v="0"/>
    <s v="Performance"/>
    <s v="Access Management"/>
    <s v="Gurugram"/>
    <s v="Email"/>
    <s v="Resolved"/>
    <n v="48"/>
    <n v="25.6"/>
    <n v="5"/>
    <s v="No"/>
    <x v="0"/>
  </r>
  <r>
    <s v="INC100892"/>
    <d v="2025-05-09T00:00:00"/>
    <d v="2025-05-09T08:55:48"/>
    <x v="1"/>
    <x v="3"/>
    <s v="Monitor"/>
    <s v="Service Desk"/>
    <s v="Mumbai"/>
    <s v="Portal"/>
    <s v="Closed"/>
    <n v="24"/>
    <n v="8.93"/>
    <n v="4.5999999999999996"/>
    <s v="No"/>
    <x v="0"/>
  </r>
  <r>
    <s v="INC100893"/>
    <d v="2025-04-05T00:00:00"/>
    <d v="2025-04-05T01:01:48"/>
    <x v="2"/>
    <x v="3"/>
    <s v="Monitor"/>
    <s v="Desktop Support"/>
    <s v="Delhi"/>
    <s v="Portal"/>
    <s v="Resolved"/>
    <n v="4"/>
    <n v="1.03"/>
    <n v="4.9000000000000004"/>
    <s v="Yes"/>
    <x v="0"/>
  </r>
  <r>
    <s v="INC100894"/>
    <d v="2025-06-27T00:00:00"/>
    <d v="2025-06-29T07:48:00"/>
    <x v="0"/>
    <x v="0"/>
    <s v="Installation"/>
    <s v="Desktop Support"/>
    <s v="Noida"/>
    <s v="Phone"/>
    <s v="Resolved"/>
    <n v="48"/>
    <n v="55.8"/>
    <n v="2.9"/>
    <s v="No"/>
    <x v="1"/>
  </r>
  <r>
    <s v="INC100895"/>
    <d v="2025-05-16T00:00:00"/>
    <d v="2025-05-16T10:32:24"/>
    <x v="3"/>
    <x v="2"/>
    <s v="DNS"/>
    <s v="Application Support"/>
    <s v="Delhi"/>
    <s v="Email"/>
    <s v="Resolved"/>
    <n v="8"/>
    <n v="10.54"/>
    <n v="2.4"/>
    <s v="No"/>
    <x v="1"/>
  </r>
  <r>
    <s v="INC100896"/>
    <d v="2025-04-21T00:00:00"/>
    <d v="2025-04-21T05:03:00"/>
    <x v="3"/>
    <x v="0"/>
    <s v="Performance"/>
    <s v="Desktop Support"/>
    <s v="Bengaluru"/>
    <s v="Email"/>
    <s v="Resolved"/>
    <n v="8"/>
    <n v="5.05"/>
    <n v="3.2"/>
    <s v="No"/>
    <x v="0"/>
  </r>
  <r>
    <s v="INC100897"/>
    <d v="2025-04-03T00:00:00"/>
    <d v="2025-04-03T17:01:12"/>
    <x v="0"/>
    <x v="0"/>
    <s v="Application Error"/>
    <s v="Service Desk"/>
    <s v="Delhi"/>
    <s v="Email"/>
    <s v="Resolved"/>
    <n v="48"/>
    <n v="17.02"/>
    <n v="5"/>
    <s v="No"/>
    <x v="0"/>
  </r>
  <r>
    <s v="INC100898"/>
    <d v="2025-01-10T00:00:00"/>
    <d v="2025-01-10T19:30:36"/>
    <x v="0"/>
    <x v="1"/>
    <s v="Account Lock"/>
    <s v="Access Management"/>
    <s v="Gurugram"/>
    <s v="Email"/>
    <s v="In Progress"/>
    <n v="48"/>
    <n v="19.510000000000002"/>
    <n v="4"/>
    <s v="No"/>
    <x v="0"/>
  </r>
  <r>
    <s v="INC100899"/>
    <d v="2025-01-13T00:00:00"/>
    <d v="2025-01-13T05:18:00"/>
    <x v="1"/>
    <x v="4"/>
    <s v="Spam"/>
    <s v="Service Desk"/>
    <s v="Mumbai"/>
    <s v="Email"/>
    <s v="Resolved"/>
    <n v="24"/>
    <n v="5.3"/>
    <n v="4.8"/>
    <s v="No"/>
    <x v="0"/>
  </r>
  <r>
    <s v="INC100900"/>
    <d v="2025-04-22T00:00:00"/>
    <d v="2025-04-22T09:37:48"/>
    <x v="1"/>
    <x v="1"/>
    <s v="VPN Access"/>
    <s v="Service Desk"/>
    <s v="Hyderabad"/>
    <s v="Portal"/>
    <s v="Resolved"/>
    <n v="24"/>
    <n v="9.6300000000000008"/>
    <n v="4.8"/>
    <s v="Yes"/>
    <x v="0"/>
  </r>
  <r>
    <s v="INC100901"/>
    <d v="2025-01-01T00:00:00"/>
    <d v="2025-01-01T13:42:00"/>
    <x v="0"/>
    <x v="0"/>
    <s v="License"/>
    <s v="Service Desk"/>
    <s v="Bengaluru"/>
    <s v="Email"/>
    <s v="In Progress"/>
    <n v="48"/>
    <n v="13.7"/>
    <n v="4.5999999999999996"/>
    <s v="Yes"/>
    <x v="0"/>
  </r>
  <r>
    <s v="INC100902"/>
    <d v="2025-01-08T00:00:00"/>
    <d v="2025-01-08T10:05:24"/>
    <x v="3"/>
    <x v="2"/>
    <s v="Link Down"/>
    <s v="Service Desk"/>
    <s v="Hyderabad"/>
    <s v="Email"/>
    <s v="Pending"/>
    <n v="8"/>
    <n v="10.09"/>
    <n v="3.4"/>
    <s v="No"/>
    <x v="1"/>
  </r>
  <r>
    <s v="INC100903"/>
    <d v="2025-02-09T00:00:00"/>
    <d v="2025-02-09T02:38:24"/>
    <x v="1"/>
    <x v="0"/>
    <s v="Installation"/>
    <s v="Desktop Support"/>
    <s v="Mumbai"/>
    <s v="Portal"/>
    <s v="In Progress"/>
    <n v="24"/>
    <n v="2.64"/>
    <n v="4.8"/>
    <s v="No"/>
    <x v="0"/>
  </r>
  <r>
    <s v="INC100904"/>
    <d v="2025-06-10T00:00:00"/>
    <d v="2025-06-10T07:35:24"/>
    <x v="3"/>
    <x v="1"/>
    <s v="Password Reset"/>
    <s v="Application Support"/>
    <s v="Mumbai"/>
    <s v="Phone"/>
    <s v="Closed"/>
    <n v="8"/>
    <n v="7.59"/>
    <n v="4.2"/>
    <s v="No"/>
    <x v="0"/>
  </r>
  <r>
    <s v="INC100905"/>
    <d v="2025-03-25T00:00:00"/>
    <d v="2025-03-25T02:09:36"/>
    <x v="3"/>
    <x v="4"/>
    <s v="Delivery"/>
    <s v="Network Support"/>
    <s v="Hyderabad"/>
    <s v="Portal"/>
    <s v="Pending"/>
    <n v="8"/>
    <n v="2.16"/>
    <n v="4"/>
    <s v="Yes"/>
    <x v="0"/>
  </r>
  <r>
    <s v="INC100906"/>
    <d v="2025-05-09T00:00:00"/>
    <d v="2025-05-09T06:44:24"/>
    <x v="3"/>
    <x v="1"/>
    <s v="Password Reset"/>
    <s v="Access Management"/>
    <s v="Delhi"/>
    <s v="Portal"/>
    <s v="Resolved"/>
    <n v="8"/>
    <n v="6.74"/>
    <n v="3.7"/>
    <s v="No"/>
    <x v="0"/>
  </r>
  <r>
    <s v="INC100907"/>
    <d v="2025-03-16T00:00:00"/>
    <d v="2025-03-16T11:51:00"/>
    <x v="1"/>
    <x v="2"/>
    <s v="DNS"/>
    <s v="Service Desk"/>
    <s v="Gurugram"/>
    <s v="Phone"/>
    <s v="In Progress"/>
    <n v="24"/>
    <n v="11.85"/>
    <n v="2.9"/>
    <s v="No"/>
    <x v="0"/>
  </r>
  <r>
    <s v="INC100908"/>
    <d v="2025-02-01T00:00:00"/>
    <d v="2025-02-02T22:01:12"/>
    <x v="0"/>
    <x v="0"/>
    <s v="Performance"/>
    <s v="Network Support"/>
    <s v="Noida"/>
    <s v="Phone"/>
    <s v="Resolved"/>
    <n v="48"/>
    <n v="46.02"/>
    <n v="2.6"/>
    <s v="No"/>
    <x v="0"/>
  </r>
  <r>
    <s v="INC100909"/>
    <d v="2025-03-09T00:00:00"/>
    <d v="2025-03-09T04:19:12"/>
    <x v="1"/>
    <x v="4"/>
    <s v="Mailbox"/>
    <s v="Application Support"/>
    <s v="Bengaluru"/>
    <s v="Portal"/>
    <s v="Resolved"/>
    <n v="24"/>
    <n v="4.32"/>
    <n v="3.9"/>
    <s v="No"/>
    <x v="0"/>
  </r>
  <r>
    <s v="INC100910"/>
    <d v="2025-01-17T00:00:00"/>
    <d v="2025-01-17T16:25:12"/>
    <x v="0"/>
    <x v="0"/>
    <s v="License"/>
    <s v="Service Desk"/>
    <s v="Hyderabad"/>
    <s v="Email"/>
    <s v="Resolved"/>
    <n v="48"/>
    <n v="16.420000000000002"/>
    <n v="5"/>
    <s v="No"/>
    <x v="0"/>
  </r>
  <r>
    <s v="INC100911"/>
    <d v="2025-05-20T00:00:00"/>
    <d v="2025-05-20T10:13:12"/>
    <x v="1"/>
    <x v="0"/>
    <s v="License"/>
    <s v="Application Support"/>
    <s v="Delhi"/>
    <s v="Portal"/>
    <s v="Resolved"/>
    <n v="24"/>
    <n v="10.220000000000001"/>
    <n v="4.3"/>
    <s v="No"/>
    <x v="0"/>
  </r>
  <r>
    <s v="INC100912"/>
    <d v="2025-02-03T00:00:00"/>
    <d v="2025-02-04T03:25:48"/>
    <x v="0"/>
    <x v="0"/>
    <s v="Installation"/>
    <s v="Access Management"/>
    <s v="Gurugram"/>
    <s v="Phone"/>
    <s v="Closed"/>
    <n v="48"/>
    <n v="27.43"/>
    <n v="4.8"/>
    <s v="No"/>
    <x v="0"/>
  </r>
  <r>
    <s v="INC100913"/>
    <d v="2025-03-10T00:00:00"/>
    <d v="2025-03-10T13:34:11"/>
    <x v="1"/>
    <x v="0"/>
    <s v="Application Error"/>
    <s v="Application Support"/>
    <s v="Gurugram"/>
    <s v="Email"/>
    <s v="In Progress"/>
    <n v="24"/>
    <n v="13.57"/>
    <n v="4.5999999999999996"/>
    <s v="No"/>
    <x v="0"/>
  </r>
  <r>
    <s v="INC100914"/>
    <d v="2025-06-27T00:00:00"/>
    <d v="2025-06-27T10:31:12"/>
    <x v="0"/>
    <x v="3"/>
    <s v="Monitor"/>
    <s v="Application Support"/>
    <s v="Mumbai"/>
    <s v="Phone"/>
    <s v="Resolved"/>
    <n v="48"/>
    <n v="10.52"/>
    <n v="4.9000000000000004"/>
    <s v="No"/>
    <x v="0"/>
  </r>
  <r>
    <s v="INC100915"/>
    <d v="2025-04-18T00:00:00"/>
    <d v="2025-04-18T08:04:48"/>
    <x v="0"/>
    <x v="2"/>
    <s v="Link Down"/>
    <s v="Desktop Support"/>
    <s v="Hyderabad"/>
    <s v="Portal"/>
    <s v="Closed"/>
    <n v="48"/>
    <n v="8.08"/>
    <n v="4.2"/>
    <s v="No"/>
    <x v="0"/>
  </r>
  <r>
    <s v="INC100916"/>
    <d v="2025-03-24T00:00:00"/>
    <d v="2025-03-24T21:24:00"/>
    <x v="0"/>
    <x v="1"/>
    <s v="Account Lock"/>
    <s v="Service Desk"/>
    <s v="Hyderabad"/>
    <s v="Portal"/>
    <s v="Closed"/>
    <n v="48"/>
    <n v="21.4"/>
    <n v="4.5"/>
    <s v="No"/>
    <x v="0"/>
  </r>
  <r>
    <s v="INC100917"/>
    <d v="2025-04-09T00:00:00"/>
    <d v="2025-04-09T12:27:00"/>
    <x v="1"/>
    <x v="4"/>
    <s v="Configuration"/>
    <s v="Application Support"/>
    <s v="Mumbai"/>
    <s v="Phone"/>
    <s v="Resolved"/>
    <n v="24"/>
    <n v="12.45"/>
    <n v="4.5"/>
    <s v="No"/>
    <x v="0"/>
  </r>
  <r>
    <s v="INC100918"/>
    <d v="2025-05-22T00:00:00"/>
    <d v="2025-05-22T03:25:12"/>
    <x v="3"/>
    <x v="1"/>
    <s v="VPN Access"/>
    <s v="Service Desk"/>
    <s v="Mumbai"/>
    <s v="Portal"/>
    <s v="Closed"/>
    <n v="8"/>
    <n v="3.42"/>
    <n v="5"/>
    <s v="No"/>
    <x v="0"/>
  </r>
  <r>
    <s v="INC100919"/>
    <d v="2025-02-16T00:00:00"/>
    <d v="2025-02-16T05:15:36"/>
    <x v="0"/>
    <x v="3"/>
    <s v="Printer"/>
    <s v="Access Management"/>
    <s v="Noida"/>
    <s v="Portal"/>
    <s v="Resolved"/>
    <n v="48"/>
    <n v="5.26"/>
    <n v="4.5999999999999996"/>
    <s v="Yes"/>
    <x v="0"/>
  </r>
  <r>
    <s v="INC100920"/>
    <d v="2025-04-26T00:00:00"/>
    <d v="2025-04-26T04:16:48"/>
    <x v="3"/>
    <x v="2"/>
    <s v="DNS"/>
    <s v="Desktop Support"/>
    <s v="Bengaluru"/>
    <s v="Portal"/>
    <s v="Resolved"/>
    <n v="8"/>
    <n v="4.28"/>
    <n v="4.8"/>
    <s v="Yes"/>
    <x v="0"/>
  </r>
  <r>
    <s v="INC100921"/>
    <d v="2025-06-07T00:00:00"/>
    <d v="2025-06-07T05:57:36"/>
    <x v="3"/>
    <x v="3"/>
    <s v="Laptop"/>
    <s v="Desktop Support"/>
    <s v="Gurugram"/>
    <s v="Email"/>
    <s v="Resolved"/>
    <n v="8"/>
    <n v="5.96"/>
    <n v="4"/>
    <s v="Yes"/>
    <x v="0"/>
  </r>
  <r>
    <s v="INC100922"/>
    <d v="2025-04-14T00:00:00"/>
    <d v="2025-04-14T15:09:00"/>
    <x v="1"/>
    <x v="1"/>
    <s v="Password Reset"/>
    <s v="Application Support"/>
    <s v="Bengaluru"/>
    <s v="Portal"/>
    <s v="In Progress"/>
    <n v="24"/>
    <n v="15.15"/>
    <n v="3.8"/>
    <s v="Yes"/>
    <x v="0"/>
  </r>
  <r>
    <s v="INC100923"/>
    <d v="2025-03-22T00:00:00"/>
    <d v="2025-03-22T11:31:48"/>
    <x v="1"/>
    <x v="0"/>
    <s v="License"/>
    <s v="Network Support"/>
    <s v="Gurugram"/>
    <s v="Email"/>
    <s v="Resolved"/>
    <n v="24"/>
    <n v="11.53"/>
    <n v="5"/>
    <s v="No"/>
    <x v="0"/>
  </r>
  <r>
    <s v="INC100924"/>
    <d v="2025-01-27T00:00:00"/>
    <d v="2025-01-27T14:16:48"/>
    <x v="1"/>
    <x v="4"/>
    <s v="Delivery"/>
    <s v="Desktop Support"/>
    <s v="Hyderabad"/>
    <s v="Portal"/>
    <s v="Resolved"/>
    <n v="24"/>
    <n v="14.28"/>
    <n v="5"/>
    <s v="No"/>
    <x v="0"/>
  </r>
  <r>
    <s v="INC100925"/>
    <d v="2025-02-14T00:00:00"/>
    <d v="2025-02-14T14:06:36"/>
    <x v="0"/>
    <x v="3"/>
    <s v="Laptop"/>
    <s v="Application Support"/>
    <s v="Noida"/>
    <s v="Email"/>
    <s v="Resolved"/>
    <n v="48"/>
    <n v="14.11"/>
    <n v="4.8"/>
    <s v="No"/>
    <x v="0"/>
  </r>
  <r>
    <s v="INC100926"/>
    <d v="2025-06-21T00:00:00"/>
    <d v="2025-06-22T03:55:12"/>
    <x v="1"/>
    <x v="0"/>
    <s v="License"/>
    <s v="Application Support"/>
    <s v="Noida"/>
    <s v="Chat"/>
    <s v="Closed"/>
    <n v="24"/>
    <n v="27.92"/>
    <n v="3.2"/>
    <s v="No"/>
    <x v="1"/>
  </r>
  <r>
    <s v="INC100927"/>
    <d v="2025-04-08T00:00:00"/>
    <d v="2025-04-08T17:35:24"/>
    <x v="0"/>
    <x v="1"/>
    <s v="Password Reset"/>
    <s v="Service Desk"/>
    <s v="Noida"/>
    <s v="Portal"/>
    <s v="In Progress"/>
    <n v="48"/>
    <n v="17.59"/>
    <n v="4.9000000000000004"/>
    <s v="No"/>
    <x v="0"/>
  </r>
  <r>
    <s v="INC100928"/>
    <d v="2025-02-24T00:00:00"/>
    <d v="2025-02-24T06:05:24"/>
    <x v="3"/>
    <x v="2"/>
    <s v="DNS"/>
    <s v="Network Support"/>
    <s v="Hyderabad"/>
    <s v="Email"/>
    <s v="Resolved"/>
    <n v="8"/>
    <n v="6.09"/>
    <n v="4.3"/>
    <s v="No"/>
    <x v="0"/>
  </r>
  <r>
    <s v="INC100929"/>
    <d v="2025-03-17T00:00:00"/>
    <d v="2025-03-17T03:43:48"/>
    <x v="3"/>
    <x v="4"/>
    <s v="Configuration"/>
    <s v="Network Support"/>
    <s v="Hyderabad"/>
    <s v="Email"/>
    <s v="Closed"/>
    <n v="8"/>
    <n v="3.73"/>
    <n v="5"/>
    <s v="No"/>
    <x v="0"/>
  </r>
  <r>
    <s v="INC100930"/>
    <d v="2025-04-15T00:00:00"/>
    <d v="2025-04-15T07:54:00"/>
    <x v="3"/>
    <x v="0"/>
    <s v="Installation"/>
    <s v="Access Management"/>
    <s v="Noida"/>
    <s v="Portal"/>
    <s v="Closed"/>
    <n v="8"/>
    <n v="7.9"/>
    <n v="4.3"/>
    <s v="No"/>
    <x v="0"/>
  </r>
  <r>
    <s v="INC100931"/>
    <d v="2025-04-08T00:00:00"/>
    <d v="2025-04-08T08:38:24"/>
    <x v="1"/>
    <x v="2"/>
    <s v="Packet Loss"/>
    <s v="Service Desk"/>
    <s v="Hyderabad"/>
    <s v="Phone"/>
    <s v="Resolved"/>
    <n v="24"/>
    <n v="8.64"/>
    <n v="4"/>
    <s v="Yes"/>
    <x v="0"/>
  </r>
  <r>
    <s v="INC100932"/>
    <d v="2025-05-07T00:00:00"/>
    <d v="2025-05-07T23:49:48"/>
    <x v="1"/>
    <x v="2"/>
    <s v="Packet Loss"/>
    <s v="Network Support"/>
    <s v="Mumbai"/>
    <s v="Phone"/>
    <s v="Resolved"/>
    <n v="24"/>
    <n v="23.83"/>
    <n v="4.5999999999999996"/>
    <s v="No"/>
    <x v="0"/>
  </r>
  <r>
    <s v="INC100933"/>
    <d v="2025-02-16T00:00:00"/>
    <d v="2025-02-16T05:03:00"/>
    <x v="2"/>
    <x v="4"/>
    <s v="Configuration"/>
    <s v="Desktop Support"/>
    <s v="Hyderabad"/>
    <s v="Phone"/>
    <s v="Resolved"/>
    <n v="4"/>
    <n v="5.05"/>
    <n v="4"/>
    <s v="No"/>
    <x v="1"/>
  </r>
  <r>
    <s v="INC100934"/>
    <d v="2025-04-28T00:00:00"/>
    <d v="2025-04-28T13:12:36"/>
    <x v="0"/>
    <x v="0"/>
    <s v="Performance"/>
    <s v="Access Management"/>
    <s v="Hyderabad"/>
    <s v="Chat"/>
    <s v="Closed"/>
    <n v="48"/>
    <n v="13.21"/>
    <n v="5"/>
    <s v="Yes"/>
    <x v="0"/>
  </r>
  <r>
    <s v="INC100935"/>
    <d v="2025-03-22T00:00:00"/>
    <d v="2025-03-23T20:16:48"/>
    <x v="0"/>
    <x v="1"/>
    <s v="Account Lock"/>
    <s v="Service Desk"/>
    <s v="Gurugram"/>
    <s v="Email"/>
    <s v="Resolved"/>
    <n v="48"/>
    <n v="44.28"/>
    <n v="4.2"/>
    <s v="No"/>
    <x v="0"/>
  </r>
  <r>
    <s v="INC100936"/>
    <d v="2025-06-20T00:00:00"/>
    <d v="2025-06-21T10:48:36"/>
    <x v="1"/>
    <x v="1"/>
    <s v="Password Reset"/>
    <s v="Network Support"/>
    <s v="Bengaluru"/>
    <s v="Email"/>
    <s v="Resolved"/>
    <n v="24"/>
    <n v="34.81"/>
    <n v="3.9"/>
    <s v="No"/>
    <x v="1"/>
  </r>
  <r>
    <s v="INC100937"/>
    <d v="2025-01-29T00:00:00"/>
    <d v="2025-01-29T15:59:24"/>
    <x v="1"/>
    <x v="3"/>
    <s v="Monitor"/>
    <s v="Network Support"/>
    <s v="Gurugram"/>
    <s v="Portal"/>
    <s v="Pending"/>
    <n v="24"/>
    <n v="15.99"/>
    <n v="4.5"/>
    <s v="Yes"/>
    <x v="0"/>
  </r>
  <r>
    <s v="INC100938"/>
    <d v="2025-01-27T00:00:00"/>
    <d v="2025-01-28T02:43:12"/>
    <x v="1"/>
    <x v="1"/>
    <s v="Password Reset"/>
    <s v="Network Support"/>
    <s v="Gurugram"/>
    <s v="Chat"/>
    <s v="In Progress"/>
    <n v="24"/>
    <n v="26.72"/>
    <n v="3.5"/>
    <s v="No"/>
    <x v="1"/>
  </r>
  <r>
    <s v="INC100939"/>
    <d v="2025-03-25T00:00:00"/>
    <d v="2025-03-27T13:31:48"/>
    <x v="0"/>
    <x v="4"/>
    <s v="Delivery"/>
    <s v="Service Desk"/>
    <s v="Noida"/>
    <s v="Email"/>
    <s v="Resolved"/>
    <n v="48"/>
    <n v="61.53"/>
    <n v="3.5"/>
    <s v="No"/>
    <x v="1"/>
  </r>
  <r>
    <s v="INC100940"/>
    <d v="2025-04-03T00:00:00"/>
    <d v="2025-04-04T00:19:12"/>
    <x v="1"/>
    <x v="2"/>
    <s v="Link Down"/>
    <s v="Network Support"/>
    <s v="Delhi"/>
    <s v="Portal"/>
    <s v="Closed"/>
    <n v="24"/>
    <n v="24.32"/>
    <n v="3.7"/>
    <s v="No"/>
    <x v="1"/>
  </r>
  <r>
    <s v="INC100941"/>
    <d v="2025-05-06T00:00:00"/>
    <d v="2025-05-06T14:23:24"/>
    <x v="0"/>
    <x v="1"/>
    <s v="Permission"/>
    <s v="Application Support"/>
    <s v="Gurugram"/>
    <s v="Phone"/>
    <s v="Pending"/>
    <n v="48"/>
    <n v="14.39"/>
    <n v="4.9000000000000004"/>
    <s v="No"/>
    <x v="0"/>
  </r>
  <r>
    <s v="INC100942"/>
    <d v="2025-03-15T00:00:00"/>
    <d v="2025-03-16T11:04:48"/>
    <x v="0"/>
    <x v="3"/>
    <s v="Laptop"/>
    <s v="Service Desk"/>
    <s v="Mumbai"/>
    <s v="Email"/>
    <s v="Resolved"/>
    <n v="48"/>
    <n v="35.08"/>
    <n v="4.2"/>
    <s v="No"/>
    <x v="0"/>
  </r>
  <r>
    <s v="INC100943"/>
    <d v="2025-06-15T00:00:00"/>
    <d v="2025-06-16T14:06:36"/>
    <x v="0"/>
    <x v="3"/>
    <s v="Monitor"/>
    <s v="Desktop Support"/>
    <s v="Delhi"/>
    <s v="Chat"/>
    <s v="Closed"/>
    <n v="48"/>
    <n v="38.11"/>
    <n v="3.8"/>
    <s v="No"/>
    <x v="0"/>
  </r>
  <r>
    <s v="INC100944"/>
    <d v="2025-03-27T00:00:00"/>
    <d v="2025-03-27T02:16:48"/>
    <x v="1"/>
    <x v="3"/>
    <s v="Monitor"/>
    <s v="Desktop Support"/>
    <s v="Bengaluru"/>
    <s v="Phone"/>
    <s v="Resolved"/>
    <n v="24"/>
    <n v="2.2799999999999998"/>
    <n v="4.8"/>
    <s v="No"/>
    <x v="0"/>
  </r>
  <r>
    <s v="INC100945"/>
    <d v="2025-01-24T00:00:00"/>
    <d v="2025-01-24T03:57:36"/>
    <x v="3"/>
    <x v="1"/>
    <s v="Password Reset"/>
    <s v="Application Support"/>
    <s v="Mumbai"/>
    <s v="Phone"/>
    <s v="Closed"/>
    <n v="8"/>
    <n v="3.96"/>
    <n v="4.4000000000000004"/>
    <s v="No"/>
    <x v="0"/>
  </r>
  <r>
    <s v="INC100946"/>
    <d v="2025-01-22T00:00:00"/>
    <d v="2025-01-22T14:20:24"/>
    <x v="1"/>
    <x v="2"/>
    <s v="DNS"/>
    <s v="Application Support"/>
    <s v="Gurugram"/>
    <s v="Email"/>
    <s v="Resolved"/>
    <n v="24"/>
    <n v="14.34"/>
    <n v="3.1"/>
    <s v="Yes"/>
    <x v="0"/>
  </r>
  <r>
    <s v="INC100947"/>
    <d v="2025-06-26T00:00:00"/>
    <d v="2025-06-26T18:06:00"/>
    <x v="1"/>
    <x v="3"/>
    <s v="Printer"/>
    <s v="Desktop Support"/>
    <s v="Noida"/>
    <s v="Email"/>
    <s v="Closed"/>
    <n v="24"/>
    <n v="18.100000000000001"/>
    <n v="4.8"/>
    <s v="No"/>
    <x v="0"/>
  </r>
  <r>
    <s v="INC100948"/>
    <d v="2025-01-25T00:00:00"/>
    <d v="2025-01-25T01:54:36"/>
    <x v="3"/>
    <x v="0"/>
    <s v="License"/>
    <s v="Access Management"/>
    <s v="Hyderabad"/>
    <s v="Phone"/>
    <s v="Resolved"/>
    <n v="8"/>
    <n v="1.91"/>
    <n v="4.9000000000000004"/>
    <s v="No"/>
    <x v="0"/>
  </r>
  <r>
    <s v="INC100949"/>
    <d v="2025-06-21T00:00:00"/>
    <d v="2025-06-21T11:11:24"/>
    <x v="1"/>
    <x v="2"/>
    <s v="DNS"/>
    <s v="Network Support"/>
    <s v="Hyderabad"/>
    <s v="Portal"/>
    <s v="Resolved"/>
    <n v="24"/>
    <n v="11.19"/>
    <n v="4"/>
    <s v="Yes"/>
    <x v="0"/>
  </r>
  <r>
    <s v="INC100950"/>
    <d v="2025-02-20T00:00:00"/>
    <d v="2025-02-20T05:03:00"/>
    <x v="3"/>
    <x v="1"/>
    <s v="Password Reset"/>
    <s v="Desktop Support"/>
    <s v="Hyderabad"/>
    <s v="Portal"/>
    <s v="Closed"/>
    <n v="8"/>
    <n v="5.05"/>
    <n v="4.5999999999999996"/>
    <s v="No"/>
    <x v="0"/>
  </r>
  <r>
    <s v="INC100951"/>
    <d v="2025-01-17T00:00:00"/>
    <d v="2025-01-17T09:30:36"/>
    <x v="1"/>
    <x v="4"/>
    <s v="Configuration"/>
    <s v="Service Desk"/>
    <s v="Bengaluru"/>
    <s v="Chat"/>
    <s v="Resolved"/>
    <n v="24"/>
    <n v="9.51"/>
    <n v="4.2"/>
    <s v="No"/>
    <x v="0"/>
  </r>
  <r>
    <s v="INC100952"/>
    <d v="2025-02-25T00:00:00"/>
    <d v="2025-02-25T02:13:12"/>
    <x v="1"/>
    <x v="2"/>
    <s v="Connectivity"/>
    <s v="Desktop Support"/>
    <s v="Hyderabad"/>
    <s v="Chat"/>
    <s v="In Progress"/>
    <n v="24"/>
    <n v="2.2200000000000002"/>
    <n v="4.5999999999999996"/>
    <s v="No"/>
    <x v="0"/>
  </r>
  <r>
    <s v="INC100953"/>
    <d v="2025-04-22T00:00:00"/>
    <d v="2025-04-24T09:34:11"/>
    <x v="0"/>
    <x v="2"/>
    <s v="DNS"/>
    <s v="Network Support"/>
    <s v="Noida"/>
    <s v="Chat"/>
    <s v="Resolved"/>
    <n v="48"/>
    <n v="57.57"/>
    <n v="3.8"/>
    <s v="No"/>
    <x v="1"/>
  </r>
  <r>
    <s v="INC100954"/>
    <d v="2025-03-19T00:00:00"/>
    <d v="2025-03-22T13:53:24"/>
    <x v="0"/>
    <x v="4"/>
    <s v="Delivery"/>
    <s v="Service Desk"/>
    <s v="Bengaluru"/>
    <s v="Portal"/>
    <s v="Resolved"/>
    <n v="48"/>
    <n v="85.89"/>
    <n v="3.8"/>
    <s v="Yes"/>
    <x v="1"/>
  </r>
  <r>
    <s v="INC100955"/>
    <d v="2025-05-23T00:00:00"/>
    <d v="2025-05-23T02:46:12"/>
    <x v="2"/>
    <x v="2"/>
    <s v="DNS"/>
    <s v="Access Management"/>
    <s v="Mumbai"/>
    <s v="Portal"/>
    <s v="Closed"/>
    <n v="4"/>
    <n v="2.77"/>
    <n v="4.4000000000000004"/>
    <s v="No"/>
    <x v="0"/>
  </r>
  <r>
    <s v="INC100956"/>
    <d v="2025-04-21T00:00:00"/>
    <d v="2025-04-21T05:36:36"/>
    <x v="3"/>
    <x v="2"/>
    <s v="Link Down"/>
    <s v="Access Management"/>
    <s v="Hyderabad"/>
    <s v="Chat"/>
    <s v="Resolved"/>
    <n v="8"/>
    <n v="5.61"/>
    <n v="3.7"/>
    <s v="No"/>
    <x v="0"/>
  </r>
  <r>
    <s v="INC100957"/>
    <d v="2025-03-14T00:00:00"/>
    <d v="2025-03-14T04:10:48"/>
    <x v="3"/>
    <x v="4"/>
    <s v="Mailbox"/>
    <s v="Desktop Support"/>
    <s v="Noida"/>
    <s v="Portal"/>
    <s v="Closed"/>
    <n v="8"/>
    <n v="4.18"/>
    <n v="4.0999999999999996"/>
    <s v="No"/>
    <x v="0"/>
  </r>
  <r>
    <s v="INC100958"/>
    <d v="2025-04-25T00:00:00"/>
    <d v="2025-04-25T01:21:36"/>
    <x v="3"/>
    <x v="4"/>
    <s v="Mailbox"/>
    <s v="Network Support"/>
    <s v="Hyderabad"/>
    <s v="Email"/>
    <s v="Resolved"/>
    <n v="8"/>
    <n v="1.36"/>
    <n v="5"/>
    <s v="No"/>
    <x v="0"/>
  </r>
  <r>
    <s v="INC100959"/>
    <d v="2025-06-25T00:00:00"/>
    <d v="2025-06-25T05:53:24"/>
    <x v="0"/>
    <x v="0"/>
    <s v="Application Error"/>
    <s v="Application Support"/>
    <s v="Bengaluru"/>
    <s v="Portal"/>
    <s v="Resolved"/>
    <n v="48"/>
    <n v="5.89"/>
    <n v="5"/>
    <s v="No"/>
    <x v="0"/>
  </r>
  <r>
    <s v="INC100960"/>
    <d v="2025-03-16T00:00:00"/>
    <d v="2025-03-16T09:06:36"/>
    <x v="3"/>
    <x v="0"/>
    <s v="License"/>
    <s v="Service Desk"/>
    <s v="Delhi"/>
    <s v="Phone"/>
    <s v="Closed"/>
    <n v="8"/>
    <n v="9.11"/>
    <n v="4.3"/>
    <s v="No"/>
    <x v="1"/>
  </r>
  <r>
    <s v="INC100961"/>
    <d v="2025-01-28T00:00:00"/>
    <d v="2025-01-29T15:56:24"/>
    <x v="1"/>
    <x v="4"/>
    <s v="Delivery"/>
    <s v="Service Desk"/>
    <s v="Bengaluru"/>
    <s v="Email"/>
    <s v="Resolved"/>
    <n v="24"/>
    <n v="39.94"/>
    <n v="3.3"/>
    <s v="No"/>
    <x v="1"/>
  </r>
  <r>
    <s v="INC100962"/>
    <d v="2025-03-15T00:00:00"/>
    <d v="2025-03-15T05:54:36"/>
    <x v="3"/>
    <x v="0"/>
    <s v="Application Error"/>
    <s v="Network Support"/>
    <s v="Hyderabad"/>
    <s v="Portal"/>
    <s v="Resolved"/>
    <n v="8"/>
    <n v="5.91"/>
    <n v="4.5999999999999996"/>
    <s v="No"/>
    <x v="0"/>
  </r>
  <r>
    <s v="INC100963"/>
    <d v="2025-06-02T00:00:00"/>
    <d v="2025-06-02T18:49:48"/>
    <x v="0"/>
    <x v="0"/>
    <s v="Application Error"/>
    <s v="Service Desk"/>
    <s v="Noida"/>
    <s v="Email"/>
    <s v="Resolved"/>
    <n v="48"/>
    <n v="18.829999999999998"/>
    <n v="5"/>
    <s v="No"/>
    <x v="0"/>
  </r>
  <r>
    <s v="INC100964"/>
    <d v="2025-02-09T00:00:00"/>
    <d v="2025-02-09T22:21:36"/>
    <x v="0"/>
    <x v="1"/>
    <s v="Password Reset"/>
    <s v="Service Desk"/>
    <s v="Bengaluru"/>
    <s v="Portal"/>
    <s v="Pending"/>
    <n v="48"/>
    <n v="22.36"/>
    <n v="3.6"/>
    <s v="No"/>
    <x v="0"/>
  </r>
  <r>
    <s v="INC100965"/>
    <d v="2025-06-21T00:00:00"/>
    <d v="2025-06-21T06:31:12"/>
    <x v="3"/>
    <x v="0"/>
    <s v="Installation"/>
    <s v="Network Support"/>
    <s v="Hyderabad"/>
    <s v="Phone"/>
    <s v="Resolved"/>
    <n v="8"/>
    <n v="6.52"/>
    <n v="5"/>
    <s v="Yes"/>
    <x v="0"/>
  </r>
  <r>
    <s v="INC100966"/>
    <d v="2025-04-17T00:00:00"/>
    <d v="2025-04-17T08:48:00"/>
    <x v="3"/>
    <x v="0"/>
    <s v="Performance"/>
    <s v="Desktop Support"/>
    <s v="Hyderabad"/>
    <s v="Email"/>
    <s v="Resolved"/>
    <n v="8"/>
    <n v="8.8000000000000007"/>
    <n v="4.3"/>
    <s v="No"/>
    <x v="1"/>
  </r>
  <r>
    <s v="INC100967"/>
    <d v="2025-04-19T00:00:00"/>
    <d v="2025-04-19T12:42:36"/>
    <x v="1"/>
    <x v="3"/>
    <s v="Peripheral"/>
    <s v="Access Management"/>
    <s v="Noida"/>
    <s v="Email"/>
    <s v="Resolved"/>
    <n v="24"/>
    <n v="12.71"/>
    <n v="5"/>
    <s v="Yes"/>
    <x v="0"/>
  </r>
  <r>
    <s v="INC100968"/>
    <d v="2025-02-27T00:00:00"/>
    <d v="2025-02-27T10:03:36"/>
    <x v="1"/>
    <x v="0"/>
    <s v="Performance"/>
    <s v="Network Support"/>
    <s v="Mumbai"/>
    <s v="Portal"/>
    <s v="Closed"/>
    <n v="24"/>
    <n v="10.06"/>
    <n v="3.9"/>
    <s v="No"/>
    <x v="0"/>
  </r>
  <r>
    <s v="INC100969"/>
    <d v="2025-06-16T00:00:00"/>
    <d v="2025-06-16T05:39:00"/>
    <x v="1"/>
    <x v="0"/>
    <s v="License"/>
    <s v="Network Support"/>
    <s v="Bengaluru"/>
    <s v="Portal"/>
    <s v="Resolved"/>
    <n v="24"/>
    <n v="5.65"/>
    <n v="5"/>
    <s v="No"/>
    <x v="0"/>
  </r>
  <r>
    <s v="INC100970"/>
    <d v="2025-01-07T00:00:00"/>
    <d v="2025-01-07T01:25:48"/>
    <x v="2"/>
    <x v="3"/>
    <s v="Monitor"/>
    <s v="Network Support"/>
    <s v="Bengaluru"/>
    <s v="Portal"/>
    <s v="Resolved"/>
    <n v="4"/>
    <n v="1.43"/>
    <n v="4.7"/>
    <s v="No"/>
    <x v="0"/>
  </r>
  <r>
    <s v="INC100971"/>
    <d v="2025-02-24T00:00:00"/>
    <d v="2025-02-24T18:43:48"/>
    <x v="1"/>
    <x v="3"/>
    <s v="Monitor"/>
    <s v="Desktop Support"/>
    <s v="Mumbai"/>
    <s v="Chat"/>
    <s v="In Progress"/>
    <n v="24"/>
    <n v="18.73"/>
    <n v="4.5999999999999996"/>
    <s v="No"/>
    <x v="0"/>
  </r>
  <r>
    <s v="INC100972"/>
    <d v="2025-03-17T00:00:00"/>
    <d v="2025-03-17T15:51:00"/>
    <x v="1"/>
    <x v="1"/>
    <s v="Permission"/>
    <s v="Access Management"/>
    <s v="Gurugram"/>
    <s v="Portal"/>
    <s v="Pending"/>
    <n v="24"/>
    <n v="15.85"/>
    <n v="4.5"/>
    <s v="No"/>
    <x v="0"/>
  </r>
  <r>
    <s v="INC100973"/>
    <d v="2025-03-28T00:00:00"/>
    <d v="2025-03-28T14:54:36"/>
    <x v="1"/>
    <x v="3"/>
    <s v="Laptop"/>
    <s v="Service Desk"/>
    <s v="Gurugram"/>
    <s v="Email"/>
    <s v="In Progress"/>
    <n v="24"/>
    <n v="14.91"/>
    <n v="4.5"/>
    <s v="No"/>
    <x v="0"/>
  </r>
  <r>
    <s v="INC100974"/>
    <d v="2025-03-27T00:00:00"/>
    <d v="2025-03-27T05:50:24"/>
    <x v="1"/>
    <x v="2"/>
    <s v="DNS"/>
    <s v="Network Support"/>
    <s v="Delhi"/>
    <s v="Portal"/>
    <s v="Resolved"/>
    <n v="24"/>
    <n v="5.84"/>
    <n v="5"/>
    <s v="No"/>
    <x v="0"/>
  </r>
  <r>
    <s v="INC100975"/>
    <d v="2025-01-27T00:00:00"/>
    <d v="2025-01-27T10:45:00"/>
    <x v="1"/>
    <x v="3"/>
    <s v="Peripheral"/>
    <s v="Network Support"/>
    <s v="Hyderabad"/>
    <s v="Chat"/>
    <s v="Resolved"/>
    <n v="24"/>
    <n v="10.75"/>
    <n v="4.4000000000000004"/>
    <s v="No"/>
    <x v="0"/>
  </r>
  <r>
    <s v="INC100976"/>
    <d v="2025-02-10T00:00:00"/>
    <d v="2025-02-10T22:20:24"/>
    <x v="1"/>
    <x v="2"/>
    <s v="Connectivity"/>
    <s v="Application Support"/>
    <s v="Gurugram"/>
    <s v="Phone"/>
    <s v="Resolved"/>
    <n v="24"/>
    <n v="22.34"/>
    <n v="3.5"/>
    <s v="No"/>
    <x v="0"/>
  </r>
  <r>
    <s v="INC100977"/>
    <d v="2025-01-18T00:00:00"/>
    <d v="2025-01-18T11:00:36"/>
    <x v="3"/>
    <x v="1"/>
    <s v="Password Reset"/>
    <s v="Service Desk"/>
    <s v="Mumbai"/>
    <s v="Portal"/>
    <s v="Resolved"/>
    <n v="8"/>
    <n v="11.01"/>
    <n v="3.6"/>
    <s v="Yes"/>
    <x v="1"/>
  </r>
  <r>
    <s v="INC100978"/>
    <d v="2025-04-14T00:00:00"/>
    <d v="2025-04-14T07:12:00"/>
    <x v="3"/>
    <x v="3"/>
    <s v="Printer"/>
    <s v="Service Desk"/>
    <s v="Mumbai"/>
    <s v="Email"/>
    <s v="Closed"/>
    <n v="8"/>
    <n v="7.2"/>
    <n v="3.6"/>
    <s v="No"/>
    <x v="0"/>
  </r>
  <r>
    <s v="INC100979"/>
    <d v="2025-03-05T00:00:00"/>
    <d v="2025-03-05T08:46:48"/>
    <x v="3"/>
    <x v="3"/>
    <s v="Printer"/>
    <s v="Service Desk"/>
    <s v="Mumbai"/>
    <s v="Email"/>
    <s v="Resolved"/>
    <n v="8"/>
    <n v="8.7799999999999994"/>
    <n v="3.6"/>
    <s v="No"/>
    <x v="1"/>
  </r>
  <r>
    <s v="INC100980"/>
    <d v="2025-04-13T00:00:00"/>
    <d v="2025-04-13T02:17:23"/>
    <x v="1"/>
    <x v="1"/>
    <s v="Password Reset"/>
    <s v="Access Management"/>
    <s v="Hyderabad"/>
    <s v="Phone"/>
    <s v="Resolved"/>
    <n v="24"/>
    <n v="2.29"/>
    <n v="3.9"/>
    <s v="No"/>
    <x v="0"/>
  </r>
  <r>
    <s v="INC100981"/>
    <d v="2025-04-17T00:00:00"/>
    <d v="2025-04-18T05:23:24"/>
    <x v="1"/>
    <x v="2"/>
    <s v="Packet Loss"/>
    <s v="Service Desk"/>
    <s v="Hyderabad"/>
    <s v="Chat"/>
    <s v="Resolved"/>
    <n v="24"/>
    <n v="29.39"/>
    <n v="3.6"/>
    <s v="Yes"/>
    <x v="1"/>
  </r>
  <r>
    <s v="INC100982"/>
    <d v="2025-05-08T00:00:00"/>
    <d v="2025-05-08T17:34:11"/>
    <x v="1"/>
    <x v="2"/>
    <s v="Link Down"/>
    <s v="Application Support"/>
    <s v="Delhi"/>
    <s v="Phone"/>
    <s v="Closed"/>
    <n v="24"/>
    <n v="17.57"/>
    <n v="3.5"/>
    <s v="No"/>
    <x v="0"/>
  </r>
  <r>
    <s v="INC100983"/>
    <d v="2025-04-10T00:00:00"/>
    <d v="2025-04-10T05:00:36"/>
    <x v="3"/>
    <x v="1"/>
    <s v="Permission"/>
    <s v="Application Support"/>
    <s v="Hyderabad"/>
    <s v="Phone"/>
    <s v="Resolved"/>
    <n v="8"/>
    <n v="5.01"/>
    <n v="4.2"/>
    <s v="No"/>
    <x v="0"/>
  </r>
  <r>
    <s v="INC100984"/>
    <d v="2025-04-28T00:00:00"/>
    <d v="2025-04-28T16:07:12"/>
    <x v="1"/>
    <x v="0"/>
    <s v="Installation"/>
    <s v="Network Support"/>
    <s v="Gurugram"/>
    <s v="Email"/>
    <s v="In Progress"/>
    <n v="24"/>
    <n v="16.12"/>
    <n v="3.5"/>
    <s v="No"/>
    <x v="0"/>
  </r>
  <r>
    <s v="INC100985"/>
    <d v="2025-04-17T00:00:00"/>
    <d v="2025-04-18T13:18:00"/>
    <x v="1"/>
    <x v="1"/>
    <s v="Account Lock"/>
    <s v="Service Desk"/>
    <s v="Bengaluru"/>
    <s v="Portal"/>
    <s v="Resolved"/>
    <n v="24"/>
    <n v="37.299999999999997"/>
    <n v="3.1"/>
    <s v="Yes"/>
    <x v="1"/>
  </r>
  <r>
    <s v="INC100986"/>
    <d v="2025-04-29T00:00:00"/>
    <d v="2025-04-29T03:02:24"/>
    <x v="3"/>
    <x v="1"/>
    <s v="Account Lock"/>
    <s v="Access Management"/>
    <s v="Mumbai"/>
    <s v="Email"/>
    <s v="Resolved"/>
    <n v="8"/>
    <n v="3.04"/>
    <n v="5"/>
    <s v="No"/>
    <x v="0"/>
  </r>
  <r>
    <s v="INC100987"/>
    <d v="2025-04-22T00:00:00"/>
    <d v="2025-04-22T16:07:48"/>
    <x v="1"/>
    <x v="4"/>
    <s v="Mailbox"/>
    <s v="Access Management"/>
    <s v="Delhi"/>
    <s v="Phone"/>
    <s v="Pending"/>
    <n v="24"/>
    <n v="16.13"/>
    <n v="3.8"/>
    <s v="No"/>
    <x v="0"/>
  </r>
  <r>
    <s v="INC100988"/>
    <d v="2025-02-27T00:00:00"/>
    <d v="2025-02-27T03:55:12"/>
    <x v="3"/>
    <x v="2"/>
    <s v="Connectivity"/>
    <s v="Desktop Support"/>
    <s v="Gurugram"/>
    <s v="Portal"/>
    <s v="Resolved"/>
    <n v="8"/>
    <n v="3.92"/>
    <n v="3.8"/>
    <s v="No"/>
    <x v="0"/>
  </r>
  <r>
    <s v="INC100989"/>
    <d v="2025-02-14T00:00:00"/>
    <d v="2025-02-14T12:15:00"/>
    <x v="0"/>
    <x v="1"/>
    <s v="Password Reset"/>
    <s v="Network Support"/>
    <s v="Hyderabad"/>
    <s v="Email"/>
    <s v="In Progress"/>
    <n v="48"/>
    <n v="12.25"/>
    <n v="5"/>
    <s v="No"/>
    <x v="0"/>
  </r>
  <r>
    <s v="INC100990"/>
    <d v="2025-05-23T00:00:00"/>
    <d v="2025-05-23T03:25:12"/>
    <x v="1"/>
    <x v="0"/>
    <s v="License"/>
    <s v="Service Desk"/>
    <s v="Delhi"/>
    <s v="Portal"/>
    <s v="Closed"/>
    <n v="24"/>
    <n v="3.42"/>
    <n v="5"/>
    <s v="No"/>
    <x v="0"/>
  </r>
  <r>
    <s v="INC100991"/>
    <d v="2025-03-04T00:00:00"/>
    <d v="2025-03-04T06:02:24"/>
    <x v="1"/>
    <x v="2"/>
    <s v="Link Down"/>
    <s v="Access Management"/>
    <s v="Gurugram"/>
    <s v="Portal"/>
    <s v="Pending"/>
    <n v="24"/>
    <n v="6.04"/>
    <n v="5"/>
    <s v="No"/>
    <x v="0"/>
  </r>
  <r>
    <s v="INC100992"/>
    <d v="2025-04-10T00:00:00"/>
    <d v="2025-04-10T14:50:24"/>
    <x v="0"/>
    <x v="4"/>
    <s v="Spam"/>
    <s v="Application Support"/>
    <s v="Delhi"/>
    <s v="Phone"/>
    <s v="Resolved"/>
    <n v="48"/>
    <n v="14.84"/>
    <n v="4.3"/>
    <s v="No"/>
    <x v="0"/>
  </r>
  <r>
    <s v="INC100993"/>
    <d v="2025-02-05T00:00:00"/>
    <d v="2025-02-05T04:03:00"/>
    <x v="3"/>
    <x v="3"/>
    <s v="Peripheral"/>
    <s v="Network Support"/>
    <s v="Gurugram"/>
    <s v="Portal"/>
    <s v="Resolved"/>
    <n v="8"/>
    <n v="4.05"/>
    <n v="4"/>
    <s v="No"/>
    <x v="0"/>
  </r>
  <r>
    <s v="INC100994"/>
    <d v="2025-03-20T00:00:00"/>
    <d v="2025-03-21T02:19:48"/>
    <x v="1"/>
    <x v="4"/>
    <s v="Configuration"/>
    <s v="Application Support"/>
    <s v="Bengaluru"/>
    <s v="Phone"/>
    <s v="Resolved"/>
    <n v="24"/>
    <n v="26.33"/>
    <n v="3.5"/>
    <s v="Yes"/>
    <x v="1"/>
  </r>
  <r>
    <s v="INC100995"/>
    <d v="2025-04-06T00:00:00"/>
    <d v="2025-04-06T12:06:36"/>
    <x v="0"/>
    <x v="0"/>
    <s v="Application Error"/>
    <s v="Network Support"/>
    <s v="Hyderabad"/>
    <s v="Portal"/>
    <s v="Closed"/>
    <n v="48"/>
    <n v="12.11"/>
    <n v="4.7"/>
    <s v="No"/>
    <x v="0"/>
  </r>
  <r>
    <s v="INC100996"/>
    <d v="2025-04-24T00:00:00"/>
    <d v="2025-04-24T02:26:24"/>
    <x v="3"/>
    <x v="0"/>
    <s v="Installation"/>
    <s v="Service Desk"/>
    <s v="Bengaluru"/>
    <s v="Email"/>
    <s v="Resolved"/>
    <n v="8"/>
    <n v="2.44"/>
    <n v="3.5"/>
    <s v="No"/>
    <x v="0"/>
  </r>
  <r>
    <s v="INC100997"/>
    <d v="2025-04-06T00:00:00"/>
    <d v="2025-04-07T12:47:24"/>
    <x v="1"/>
    <x v="2"/>
    <s v="Link Down"/>
    <s v="Desktop Support"/>
    <s v="Gurugram"/>
    <s v="Chat"/>
    <s v="Resolved"/>
    <n v="24"/>
    <n v="36.79"/>
    <n v="2.5"/>
    <s v="No"/>
    <x v="1"/>
  </r>
  <r>
    <s v="INC100998"/>
    <d v="2025-03-07T00:00:00"/>
    <d v="2025-03-07T03:07:12"/>
    <x v="3"/>
    <x v="4"/>
    <s v="Configuration"/>
    <s v="Service Desk"/>
    <s v="Hyderabad"/>
    <s v="Phone"/>
    <s v="Pending"/>
    <n v="8"/>
    <n v="3.12"/>
    <n v="5"/>
    <s v="No"/>
    <x v="0"/>
  </r>
  <r>
    <s v="INC100999"/>
    <d v="2025-06-24T00:00:00"/>
    <d v="2025-06-24T08:03:36"/>
    <x v="1"/>
    <x v="0"/>
    <s v="Performance"/>
    <s v="Application Support"/>
    <s v="Noida"/>
    <s v="Phone"/>
    <s v="Resolved"/>
    <n v="24"/>
    <n v="8.06"/>
    <n v="4.7"/>
    <s v="No"/>
    <x v="0"/>
  </r>
  <r>
    <s v="INC101000"/>
    <d v="2025-04-03T00:00:00"/>
    <d v="2025-04-03T02:46:12"/>
    <x v="3"/>
    <x v="2"/>
    <s v="Packet Loss"/>
    <s v="Network Support"/>
    <s v="Gurugram"/>
    <s v="Portal"/>
    <s v="Resolved"/>
    <n v="8"/>
    <n v="2.77"/>
    <n v="5"/>
    <s v="No"/>
    <x v="0"/>
  </r>
  <r>
    <s v="INC101001"/>
    <d v="2025-05-27T00:00:00"/>
    <d v="2025-05-27T14:10:12"/>
    <x v="1"/>
    <x v="2"/>
    <s v="Connectivity"/>
    <s v="Access Management"/>
    <s v="Bengaluru"/>
    <s v="Portal"/>
    <s v="Closed"/>
    <n v="24"/>
    <n v="14.17"/>
    <n v="5"/>
    <s v="No"/>
    <x v="0"/>
  </r>
  <r>
    <s v="INC101002"/>
    <d v="2025-05-14T00:00:00"/>
    <d v="2025-05-14T12:15:36"/>
    <x v="1"/>
    <x v="1"/>
    <s v="Account Lock"/>
    <s v="Desktop Support"/>
    <s v="Delhi"/>
    <s v="Phone"/>
    <s v="Resolved"/>
    <n v="24"/>
    <n v="12.26"/>
    <n v="4.2"/>
    <s v="No"/>
    <x v="0"/>
  </r>
  <r>
    <s v="INC101003"/>
    <d v="2025-04-12T00:00:00"/>
    <d v="2025-04-12T15:12:00"/>
    <x v="0"/>
    <x v="2"/>
    <s v="Connectivity"/>
    <s v="Service Desk"/>
    <s v="Noida"/>
    <s v="Phone"/>
    <s v="Resolved"/>
    <n v="48"/>
    <n v="15.2"/>
    <n v="4.4000000000000004"/>
    <s v="No"/>
    <x v="0"/>
  </r>
  <r>
    <s v="INC101004"/>
    <d v="2025-06-10T00:00:00"/>
    <d v="2025-06-10T09:46:48"/>
    <x v="1"/>
    <x v="0"/>
    <s v="Performance"/>
    <s v="Access Management"/>
    <s v="Mumbai"/>
    <s v="Phone"/>
    <s v="Resolved"/>
    <n v="24"/>
    <n v="9.7799999999999994"/>
    <n v="5"/>
    <s v="Yes"/>
    <x v="0"/>
  </r>
  <r>
    <s v="INC101005"/>
    <d v="2025-01-24T00:00:00"/>
    <d v="2025-01-24T22:49:12"/>
    <x v="1"/>
    <x v="0"/>
    <s v="License"/>
    <s v="Desktop Support"/>
    <s v="Bengaluru"/>
    <s v="Phone"/>
    <s v="Resolved"/>
    <n v="24"/>
    <n v="22.82"/>
    <n v="4.4000000000000004"/>
    <s v="No"/>
    <x v="0"/>
  </r>
  <r>
    <s v="INC101006"/>
    <d v="2025-06-16T00:00:00"/>
    <d v="2025-06-16T15:31:48"/>
    <x v="1"/>
    <x v="2"/>
    <s v="DNS"/>
    <s v="Desktop Support"/>
    <s v="Hyderabad"/>
    <s v="Portal"/>
    <s v="Resolved"/>
    <n v="24"/>
    <n v="15.53"/>
    <n v="4.9000000000000004"/>
    <s v="No"/>
    <x v="0"/>
  </r>
  <r>
    <s v="INC101007"/>
    <d v="2025-06-03T00:00:00"/>
    <d v="2025-06-04T06:59:24"/>
    <x v="1"/>
    <x v="0"/>
    <s v="Installation"/>
    <s v="Network Support"/>
    <s v="Mumbai"/>
    <s v="Portal"/>
    <s v="Closed"/>
    <n v="24"/>
    <n v="30.99"/>
    <n v="3.4"/>
    <s v="No"/>
    <x v="1"/>
  </r>
  <r>
    <s v="INC101008"/>
    <d v="2025-04-02T00:00:00"/>
    <d v="2025-04-02T03:31:12"/>
    <x v="3"/>
    <x v="2"/>
    <s v="Link Down"/>
    <s v="Access Management"/>
    <s v="Noida"/>
    <s v="Chat"/>
    <s v="Resolved"/>
    <n v="8"/>
    <n v="3.52"/>
    <n v="4.5999999999999996"/>
    <s v="No"/>
    <x v="0"/>
  </r>
  <r>
    <s v="INC101009"/>
    <d v="2025-05-13T00:00:00"/>
    <d v="2025-05-13T22:45:36"/>
    <x v="1"/>
    <x v="4"/>
    <s v="Configuration"/>
    <s v="Access Management"/>
    <s v="Mumbai"/>
    <s v="Email"/>
    <s v="Resolved"/>
    <n v="24"/>
    <n v="22.76"/>
    <n v="3.7"/>
    <s v="No"/>
    <x v="0"/>
  </r>
  <r>
    <s v="INC101010"/>
    <d v="2025-04-05T00:00:00"/>
    <d v="2025-04-06T22:36:36"/>
    <x v="0"/>
    <x v="1"/>
    <s v="Account Lock"/>
    <s v="Network Support"/>
    <s v="Hyderabad"/>
    <s v="Phone"/>
    <s v="Pending"/>
    <n v="48"/>
    <n v="46.61"/>
    <n v="3.8"/>
    <s v="No"/>
    <x v="0"/>
  </r>
  <r>
    <s v="INC101011"/>
    <d v="2025-02-18T00:00:00"/>
    <d v="2025-02-18T01:12:00"/>
    <x v="2"/>
    <x v="3"/>
    <s v="Peripheral"/>
    <s v="Access Management"/>
    <s v="Bengaluru"/>
    <s v="Email"/>
    <s v="Closed"/>
    <n v="4"/>
    <n v="1.2"/>
    <n v="4.2"/>
    <s v="No"/>
    <x v="0"/>
  </r>
  <r>
    <s v="INC101012"/>
    <d v="2025-05-25T00:00:00"/>
    <d v="2025-05-25T17:00:36"/>
    <x v="1"/>
    <x v="0"/>
    <s v="Performance"/>
    <s v="Application Support"/>
    <s v="Mumbai"/>
    <s v="Chat"/>
    <s v="Resolved"/>
    <n v="24"/>
    <n v="17.010000000000002"/>
    <n v="4.0999999999999996"/>
    <s v="No"/>
    <x v="0"/>
  </r>
  <r>
    <s v="INC101013"/>
    <d v="2025-02-14T00:00:00"/>
    <d v="2025-02-14T02:14:24"/>
    <x v="2"/>
    <x v="0"/>
    <s v="Installation"/>
    <s v="Desktop Support"/>
    <s v="Bengaluru"/>
    <s v="Phone"/>
    <s v="Pending"/>
    <n v="4"/>
    <n v="2.2400000000000002"/>
    <n v="4.2"/>
    <s v="No"/>
    <x v="0"/>
  </r>
  <r>
    <s v="INC101014"/>
    <d v="2025-02-26T00:00:00"/>
    <d v="2025-02-26T00:30:00"/>
    <x v="2"/>
    <x v="4"/>
    <s v="Delivery"/>
    <s v="Access Management"/>
    <s v="Hyderabad"/>
    <s v="Portal"/>
    <s v="Resolved"/>
    <n v="4"/>
    <n v="0.5"/>
    <n v="4.5999999999999996"/>
    <s v="No"/>
    <x v="0"/>
  </r>
  <r>
    <s v="INC101015"/>
    <d v="2025-04-04T00:00:00"/>
    <d v="2025-04-04T01:12:00"/>
    <x v="3"/>
    <x v="3"/>
    <s v="Laptop"/>
    <s v="Desktop Support"/>
    <s v="Gurugram"/>
    <s v="Phone"/>
    <s v="Resolved"/>
    <n v="8"/>
    <n v="1.2"/>
    <n v="5"/>
    <s v="No"/>
    <x v="0"/>
  </r>
  <r>
    <s v="INC101016"/>
    <d v="2025-06-01T00:00:00"/>
    <d v="2025-06-01T04:51:00"/>
    <x v="3"/>
    <x v="0"/>
    <s v="Installation"/>
    <s v="Application Support"/>
    <s v="Noida"/>
    <s v="Portal"/>
    <s v="In Progress"/>
    <n v="8"/>
    <n v="4.8499999999999996"/>
    <n v="3.4"/>
    <s v="No"/>
    <x v="0"/>
  </r>
  <r>
    <s v="INC101017"/>
    <d v="2025-03-11T00:00:00"/>
    <d v="2025-03-11T02:39:36"/>
    <x v="1"/>
    <x v="4"/>
    <s v="Spam"/>
    <s v="Network Support"/>
    <s v="Gurugram"/>
    <s v="Portal"/>
    <s v="Resolved"/>
    <n v="24"/>
    <n v="2.66"/>
    <n v="5"/>
    <s v="No"/>
    <x v="0"/>
  </r>
  <r>
    <s v="INC101018"/>
    <d v="2025-03-31T00:00:00"/>
    <d v="2025-03-31T04:07:12"/>
    <x v="0"/>
    <x v="2"/>
    <s v="DNS"/>
    <s v="Network Support"/>
    <s v="Delhi"/>
    <s v="Phone"/>
    <s v="Resolved"/>
    <n v="48"/>
    <n v="4.12"/>
    <n v="4.3"/>
    <s v="No"/>
    <x v="0"/>
  </r>
  <r>
    <s v="INC101019"/>
    <d v="2025-01-08T00:00:00"/>
    <d v="2025-01-08T13:12:36"/>
    <x v="1"/>
    <x v="0"/>
    <s v="Performance"/>
    <s v="Desktop Support"/>
    <s v="Bengaluru"/>
    <s v="Portal"/>
    <s v="Closed"/>
    <n v="24"/>
    <n v="13.21"/>
    <n v="3.8"/>
    <s v="No"/>
    <x v="0"/>
  </r>
  <r>
    <s v="INC101020"/>
    <d v="2025-01-21T00:00:00"/>
    <d v="2025-01-21T00:30:00"/>
    <x v="3"/>
    <x v="2"/>
    <s v="Link Down"/>
    <s v="Service Desk"/>
    <s v="Delhi"/>
    <s v="Portal"/>
    <s v="Resolved"/>
    <n v="8"/>
    <n v="0.5"/>
    <n v="4.4000000000000004"/>
    <s v="Yes"/>
    <x v="0"/>
  </r>
  <r>
    <s v="INC101021"/>
    <d v="2025-01-11T00:00:00"/>
    <d v="2025-01-11T05:15:00"/>
    <x v="1"/>
    <x v="0"/>
    <s v="License"/>
    <s v="Access Management"/>
    <s v="Gurugram"/>
    <s v="Email"/>
    <s v="Resolved"/>
    <n v="24"/>
    <n v="5.25"/>
    <n v="5"/>
    <s v="No"/>
    <x v="0"/>
  </r>
  <r>
    <s v="INC101022"/>
    <d v="2025-01-14T00:00:00"/>
    <d v="2025-01-14T04:23:24"/>
    <x v="3"/>
    <x v="3"/>
    <s v="Monitor"/>
    <s v="Network Support"/>
    <s v="Mumbai"/>
    <s v="Chat"/>
    <s v="Closed"/>
    <n v="8"/>
    <n v="4.3899999999999997"/>
    <n v="2.9"/>
    <s v="No"/>
    <x v="0"/>
  </r>
  <r>
    <s v="INC101023"/>
    <d v="2025-06-07T00:00:00"/>
    <d v="2025-06-07T23:06:00"/>
    <x v="0"/>
    <x v="4"/>
    <s v="Configuration"/>
    <s v="Application Support"/>
    <s v="Gurugram"/>
    <s v="Portal"/>
    <s v="Resolved"/>
    <n v="48"/>
    <n v="23.1"/>
    <n v="4.5"/>
    <s v="No"/>
    <x v="0"/>
  </r>
  <r>
    <s v="INC101024"/>
    <d v="2025-06-02T00:00:00"/>
    <d v="2025-06-02T11:33:00"/>
    <x v="1"/>
    <x v="3"/>
    <s v="Printer"/>
    <s v="Application Support"/>
    <s v="Hyderabad"/>
    <s v="Phone"/>
    <s v="Resolved"/>
    <n v="24"/>
    <n v="11.55"/>
    <n v="4.5"/>
    <s v="No"/>
    <x v="0"/>
  </r>
  <r>
    <s v="INC101025"/>
    <d v="2025-05-29T00:00:00"/>
    <d v="2025-05-29T19:18:36"/>
    <x v="1"/>
    <x v="2"/>
    <s v="DNS"/>
    <s v="Access Management"/>
    <s v="Delhi"/>
    <s v="Email"/>
    <s v="Resolved"/>
    <n v="24"/>
    <n v="19.309999999999999"/>
    <n v="3.4"/>
    <s v="No"/>
    <x v="0"/>
  </r>
  <r>
    <s v="INC101026"/>
    <d v="2025-01-11T00:00:00"/>
    <d v="2025-01-12T01:04:12"/>
    <x v="1"/>
    <x v="1"/>
    <s v="VPN Access"/>
    <s v="Access Management"/>
    <s v="Noida"/>
    <s v="Portal"/>
    <s v="Resolved"/>
    <n v="24"/>
    <n v="25.07"/>
    <n v="3.9"/>
    <s v="Yes"/>
    <x v="1"/>
  </r>
  <r>
    <s v="INC101027"/>
    <d v="2025-01-15T00:00:00"/>
    <d v="2025-01-17T05:39:00"/>
    <x v="0"/>
    <x v="1"/>
    <s v="Account Lock"/>
    <s v="Access Management"/>
    <s v="Delhi"/>
    <s v="Phone"/>
    <s v="Resolved"/>
    <n v="48"/>
    <n v="53.65"/>
    <n v="2.9"/>
    <s v="No"/>
    <x v="1"/>
  </r>
  <r>
    <s v="INC101028"/>
    <d v="2025-02-20T00:00:00"/>
    <d v="2025-02-23T05:51:36"/>
    <x v="0"/>
    <x v="0"/>
    <s v="Installation"/>
    <s v="Service Desk"/>
    <s v="Delhi"/>
    <s v="Email"/>
    <s v="Closed"/>
    <n v="48"/>
    <n v="77.86"/>
    <n v="3"/>
    <s v="No"/>
    <x v="1"/>
  </r>
  <r>
    <s v="INC101029"/>
    <d v="2025-04-13T00:00:00"/>
    <d v="2025-04-13T00:30:00"/>
    <x v="3"/>
    <x v="1"/>
    <s v="VPN Access"/>
    <s v="Application Support"/>
    <s v="Mumbai"/>
    <s v="Phone"/>
    <s v="Resolved"/>
    <n v="8"/>
    <n v="0.5"/>
    <n v="4.0999999999999996"/>
    <s v="No"/>
    <x v="0"/>
  </r>
  <r>
    <s v="INC101030"/>
    <d v="2025-03-02T00:00:00"/>
    <d v="2025-03-02T06:48:36"/>
    <x v="1"/>
    <x v="2"/>
    <s v="Connectivity"/>
    <s v="Network Support"/>
    <s v="Delhi"/>
    <s v="Phone"/>
    <s v="Closed"/>
    <n v="24"/>
    <n v="6.81"/>
    <n v="5"/>
    <s v="Yes"/>
    <x v="0"/>
  </r>
  <r>
    <s v="INC101031"/>
    <d v="2025-03-30T00:00:00"/>
    <d v="2025-03-30T09:52:48"/>
    <x v="0"/>
    <x v="0"/>
    <s v="License"/>
    <s v="Desktop Support"/>
    <s v="Hyderabad"/>
    <s v="Chat"/>
    <s v="Resolved"/>
    <n v="48"/>
    <n v="9.8800000000000008"/>
    <n v="5"/>
    <s v="No"/>
    <x v="0"/>
  </r>
  <r>
    <s v="INC101032"/>
    <d v="2025-02-01T00:00:00"/>
    <d v="2025-02-04T07:28:48"/>
    <x v="0"/>
    <x v="2"/>
    <s v="Connectivity"/>
    <s v="Service Desk"/>
    <s v="Bengaluru"/>
    <s v="Phone"/>
    <s v="Resolved"/>
    <n v="48"/>
    <n v="79.48"/>
    <n v="3.2"/>
    <s v="No"/>
    <x v="1"/>
  </r>
  <r>
    <s v="INC101033"/>
    <d v="2025-05-13T00:00:00"/>
    <d v="2025-05-13T13:22:48"/>
    <x v="1"/>
    <x v="2"/>
    <s v="DNS"/>
    <s v="Service Desk"/>
    <s v="Noida"/>
    <s v="Portal"/>
    <s v="Pending"/>
    <n v="24"/>
    <n v="13.38"/>
    <n v="3.7"/>
    <s v="Yes"/>
    <x v="0"/>
  </r>
  <r>
    <s v="INC101034"/>
    <d v="2025-02-26T00:00:00"/>
    <d v="2025-02-26T23:59:24"/>
    <x v="0"/>
    <x v="4"/>
    <s v="Delivery"/>
    <s v="Desktop Support"/>
    <s v="Hyderabad"/>
    <s v="Phone"/>
    <s v="Resolved"/>
    <n v="48"/>
    <n v="23.99"/>
    <n v="4.2"/>
    <s v="No"/>
    <x v="0"/>
  </r>
  <r>
    <s v="INC101035"/>
    <d v="2025-01-13T00:00:00"/>
    <d v="2025-01-13T08:55:48"/>
    <x v="1"/>
    <x v="1"/>
    <s v="Permission"/>
    <s v="Network Support"/>
    <s v="Noida"/>
    <s v="Email"/>
    <s v="Resolved"/>
    <n v="24"/>
    <n v="8.93"/>
    <n v="4.4000000000000004"/>
    <s v="No"/>
    <x v="0"/>
  </r>
  <r>
    <s v="INC101036"/>
    <d v="2025-05-15T00:00:00"/>
    <d v="2025-05-15T02:51:00"/>
    <x v="3"/>
    <x v="2"/>
    <s v="Link Down"/>
    <s v="Desktop Support"/>
    <s v="Noida"/>
    <s v="Portal"/>
    <s v="Pending"/>
    <n v="8"/>
    <n v="2.85"/>
    <n v="4.7"/>
    <s v="Yes"/>
    <x v="0"/>
  </r>
  <r>
    <s v="INC101037"/>
    <d v="2025-06-13T00:00:00"/>
    <d v="2025-06-13T17:00:36"/>
    <x v="0"/>
    <x v="2"/>
    <s v="Packet Loss"/>
    <s v="Desktop Support"/>
    <s v="Noida"/>
    <s v="Email"/>
    <s v="Resolved"/>
    <n v="48"/>
    <n v="17.010000000000002"/>
    <n v="4.8"/>
    <s v="No"/>
    <x v="0"/>
  </r>
  <r>
    <s v="INC101038"/>
    <d v="2025-01-03T00:00:00"/>
    <d v="2025-01-03T09:06:36"/>
    <x v="1"/>
    <x v="4"/>
    <s v="Spam"/>
    <s v="Service Desk"/>
    <s v="Bengaluru"/>
    <s v="Phone"/>
    <s v="Resolved"/>
    <n v="24"/>
    <n v="9.11"/>
    <n v="4.7"/>
    <s v="No"/>
    <x v="0"/>
  </r>
  <r>
    <s v="INC101039"/>
    <d v="2025-03-21T00:00:00"/>
    <d v="2025-03-21T16:47:24"/>
    <x v="0"/>
    <x v="2"/>
    <s v="Link Down"/>
    <s v="Desktop Support"/>
    <s v="Hyderabad"/>
    <s v="Portal"/>
    <s v="Resolved"/>
    <n v="48"/>
    <n v="16.79"/>
    <n v="4.8"/>
    <s v="No"/>
    <x v="0"/>
  </r>
  <r>
    <s v="INC101040"/>
    <d v="2025-05-30T00:00:00"/>
    <d v="2025-05-31T09:43:12"/>
    <x v="1"/>
    <x v="2"/>
    <s v="Connectivity"/>
    <s v="Application Support"/>
    <s v="Bengaluru"/>
    <s v="Portal"/>
    <s v="Closed"/>
    <n v="24"/>
    <n v="33.72"/>
    <n v="3.2"/>
    <s v="No"/>
    <x v="1"/>
  </r>
  <r>
    <s v="INC101041"/>
    <d v="2025-05-08T00:00:00"/>
    <d v="2025-05-08T16:12:36"/>
    <x v="3"/>
    <x v="2"/>
    <s v="Connectivity"/>
    <s v="Application Support"/>
    <s v="Gurugram"/>
    <s v="Email"/>
    <s v="Resolved"/>
    <n v="8"/>
    <n v="16.21"/>
    <n v="2.8"/>
    <s v="Yes"/>
    <x v="1"/>
  </r>
  <r>
    <s v="INC101042"/>
    <d v="2025-06-05T00:00:00"/>
    <d v="2025-06-06T22:44:24"/>
    <x v="1"/>
    <x v="2"/>
    <s v="DNS"/>
    <s v="Network Support"/>
    <s v="Hyderabad"/>
    <s v="Portal"/>
    <s v="Closed"/>
    <n v="24"/>
    <n v="46.74"/>
    <n v="2.2000000000000002"/>
    <s v="No"/>
    <x v="1"/>
  </r>
  <r>
    <s v="INC101043"/>
    <d v="2025-03-17T00:00:00"/>
    <d v="2025-03-17T00:46:48"/>
    <x v="3"/>
    <x v="3"/>
    <s v="Printer"/>
    <s v="Desktop Support"/>
    <s v="Bengaluru"/>
    <s v="Phone"/>
    <s v="Closed"/>
    <n v="8"/>
    <n v="0.78"/>
    <n v="4.2"/>
    <s v="No"/>
    <x v="0"/>
  </r>
  <r>
    <s v="INC101044"/>
    <d v="2025-03-09T00:00:00"/>
    <d v="2025-03-09T15:01:48"/>
    <x v="0"/>
    <x v="4"/>
    <s v="Spam"/>
    <s v="Application Support"/>
    <s v="Mumbai"/>
    <s v="Portal"/>
    <s v="Closed"/>
    <n v="48"/>
    <n v="15.03"/>
    <n v="5"/>
    <s v="No"/>
    <x v="0"/>
  </r>
  <r>
    <s v="INC101045"/>
    <d v="2025-05-09T00:00:00"/>
    <d v="2025-05-09T01:45:36"/>
    <x v="1"/>
    <x v="3"/>
    <s v="Peripheral"/>
    <s v="Application Support"/>
    <s v="Noida"/>
    <s v="Phone"/>
    <s v="Resolved"/>
    <n v="24"/>
    <n v="1.76"/>
    <n v="5"/>
    <s v="No"/>
    <x v="0"/>
  </r>
  <r>
    <s v="INC101046"/>
    <d v="2025-01-28T00:00:00"/>
    <d v="2025-01-29T23:51:00"/>
    <x v="1"/>
    <x v="0"/>
    <s v="Performance"/>
    <s v="Desktop Support"/>
    <s v="Gurugram"/>
    <s v="Phone"/>
    <s v="Resolved"/>
    <n v="24"/>
    <n v="47.85"/>
    <n v="3.8"/>
    <s v="No"/>
    <x v="1"/>
  </r>
  <r>
    <s v="INC101047"/>
    <d v="2025-02-13T00:00:00"/>
    <d v="2025-02-13T16:38:24"/>
    <x v="1"/>
    <x v="1"/>
    <s v="Permission"/>
    <s v="Network Support"/>
    <s v="Hyderabad"/>
    <s v="Portal"/>
    <s v="Closed"/>
    <n v="24"/>
    <n v="16.64"/>
    <n v="4"/>
    <s v="No"/>
    <x v="0"/>
  </r>
  <r>
    <s v="INC101048"/>
    <d v="2025-04-19T00:00:00"/>
    <d v="2025-04-19T03:43:12"/>
    <x v="2"/>
    <x v="0"/>
    <s v="Application Error"/>
    <s v="Network Support"/>
    <s v="Mumbai"/>
    <s v="Email"/>
    <s v="In Progress"/>
    <n v="4"/>
    <n v="3.72"/>
    <n v="5"/>
    <s v="Yes"/>
    <x v="0"/>
  </r>
  <r>
    <s v="INC101049"/>
    <d v="2025-05-01T00:00:00"/>
    <d v="2025-05-01T22:31:48"/>
    <x v="0"/>
    <x v="1"/>
    <s v="Permission"/>
    <s v="Service Desk"/>
    <s v="Gurugram"/>
    <s v="Portal"/>
    <s v="Resolved"/>
    <n v="48"/>
    <n v="22.53"/>
    <n v="4.5"/>
    <s v="No"/>
    <x v="0"/>
  </r>
  <r>
    <s v="INC101050"/>
    <d v="2025-01-22T00:00:00"/>
    <d v="2025-01-22T04:00:36"/>
    <x v="3"/>
    <x v="0"/>
    <s v="Application Error"/>
    <s v="Application Support"/>
    <s v="Hyderabad"/>
    <s v="Portal"/>
    <s v="Resolved"/>
    <n v="8"/>
    <n v="4.01"/>
    <n v="5"/>
    <s v="No"/>
    <x v="0"/>
  </r>
  <r>
    <s v="INC101051"/>
    <d v="2025-04-03T00:00:00"/>
    <d v="2025-04-03T09:36:00"/>
    <x v="3"/>
    <x v="0"/>
    <s v="Performance"/>
    <s v="Application Support"/>
    <s v="Delhi"/>
    <s v="Email"/>
    <s v="Closed"/>
    <n v="8"/>
    <n v="9.6"/>
    <n v="3.6"/>
    <s v="No"/>
    <x v="1"/>
  </r>
  <r>
    <s v="INC101052"/>
    <d v="2025-03-08T00:00:00"/>
    <d v="2025-03-08T13:16:48"/>
    <x v="1"/>
    <x v="0"/>
    <s v="Application Error"/>
    <s v="Application Support"/>
    <s v="Hyderabad"/>
    <s v="Portal"/>
    <s v="Closed"/>
    <n v="24"/>
    <n v="13.28"/>
    <n v="4.4000000000000004"/>
    <s v="No"/>
    <x v="0"/>
  </r>
  <r>
    <s v="INC101053"/>
    <d v="2025-04-01T00:00:00"/>
    <d v="2025-04-01T13:42:00"/>
    <x v="1"/>
    <x v="1"/>
    <s v="Permission"/>
    <s v="Service Desk"/>
    <s v="Bengaluru"/>
    <s v="Phone"/>
    <s v="In Progress"/>
    <n v="24"/>
    <n v="13.7"/>
    <n v="4.2"/>
    <s v="No"/>
    <x v="0"/>
  </r>
  <r>
    <s v="INC101054"/>
    <d v="2025-06-23T00:00:00"/>
    <d v="2025-06-23T21:02:24"/>
    <x v="1"/>
    <x v="0"/>
    <s v="Installation"/>
    <s v="Desktop Support"/>
    <s v="Bengaluru"/>
    <s v="Email"/>
    <s v="Closed"/>
    <n v="24"/>
    <n v="21.04"/>
    <n v="3.6"/>
    <s v="No"/>
    <x v="0"/>
  </r>
  <r>
    <s v="INC101055"/>
    <d v="2025-01-14T00:00:00"/>
    <d v="2025-01-15T14:34:47"/>
    <x v="0"/>
    <x v="1"/>
    <s v="Password Reset"/>
    <s v="Network Support"/>
    <s v="Delhi"/>
    <s v="Portal"/>
    <s v="Resolved"/>
    <n v="48"/>
    <n v="38.58"/>
    <n v="4.7"/>
    <s v="No"/>
    <x v="0"/>
  </r>
  <r>
    <s v="INC101056"/>
    <d v="2025-06-30T00:00:00"/>
    <d v="2025-06-30T04:18:36"/>
    <x v="3"/>
    <x v="2"/>
    <s v="Link Down"/>
    <s v="Application Support"/>
    <s v="Gurugram"/>
    <s v="Portal"/>
    <s v="Closed"/>
    <n v="8"/>
    <n v="4.3099999999999996"/>
    <n v="4.3"/>
    <s v="No"/>
    <x v="0"/>
  </r>
  <r>
    <s v="INC101057"/>
    <d v="2025-03-23T00:00:00"/>
    <d v="2025-03-23T08:45:00"/>
    <x v="1"/>
    <x v="0"/>
    <s v="Application Error"/>
    <s v="Service Desk"/>
    <s v="Mumbai"/>
    <s v="Phone"/>
    <s v="In Progress"/>
    <n v="24"/>
    <n v="8.75"/>
    <n v="5"/>
    <s v="No"/>
    <x v="0"/>
  </r>
  <r>
    <s v="INC101058"/>
    <d v="2025-05-20T00:00:00"/>
    <d v="2025-05-20T02:44:24"/>
    <x v="3"/>
    <x v="1"/>
    <s v="Password Reset"/>
    <s v="Desktop Support"/>
    <s v="Bengaluru"/>
    <s v="Portal"/>
    <s v="Resolved"/>
    <n v="8"/>
    <n v="2.74"/>
    <n v="5"/>
    <s v="No"/>
    <x v="0"/>
  </r>
  <r>
    <s v="INC101059"/>
    <d v="2025-03-18T00:00:00"/>
    <d v="2025-03-19T03:06:36"/>
    <x v="1"/>
    <x v="3"/>
    <s v="Peripheral"/>
    <s v="Desktop Support"/>
    <s v="Delhi"/>
    <s v="Phone"/>
    <s v="Resolved"/>
    <n v="24"/>
    <n v="27.11"/>
    <n v="4.5999999999999996"/>
    <s v="No"/>
    <x v="1"/>
  </r>
  <r>
    <s v="INC101060"/>
    <d v="2025-02-26T00:00:00"/>
    <d v="2025-02-26T13:55:12"/>
    <x v="1"/>
    <x v="1"/>
    <s v="Account Lock"/>
    <s v="Service Desk"/>
    <s v="Bengaluru"/>
    <s v="Portal"/>
    <s v="Resolved"/>
    <n v="24"/>
    <n v="13.92"/>
    <n v="4.5999999999999996"/>
    <s v="Yes"/>
    <x v="0"/>
  </r>
  <r>
    <s v="INC101061"/>
    <d v="2025-05-20T00:00:00"/>
    <d v="2025-05-20T06:40:48"/>
    <x v="1"/>
    <x v="3"/>
    <s v="Monitor"/>
    <s v="Network Support"/>
    <s v="Mumbai"/>
    <s v="Chat"/>
    <s v="Resolved"/>
    <n v="24"/>
    <n v="6.68"/>
    <n v="3.7"/>
    <s v="No"/>
    <x v="0"/>
  </r>
  <r>
    <s v="INC101062"/>
    <d v="2025-05-05T00:00:00"/>
    <d v="2025-05-06T00:06:36"/>
    <x v="1"/>
    <x v="2"/>
    <s v="Connectivity"/>
    <s v="Access Management"/>
    <s v="Gurugram"/>
    <s v="Portal"/>
    <s v="In Progress"/>
    <n v="24"/>
    <n v="24.11"/>
    <n v="3.6"/>
    <s v="No"/>
    <x v="1"/>
  </r>
  <r>
    <s v="INC101063"/>
    <d v="2025-01-27T00:00:00"/>
    <d v="2025-01-27T04:15:00"/>
    <x v="3"/>
    <x v="1"/>
    <s v="Account Lock"/>
    <s v="Network Support"/>
    <s v="Mumbai"/>
    <s v="Email"/>
    <s v="Resolved"/>
    <n v="8"/>
    <n v="4.25"/>
    <n v="4.3"/>
    <s v="No"/>
    <x v="0"/>
  </r>
  <r>
    <s v="INC101064"/>
    <d v="2025-05-08T00:00:00"/>
    <d v="2025-05-08T04:27:36"/>
    <x v="0"/>
    <x v="2"/>
    <s v="Link Down"/>
    <s v="Access Management"/>
    <s v="Hyderabad"/>
    <s v="Email"/>
    <s v="Closed"/>
    <n v="48"/>
    <n v="4.46"/>
    <n v="4.9000000000000004"/>
    <s v="No"/>
    <x v="0"/>
  </r>
  <r>
    <s v="INC101065"/>
    <d v="2025-05-17T00:00:00"/>
    <d v="2025-05-17T01:10:12"/>
    <x v="2"/>
    <x v="3"/>
    <s v="Printer"/>
    <s v="Network Support"/>
    <s v="Noida"/>
    <s v="Portal"/>
    <s v="Resolved"/>
    <n v="4"/>
    <n v="1.17"/>
    <n v="5"/>
    <s v="No"/>
    <x v="0"/>
  </r>
  <r>
    <s v="INC101066"/>
    <d v="2025-03-12T00:00:00"/>
    <d v="2025-03-12T04:15:36"/>
    <x v="3"/>
    <x v="3"/>
    <s v="Laptop"/>
    <s v="Network Support"/>
    <s v="Gurugram"/>
    <s v="Phone"/>
    <s v="Resolved"/>
    <n v="8"/>
    <n v="4.26"/>
    <n v="5"/>
    <s v="No"/>
    <x v="0"/>
  </r>
  <r>
    <s v="INC101067"/>
    <d v="2025-06-17T00:00:00"/>
    <d v="2025-06-17T00:56:24"/>
    <x v="3"/>
    <x v="4"/>
    <s v="Configuration"/>
    <s v="Access Management"/>
    <s v="Hyderabad"/>
    <s v="Portal"/>
    <s v="Resolved"/>
    <n v="8"/>
    <n v="0.94"/>
    <n v="4.8"/>
    <s v="No"/>
    <x v="0"/>
  </r>
  <r>
    <s v="INC101068"/>
    <d v="2025-04-27T00:00:00"/>
    <d v="2025-04-27T16:03:00"/>
    <x v="1"/>
    <x v="3"/>
    <s v="Laptop"/>
    <s v="Access Management"/>
    <s v="Hyderabad"/>
    <s v="Portal"/>
    <s v="Resolved"/>
    <n v="24"/>
    <n v="16.05"/>
    <n v="5"/>
    <s v="No"/>
    <x v="0"/>
  </r>
  <r>
    <s v="INC101069"/>
    <d v="2025-03-02T00:00:00"/>
    <d v="2025-03-02T06:02:24"/>
    <x v="3"/>
    <x v="0"/>
    <s v="Performance"/>
    <s v="Access Management"/>
    <s v="Noida"/>
    <s v="Portal"/>
    <s v="Closed"/>
    <n v="8"/>
    <n v="6.04"/>
    <n v="3.9"/>
    <s v="No"/>
    <x v="0"/>
  </r>
  <r>
    <s v="INC101070"/>
    <d v="2025-01-02T00:00:00"/>
    <d v="2025-01-03T01:37:48"/>
    <x v="1"/>
    <x v="1"/>
    <s v="Password Reset"/>
    <s v="Application Support"/>
    <s v="Noida"/>
    <s v="Email"/>
    <s v="Resolved"/>
    <n v="24"/>
    <n v="25.63"/>
    <n v="3.5"/>
    <s v="No"/>
    <x v="1"/>
  </r>
  <r>
    <s v="INC101071"/>
    <d v="2025-05-03T00:00:00"/>
    <d v="2025-05-03T04:57:36"/>
    <x v="3"/>
    <x v="0"/>
    <s v="License"/>
    <s v="Desktop Support"/>
    <s v="Hyderabad"/>
    <s v="Phone"/>
    <s v="Closed"/>
    <n v="8"/>
    <n v="4.96"/>
    <n v="3.5"/>
    <s v="No"/>
    <x v="0"/>
  </r>
  <r>
    <s v="INC101072"/>
    <d v="2025-02-07T00:00:00"/>
    <d v="2025-02-07T14:43:48"/>
    <x v="0"/>
    <x v="4"/>
    <s v="Delivery"/>
    <s v="Network Support"/>
    <s v="Delhi"/>
    <s v="Portal"/>
    <s v="Pending"/>
    <n v="48"/>
    <n v="14.73"/>
    <n v="3.6"/>
    <s v="No"/>
    <x v="0"/>
  </r>
  <r>
    <s v="INC101073"/>
    <d v="2025-05-17T00:00:00"/>
    <d v="2025-05-17T02:18:36"/>
    <x v="1"/>
    <x v="1"/>
    <s v="VPN Access"/>
    <s v="Desktop Support"/>
    <s v="Gurugram"/>
    <s v="Phone"/>
    <s v="Resolved"/>
    <n v="24"/>
    <n v="2.31"/>
    <n v="4.0999999999999996"/>
    <s v="No"/>
    <x v="0"/>
  </r>
  <r>
    <s v="INC101074"/>
    <d v="2025-04-06T00:00:00"/>
    <d v="2025-04-06T02:12:00"/>
    <x v="1"/>
    <x v="3"/>
    <s v="Peripheral"/>
    <s v="Desktop Support"/>
    <s v="Bengaluru"/>
    <s v="Phone"/>
    <s v="Resolved"/>
    <n v="24"/>
    <n v="2.2000000000000002"/>
    <n v="5"/>
    <s v="No"/>
    <x v="0"/>
  </r>
  <r>
    <s v="INC101075"/>
    <d v="2025-03-26T00:00:00"/>
    <d v="2025-03-26T11:03:36"/>
    <x v="1"/>
    <x v="4"/>
    <s v="Configuration"/>
    <s v="Application Support"/>
    <s v="Bengaluru"/>
    <s v="Portal"/>
    <s v="Closed"/>
    <n v="24"/>
    <n v="11.06"/>
    <n v="4.9000000000000004"/>
    <s v="No"/>
    <x v="0"/>
  </r>
  <r>
    <s v="INC101076"/>
    <d v="2025-01-30T00:00:00"/>
    <d v="2025-01-30T11:03:36"/>
    <x v="1"/>
    <x v="0"/>
    <s v="Performance"/>
    <s v="Network Support"/>
    <s v="Bengaluru"/>
    <s v="Portal"/>
    <s v="Resolved"/>
    <n v="24"/>
    <n v="11.06"/>
    <n v="3.9"/>
    <s v="No"/>
    <x v="0"/>
  </r>
  <r>
    <s v="INC101077"/>
    <d v="2025-05-09T00:00:00"/>
    <d v="2025-05-09T00:54:00"/>
    <x v="3"/>
    <x v="2"/>
    <s v="DNS"/>
    <s v="Network Support"/>
    <s v="Noida"/>
    <s v="Portal"/>
    <s v="Resolved"/>
    <n v="8"/>
    <n v="0.9"/>
    <n v="4.9000000000000004"/>
    <s v="No"/>
    <x v="0"/>
  </r>
  <r>
    <s v="INC101078"/>
    <d v="2025-01-31T00:00:00"/>
    <d v="2025-02-01T07:30:00"/>
    <x v="0"/>
    <x v="2"/>
    <s v="Connectivity"/>
    <s v="Desktop Support"/>
    <s v="Hyderabad"/>
    <s v="Portal"/>
    <s v="In Progress"/>
    <n v="48"/>
    <n v="31.5"/>
    <n v="4.7"/>
    <s v="No"/>
    <x v="0"/>
  </r>
  <r>
    <s v="INC101079"/>
    <d v="2025-03-17T00:00:00"/>
    <d v="2025-03-17T02:57:00"/>
    <x v="3"/>
    <x v="0"/>
    <s v="Performance"/>
    <s v="Access Management"/>
    <s v="Bengaluru"/>
    <s v="Phone"/>
    <s v="Resolved"/>
    <n v="8"/>
    <n v="2.95"/>
    <n v="3.2"/>
    <s v="No"/>
    <x v="0"/>
  </r>
  <r>
    <s v="INC101080"/>
    <d v="2025-06-01T00:00:00"/>
    <d v="2025-06-01T10:45:00"/>
    <x v="0"/>
    <x v="2"/>
    <s v="DNS"/>
    <s v="Access Management"/>
    <s v="Bengaluru"/>
    <s v="Email"/>
    <s v="Closed"/>
    <n v="48"/>
    <n v="10.75"/>
    <n v="5"/>
    <s v="No"/>
    <x v="0"/>
  </r>
  <r>
    <s v="INC101081"/>
    <d v="2025-06-16T00:00:00"/>
    <d v="2025-06-16T01:22:12"/>
    <x v="3"/>
    <x v="0"/>
    <s v="Installation"/>
    <s v="Desktop Support"/>
    <s v="Hyderabad"/>
    <s v="Portal"/>
    <s v="Resolved"/>
    <n v="8"/>
    <n v="1.37"/>
    <n v="5"/>
    <s v="Yes"/>
    <x v="0"/>
  </r>
  <r>
    <s v="INC101082"/>
    <d v="2025-06-29T00:00:00"/>
    <d v="2025-06-29T11:18:36"/>
    <x v="3"/>
    <x v="3"/>
    <s v="Peripheral"/>
    <s v="Service Desk"/>
    <s v="Delhi"/>
    <s v="Phone"/>
    <s v="Closed"/>
    <n v="8"/>
    <n v="11.31"/>
    <n v="3.8"/>
    <s v="No"/>
    <x v="1"/>
  </r>
  <r>
    <s v="INC101083"/>
    <d v="2025-06-23T00:00:00"/>
    <d v="2025-06-23T01:55:12"/>
    <x v="1"/>
    <x v="0"/>
    <s v="Performance"/>
    <s v="Desktop Support"/>
    <s v="Mumbai"/>
    <s v="Portal"/>
    <s v="Closed"/>
    <n v="24"/>
    <n v="1.92"/>
    <n v="5"/>
    <s v="No"/>
    <x v="0"/>
  </r>
  <r>
    <s v="INC101084"/>
    <d v="2025-04-11T00:00:00"/>
    <d v="2025-04-11T13:25:12"/>
    <x v="3"/>
    <x v="2"/>
    <s v="Link Down"/>
    <s v="Desktop Support"/>
    <s v="Hyderabad"/>
    <s v="Phone"/>
    <s v="Resolved"/>
    <n v="8"/>
    <n v="13.42"/>
    <n v="1.7"/>
    <s v="No"/>
    <x v="1"/>
  </r>
  <r>
    <s v="INC101085"/>
    <d v="2025-02-06T00:00:00"/>
    <d v="2025-02-06T01:53:24"/>
    <x v="3"/>
    <x v="1"/>
    <s v="Account Lock"/>
    <s v="Application Support"/>
    <s v="Bengaluru"/>
    <s v="Email"/>
    <s v="Resolved"/>
    <n v="8"/>
    <n v="1.89"/>
    <n v="4.5999999999999996"/>
    <s v="No"/>
    <x v="0"/>
  </r>
  <r>
    <s v="INC101086"/>
    <d v="2025-06-01T00:00:00"/>
    <d v="2025-06-01T14:16:12"/>
    <x v="3"/>
    <x v="3"/>
    <s v="Laptop"/>
    <s v="Service Desk"/>
    <s v="Bengaluru"/>
    <s v="Portal"/>
    <s v="Resolved"/>
    <n v="8"/>
    <n v="14.27"/>
    <n v="3.7"/>
    <s v="Yes"/>
    <x v="1"/>
  </r>
  <r>
    <s v="INC101087"/>
    <d v="2025-05-26T00:00:00"/>
    <d v="2025-05-26T02:27:00"/>
    <x v="1"/>
    <x v="2"/>
    <s v="DNS"/>
    <s v="Service Desk"/>
    <s v="Noida"/>
    <s v="Email"/>
    <s v="Resolved"/>
    <n v="24"/>
    <n v="2.4500000000000002"/>
    <n v="4.9000000000000004"/>
    <s v="No"/>
    <x v="0"/>
  </r>
  <r>
    <s v="INC101088"/>
    <d v="2025-06-29T00:00:00"/>
    <d v="2025-06-29T16:50:24"/>
    <x v="1"/>
    <x v="3"/>
    <s v="Printer"/>
    <s v="Desktop Support"/>
    <s v="Gurugram"/>
    <s v="Portal"/>
    <s v="Closed"/>
    <n v="24"/>
    <n v="16.84"/>
    <n v="4.5999999999999996"/>
    <s v="No"/>
    <x v="0"/>
  </r>
  <r>
    <s v="INC101089"/>
    <d v="2025-04-28T00:00:00"/>
    <d v="2025-04-28T09:51:36"/>
    <x v="3"/>
    <x v="0"/>
    <s v="Installation"/>
    <s v="Access Management"/>
    <s v="Bengaluru"/>
    <s v="Chat"/>
    <s v="In Progress"/>
    <n v="8"/>
    <n v="9.86"/>
    <n v="4.5"/>
    <s v="Yes"/>
    <x v="1"/>
  </r>
  <r>
    <s v="INC101090"/>
    <d v="2025-01-26T00:00:00"/>
    <d v="2025-01-28T12:05:24"/>
    <x v="0"/>
    <x v="0"/>
    <s v="License"/>
    <s v="Access Management"/>
    <s v="Hyderabad"/>
    <s v="Portal"/>
    <s v="Closed"/>
    <n v="48"/>
    <n v="60.09"/>
    <n v="4"/>
    <s v="No"/>
    <x v="1"/>
  </r>
  <r>
    <s v="INC101091"/>
    <d v="2025-04-02T00:00:00"/>
    <d v="2025-04-02T05:35:24"/>
    <x v="3"/>
    <x v="0"/>
    <s v="Application Error"/>
    <s v="Application Support"/>
    <s v="Noida"/>
    <s v="Phone"/>
    <s v="Closed"/>
    <n v="8"/>
    <n v="5.59"/>
    <n v="4"/>
    <s v="No"/>
    <x v="0"/>
  </r>
  <r>
    <s v="INC101092"/>
    <d v="2025-03-23T00:00:00"/>
    <d v="2025-03-23T15:03:00"/>
    <x v="1"/>
    <x v="2"/>
    <s v="DNS"/>
    <s v="Service Desk"/>
    <s v="Delhi"/>
    <s v="Chat"/>
    <s v="Resolved"/>
    <n v="24"/>
    <n v="15.05"/>
    <n v="4.5999999999999996"/>
    <s v="No"/>
    <x v="0"/>
  </r>
  <r>
    <s v="INC101093"/>
    <d v="2025-06-02T00:00:00"/>
    <d v="2025-06-02T01:03:00"/>
    <x v="3"/>
    <x v="1"/>
    <s v="Account Lock"/>
    <s v="Desktop Support"/>
    <s v="Noida"/>
    <s v="Email"/>
    <s v="Resolved"/>
    <n v="8"/>
    <n v="1.05"/>
    <n v="3.8"/>
    <s v="No"/>
    <x v="0"/>
  </r>
  <r>
    <s v="INC101094"/>
    <d v="2025-03-13T00:00:00"/>
    <d v="2025-03-15T00:26:24"/>
    <x v="0"/>
    <x v="3"/>
    <s v="Printer"/>
    <s v="Desktop Support"/>
    <s v="Delhi"/>
    <s v="Phone"/>
    <s v="Closed"/>
    <n v="48"/>
    <n v="48.44"/>
    <n v="4.0999999999999996"/>
    <s v="No"/>
    <x v="1"/>
  </r>
  <r>
    <s v="INC101095"/>
    <d v="2025-03-01T00:00:00"/>
    <d v="2025-03-03T07:13:48"/>
    <x v="0"/>
    <x v="2"/>
    <s v="Connectivity"/>
    <s v="Access Management"/>
    <s v="Hyderabad"/>
    <s v="Email"/>
    <s v="Resolved"/>
    <n v="48"/>
    <n v="55.23"/>
    <n v="4.0999999999999996"/>
    <s v="No"/>
    <x v="1"/>
  </r>
  <r>
    <s v="INC101096"/>
    <d v="2025-01-15T00:00:00"/>
    <d v="2025-01-15T02:10:12"/>
    <x v="2"/>
    <x v="1"/>
    <s v="Permission"/>
    <s v="Service Desk"/>
    <s v="Bengaluru"/>
    <s v="Portal"/>
    <s v="Resolved"/>
    <n v="4"/>
    <n v="2.17"/>
    <n v="4.4000000000000004"/>
    <s v="No"/>
    <x v="0"/>
  </r>
  <r>
    <s v="INC101097"/>
    <d v="2025-06-01T00:00:00"/>
    <d v="2025-06-01T04:52:48"/>
    <x v="3"/>
    <x v="0"/>
    <s v="Performance"/>
    <s v="Access Management"/>
    <s v="Gurugram"/>
    <s v="Chat"/>
    <s v="Resolved"/>
    <n v="8"/>
    <n v="4.88"/>
    <n v="5"/>
    <s v="No"/>
    <x v="0"/>
  </r>
  <r>
    <s v="INC101098"/>
    <d v="2025-05-17T00:00:00"/>
    <d v="2025-05-17T21:31:48"/>
    <x v="3"/>
    <x v="0"/>
    <s v="License"/>
    <s v="Application Support"/>
    <s v="Bengaluru"/>
    <s v="Email"/>
    <s v="Resolved"/>
    <n v="8"/>
    <n v="21.53"/>
    <n v="2"/>
    <s v="No"/>
    <x v="1"/>
  </r>
  <r>
    <s v="INC101099"/>
    <d v="2025-01-08T00:00:00"/>
    <d v="2025-01-08T00:34:47"/>
    <x v="2"/>
    <x v="3"/>
    <s v="Monitor"/>
    <s v="Application Support"/>
    <s v="Bengaluru"/>
    <s v="Phone"/>
    <s v="Closed"/>
    <n v="4"/>
    <n v="0.57999999999999996"/>
    <n v="4.9000000000000004"/>
    <s v="No"/>
    <x v="0"/>
  </r>
  <r>
    <s v="INC101100"/>
    <d v="2025-03-20T00:00:00"/>
    <d v="2025-03-20T17:07:48"/>
    <x v="1"/>
    <x v="3"/>
    <s v="Laptop"/>
    <s v="Application Support"/>
    <s v="Bengaluru"/>
    <s v="Email"/>
    <s v="Resolved"/>
    <n v="24"/>
    <n v="17.13"/>
    <n v="5"/>
    <s v="No"/>
    <x v="0"/>
  </r>
  <r>
    <s v="INC101101"/>
    <d v="2025-03-28T00:00:00"/>
    <d v="2025-03-29T23:36:00"/>
    <x v="0"/>
    <x v="0"/>
    <s v="Application Error"/>
    <s v="Application Support"/>
    <s v="Bengaluru"/>
    <s v="Portal"/>
    <s v="Closed"/>
    <n v="48"/>
    <n v="47.6"/>
    <n v="3.2"/>
    <s v="No"/>
    <x v="0"/>
  </r>
  <r>
    <s v="INC101102"/>
    <d v="2025-03-26T00:00:00"/>
    <d v="2025-03-26T04:16:48"/>
    <x v="0"/>
    <x v="2"/>
    <s v="Connectivity"/>
    <s v="Application Support"/>
    <s v="Hyderabad"/>
    <s v="Portal"/>
    <s v="Pending"/>
    <n v="48"/>
    <n v="4.28"/>
    <n v="5"/>
    <s v="No"/>
    <x v="0"/>
  </r>
  <r>
    <s v="INC101103"/>
    <d v="2025-06-16T00:00:00"/>
    <d v="2025-06-16T02:23:24"/>
    <x v="1"/>
    <x v="3"/>
    <s v="Monitor"/>
    <s v="Application Support"/>
    <s v="Hyderabad"/>
    <s v="Portal"/>
    <s v="In Progress"/>
    <n v="24"/>
    <n v="2.39"/>
    <n v="5"/>
    <s v="No"/>
    <x v="0"/>
  </r>
  <r>
    <s v="INC101104"/>
    <d v="2025-01-28T00:00:00"/>
    <d v="2025-01-28T13:19:48"/>
    <x v="0"/>
    <x v="4"/>
    <s v="Configuration"/>
    <s v="Service Desk"/>
    <s v="Gurugram"/>
    <s v="Portal"/>
    <s v="Closed"/>
    <n v="48"/>
    <n v="13.33"/>
    <n v="5"/>
    <s v="No"/>
    <x v="0"/>
  </r>
  <r>
    <s v="INC101105"/>
    <d v="2025-02-25T00:00:00"/>
    <d v="2025-02-25T02:23:24"/>
    <x v="3"/>
    <x v="0"/>
    <s v="Application Error"/>
    <s v="Desktop Support"/>
    <s v="Gurugram"/>
    <s v="Phone"/>
    <s v="In Progress"/>
    <n v="8"/>
    <n v="2.39"/>
    <n v="4.4000000000000004"/>
    <s v="No"/>
    <x v="0"/>
  </r>
  <r>
    <s v="INC101106"/>
    <d v="2025-02-02T00:00:00"/>
    <d v="2025-02-02T12:28:48"/>
    <x v="0"/>
    <x v="3"/>
    <s v="Laptop"/>
    <s v="Desktop Support"/>
    <s v="Hyderabad"/>
    <s v="Portal"/>
    <s v="Resolved"/>
    <n v="48"/>
    <n v="12.48"/>
    <n v="4.9000000000000004"/>
    <s v="No"/>
    <x v="0"/>
  </r>
  <r>
    <s v="INC101107"/>
    <d v="2025-02-14T00:00:00"/>
    <d v="2025-02-14T14:47:24"/>
    <x v="0"/>
    <x v="2"/>
    <s v="Connectivity"/>
    <s v="Access Management"/>
    <s v="Bengaluru"/>
    <s v="Chat"/>
    <s v="Closed"/>
    <n v="48"/>
    <n v="14.79"/>
    <n v="4.0999999999999996"/>
    <s v="No"/>
    <x v="0"/>
  </r>
  <r>
    <s v="INC101108"/>
    <d v="2025-06-14T00:00:00"/>
    <d v="2025-06-14T15:09:00"/>
    <x v="0"/>
    <x v="1"/>
    <s v="Account Lock"/>
    <s v="Application Support"/>
    <s v="Delhi"/>
    <s v="Portal"/>
    <s v="Closed"/>
    <n v="48"/>
    <n v="15.15"/>
    <n v="4.3"/>
    <s v="No"/>
    <x v="0"/>
  </r>
  <r>
    <s v="INC101109"/>
    <d v="2025-06-20T00:00:00"/>
    <d v="2025-06-21T01:42:00"/>
    <x v="0"/>
    <x v="2"/>
    <s v="Packet Loss"/>
    <s v="Access Management"/>
    <s v="Bengaluru"/>
    <s v="Email"/>
    <s v="Pending"/>
    <n v="48"/>
    <n v="25.7"/>
    <n v="4.4000000000000004"/>
    <s v="No"/>
    <x v="0"/>
  </r>
  <r>
    <s v="INC101110"/>
    <d v="2025-01-09T00:00:00"/>
    <d v="2025-01-09T11:01:48"/>
    <x v="0"/>
    <x v="2"/>
    <s v="Link Down"/>
    <s v="Application Support"/>
    <s v="Delhi"/>
    <s v="Portal"/>
    <s v="Resolved"/>
    <n v="48"/>
    <n v="11.03"/>
    <n v="4.0999999999999996"/>
    <s v="No"/>
    <x v="0"/>
  </r>
  <r>
    <s v="INC101111"/>
    <d v="2025-04-25T00:00:00"/>
    <d v="2025-04-25T10:03:00"/>
    <x v="1"/>
    <x v="2"/>
    <s v="Link Down"/>
    <s v="Desktop Support"/>
    <s v="Delhi"/>
    <s v="Portal"/>
    <s v="Resolved"/>
    <n v="24"/>
    <n v="10.050000000000001"/>
    <n v="4.3"/>
    <s v="No"/>
    <x v="0"/>
  </r>
  <r>
    <s v="INC101112"/>
    <d v="2025-02-12T00:00:00"/>
    <d v="2025-02-12T12:20:24"/>
    <x v="1"/>
    <x v="1"/>
    <s v="Password Reset"/>
    <s v="Desktop Support"/>
    <s v="Gurugram"/>
    <s v="Email"/>
    <s v="Closed"/>
    <n v="24"/>
    <n v="12.34"/>
    <n v="3.7"/>
    <s v="No"/>
    <x v="0"/>
  </r>
  <r>
    <s v="INC101113"/>
    <d v="2025-02-04T00:00:00"/>
    <d v="2025-02-04T08:55:48"/>
    <x v="1"/>
    <x v="0"/>
    <s v="License"/>
    <s v="Application Support"/>
    <s v="Gurugram"/>
    <s v="Portal"/>
    <s v="Closed"/>
    <n v="24"/>
    <n v="8.93"/>
    <n v="5"/>
    <s v="No"/>
    <x v="0"/>
  </r>
  <r>
    <s v="INC101114"/>
    <d v="2025-02-22T00:00:00"/>
    <d v="2025-02-22T05:42:00"/>
    <x v="3"/>
    <x v="2"/>
    <s v="Connectivity"/>
    <s v="Access Management"/>
    <s v="Delhi"/>
    <s v="Email"/>
    <s v="Resolved"/>
    <n v="8"/>
    <n v="5.7"/>
    <n v="5"/>
    <s v="No"/>
    <x v="0"/>
  </r>
  <r>
    <s v="INC101115"/>
    <d v="2025-02-05T00:00:00"/>
    <d v="2025-02-06T08:36:36"/>
    <x v="1"/>
    <x v="2"/>
    <s v="Connectivity"/>
    <s v="Service Desk"/>
    <s v="Hyderabad"/>
    <s v="Email"/>
    <s v="Resolved"/>
    <n v="24"/>
    <n v="32.61"/>
    <n v="4.8"/>
    <s v="No"/>
    <x v="1"/>
  </r>
  <r>
    <s v="INC101116"/>
    <d v="2025-03-30T00:00:00"/>
    <d v="2025-03-30T03:21:36"/>
    <x v="1"/>
    <x v="0"/>
    <s v="Performance"/>
    <s v="Service Desk"/>
    <s v="Noida"/>
    <s v="Portal"/>
    <s v="Resolved"/>
    <n v="24"/>
    <n v="3.36"/>
    <n v="4.2"/>
    <s v="No"/>
    <x v="0"/>
  </r>
  <r>
    <s v="INC101117"/>
    <d v="2025-06-30T00:00:00"/>
    <d v="2025-06-30T05:06:36"/>
    <x v="1"/>
    <x v="0"/>
    <s v="License"/>
    <s v="Service Desk"/>
    <s v="Bengaluru"/>
    <s v="Email"/>
    <s v="Closed"/>
    <n v="24"/>
    <n v="5.1100000000000003"/>
    <n v="4.2"/>
    <s v="Yes"/>
    <x v="0"/>
  </r>
  <r>
    <s v="INC101118"/>
    <d v="2025-04-17T00:00:00"/>
    <d v="2025-04-18T19:10:12"/>
    <x v="0"/>
    <x v="0"/>
    <s v="Installation"/>
    <s v="Network Support"/>
    <s v="Hyderabad"/>
    <s v="Portal"/>
    <s v="Pending"/>
    <n v="48"/>
    <n v="43.17"/>
    <n v="3.9"/>
    <s v="Yes"/>
    <x v="0"/>
  </r>
  <r>
    <s v="INC101119"/>
    <d v="2025-05-11T00:00:00"/>
    <d v="2025-05-11T15:31:12"/>
    <x v="1"/>
    <x v="2"/>
    <s v="Connectivity"/>
    <s v="Application Support"/>
    <s v="Hyderabad"/>
    <s v="Portal"/>
    <s v="Closed"/>
    <n v="24"/>
    <n v="15.52"/>
    <n v="4.8"/>
    <s v="No"/>
    <x v="0"/>
  </r>
  <r>
    <s v="INC101120"/>
    <d v="2025-03-31T00:00:00"/>
    <d v="2025-03-31T03:48:00"/>
    <x v="2"/>
    <x v="1"/>
    <s v="Permission"/>
    <s v="Access Management"/>
    <s v="Mumbai"/>
    <s v="Phone"/>
    <s v="In Progress"/>
    <n v="4"/>
    <n v="3.8"/>
    <n v="3.8"/>
    <s v="No"/>
    <x v="0"/>
  </r>
  <r>
    <s v="INC101121"/>
    <d v="2025-01-03T00:00:00"/>
    <d v="2025-01-03T20:34:47"/>
    <x v="1"/>
    <x v="4"/>
    <s v="Spam"/>
    <s v="Application Support"/>
    <s v="Gurugram"/>
    <s v="Portal"/>
    <s v="Resolved"/>
    <n v="24"/>
    <n v="20.58"/>
    <n v="4.7"/>
    <s v="No"/>
    <x v="0"/>
  </r>
  <r>
    <s v="INC101122"/>
    <d v="2025-01-16T00:00:00"/>
    <d v="2025-01-16T14:39:36"/>
    <x v="0"/>
    <x v="0"/>
    <s v="Installation"/>
    <s v="Network Support"/>
    <s v="Mumbai"/>
    <s v="Portal"/>
    <s v="Resolved"/>
    <n v="48"/>
    <n v="14.66"/>
    <n v="5"/>
    <s v="No"/>
    <x v="0"/>
  </r>
  <r>
    <s v="INC101123"/>
    <d v="2025-02-18T00:00:00"/>
    <d v="2025-02-19T10:20:24"/>
    <x v="1"/>
    <x v="2"/>
    <s v="DNS"/>
    <s v="Service Desk"/>
    <s v="Hyderabad"/>
    <s v="Email"/>
    <s v="Resolved"/>
    <n v="24"/>
    <n v="34.340000000000003"/>
    <n v="2.2000000000000002"/>
    <s v="No"/>
    <x v="1"/>
  </r>
  <r>
    <s v="INC101124"/>
    <d v="2025-02-14T00:00:00"/>
    <d v="2025-02-14T11:38:24"/>
    <x v="3"/>
    <x v="0"/>
    <s v="License"/>
    <s v="Access Management"/>
    <s v="Delhi"/>
    <s v="Email"/>
    <s v="Resolved"/>
    <n v="8"/>
    <n v="11.64"/>
    <n v="3.4"/>
    <s v="No"/>
    <x v="1"/>
  </r>
  <r>
    <s v="INC101125"/>
    <d v="2025-06-02T00:00:00"/>
    <d v="2025-06-02T05:15:36"/>
    <x v="1"/>
    <x v="3"/>
    <s v="Monitor"/>
    <s v="Network Support"/>
    <s v="Hyderabad"/>
    <s v="Chat"/>
    <s v="Closed"/>
    <n v="24"/>
    <n v="5.26"/>
    <n v="4"/>
    <s v="No"/>
    <x v="0"/>
  </r>
  <r>
    <s v="INC101126"/>
    <d v="2025-06-02T00:00:00"/>
    <d v="2025-06-03T07:10:48"/>
    <x v="1"/>
    <x v="2"/>
    <s v="Packet Loss"/>
    <s v="Application Support"/>
    <s v="Hyderabad"/>
    <s v="Phone"/>
    <s v="Closed"/>
    <n v="24"/>
    <n v="31.18"/>
    <n v="3.1"/>
    <s v="No"/>
    <x v="1"/>
  </r>
  <r>
    <s v="INC101127"/>
    <d v="2025-06-04T00:00:00"/>
    <d v="2025-06-04T11:09:00"/>
    <x v="3"/>
    <x v="3"/>
    <s v="Printer"/>
    <s v="Desktop Support"/>
    <s v="Hyderabad"/>
    <s v="Phone"/>
    <s v="Resolved"/>
    <n v="8"/>
    <n v="11.15"/>
    <n v="3.1"/>
    <s v="No"/>
    <x v="1"/>
  </r>
  <r>
    <s v="INC101128"/>
    <d v="2025-04-26T00:00:00"/>
    <d v="2025-04-27T17:54:00"/>
    <x v="1"/>
    <x v="4"/>
    <s v="Configuration"/>
    <s v="Access Management"/>
    <s v="Noida"/>
    <s v="Email"/>
    <s v="Resolved"/>
    <n v="24"/>
    <n v="41.9"/>
    <n v="3.5"/>
    <s v="No"/>
    <x v="1"/>
  </r>
  <r>
    <s v="INC101129"/>
    <d v="2025-04-11T00:00:00"/>
    <d v="2025-04-11T20:52:48"/>
    <x v="1"/>
    <x v="3"/>
    <s v="Peripheral"/>
    <s v="Desktop Support"/>
    <s v="Gurugram"/>
    <s v="Portal"/>
    <s v="Pending"/>
    <n v="24"/>
    <n v="20.88"/>
    <n v="4"/>
    <s v="No"/>
    <x v="0"/>
  </r>
  <r>
    <s v="INC101130"/>
    <d v="2025-04-28T00:00:00"/>
    <d v="2025-04-28T19:08:24"/>
    <x v="0"/>
    <x v="1"/>
    <s v="Account Lock"/>
    <s v="Desktop Support"/>
    <s v="Mumbai"/>
    <s v="Portal"/>
    <s v="Resolved"/>
    <n v="48"/>
    <n v="19.14"/>
    <n v="4.3"/>
    <s v="No"/>
    <x v="0"/>
  </r>
  <r>
    <s v="INC101131"/>
    <d v="2025-03-15T00:00:00"/>
    <d v="2025-03-15T13:48:36"/>
    <x v="0"/>
    <x v="0"/>
    <s v="Application Error"/>
    <s v="Application Support"/>
    <s v="Bengaluru"/>
    <s v="Phone"/>
    <s v="Resolved"/>
    <n v="48"/>
    <n v="13.81"/>
    <n v="5"/>
    <s v="No"/>
    <x v="0"/>
  </r>
  <r>
    <s v="INC101132"/>
    <d v="2025-05-02T00:00:00"/>
    <d v="2025-05-02T01:36:00"/>
    <x v="2"/>
    <x v="0"/>
    <s v="Application Error"/>
    <s v="Access Management"/>
    <s v="Mumbai"/>
    <s v="Portal"/>
    <s v="Closed"/>
    <n v="4"/>
    <n v="1.6"/>
    <n v="4"/>
    <s v="No"/>
    <x v="0"/>
  </r>
  <r>
    <s v="INC101133"/>
    <d v="2025-05-24T00:00:00"/>
    <d v="2025-05-24T03:52:48"/>
    <x v="1"/>
    <x v="2"/>
    <s v="Connectivity"/>
    <s v="Desktop Support"/>
    <s v="Gurugram"/>
    <s v="Portal"/>
    <s v="Closed"/>
    <n v="24"/>
    <n v="3.88"/>
    <n v="5"/>
    <s v="No"/>
    <x v="0"/>
  </r>
  <r>
    <s v="INC101134"/>
    <d v="2025-05-19T00:00:00"/>
    <d v="2025-05-19T17:22:48"/>
    <x v="1"/>
    <x v="0"/>
    <s v="License"/>
    <s v="Application Support"/>
    <s v="Gurugram"/>
    <s v="Email"/>
    <s v="Resolved"/>
    <n v="24"/>
    <n v="17.38"/>
    <n v="4.5999999999999996"/>
    <s v="No"/>
    <x v="0"/>
  </r>
  <r>
    <s v="INC101135"/>
    <d v="2025-04-22T00:00:00"/>
    <d v="2025-04-22T10:59:24"/>
    <x v="1"/>
    <x v="2"/>
    <s v="Packet Loss"/>
    <s v="Access Management"/>
    <s v="Hyderabad"/>
    <s v="Phone"/>
    <s v="Resolved"/>
    <n v="24"/>
    <n v="10.99"/>
    <n v="4.5999999999999996"/>
    <s v="No"/>
    <x v="0"/>
  </r>
  <r>
    <s v="INC101136"/>
    <d v="2025-01-11T00:00:00"/>
    <d v="2025-01-11T06:21:36"/>
    <x v="0"/>
    <x v="3"/>
    <s v="Peripheral"/>
    <s v="Desktop Support"/>
    <s v="Bengaluru"/>
    <s v="Email"/>
    <s v="Resolved"/>
    <n v="48"/>
    <n v="6.36"/>
    <n v="4.3"/>
    <s v="No"/>
    <x v="0"/>
  </r>
  <r>
    <s v="INC101137"/>
    <d v="2025-05-12T00:00:00"/>
    <d v="2025-05-12T02:21:00"/>
    <x v="3"/>
    <x v="2"/>
    <s v="Connectivity"/>
    <s v="Application Support"/>
    <s v="Hyderabad"/>
    <s v="Portal"/>
    <s v="Resolved"/>
    <n v="8"/>
    <n v="2.35"/>
    <n v="4.0999999999999996"/>
    <s v="No"/>
    <x v="0"/>
  </r>
  <r>
    <s v="INC101138"/>
    <d v="2025-03-08T00:00:00"/>
    <d v="2025-03-10T10:51:00"/>
    <x v="0"/>
    <x v="3"/>
    <s v="Laptop"/>
    <s v="Service Desk"/>
    <s v="Hyderabad"/>
    <s v="Chat"/>
    <s v="Resolved"/>
    <n v="48"/>
    <n v="58.85"/>
    <n v="4"/>
    <s v="No"/>
    <x v="1"/>
  </r>
  <r>
    <s v="INC101139"/>
    <d v="2025-05-15T00:00:00"/>
    <d v="2025-05-15T05:52:12"/>
    <x v="3"/>
    <x v="0"/>
    <s v="Application Error"/>
    <s v="Service Desk"/>
    <s v="Noida"/>
    <s v="Portal"/>
    <s v="Resolved"/>
    <n v="8"/>
    <n v="5.87"/>
    <n v="4.9000000000000004"/>
    <s v="No"/>
    <x v="0"/>
  </r>
  <r>
    <s v="INC101140"/>
    <d v="2025-04-08T00:00:00"/>
    <d v="2025-04-08T06:21:00"/>
    <x v="1"/>
    <x v="2"/>
    <s v="Packet Loss"/>
    <s v="Network Support"/>
    <s v="Gurugram"/>
    <s v="Chat"/>
    <s v="Resolved"/>
    <n v="24"/>
    <n v="6.35"/>
    <n v="4.7"/>
    <s v="No"/>
    <x v="0"/>
  </r>
  <r>
    <s v="INC101141"/>
    <d v="2025-06-09T00:00:00"/>
    <d v="2025-06-12T10:19:48"/>
    <x v="0"/>
    <x v="3"/>
    <s v="Laptop"/>
    <s v="Application Support"/>
    <s v="Hyderabad"/>
    <s v="Portal"/>
    <s v="Resolved"/>
    <n v="48"/>
    <n v="82.33"/>
    <n v="2.2000000000000002"/>
    <s v="No"/>
    <x v="1"/>
  </r>
  <r>
    <s v="INC101142"/>
    <d v="2025-03-03T00:00:00"/>
    <d v="2025-03-04T07:48:36"/>
    <x v="0"/>
    <x v="4"/>
    <s v="Delivery"/>
    <s v="Service Desk"/>
    <s v="Mumbai"/>
    <s v="Chat"/>
    <s v="Closed"/>
    <n v="48"/>
    <n v="31.81"/>
    <n v="4.3"/>
    <s v="Yes"/>
    <x v="0"/>
  </r>
  <r>
    <s v="INC101143"/>
    <d v="2025-06-18T00:00:00"/>
    <d v="2025-06-18T01:26:24"/>
    <x v="3"/>
    <x v="2"/>
    <s v="DNS"/>
    <s v="Access Management"/>
    <s v="Bengaluru"/>
    <s v="Chat"/>
    <s v="Resolved"/>
    <n v="8"/>
    <n v="1.44"/>
    <n v="5"/>
    <s v="No"/>
    <x v="0"/>
  </r>
  <r>
    <s v="INC101144"/>
    <d v="2025-06-02T00:00:00"/>
    <d v="2025-06-02T19:13:12"/>
    <x v="0"/>
    <x v="3"/>
    <s v="Laptop"/>
    <s v="Access Management"/>
    <s v="Hyderabad"/>
    <s v="Portal"/>
    <s v="Resolved"/>
    <n v="48"/>
    <n v="19.22"/>
    <n v="3.9"/>
    <s v="No"/>
    <x v="0"/>
  </r>
  <r>
    <s v="INC101145"/>
    <d v="2025-03-01T00:00:00"/>
    <d v="2025-03-01T05:54:00"/>
    <x v="0"/>
    <x v="3"/>
    <s v="Printer"/>
    <s v="Access Management"/>
    <s v="Gurugram"/>
    <s v="Phone"/>
    <s v="Resolved"/>
    <n v="48"/>
    <n v="5.9"/>
    <n v="4.7"/>
    <s v="No"/>
    <x v="0"/>
  </r>
  <r>
    <s v="INC101146"/>
    <d v="2025-03-29T00:00:00"/>
    <d v="2025-03-29T11:25:48"/>
    <x v="3"/>
    <x v="3"/>
    <s v="Printer"/>
    <s v="Service Desk"/>
    <s v="Noida"/>
    <s v="Portal"/>
    <s v="Resolved"/>
    <n v="8"/>
    <n v="11.43"/>
    <n v="3.4"/>
    <s v="Yes"/>
    <x v="1"/>
  </r>
  <r>
    <s v="INC101147"/>
    <d v="2025-04-07T00:00:00"/>
    <d v="2025-04-07T23:21:36"/>
    <x v="1"/>
    <x v="0"/>
    <s v="License"/>
    <s v="Application Support"/>
    <s v="Delhi"/>
    <s v="Portal"/>
    <s v="Closed"/>
    <n v="24"/>
    <n v="23.36"/>
    <n v="4.5999999999999996"/>
    <s v="No"/>
    <x v="0"/>
  </r>
  <r>
    <s v="INC101148"/>
    <d v="2025-05-20T00:00:00"/>
    <d v="2025-05-20T06:36:00"/>
    <x v="1"/>
    <x v="2"/>
    <s v="Connectivity"/>
    <s v="Application Support"/>
    <s v="Noida"/>
    <s v="Portal"/>
    <s v="Resolved"/>
    <n v="24"/>
    <n v="6.6"/>
    <n v="4.4000000000000004"/>
    <s v="No"/>
    <x v="0"/>
  </r>
  <r>
    <s v="INC101149"/>
    <d v="2025-05-05T00:00:00"/>
    <d v="2025-05-05T03:15:00"/>
    <x v="0"/>
    <x v="3"/>
    <s v="Laptop"/>
    <s v="Desktop Support"/>
    <s v="Noida"/>
    <s v="Email"/>
    <s v="Pending"/>
    <n v="48"/>
    <n v="3.25"/>
    <n v="5"/>
    <s v="No"/>
    <x v="0"/>
  </r>
  <r>
    <s v="INC101150"/>
    <d v="2025-06-04T00:00:00"/>
    <d v="2025-06-04T07:42:00"/>
    <x v="3"/>
    <x v="0"/>
    <s v="Application Error"/>
    <s v="Desktop Support"/>
    <s v="Noida"/>
    <s v="Portal"/>
    <s v="Closed"/>
    <n v="8"/>
    <n v="7.7"/>
    <n v="4.8"/>
    <s v="No"/>
    <x v="0"/>
  </r>
  <r>
    <s v="INC101151"/>
    <d v="2025-03-08T00:00:00"/>
    <d v="2025-03-09T07:01:48"/>
    <x v="0"/>
    <x v="3"/>
    <s v="Printer"/>
    <s v="Desktop Support"/>
    <s v="Delhi"/>
    <s v="Email"/>
    <s v="Resolved"/>
    <n v="48"/>
    <n v="31.03"/>
    <n v="3.3"/>
    <s v="No"/>
    <x v="0"/>
  </r>
  <r>
    <s v="INC101152"/>
    <d v="2025-04-02T00:00:00"/>
    <d v="2025-04-04T13:34:11"/>
    <x v="0"/>
    <x v="4"/>
    <s v="Configuration"/>
    <s v="Service Desk"/>
    <s v="Mumbai"/>
    <s v="Chat"/>
    <s v="In Progress"/>
    <n v="48"/>
    <n v="61.57"/>
    <n v="2.7"/>
    <s v="Yes"/>
    <x v="1"/>
  </r>
  <r>
    <s v="INC101153"/>
    <d v="2025-03-19T00:00:00"/>
    <d v="2025-03-19T00:59:24"/>
    <x v="1"/>
    <x v="4"/>
    <s v="Mailbox"/>
    <s v="Desktop Support"/>
    <s v="Noida"/>
    <s v="Phone"/>
    <s v="Resolved"/>
    <n v="24"/>
    <n v="0.99"/>
    <n v="5"/>
    <s v="No"/>
    <x v="0"/>
  </r>
  <r>
    <s v="INC101154"/>
    <d v="2025-06-14T00:00:00"/>
    <d v="2025-06-15T18:57:36"/>
    <x v="0"/>
    <x v="2"/>
    <s v="Link Down"/>
    <s v="Access Management"/>
    <s v="Noida"/>
    <s v="Portal"/>
    <s v="Resolved"/>
    <n v="48"/>
    <n v="42.96"/>
    <n v="4.5999999999999996"/>
    <s v="No"/>
    <x v="0"/>
  </r>
  <r>
    <s v="INC101155"/>
    <d v="2025-02-25T00:00:00"/>
    <d v="2025-02-25T11:58:48"/>
    <x v="1"/>
    <x v="3"/>
    <s v="Printer"/>
    <s v="Service Desk"/>
    <s v="Hyderabad"/>
    <s v="Email"/>
    <s v="Resolved"/>
    <n v="24"/>
    <n v="11.98"/>
    <n v="4.7"/>
    <s v="No"/>
    <x v="0"/>
  </r>
  <r>
    <s v="INC101156"/>
    <d v="2025-04-17T00:00:00"/>
    <d v="2025-04-21T10:11:24"/>
    <x v="0"/>
    <x v="2"/>
    <s v="DNS"/>
    <s v="Network Support"/>
    <s v="Noida"/>
    <s v="Portal"/>
    <s v="Closed"/>
    <n v="48"/>
    <n v="106.19"/>
    <n v="3.1"/>
    <s v="No"/>
    <x v="1"/>
  </r>
  <r>
    <s v="INC101157"/>
    <d v="2025-01-22T00:00:00"/>
    <d v="2025-01-22T07:58:12"/>
    <x v="0"/>
    <x v="2"/>
    <s v="DNS"/>
    <s v="Network Support"/>
    <s v="Hyderabad"/>
    <s v="Portal"/>
    <s v="Closed"/>
    <n v="48"/>
    <n v="7.97"/>
    <n v="3.8"/>
    <s v="No"/>
    <x v="0"/>
  </r>
  <r>
    <s v="INC101158"/>
    <d v="2025-06-03T00:00:00"/>
    <d v="2025-06-04T00:54:00"/>
    <x v="1"/>
    <x v="0"/>
    <s v="Performance"/>
    <s v="Desktop Support"/>
    <s v="Gurugram"/>
    <s v="Chat"/>
    <s v="Closed"/>
    <n v="24"/>
    <n v="24.9"/>
    <n v="4.0999999999999996"/>
    <s v="No"/>
    <x v="1"/>
  </r>
  <r>
    <s v="INC101159"/>
    <d v="2025-03-11T00:00:00"/>
    <d v="2025-03-11T07:17:23"/>
    <x v="3"/>
    <x v="0"/>
    <s v="License"/>
    <s v="Service Desk"/>
    <s v="Hyderabad"/>
    <s v="Chat"/>
    <s v="In Progress"/>
    <n v="8"/>
    <n v="7.29"/>
    <n v="2.1"/>
    <s v="No"/>
    <x v="0"/>
  </r>
  <r>
    <s v="INC101160"/>
    <d v="2025-03-03T00:00:00"/>
    <d v="2025-03-03T06:14:24"/>
    <x v="0"/>
    <x v="3"/>
    <s v="Peripheral"/>
    <s v="Desktop Support"/>
    <s v="Hyderabad"/>
    <s v="Portal"/>
    <s v="Pending"/>
    <n v="48"/>
    <n v="6.24"/>
    <n v="5"/>
    <s v="No"/>
    <x v="0"/>
  </r>
  <r>
    <s v="INC101161"/>
    <d v="2025-04-16T00:00:00"/>
    <d v="2025-04-16T19:55:12"/>
    <x v="0"/>
    <x v="2"/>
    <s v="DNS"/>
    <s v="Access Management"/>
    <s v="Mumbai"/>
    <s v="Portal"/>
    <s v="Resolved"/>
    <n v="48"/>
    <n v="19.920000000000002"/>
    <n v="5"/>
    <s v="No"/>
    <x v="0"/>
  </r>
  <r>
    <s v="INC101162"/>
    <d v="2025-04-01T00:00:00"/>
    <d v="2025-04-01T06:34:47"/>
    <x v="3"/>
    <x v="2"/>
    <s v="Link Down"/>
    <s v="Network Support"/>
    <s v="Hyderabad"/>
    <s v="Portal"/>
    <s v="In Progress"/>
    <n v="8"/>
    <n v="6.58"/>
    <n v="3.9"/>
    <s v="No"/>
    <x v="0"/>
  </r>
  <r>
    <s v="INC101163"/>
    <d v="2025-06-03T00:00:00"/>
    <d v="2025-06-03T02:12:36"/>
    <x v="3"/>
    <x v="4"/>
    <s v="Spam"/>
    <s v="Network Support"/>
    <s v="Mumbai"/>
    <s v="Portal"/>
    <s v="Resolved"/>
    <n v="8"/>
    <n v="2.21"/>
    <n v="3.2"/>
    <s v="No"/>
    <x v="0"/>
  </r>
  <r>
    <s v="INC101164"/>
    <d v="2025-04-07T00:00:00"/>
    <d v="2025-04-07T06:48:00"/>
    <x v="1"/>
    <x v="4"/>
    <s v="Spam"/>
    <s v="Service Desk"/>
    <s v="Bengaluru"/>
    <s v="Portal"/>
    <s v="Pending"/>
    <n v="24"/>
    <n v="6.8"/>
    <n v="4.5999999999999996"/>
    <s v="No"/>
    <x v="0"/>
  </r>
  <r>
    <s v="INC101165"/>
    <d v="2025-04-04T00:00:00"/>
    <d v="2025-04-06T06:01:12"/>
    <x v="0"/>
    <x v="2"/>
    <s v="DNS"/>
    <s v="Desktop Support"/>
    <s v="Mumbai"/>
    <s v="Portal"/>
    <s v="Resolved"/>
    <n v="48"/>
    <n v="54.02"/>
    <n v="4.4000000000000004"/>
    <s v="No"/>
    <x v="1"/>
  </r>
  <r>
    <s v="INC101166"/>
    <d v="2025-01-20T00:00:00"/>
    <d v="2025-01-21T21:04:12"/>
    <x v="1"/>
    <x v="0"/>
    <s v="Installation"/>
    <s v="Application Support"/>
    <s v="Hyderabad"/>
    <s v="Portal"/>
    <s v="Resolved"/>
    <n v="24"/>
    <n v="45.07"/>
    <n v="3.1"/>
    <s v="No"/>
    <x v="1"/>
  </r>
  <r>
    <s v="INC101167"/>
    <d v="2025-01-04T00:00:00"/>
    <d v="2025-01-06T02:43:12"/>
    <x v="0"/>
    <x v="3"/>
    <s v="Peripheral"/>
    <s v="Network Support"/>
    <s v="Bengaluru"/>
    <s v="Portal"/>
    <s v="Resolved"/>
    <n v="48"/>
    <n v="50.72"/>
    <n v="5"/>
    <s v="No"/>
    <x v="1"/>
  </r>
  <r>
    <s v="INC101168"/>
    <d v="2025-03-14T00:00:00"/>
    <d v="2025-03-14T06:49:12"/>
    <x v="0"/>
    <x v="0"/>
    <s v="Performance"/>
    <s v="Network Support"/>
    <s v="Mumbai"/>
    <s v="Phone"/>
    <s v="Resolved"/>
    <n v="48"/>
    <n v="6.82"/>
    <n v="4.7"/>
    <s v="No"/>
    <x v="0"/>
  </r>
  <r>
    <s v="INC101169"/>
    <d v="2025-06-30T00:00:00"/>
    <d v="2025-06-30T00:30:00"/>
    <x v="1"/>
    <x v="0"/>
    <s v="Application Error"/>
    <s v="Network Support"/>
    <s v="Delhi"/>
    <s v="Phone"/>
    <s v="Closed"/>
    <n v="24"/>
    <n v="0.5"/>
    <n v="5"/>
    <s v="No"/>
    <x v="0"/>
  </r>
  <r>
    <s v="INC101170"/>
    <d v="2025-06-16T00:00:00"/>
    <d v="2025-06-16T04:34:47"/>
    <x v="1"/>
    <x v="4"/>
    <s v="Spam"/>
    <s v="Access Management"/>
    <s v="Hyderabad"/>
    <s v="Email"/>
    <s v="Resolved"/>
    <n v="24"/>
    <n v="4.58"/>
    <n v="3.5"/>
    <s v="No"/>
    <x v="0"/>
  </r>
  <r>
    <s v="INC101171"/>
    <d v="2025-04-24T00:00:00"/>
    <d v="2025-04-24T21:19:48"/>
    <x v="1"/>
    <x v="2"/>
    <s v="Connectivity"/>
    <s v="Network Support"/>
    <s v="Mumbai"/>
    <s v="Portal"/>
    <s v="Resolved"/>
    <n v="24"/>
    <n v="21.33"/>
    <n v="3.5"/>
    <s v="No"/>
    <x v="0"/>
  </r>
  <r>
    <s v="INC101172"/>
    <d v="2025-04-25T00:00:00"/>
    <d v="2025-04-25T23:15:00"/>
    <x v="1"/>
    <x v="3"/>
    <s v="Printer"/>
    <s v="Application Support"/>
    <s v="Delhi"/>
    <s v="Phone"/>
    <s v="In Progress"/>
    <n v="24"/>
    <n v="23.25"/>
    <n v="3.1"/>
    <s v="No"/>
    <x v="0"/>
  </r>
  <r>
    <s v="INC101173"/>
    <d v="2025-03-12T00:00:00"/>
    <d v="2025-03-12T18:19:48"/>
    <x v="0"/>
    <x v="4"/>
    <s v="Spam"/>
    <s v="Desktop Support"/>
    <s v="Gurugram"/>
    <s v="Portal"/>
    <s v="Closed"/>
    <n v="48"/>
    <n v="18.329999999999998"/>
    <n v="5"/>
    <s v="No"/>
    <x v="0"/>
  </r>
  <r>
    <s v="INC101174"/>
    <d v="2025-02-02T00:00:00"/>
    <d v="2025-02-02T04:30:36"/>
    <x v="1"/>
    <x v="2"/>
    <s v="Link Down"/>
    <s v="Network Support"/>
    <s v="Gurugram"/>
    <s v="Phone"/>
    <s v="Closed"/>
    <n v="24"/>
    <n v="4.51"/>
    <n v="4.0999999999999996"/>
    <s v="No"/>
    <x v="0"/>
  </r>
  <r>
    <s v="INC101175"/>
    <d v="2025-01-02T00:00:00"/>
    <d v="2025-01-02T03:18:00"/>
    <x v="3"/>
    <x v="2"/>
    <s v="Connectivity"/>
    <s v="Desktop Support"/>
    <s v="Gurugram"/>
    <s v="Portal"/>
    <s v="Pending"/>
    <n v="8"/>
    <n v="3.3"/>
    <n v="5"/>
    <s v="No"/>
    <x v="0"/>
  </r>
  <r>
    <s v="INC101176"/>
    <d v="2025-03-03T00:00:00"/>
    <d v="2025-03-03T00:41:24"/>
    <x v="3"/>
    <x v="1"/>
    <s v="Password Reset"/>
    <s v="Service Desk"/>
    <s v="Hyderabad"/>
    <s v="Chat"/>
    <s v="Resolved"/>
    <n v="8"/>
    <n v="0.69"/>
    <n v="5"/>
    <s v="No"/>
    <x v="0"/>
  </r>
  <r>
    <s v="INC101177"/>
    <d v="2025-02-27T00:00:00"/>
    <d v="2025-02-27T16:19:48"/>
    <x v="1"/>
    <x v="1"/>
    <s v="VPN Access"/>
    <s v="Desktop Support"/>
    <s v="Noida"/>
    <s v="Portal"/>
    <s v="Resolved"/>
    <n v="24"/>
    <n v="16.329999999999998"/>
    <n v="4.4000000000000004"/>
    <s v="No"/>
    <x v="0"/>
  </r>
  <r>
    <s v="INC101178"/>
    <d v="2025-02-04T00:00:00"/>
    <d v="2025-02-04T14:55:48"/>
    <x v="1"/>
    <x v="0"/>
    <s v="License"/>
    <s v="Network Support"/>
    <s v="Noida"/>
    <s v="Phone"/>
    <s v="Resolved"/>
    <n v="24"/>
    <n v="14.93"/>
    <n v="4.3"/>
    <s v="No"/>
    <x v="0"/>
  </r>
  <r>
    <s v="INC101179"/>
    <d v="2025-02-16T00:00:00"/>
    <d v="2025-02-16T08:25:48"/>
    <x v="0"/>
    <x v="1"/>
    <s v="Account Lock"/>
    <s v="Application Support"/>
    <s v="Mumbai"/>
    <s v="Portal"/>
    <s v="Resolved"/>
    <n v="48"/>
    <n v="8.43"/>
    <n v="4.2"/>
    <s v="No"/>
    <x v="0"/>
  </r>
  <r>
    <s v="INC101180"/>
    <d v="2025-01-05T00:00:00"/>
    <d v="2025-01-07T03:22:12"/>
    <x v="0"/>
    <x v="0"/>
    <s v="License"/>
    <s v="Application Support"/>
    <s v="Noida"/>
    <s v="Phone"/>
    <s v="Resolved"/>
    <n v="48"/>
    <n v="51.37"/>
    <n v="4.2"/>
    <s v="No"/>
    <x v="1"/>
  </r>
  <r>
    <s v="INC101181"/>
    <d v="2025-04-21T00:00:00"/>
    <d v="2025-04-21T04:25:48"/>
    <x v="3"/>
    <x v="2"/>
    <s v="Packet Loss"/>
    <s v="Network Support"/>
    <s v="Hyderabad"/>
    <s v="Email"/>
    <s v="Closed"/>
    <n v="8"/>
    <n v="4.43"/>
    <n v="4.0999999999999996"/>
    <s v="No"/>
    <x v="0"/>
  </r>
  <r>
    <s v="INC101182"/>
    <d v="2025-06-17T00:00:00"/>
    <d v="2025-06-17T12:13:12"/>
    <x v="0"/>
    <x v="0"/>
    <s v="Installation"/>
    <s v="Desktop Support"/>
    <s v="Mumbai"/>
    <s v="Portal"/>
    <s v="Resolved"/>
    <n v="48"/>
    <n v="12.22"/>
    <n v="5"/>
    <s v="No"/>
    <x v="0"/>
  </r>
  <r>
    <s v="INC101183"/>
    <d v="2025-05-06T00:00:00"/>
    <d v="2025-05-06T16:49:48"/>
    <x v="1"/>
    <x v="1"/>
    <s v="Account Lock"/>
    <s v="Application Support"/>
    <s v="Gurugram"/>
    <s v="Phone"/>
    <s v="Closed"/>
    <n v="24"/>
    <n v="16.829999999999998"/>
    <n v="5"/>
    <s v="No"/>
    <x v="0"/>
  </r>
  <r>
    <s v="INC101184"/>
    <d v="2025-03-23T00:00:00"/>
    <d v="2025-03-25T04:10:48"/>
    <x v="1"/>
    <x v="1"/>
    <s v="Permission"/>
    <s v="Network Support"/>
    <s v="Bengaluru"/>
    <s v="Portal"/>
    <s v="Closed"/>
    <n v="24"/>
    <n v="52.18"/>
    <n v="2.2999999999999998"/>
    <s v="No"/>
    <x v="1"/>
  </r>
  <r>
    <s v="INC101185"/>
    <d v="2025-03-18T00:00:00"/>
    <d v="2025-03-18T04:30:00"/>
    <x v="0"/>
    <x v="2"/>
    <s v="DNS"/>
    <s v="Application Support"/>
    <s v="Noida"/>
    <s v="Email"/>
    <s v="Resolved"/>
    <n v="48"/>
    <n v="4.5"/>
    <n v="5"/>
    <s v="No"/>
    <x v="0"/>
  </r>
  <r>
    <s v="INC101186"/>
    <d v="2025-02-25T00:00:00"/>
    <d v="2025-03-01T13:39:00"/>
    <x v="0"/>
    <x v="2"/>
    <s v="Link Down"/>
    <s v="Desktop Support"/>
    <s v="Noida"/>
    <s v="Portal"/>
    <s v="Resolved"/>
    <n v="48"/>
    <n v="109.65"/>
    <n v="2.4"/>
    <s v="No"/>
    <x v="1"/>
  </r>
  <r>
    <s v="INC101187"/>
    <d v="2025-01-26T00:00:00"/>
    <d v="2025-01-26T13:09:00"/>
    <x v="1"/>
    <x v="1"/>
    <s v="Account Lock"/>
    <s v="Service Desk"/>
    <s v="Hyderabad"/>
    <s v="Phone"/>
    <s v="Resolved"/>
    <n v="24"/>
    <n v="13.15"/>
    <n v="4.8"/>
    <s v="No"/>
    <x v="0"/>
  </r>
  <r>
    <s v="INC101188"/>
    <d v="2025-04-19T00:00:00"/>
    <d v="2025-04-19T03:19:12"/>
    <x v="2"/>
    <x v="2"/>
    <s v="DNS"/>
    <s v="Desktop Support"/>
    <s v="Noida"/>
    <s v="Phone"/>
    <s v="Closed"/>
    <n v="4"/>
    <n v="3.32"/>
    <n v="3.2"/>
    <s v="No"/>
    <x v="0"/>
  </r>
  <r>
    <s v="INC101189"/>
    <d v="2025-04-13T00:00:00"/>
    <d v="2025-04-13T21:05:24"/>
    <x v="1"/>
    <x v="2"/>
    <s v="Packet Loss"/>
    <s v="Application Support"/>
    <s v="Delhi"/>
    <s v="Email"/>
    <s v="Resolved"/>
    <n v="24"/>
    <n v="21.09"/>
    <n v="3.6"/>
    <s v="No"/>
    <x v="0"/>
  </r>
  <r>
    <s v="INC101190"/>
    <d v="2025-01-02T00:00:00"/>
    <d v="2025-01-02T06:17:23"/>
    <x v="1"/>
    <x v="1"/>
    <s v="Account Lock"/>
    <s v="Application Support"/>
    <s v="Noida"/>
    <s v="Phone"/>
    <s v="Closed"/>
    <n v="24"/>
    <n v="6.29"/>
    <n v="4.3"/>
    <s v="No"/>
    <x v="0"/>
  </r>
  <r>
    <s v="INC101191"/>
    <d v="2025-03-17T00:00:00"/>
    <d v="2025-03-17T17:58:48"/>
    <x v="0"/>
    <x v="0"/>
    <s v="Installation"/>
    <s v="Application Support"/>
    <s v="Bengaluru"/>
    <s v="Chat"/>
    <s v="Resolved"/>
    <n v="48"/>
    <n v="17.98"/>
    <n v="5"/>
    <s v="No"/>
    <x v="0"/>
  </r>
  <r>
    <s v="INC101192"/>
    <d v="2025-02-20T00:00:00"/>
    <d v="2025-02-21T09:03:00"/>
    <x v="1"/>
    <x v="3"/>
    <s v="Printer"/>
    <s v="Network Support"/>
    <s v="Delhi"/>
    <s v="Email"/>
    <s v="Closed"/>
    <n v="24"/>
    <n v="33.049999999999997"/>
    <n v="3.2"/>
    <s v="No"/>
    <x v="1"/>
  </r>
  <r>
    <s v="INC101193"/>
    <d v="2025-01-31T00:00:00"/>
    <d v="2025-02-03T02:43:48"/>
    <x v="0"/>
    <x v="2"/>
    <s v="Connectivity"/>
    <s v="Application Support"/>
    <s v="Mumbai"/>
    <s v="Portal"/>
    <s v="Resolved"/>
    <n v="48"/>
    <n v="74.73"/>
    <n v="3.6"/>
    <s v="No"/>
    <x v="1"/>
  </r>
  <r>
    <s v="INC101194"/>
    <d v="2025-05-08T00:00:00"/>
    <d v="2025-05-08T11:01:12"/>
    <x v="1"/>
    <x v="2"/>
    <s v="Connectivity"/>
    <s v="Network Support"/>
    <s v="Gurugram"/>
    <s v="Email"/>
    <s v="Resolved"/>
    <n v="24"/>
    <n v="11.02"/>
    <n v="4.5"/>
    <s v="No"/>
    <x v="0"/>
  </r>
  <r>
    <s v="INC101195"/>
    <d v="2025-04-06T00:00:00"/>
    <d v="2025-04-06T15:26:24"/>
    <x v="3"/>
    <x v="1"/>
    <s v="Permission"/>
    <s v="Application Support"/>
    <s v="Delhi"/>
    <s v="Portal"/>
    <s v="Resolved"/>
    <n v="8"/>
    <n v="15.44"/>
    <n v="2.5"/>
    <s v="No"/>
    <x v="1"/>
  </r>
  <r>
    <s v="INC101196"/>
    <d v="2025-04-25T00:00:00"/>
    <d v="2025-04-25T12:01:12"/>
    <x v="1"/>
    <x v="0"/>
    <s v="Application Error"/>
    <s v="Service Desk"/>
    <s v="Bengaluru"/>
    <s v="Email"/>
    <s v="Closed"/>
    <n v="24"/>
    <n v="12.02"/>
    <n v="3.5"/>
    <s v="No"/>
    <x v="0"/>
  </r>
  <r>
    <s v="INC101197"/>
    <d v="2025-05-10T00:00:00"/>
    <d v="2025-05-11T23:43:12"/>
    <x v="0"/>
    <x v="2"/>
    <s v="Packet Loss"/>
    <s v="Network Support"/>
    <s v="Delhi"/>
    <s v="Portal"/>
    <s v="Resolved"/>
    <n v="48"/>
    <n v="47.72"/>
    <n v="2.6"/>
    <s v="No"/>
    <x v="0"/>
  </r>
  <r>
    <s v="INC101198"/>
    <d v="2025-06-27T00:00:00"/>
    <d v="2025-06-27T13:33:36"/>
    <x v="0"/>
    <x v="3"/>
    <s v="Peripheral"/>
    <s v="Application Support"/>
    <s v="Mumbai"/>
    <s v="Phone"/>
    <s v="Closed"/>
    <n v="48"/>
    <n v="13.56"/>
    <n v="4.5"/>
    <s v="No"/>
    <x v="0"/>
  </r>
  <r>
    <s v="INC101199"/>
    <d v="2025-05-26T00:00:00"/>
    <d v="2025-05-27T21:24:00"/>
    <x v="0"/>
    <x v="2"/>
    <s v="Connectivity"/>
    <s v="Desktop Support"/>
    <s v="Delhi"/>
    <s v="Email"/>
    <s v="Resolved"/>
    <n v="48"/>
    <n v="45.4"/>
    <n v="3.7"/>
    <s v="No"/>
    <x v="0"/>
  </r>
  <r>
    <s v="INC101200"/>
    <d v="2025-04-23T00:00:00"/>
    <d v="2025-04-23T10:16:48"/>
    <x v="1"/>
    <x v="2"/>
    <s v="Link Down"/>
    <s v="Application Support"/>
    <s v="Noida"/>
    <s v="Email"/>
    <s v="In Progress"/>
    <n v="24"/>
    <n v="10.28"/>
    <n v="4"/>
    <s v="No"/>
    <x v="0"/>
  </r>
  <r>
    <s v="INC101201"/>
    <d v="2025-06-09T00:00:00"/>
    <d v="2025-06-09T20:49:12"/>
    <x v="3"/>
    <x v="2"/>
    <s v="DNS"/>
    <s v="Service Desk"/>
    <s v="Delhi"/>
    <s v="Portal"/>
    <s v="In Progress"/>
    <n v="8"/>
    <n v="20.82"/>
    <n v="2"/>
    <s v="No"/>
    <x v="1"/>
  </r>
  <r>
    <s v="INC101202"/>
    <d v="2025-03-28T00:00:00"/>
    <d v="2025-03-29T11:12:36"/>
    <x v="0"/>
    <x v="0"/>
    <s v="Application Error"/>
    <s v="Service Desk"/>
    <s v="Noida"/>
    <s v="Portal"/>
    <s v="Resolved"/>
    <n v="48"/>
    <n v="35.21"/>
    <n v="5"/>
    <s v="No"/>
    <x v="0"/>
  </r>
  <r>
    <s v="INC101203"/>
    <d v="2025-06-28T00:00:00"/>
    <d v="2025-06-29T18:40:48"/>
    <x v="1"/>
    <x v="2"/>
    <s v="DNS"/>
    <s v="Application Support"/>
    <s v="Hyderabad"/>
    <s v="Phone"/>
    <s v="Resolved"/>
    <n v="24"/>
    <n v="42.68"/>
    <n v="3.9"/>
    <s v="No"/>
    <x v="1"/>
  </r>
  <r>
    <s v="INC101204"/>
    <d v="2025-05-18T00:00:00"/>
    <d v="2025-05-18T15:16:48"/>
    <x v="1"/>
    <x v="3"/>
    <s v="Laptop"/>
    <s v="Service Desk"/>
    <s v="Bengaluru"/>
    <s v="Email"/>
    <s v="Resolved"/>
    <n v="24"/>
    <n v="15.28"/>
    <n v="4.3"/>
    <s v="No"/>
    <x v="0"/>
  </r>
  <r>
    <s v="INC101205"/>
    <d v="2025-04-28T00:00:00"/>
    <d v="2025-04-29T02:41:24"/>
    <x v="0"/>
    <x v="3"/>
    <s v="Peripheral"/>
    <s v="Access Management"/>
    <s v="Bengaluru"/>
    <s v="Chat"/>
    <s v="Resolved"/>
    <n v="48"/>
    <n v="26.69"/>
    <n v="4.4000000000000004"/>
    <s v="No"/>
    <x v="0"/>
  </r>
  <r>
    <s v="INC101206"/>
    <d v="2025-06-13T00:00:00"/>
    <d v="2025-06-14T05:58:12"/>
    <x v="0"/>
    <x v="3"/>
    <s v="Monitor"/>
    <s v="Application Support"/>
    <s v="Delhi"/>
    <s v="Email"/>
    <s v="Resolved"/>
    <n v="48"/>
    <n v="29.97"/>
    <n v="4.7"/>
    <s v="No"/>
    <x v="0"/>
  </r>
  <r>
    <s v="INC101207"/>
    <d v="2025-04-04T00:00:00"/>
    <d v="2025-04-06T02:09:00"/>
    <x v="1"/>
    <x v="2"/>
    <s v="Connectivity"/>
    <s v="Access Management"/>
    <s v="Gurugram"/>
    <s v="Portal"/>
    <s v="Resolved"/>
    <n v="24"/>
    <n v="50.15"/>
    <n v="2.7"/>
    <s v="No"/>
    <x v="1"/>
  </r>
  <r>
    <s v="INC101208"/>
    <d v="2025-05-11T00:00:00"/>
    <d v="2025-05-11T08:37:48"/>
    <x v="1"/>
    <x v="2"/>
    <s v="Packet Loss"/>
    <s v="Network Support"/>
    <s v="Noida"/>
    <s v="Email"/>
    <s v="Closed"/>
    <n v="24"/>
    <n v="8.6300000000000008"/>
    <n v="5"/>
    <s v="No"/>
    <x v="0"/>
  </r>
  <r>
    <s v="INC101209"/>
    <d v="2025-02-21T00:00:00"/>
    <d v="2025-02-23T12:43:12"/>
    <x v="1"/>
    <x v="2"/>
    <s v="Connectivity"/>
    <s v="Desktop Support"/>
    <s v="Bengaluru"/>
    <s v="Phone"/>
    <s v="Resolved"/>
    <n v="24"/>
    <n v="60.72"/>
    <n v="2.2000000000000002"/>
    <s v="Yes"/>
    <x v="1"/>
  </r>
  <r>
    <s v="INC101210"/>
    <d v="2025-06-24T00:00:00"/>
    <d v="2025-06-24T08:54:00"/>
    <x v="3"/>
    <x v="3"/>
    <s v="Monitor"/>
    <s v="Desktop Support"/>
    <s v="Gurugram"/>
    <s v="Portal"/>
    <s v="Pending"/>
    <n v="8"/>
    <n v="8.9"/>
    <n v="3.8"/>
    <s v="No"/>
    <x v="1"/>
  </r>
  <r>
    <s v="INC101211"/>
    <d v="2025-04-23T00:00:00"/>
    <d v="2025-04-23T16:07:48"/>
    <x v="3"/>
    <x v="0"/>
    <s v="Performance"/>
    <s v="Access Management"/>
    <s v="Hyderabad"/>
    <s v="Email"/>
    <s v="Resolved"/>
    <n v="8"/>
    <n v="16.13"/>
    <n v="2.2000000000000002"/>
    <s v="No"/>
    <x v="1"/>
  </r>
  <r>
    <s v="INC101212"/>
    <d v="2025-05-22T00:00:00"/>
    <d v="2025-05-22T01:31:12"/>
    <x v="3"/>
    <x v="2"/>
    <s v="Packet Loss"/>
    <s v="Desktop Support"/>
    <s v="Bengaluru"/>
    <s v="Portal"/>
    <s v="Resolved"/>
    <n v="8"/>
    <n v="1.52"/>
    <n v="5"/>
    <s v="No"/>
    <x v="0"/>
  </r>
  <r>
    <s v="INC101213"/>
    <d v="2025-03-25T00:00:00"/>
    <d v="2025-03-25T03:54:36"/>
    <x v="2"/>
    <x v="1"/>
    <s v="Account Lock"/>
    <s v="Access Management"/>
    <s v="Gurugram"/>
    <s v="Portal"/>
    <s v="Resolved"/>
    <n v="4"/>
    <n v="3.91"/>
    <n v="2.4"/>
    <s v="No"/>
    <x v="0"/>
  </r>
  <r>
    <s v="INC101214"/>
    <d v="2025-06-06T00:00:00"/>
    <d v="2025-06-06T11:20:24"/>
    <x v="3"/>
    <x v="0"/>
    <s v="License"/>
    <s v="Service Desk"/>
    <s v="Delhi"/>
    <s v="Portal"/>
    <s v="In Progress"/>
    <n v="8"/>
    <n v="11.34"/>
    <n v="3.5"/>
    <s v="No"/>
    <x v="1"/>
  </r>
  <r>
    <s v="INC101215"/>
    <d v="2025-01-14T00:00:00"/>
    <d v="2025-01-14T11:33:36"/>
    <x v="3"/>
    <x v="2"/>
    <s v="Link Down"/>
    <s v="Access Management"/>
    <s v="Bengaluru"/>
    <s v="Email"/>
    <s v="In Progress"/>
    <n v="8"/>
    <n v="11.56"/>
    <n v="2"/>
    <s v="No"/>
    <x v="1"/>
  </r>
  <r>
    <s v="INC101216"/>
    <d v="2025-01-21T00:00:00"/>
    <d v="2025-01-21T07:48:36"/>
    <x v="3"/>
    <x v="2"/>
    <s v="Link Down"/>
    <s v="Desktop Support"/>
    <s v="Noida"/>
    <s v="Phone"/>
    <s v="Resolved"/>
    <n v="8"/>
    <n v="7.81"/>
    <n v="4"/>
    <s v="No"/>
    <x v="0"/>
  </r>
  <r>
    <s v="INC101217"/>
    <d v="2025-04-02T00:00:00"/>
    <d v="2025-04-02T03:12:00"/>
    <x v="3"/>
    <x v="2"/>
    <s v="Link Down"/>
    <s v="Access Management"/>
    <s v="Mumbai"/>
    <s v="Portal"/>
    <s v="Closed"/>
    <n v="8"/>
    <n v="3.2"/>
    <n v="3.9"/>
    <s v="No"/>
    <x v="0"/>
  </r>
  <r>
    <s v="INC101218"/>
    <d v="2025-05-13T00:00:00"/>
    <d v="2025-05-13T03:01:12"/>
    <x v="3"/>
    <x v="2"/>
    <s v="DNS"/>
    <s v="Service Desk"/>
    <s v="Bengaluru"/>
    <s v="Phone"/>
    <s v="Resolved"/>
    <n v="8"/>
    <n v="3.02"/>
    <n v="5"/>
    <s v="Yes"/>
    <x v="0"/>
  </r>
  <r>
    <s v="INC101219"/>
    <d v="2025-05-27T00:00:00"/>
    <d v="2025-05-27T02:51:36"/>
    <x v="3"/>
    <x v="0"/>
    <s v="Performance"/>
    <s v="Service Desk"/>
    <s v="Bengaluru"/>
    <s v="Phone"/>
    <s v="Resolved"/>
    <n v="8"/>
    <n v="2.86"/>
    <n v="4.7"/>
    <s v="No"/>
    <x v="0"/>
  </r>
  <r>
    <s v="INC101220"/>
    <d v="2025-03-21T00:00:00"/>
    <d v="2025-03-21T16:48:36"/>
    <x v="1"/>
    <x v="2"/>
    <s v="Connectivity"/>
    <s v="Desktop Support"/>
    <s v="Hyderabad"/>
    <s v="Portal"/>
    <s v="Resolved"/>
    <n v="24"/>
    <n v="16.809999999999999"/>
    <n v="4.2"/>
    <s v="No"/>
    <x v="0"/>
  </r>
  <r>
    <s v="INC101221"/>
    <d v="2025-04-28T00:00:00"/>
    <d v="2025-04-28T14:46:48"/>
    <x v="1"/>
    <x v="1"/>
    <s v="VPN Access"/>
    <s v="Desktop Support"/>
    <s v="Bengaluru"/>
    <s v="Portal"/>
    <s v="Closed"/>
    <n v="24"/>
    <n v="14.78"/>
    <n v="4.5999999999999996"/>
    <s v="No"/>
    <x v="0"/>
  </r>
  <r>
    <s v="INC101222"/>
    <d v="2025-04-11T00:00:00"/>
    <d v="2025-04-11T09:57:36"/>
    <x v="1"/>
    <x v="0"/>
    <s v="Installation"/>
    <s v="Network Support"/>
    <s v="Mumbai"/>
    <s v="Portal"/>
    <s v="Resolved"/>
    <n v="24"/>
    <n v="9.9600000000000009"/>
    <n v="4"/>
    <s v="Yes"/>
    <x v="0"/>
  </r>
  <r>
    <s v="INC101223"/>
    <d v="2025-06-24T00:00:00"/>
    <d v="2025-06-24T03:47:24"/>
    <x v="3"/>
    <x v="1"/>
    <s v="Account Lock"/>
    <s v="Application Support"/>
    <s v="Noida"/>
    <s v="Portal"/>
    <s v="Resolved"/>
    <n v="8"/>
    <n v="3.79"/>
    <n v="5"/>
    <s v="No"/>
    <x v="0"/>
  </r>
  <r>
    <s v="INC101224"/>
    <d v="2025-04-29T00:00:00"/>
    <d v="2025-04-29T13:29:24"/>
    <x v="1"/>
    <x v="1"/>
    <s v="Password Reset"/>
    <s v="Desktop Support"/>
    <s v="Hyderabad"/>
    <s v="Chat"/>
    <s v="Resolved"/>
    <n v="24"/>
    <n v="13.49"/>
    <n v="4.8"/>
    <s v="No"/>
    <x v="0"/>
  </r>
  <r>
    <s v="INC101225"/>
    <d v="2025-03-17T00:00:00"/>
    <d v="2025-03-17T00:30:00"/>
    <x v="3"/>
    <x v="0"/>
    <s v="License"/>
    <s v="Network Support"/>
    <s v="Noida"/>
    <s v="Phone"/>
    <s v="In Progress"/>
    <n v="8"/>
    <n v="0.5"/>
    <n v="4.5999999999999996"/>
    <s v="No"/>
    <x v="0"/>
  </r>
  <r>
    <s v="INC101226"/>
    <d v="2025-06-25T00:00:00"/>
    <d v="2025-06-25T03:27:36"/>
    <x v="3"/>
    <x v="4"/>
    <s v="Mailbox"/>
    <s v="Desktop Support"/>
    <s v="Mumbai"/>
    <s v="Portal"/>
    <s v="Pending"/>
    <n v="8"/>
    <n v="3.46"/>
    <n v="3.8"/>
    <s v="No"/>
    <x v="0"/>
  </r>
  <r>
    <s v="INC101227"/>
    <d v="2025-01-20T00:00:00"/>
    <d v="2025-01-20T01:20:24"/>
    <x v="2"/>
    <x v="4"/>
    <s v="Configuration"/>
    <s v="Application Support"/>
    <s v="Hyderabad"/>
    <s v="Email"/>
    <s v="Resolved"/>
    <n v="4"/>
    <n v="1.34"/>
    <n v="4.4000000000000004"/>
    <s v="Yes"/>
    <x v="0"/>
  </r>
  <r>
    <s v="INC101228"/>
    <d v="2025-06-28T00:00:00"/>
    <d v="2025-06-28T08:40:12"/>
    <x v="0"/>
    <x v="3"/>
    <s v="Laptop"/>
    <s v="Network Support"/>
    <s v="Noida"/>
    <s v="Portal"/>
    <s v="Closed"/>
    <n v="48"/>
    <n v="8.67"/>
    <n v="4.7"/>
    <s v="No"/>
    <x v="0"/>
  </r>
  <r>
    <s v="INC101229"/>
    <d v="2025-01-28T00:00:00"/>
    <d v="2025-01-28T04:37:48"/>
    <x v="1"/>
    <x v="2"/>
    <s v="Packet Loss"/>
    <s v="Access Management"/>
    <s v="Delhi"/>
    <s v="Portal"/>
    <s v="Closed"/>
    <n v="24"/>
    <n v="4.63"/>
    <n v="4.0999999999999996"/>
    <s v="No"/>
    <x v="0"/>
  </r>
  <r>
    <s v="INC101230"/>
    <d v="2025-02-22T00:00:00"/>
    <d v="2025-02-22T03:24:36"/>
    <x v="3"/>
    <x v="3"/>
    <s v="Laptop"/>
    <s v="Application Support"/>
    <s v="Gurugram"/>
    <s v="Portal"/>
    <s v="Pending"/>
    <n v="8"/>
    <n v="3.41"/>
    <n v="4.2"/>
    <s v="No"/>
    <x v="0"/>
  </r>
  <r>
    <s v="INC101231"/>
    <d v="2025-05-29T00:00:00"/>
    <d v="2025-05-29T05:48:00"/>
    <x v="3"/>
    <x v="2"/>
    <s v="Link Down"/>
    <s v="Service Desk"/>
    <s v="Gurugram"/>
    <s v="Portal"/>
    <s v="Resolved"/>
    <n v="8"/>
    <n v="5.8"/>
    <n v="3.7"/>
    <s v="No"/>
    <x v="0"/>
  </r>
  <r>
    <s v="INC101232"/>
    <d v="2025-05-13T00:00:00"/>
    <d v="2025-05-13T06:04:12"/>
    <x v="3"/>
    <x v="0"/>
    <s v="License"/>
    <s v="Application Support"/>
    <s v="Delhi"/>
    <s v="Portal"/>
    <s v="Resolved"/>
    <n v="8"/>
    <n v="6.07"/>
    <n v="4"/>
    <s v="No"/>
    <x v="0"/>
  </r>
  <r>
    <s v="INC101233"/>
    <d v="2025-06-25T00:00:00"/>
    <d v="2025-06-25T20:09:00"/>
    <x v="1"/>
    <x v="3"/>
    <s v="Printer"/>
    <s v="Access Management"/>
    <s v="Bengaluru"/>
    <s v="Portal"/>
    <s v="Resolved"/>
    <n v="24"/>
    <n v="20.149999999999999"/>
    <n v="3.9"/>
    <s v="No"/>
    <x v="0"/>
  </r>
  <r>
    <s v="INC101234"/>
    <d v="2025-05-16T00:00:00"/>
    <d v="2025-05-16T18:13:48"/>
    <x v="1"/>
    <x v="0"/>
    <s v="Performance"/>
    <s v="Access Management"/>
    <s v="Gurugram"/>
    <s v="Portal"/>
    <s v="Closed"/>
    <n v="24"/>
    <n v="18.23"/>
    <n v="4.4000000000000004"/>
    <s v="Yes"/>
    <x v="0"/>
  </r>
  <r>
    <s v="INC101235"/>
    <d v="2025-04-26T00:00:00"/>
    <d v="2025-04-26T17:46:12"/>
    <x v="0"/>
    <x v="1"/>
    <s v="Password Reset"/>
    <s v="Application Support"/>
    <s v="Delhi"/>
    <s v="Email"/>
    <s v="Resolved"/>
    <n v="48"/>
    <n v="17.77"/>
    <n v="4.5999999999999996"/>
    <s v="No"/>
    <x v="0"/>
  </r>
  <r>
    <s v="INC101236"/>
    <d v="2025-03-04T00:00:00"/>
    <d v="2025-03-04T00:46:12"/>
    <x v="2"/>
    <x v="2"/>
    <s v="DNS"/>
    <s v="Service Desk"/>
    <s v="Delhi"/>
    <s v="Email"/>
    <s v="Resolved"/>
    <n v="4"/>
    <n v="0.77"/>
    <n v="5"/>
    <s v="No"/>
    <x v="0"/>
  </r>
  <r>
    <s v="INC101237"/>
    <d v="2025-01-01T00:00:00"/>
    <d v="2025-01-01T11:31:12"/>
    <x v="0"/>
    <x v="0"/>
    <s v="Installation"/>
    <s v="Network Support"/>
    <s v="Gurugram"/>
    <s v="Portal"/>
    <s v="Closed"/>
    <n v="48"/>
    <n v="11.52"/>
    <n v="4.9000000000000004"/>
    <s v="No"/>
    <x v="0"/>
  </r>
  <r>
    <s v="INC101238"/>
    <d v="2025-01-23T00:00:00"/>
    <d v="2025-01-23T04:05:24"/>
    <x v="3"/>
    <x v="3"/>
    <s v="Printer"/>
    <s v="Service Desk"/>
    <s v="Noida"/>
    <s v="Email"/>
    <s v="In Progress"/>
    <n v="8"/>
    <n v="4.09"/>
    <n v="4.3"/>
    <s v="No"/>
    <x v="0"/>
  </r>
  <r>
    <s v="INC101239"/>
    <d v="2025-02-23T00:00:00"/>
    <d v="2025-02-23T04:58:48"/>
    <x v="3"/>
    <x v="1"/>
    <s v="VPN Access"/>
    <s v="Access Management"/>
    <s v="Hyderabad"/>
    <s v="Portal"/>
    <s v="Resolved"/>
    <n v="8"/>
    <n v="4.9800000000000004"/>
    <n v="4.7"/>
    <s v="No"/>
    <x v="0"/>
  </r>
  <r>
    <s v="INC101240"/>
    <d v="2025-01-08T00:00:00"/>
    <d v="2025-01-09T00:48:00"/>
    <x v="1"/>
    <x v="0"/>
    <s v="Performance"/>
    <s v="Service Desk"/>
    <s v="Mumbai"/>
    <s v="Chat"/>
    <s v="Resolved"/>
    <n v="24"/>
    <n v="24.8"/>
    <n v="2"/>
    <s v="No"/>
    <x v="1"/>
  </r>
  <r>
    <s v="INC101241"/>
    <d v="2025-04-02T00:00:00"/>
    <d v="2025-04-04T21:49:48"/>
    <x v="0"/>
    <x v="2"/>
    <s v="Packet Loss"/>
    <s v="Service Desk"/>
    <s v="Mumbai"/>
    <s v="Portal"/>
    <s v="Resolved"/>
    <n v="48"/>
    <n v="69.83"/>
    <n v="3"/>
    <s v="No"/>
    <x v="1"/>
  </r>
  <r>
    <s v="INC101242"/>
    <d v="2025-05-21T00:00:00"/>
    <d v="2025-05-21T18:49:12"/>
    <x v="0"/>
    <x v="0"/>
    <s v="Application Error"/>
    <s v="Access Management"/>
    <s v="Mumbai"/>
    <s v="Email"/>
    <s v="Resolved"/>
    <n v="48"/>
    <n v="18.82"/>
    <n v="4.2"/>
    <s v="No"/>
    <x v="0"/>
  </r>
  <r>
    <s v="INC101243"/>
    <d v="2025-06-24T00:00:00"/>
    <d v="2025-06-24T05:06:36"/>
    <x v="3"/>
    <x v="2"/>
    <s v="Link Down"/>
    <s v="Service Desk"/>
    <s v="Mumbai"/>
    <s v="Portal"/>
    <s v="Resolved"/>
    <n v="8"/>
    <n v="5.1100000000000003"/>
    <n v="4.3"/>
    <s v="No"/>
    <x v="0"/>
  </r>
  <r>
    <s v="INC101244"/>
    <d v="2025-03-30T00:00:00"/>
    <d v="2025-03-30T20:51:00"/>
    <x v="1"/>
    <x v="1"/>
    <s v="Permission"/>
    <s v="Desktop Support"/>
    <s v="Gurugram"/>
    <s v="Portal"/>
    <s v="Resolved"/>
    <n v="24"/>
    <n v="20.85"/>
    <n v="3.5"/>
    <s v="No"/>
    <x v="0"/>
  </r>
  <r>
    <s v="INC101245"/>
    <d v="2025-06-08T00:00:00"/>
    <d v="2025-06-09T03:03:00"/>
    <x v="0"/>
    <x v="0"/>
    <s v="Application Error"/>
    <s v="Service Desk"/>
    <s v="Delhi"/>
    <s v="Email"/>
    <s v="Resolved"/>
    <n v="48"/>
    <n v="27.05"/>
    <n v="4.7"/>
    <s v="No"/>
    <x v="0"/>
  </r>
  <r>
    <s v="INC101246"/>
    <d v="2025-06-28T00:00:00"/>
    <d v="2025-06-28T05:55:48"/>
    <x v="1"/>
    <x v="3"/>
    <s v="Monitor"/>
    <s v="Service Desk"/>
    <s v="Bengaluru"/>
    <s v="Phone"/>
    <s v="Pending"/>
    <n v="24"/>
    <n v="5.93"/>
    <n v="5"/>
    <s v="No"/>
    <x v="0"/>
  </r>
  <r>
    <s v="INC101247"/>
    <d v="2025-06-05T00:00:00"/>
    <d v="2025-06-05T13:49:48"/>
    <x v="0"/>
    <x v="0"/>
    <s v="License"/>
    <s v="Desktop Support"/>
    <s v="Delhi"/>
    <s v="Chat"/>
    <s v="Resolved"/>
    <n v="48"/>
    <n v="13.83"/>
    <n v="3.8"/>
    <s v="No"/>
    <x v="0"/>
  </r>
  <r>
    <s v="INC101248"/>
    <d v="2025-03-26T00:00:00"/>
    <d v="2025-03-26T08:44:24"/>
    <x v="3"/>
    <x v="1"/>
    <s v="VPN Access"/>
    <s v="Application Support"/>
    <s v="Gurugram"/>
    <s v="Email"/>
    <s v="Resolved"/>
    <n v="8"/>
    <n v="8.74"/>
    <n v="3.8"/>
    <s v="No"/>
    <x v="1"/>
  </r>
  <r>
    <s v="INC101249"/>
    <d v="2025-02-28T00:00:00"/>
    <d v="2025-02-28T09:58:48"/>
    <x v="1"/>
    <x v="1"/>
    <s v="VPN Access"/>
    <s v="Service Desk"/>
    <s v="Mumbai"/>
    <s v="Portal"/>
    <s v="Resolved"/>
    <n v="24"/>
    <n v="9.98"/>
    <n v="3.7"/>
    <s v="No"/>
    <x v="0"/>
  </r>
  <r>
    <s v="INC101250"/>
    <d v="2025-06-27T00:00:00"/>
    <d v="2025-06-27T21:40:48"/>
    <x v="0"/>
    <x v="0"/>
    <s v="License"/>
    <s v="Network Support"/>
    <s v="Bengaluru"/>
    <s v="Phone"/>
    <s v="Closed"/>
    <n v="48"/>
    <n v="21.68"/>
    <n v="4.8"/>
    <s v="Yes"/>
    <x v="0"/>
  </r>
  <r>
    <s v="INC101251"/>
    <d v="2025-02-13T00:00:00"/>
    <d v="2025-02-13T02:20:24"/>
    <x v="0"/>
    <x v="1"/>
    <s v="VPN Access"/>
    <s v="Application Support"/>
    <s v="Mumbai"/>
    <s v="Portal"/>
    <s v="Resolved"/>
    <n v="48"/>
    <n v="2.34"/>
    <n v="4.5999999999999996"/>
    <s v="No"/>
    <x v="0"/>
  </r>
  <r>
    <s v="INC101252"/>
    <d v="2025-03-16T00:00:00"/>
    <d v="2025-03-17T07:05:24"/>
    <x v="1"/>
    <x v="3"/>
    <s v="Laptop"/>
    <s v="Desktop Support"/>
    <s v="Bengaluru"/>
    <s v="Email"/>
    <s v="Resolved"/>
    <n v="24"/>
    <n v="31.09"/>
    <n v="2.9"/>
    <s v="No"/>
    <x v="1"/>
  </r>
  <r>
    <s v="INC101253"/>
    <d v="2025-01-14T00:00:00"/>
    <d v="2025-01-14T21:18:36"/>
    <x v="1"/>
    <x v="1"/>
    <s v="VPN Access"/>
    <s v="Application Support"/>
    <s v="Bengaluru"/>
    <s v="Phone"/>
    <s v="Resolved"/>
    <n v="24"/>
    <n v="21.31"/>
    <n v="2.8"/>
    <s v="No"/>
    <x v="0"/>
  </r>
  <r>
    <s v="INC101254"/>
    <d v="2025-05-24T00:00:00"/>
    <d v="2025-05-24T01:05:24"/>
    <x v="3"/>
    <x v="1"/>
    <s v="Permission"/>
    <s v="Desktop Support"/>
    <s v="Gurugram"/>
    <s v="Portal"/>
    <s v="Resolved"/>
    <n v="8"/>
    <n v="1.0900000000000001"/>
    <n v="4.8"/>
    <s v="No"/>
    <x v="0"/>
  </r>
  <r>
    <s v="INC101255"/>
    <d v="2025-04-28T00:00:00"/>
    <d v="2025-04-28T19:24:36"/>
    <x v="1"/>
    <x v="2"/>
    <s v="DNS"/>
    <s v="Application Support"/>
    <s v="Gurugram"/>
    <s v="Email"/>
    <s v="Resolved"/>
    <n v="24"/>
    <n v="19.41"/>
    <n v="3.3"/>
    <s v="No"/>
    <x v="0"/>
  </r>
  <r>
    <s v="INC101256"/>
    <d v="2025-01-16T00:00:00"/>
    <d v="2025-01-16T20:25:48"/>
    <x v="1"/>
    <x v="2"/>
    <s v="Packet Loss"/>
    <s v="Application Support"/>
    <s v="Gurugram"/>
    <s v="Portal"/>
    <s v="Closed"/>
    <n v="24"/>
    <n v="20.43"/>
    <n v="3"/>
    <s v="No"/>
    <x v="0"/>
  </r>
  <r>
    <s v="INC101257"/>
    <d v="2025-02-10T00:00:00"/>
    <d v="2025-02-13T12:39:36"/>
    <x v="0"/>
    <x v="2"/>
    <s v="Connectivity"/>
    <s v="Application Support"/>
    <s v="Mumbai"/>
    <s v="Portal"/>
    <s v="Resolved"/>
    <n v="48"/>
    <n v="84.66"/>
    <n v="3"/>
    <s v="No"/>
    <x v="1"/>
  </r>
  <r>
    <s v="INC101258"/>
    <d v="2025-04-11T00:00:00"/>
    <d v="2025-04-11T12:45:00"/>
    <x v="0"/>
    <x v="2"/>
    <s v="Packet Loss"/>
    <s v="Application Support"/>
    <s v="Hyderabad"/>
    <s v="Chat"/>
    <s v="Closed"/>
    <n v="48"/>
    <n v="12.75"/>
    <n v="5"/>
    <s v="No"/>
    <x v="0"/>
  </r>
  <r>
    <s v="INC101259"/>
    <d v="2025-04-08T00:00:00"/>
    <d v="2025-04-08T06:12:00"/>
    <x v="3"/>
    <x v="3"/>
    <s v="Peripheral"/>
    <s v="Desktop Support"/>
    <s v="Delhi"/>
    <s v="Portal"/>
    <s v="Resolved"/>
    <n v="8"/>
    <n v="6.2"/>
    <n v="4.3"/>
    <s v="Yes"/>
    <x v="0"/>
  </r>
  <r>
    <s v="INC101260"/>
    <d v="2025-05-26T00:00:00"/>
    <d v="2025-05-26T16:34:47"/>
    <x v="0"/>
    <x v="2"/>
    <s v="Connectivity"/>
    <s v="Service Desk"/>
    <s v="Bengaluru"/>
    <s v="Portal"/>
    <s v="Closed"/>
    <n v="48"/>
    <n v="16.579999999999998"/>
    <n v="3.7"/>
    <s v="No"/>
    <x v="0"/>
  </r>
  <r>
    <s v="INC101261"/>
    <d v="2025-02-18T00:00:00"/>
    <d v="2025-02-18T01:19:12"/>
    <x v="2"/>
    <x v="0"/>
    <s v="Performance"/>
    <s v="Desktop Support"/>
    <s v="Noida"/>
    <s v="Email"/>
    <s v="Pending"/>
    <n v="4"/>
    <n v="1.32"/>
    <n v="4.5"/>
    <s v="No"/>
    <x v="0"/>
  </r>
  <r>
    <s v="INC101262"/>
    <d v="2025-06-17T00:00:00"/>
    <d v="2025-06-18T13:03:36"/>
    <x v="1"/>
    <x v="2"/>
    <s v="Packet Loss"/>
    <s v="Application Support"/>
    <s v="Bengaluru"/>
    <s v="Portal"/>
    <s v="Resolved"/>
    <n v="24"/>
    <n v="37.06"/>
    <n v="3.6"/>
    <s v="No"/>
    <x v="1"/>
  </r>
  <r>
    <s v="INC101263"/>
    <d v="2025-03-22T00:00:00"/>
    <d v="2025-03-24T04:45:36"/>
    <x v="0"/>
    <x v="2"/>
    <s v="Link Down"/>
    <s v="Desktop Support"/>
    <s v="Gurugram"/>
    <s v="Portal"/>
    <s v="Closed"/>
    <n v="48"/>
    <n v="52.76"/>
    <n v="3.6"/>
    <s v="No"/>
    <x v="1"/>
  </r>
  <r>
    <s v="INC101264"/>
    <d v="2025-05-29T00:00:00"/>
    <d v="2025-05-29T06:42:00"/>
    <x v="0"/>
    <x v="0"/>
    <s v="License"/>
    <s v="Desktop Support"/>
    <s v="Delhi"/>
    <s v="Portal"/>
    <s v="Resolved"/>
    <n v="48"/>
    <n v="6.7"/>
    <n v="5"/>
    <s v="No"/>
    <x v="0"/>
  </r>
  <r>
    <s v="INC101265"/>
    <d v="2025-02-13T00:00:00"/>
    <d v="2025-02-13T05:39:00"/>
    <x v="0"/>
    <x v="3"/>
    <s v="Laptop"/>
    <s v="Service Desk"/>
    <s v="Gurugram"/>
    <s v="Email"/>
    <s v="Closed"/>
    <n v="48"/>
    <n v="5.65"/>
    <n v="4.5999999999999996"/>
    <s v="Yes"/>
    <x v="0"/>
  </r>
  <r>
    <s v="INC101266"/>
    <d v="2025-01-07T00:00:00"/>
    <d v="2025-01-07T06:39:00"/>
    <x v="3"/>
    <x v="3"/>
    <s v="Monitor"/>
    <s v="Network Support"/>
    <s v="Gurugram"/>
    <s v="Portal"/>
    <s v="Resolved"/>
    <n v="8"/>
    <n v="6.65"/>
    <n v="3.8"/>
    <s v="Yes"/>
    <x v="0"/>
  </r>
  <r>
    <s v="INC101267"/>
    <d v="2025-01-10T00:00:00"/>
    <d v="2025-01-10T11:37:48"/>
    <x v="1"/>
    <x v="1"/>
    <s v="VPN Access"/>
    <s v="Desktop Support"/>
    <s v="Delhi"/>
    <s v="Phone"/>
    <s v="Pending"/>
    <n v="24"/>
    <n v="11.63"/>
    <n v="4"/>
    <s v="No"/>
    <x v="0"/>
  </r>
  <r>
    <s v="INC101268"/>
    <d v="2025-03-09T00:00:00"/>
    <d v="2025-03-09T05:37:48"/>
    <x v="1"/>
    <x v="4"/>
    <s v="Delivery"/>
    <s v="Access Management"/>
    <s v="Noida"/>
    <s v="Portal"/>
    <s v="Resolved"/>
    <n v="24"/>
    <n v="5.63"/>
    <n v="5"/>
    <s v="No"/>
    <x v="0"/>
  </r>
  <r>
    <s v="INC101269"/>
    <d v="2025-06-22T00:00:00"/>
    <d v="2025-06-22T20:14:24"/>
    <x v="1"/>
    <x v="0"/>
    <s v="Application Error"/>
    <s v="Application Support"/>
    <s v="Mumbai"/>
    <s v="Chat"/>
    <s v="Resolved"/>
    <n v="24"/>
    <n v="20.239999999999998"/>
    <n v="4.4000000000000004"/>
    <s v="No"/>
    <x v="0"/>
  </r>
  <r>
    <s v="INC101270"/>
    <d v="2025-01-09T00:00:00"/>
    <d v="2025-01-09T18:22:12"/>
    <x v="1"/>
    <x v="2"/>
    <s v="Connectivity"/>
    <s v="Application Support"/>
    <s v="Hyderabad"/>
    <s v="Portal"/>
    <s v="Resolved"/>
    <n v="24"/>
    <n v="18.37"/>
    <n v="3.7"/>
    <s v="No"/>
    <x v="0"/>
  </r>
  <r>
    <s v="INC101271"/>
    <d v="2025-03-08T00:00:00"/>
    <d v="2025-03-08T04:25:48"/>
    <x v="3"/>
    <x v="2"/>
    <s v="Packet Loss"/>
    <s v="Application Support"/>
    <s v="Bengaluru"/>
    <s v="Portal"/>
    <s v="Resolved"/>
    <n v="8"/>
    <n v="4.43"/>
    <n v="4.8"/>
    <s v="No"/>
    <x v="0"/>
  </r>
  <r>
    <s v="INC101272"/>
    <d v="2025-01-20T00:00:00"/>
    <d v="2025-01-20T02:22:48"/>
    <x v="2"/>
    <x v="4"/>
    <s v="Configuration"/>
    <s v="Access Management"/>
    <s v="Gurugram"/>
    <s v="Chat"/>
    <s v="Closed"/>
    <n v="4"/>
    <n v="2.38"/>
    <n v="3.4"/>
    <s v="No"/>
    <x v="0"/>
  </r>
  <r>
    <s v="INC101273"/>
    <d v="2025-06-18T00:00:00"/>
    <d v="2025-06-18T06:03:36"/>
    <x v="1"/>
    <x v="0"/>
    <s v="Application Error"/>
    <s v="Service Desk"/>
    <s v="Noida"/>
    <s v="Phone"/>
    <s v="Closed"/>
    <n v="24"/>
    <n v="6.06"/>
    <n v="4.5999999999999996"/>
    <s v="Yes"/>
    <x v="0"/>
  </r>
  <r>
    <s v="INC101274"/>
    <d v="2025-05-03T00:00:00"/>
    <d v="2025-05-03T06:05:24"/>
    <x v="3"/>
    <x v="1"/>
    <s v="Password Reset"/>
    <s v="Application Support"/>
    <s v="Gurugram"/>
    <s v="Portal"/>
    <s v="Resolved"/>
    <n v="8"/>
    <n v="6.09"/>
    <n v="3.2"/>
    <s v="No"/>
    <x v="0"/>
  </r>
  <r>
    <s v="INC101275"/>
    <d v="2025-05-19T00:00:00"/>
    <d v="2025-05-19T15:40:12"/>
    <x v="3"/>
    <x v="0"/>
    <s v="Installation"/>
    <s v="Network Support"/>
    <s v="Gurugram"/>
    <s v="Portal"/>
    <s v="Closed"/>
    <n v="8"/>
    <n v="15.67"/>
    <n v="1.9"/>
    <s v="No"/>
    <x v="1"/>
  </r>
  <r>
    <s v="INC101276"/>
    <d v="2025-05-10T00:00:00"/>
    <d v="2025-05-10T04:04:12"/>
    <x v="1"/>
    <x v="2"/>
    <s v="Connectivity"/>
    <s v="Service Desk"/>
    <s v="Hyderabad"/>
    <s v="Phone"/>
    <s v="Resolved"/>
    <n v="24"/>
    <n v="4.07"/>
    <n v="3.9"/>
    <s v="Yes"/>
    <x v="0"/>
  </r>
  <r>
    <s v="INC101277"/>
    <d v="2025-04-29T00:00:00"/>
    <d v="2025-04-30T01:45:00"/>
    <x v="1"/>
    <x v="3"/>
    <s v="Laptop"/>
    <s v="Network Support"/>
    <s v="Bengaluru"/>
    <s v="Portal"/>
    <s v="Closed"/>
    <n v="24"/>
    <n v="25.75"/>
    <n v="3.3"/>
    <s v="Yes"/>
    <x v="1"/>
  </r>
  <r>
    <s v="INC101278"/>
    <d v="2025-05-21T00:00:00"/>
    <d v="2025-05-21T09:53:24"/>
    <x v="0"/>
    <x v="1"/>
    <s v="Account Lock"/>
    <s v="Desktop Support"/>
    <s v="Noida"/>
    <s v="Portal"/>
    <s v="Resolved"/>
    <n v="48"/>
    <n v="9.89"/>
    <n v="5"/>
    <s v="No"/>
    <x v="0"/>
  </r>
  <r>
    <s v="INC101279"/>
    <d v="2025-01-02T00:00:00"/>
    <d v="2025-01-02T07:30:00"/>
    <x v="3"/>
    <x v="1"/>
    <s v="Permission"/>
    <s v="Network Support"/>
    <s v="Noida"/>
    <s v="Email"/>
    <s v="Resolved"/>
    <n v="8"/>
    <n v="7.5"/>
    <n v="3.8"/>
    <s v="No"/>
    <x v="0"/>
  </r>
  <r>
    <s v="INC101280"/>
    <d v="2025-06-06T00:00:00"/>
    <d v="2025-06-06T01:54:00"/>
    <x v="2"/>
    <x v="2"/>
    <s v="DNS"/>
    <s v="Service Desk"/>
    <s v="Gurugram"/>
    <s v="Phone"/>
    <s v="Resolved"/>
    <n v="4"/>
    <n v="1.9"/>
    <n v="4.0999999999999996"/>
    <s v="No"/>
    <x v="0"/>
  </r>
  <r>
    <s v="INC101281"/>
    <d v="2025-05-14T00:00:00"/>
    <d v="2025-05-15T21:49:48"/>
    <x v="0"/>
    <x v="0"/>
    <s v="Installation"/>
    <s v="Network Support"/>
    <s v="Noida"/>
    <s v="Email"/>
    <s v="Resolved"/>
    <n v="48"/>
    <n v="45.83"/>
    <n v="3.7"/>
    <s v="No"/>
    <x v="0"/>
  </r>
  <r>
    <s v="INC101282"/>
    <d v="2025-05-14T00:00:00"/>
    <d v="2025-05-14T01:26:24"/>
    <x v="3"/>
    <x v="2"/>
    <s v="Packet Loss"/>
    <s v="Network Support"/>
    <s v="Bengaluru"/>
    <s v="Email"/>
    <s v="Closed"/>
    <n v="8"/>
    <n v="1.44"/>
    <n v="3.4"/>
    <s v="No"/>
    <x v="0"/>
  </r>
  <r>
    <s v="INC101283"/>
    <d v="2025-03-13T00:00:00"/>
    <d v="2025-03-13T04:55:12"/>
    <x v="3"/>
    <x v="4"/>
    <s v="Configuration"/>
    <s v="Desktop Support"/>
    <s v="Hyderabad"/>
    <s v="Chat"/>
    <s v="Pending"/>
    <n v="8"/>
    <n v="4.92"/>
    <n v="4.5999999999999996"/>
    <s v="No"/>
    <x v="0"/>
  </r>
  <r>
    <s v="INC101284"/>
    <d v="2025-05-25T00:00:00"/>
    <d v="2025-05-27T00:56:24"/>
    <x v="0"/>
    <x v="2"/>
    <s v="Connectivity"/>
    <s v="Desktop Support"/>
    <s v="Noida"/>
    <s v="Portal"/>
    <s v="Resolved"/>
    <n v="48"/>
    <n v="48.94"/>
    <n v="2.2999999999999998"/>
    <s v="No"/>
    <x v="1"/>
  </r>
  <r>
    <s v="INC101285"/>
    <d v="2025-03-11T00:00:00"/>
    <d v="2025-03-11T15:11:24"/>
    <x v="1"/>
    <x v="1"/>
    <s v="VPN Access"/>
    <s v="Desktop Support"/>
    <s v="Gurugram"/>
    <s v="Phone"/>
    <s v="Resolved"/>
    <n v="24"/>
    <n v="15.19"/>
    <n v="3.8"/>
    <s v="Yes"/>
    <x v="0"/>
  </r>
  <r>
    <s v="INC101286"/>
    <d v="2025-01-09T00:00:00"/>
    <d v="2025-01-09T07:03:00"/>
    <x v="3"/>
    <x v="2"/>
    <s v="Connectivity"/>
    <s v="Service Desk"/>
    <s v="Hyderabad"/>
    <s v="Portal"/>
    <s v="Resolved"/>
    <n v="8"/>
    <n v="7.05"/>
    <n v="3.9"/>
    <s v="No"/>
    <x v="0"/>
  </r>
  <r>
    <s v="INC101287"/>
    <d v="2025-06-14T00:00:00"/>
    <d v="2025-06-14T01:29:24"/>
    <x v="2"/>
    <x v="0"/>
    <s v="Performance"/>
    <s v="Desktop Support"/>
    <s v="Gurugram"/>
    <s v="Phone"/>
    <s v="Closed"/>
    <n v="4"/>
    <n v="1.49"/>
    <n v="4.8"/>
    <s v="No"/>
    <x v="0"/>
  </r>
  <r>
    <s v="INC101288"/>
    <d v="2025-02-12T00:00:00"/>
    <d v="2025-02-13T19:07:48"/>
    <x v="0"/>
    <x v="0"/>
    <s v="License"/>
    <s v="Network Support"/>
    <s v="Delhi"/>
    <s v="Email"/>
    <s v="Resolved"/>
    <n v="48"/>
    <n v="43.13"/>
    <n v="4.0999999999999996"/>
    <s v="No"/>
    <x v="0"/>
  </r>
  <r>
    <s v="INC101289"/>
    <d v="2025-01-19T00:00:00"/>
    <d v="2025-01-20T12:46:48"/>
    <x v="1"/>
    <x v="3"/>
    <s v="Peripheral"/>
    <s v="Desktop Support"/>
    <s v="Bengaluru"/>
    <s v="Portal"/>
    <s v="Closed"/>
    <n v="24"/>
    <n v="36.78"/>
    <n v="3.1"/>
    <s v="Yes"/>
    <x v="1"/>
  </r>
  <r>
    <s v="INC101290"/>
    <d v="2025-04-23T00:00:00"/>
    <d v="2025-04-23T08:51:00"/>
    <x v="1"/>
    <x v="1"/>
    <s v="Account Lock"/>
    <s v="Access Management"/>
    <s v="Mumbai"/>
    <s v="Email"/>
    <s v="Closed"/>
    <n v="24"/>
    <n v="8.85"/>
    <n v="5"/>
    <s v="No"/>
    <x v="0"/>
  </r>
  <r>
    <s v="INC101291"/>
    <d v="2025-02-12T00:00:00"/>
    <d v="2025-02-13T17:49:48"/>
    <x v="0"/>
    <x v="4"/>
    <s v="Delivery"/>
    <s v="Network Support"/>
    <s v="Gurugram"/>
    <s v="Phone"/>
    <s v="Resolved"/>
    <n v="48"/>
    <n v="41.83"/>
    <n v="5"/>
    <s v="No"/>
    <x v="0"/>
  </r>
  <r>
    <s v="INC101292"/>
    <d v="2025-06-05T00:00:00"/>
    <d v="2025-06-05T06:54:00"/>
    <x v="1"/>
    <x v="1"/>
    <s v="Password Reset"/>
    <s v="Network Support"/>
    <s v="Gurugram"/>
    <s v="Email"/>
    <s v="Pending"/>
    <n v="24"/>
    <n v="6.9"/>
    <n v="4.7"/>
    <s v="No"/>
    <x v="0"/>
  </r>
  <r>
    <s v="INC101293"/>
    <d v="2025-03-22T00:00:00"/>
    <d v="2025-03-25T06:57:36"/>
    <x v="0"/>
    <x v="3"/>
    <s v="Monitor"/>
    <s v="Application Support"/>
    <s v="Gurugram"/>
    <s v="Portal"/>
    <s v="Resolved"/>
    <n v="48"/>
    <n v="78.959999999999994"/>
    <n v="3"/>
    <s v="No"/>
    <x v="1"/>
  </r>
  <r>
    <s v="INC101294"/>
    <d v="2025-01-01T00:00:00"/>
    <d v="2025-01-01T06:46:12"/>
    <x v="0"/>
    <x v="1"/>
    <s v="VPN Access"/>
    <s v="Desktop Support"/>
    <s v="Mumbai"/>
    <s v="Portal"/>
    <s v="Closed"/>
    <n v="48"/>
    <n v="6.77"/>
    <n v="4.7"/>
    <s v="No"/>
    <x v="0"/>
  </r>
  <r>
    <s v="INC101295"/>
    <d v="2025-06-22T00:00:00"/>
    <d v="2025-06-22T17:37:48"/>
    <x v="1"/>
    <x v="0"/>
    <s v="Application Error"/>
    <s v="Service Desk"/>
    <s v="Hyderabad"/>
    <s v="Email"/>
    <s v="Resolved"/>
    <n v="24"/>
    <n v="17.63"/>
    <n v="3.7"/>
    <s v="No"/>
    <x v="0"/>
  </r>
  <r>
    <s v="INC101296"/>
    <d v="2025-04-04T00:00:00"/>
    <d v="2025-04-04T13:32:24"/>
    <x v="1"/>
    <x v="0"/>
    <s v="Application Error"/>
    <s v="Application Support"/>
    <s v="Hyderabad"/>
    <s v="Email"/>
    <s v="Resolved"/>
    <n v="24"/>
    <n v="13.54"/>
    <n v="4.5999999999999996"/>
    <s v="No"/>
    <x v="0"/>
  </r>
  <r>
    <s v="INC101297"/>
    <d v="2025-02-17T00:00:00"/>
    <d v="2025-02-17T08:54:36"/>
    <x v="1"/>
    <x v="3"/>
    <s v="Printer"/>
    <s v="Service Desk"/>
    <s v="Gurugram"/>
    <s v="Portal"/>
    <s v="Resolved"/>
    <n v="24"/>
    <n v="8.91"/>
    <n v="5"/>
    <s v="No"/>
    <x v="0"/>
  </r>
  <r>
    <s v="INC101298"/>
    <d v="2025-05-03T00:00:00"/>
    <d v="2025-05-03T02:52:48"/>
    <x v="3"/>
    <x v="0"/>
    <s v="Performance"/>
    <s v="Application Support"/>
    <s v="Hyderabad"/>
    <s v="Portal"/>
    <s v="Closed"/>
    <n v="8"/>
    <n v="2.88"/>
    <n v="2.9"/>
    <s v="Yes"/>
    <x v="0"/>
  </r>
  <r>
    <s v="INC101299"/>
    <d v="2025-04-07T00:00:00"/>
    <d v="2025-04-07T12:37:48"/>
    <x v="1"/>
    <x v="2"/>
    <s v="Link Down"/>
    <s v="Desktop Support"/>
    <s v="Gurugram"/>
    <s v="Phone"/>
    <s v="Resolved"/>
    <n v="24"/>
    <n v="12.63"/>
    <n v="4.3"/>
    <s v="No"/>
    <x v="0"/>
  </r>
  <r>
    <s v="INC101300"/>
    <d v="2025-01-06T00:00:00"/>
    <d v="2025-01-08T23:22:12"/>
    <x v="0"/>
    <x v="3"/>
    <s v="Laptop"/>
    <s v="Network Support"/>
    <s v="Hyderabad"/>
    <s v="Portal"/>
    <s v="In Progress"/>
    <n v="48"/>
    <n v="71.37"/>
    <n v="4.2"/>
    <s v="No"/>
    <x v="1"/>
  </r>
  <r>
    <s v="INC101301"/>
    <d v="2025-05-18T00:00:00"/>
    <d v="2025-05-19T07:58:12"/>
    <x v="0"/>
    <x v="2"/>
    <s v="Connectivity"/>
    <s v="Application Support"/>
    <s v="Hyderabad"/>
    <s v="Portal"/>
    <s v="Resolved"/>
    <n v="48"/>
    <n v="31.97"/>
    <n v="4.5"/>
    <s v="No"/>
    <x v="0"/>
  </r>
  <r>
    <s v="INC101302"/>
    <d v="2025-03-14T00:00:00"/>
    <d v="2025-03-14T03:52:12"/>
    <x v="0"/>
    <x v="3"/>
    <s v="Printer"/>
    <s v="Application Support"/>
    <s v="Mumbai"/>
    <s v="Portal"/>
    <s v="Resolved"/>
    <n v="48"/>
    <n v="3.87"/>
    <n v="5"/>
    <s v="No"/>
    <x v="0"/>
  </r>
  <r>
    <s v="INC101303"/>
    <d v="2025-05-07T00:00:00"/>
    <d v="2025-05-07T02:46:48"/>
    <x v="1"/>
    <x v="2"/>
    <s v="Link Down"/>
    <s v="Service Desk"/>
    <s v="Hyderabad"/>
    <s v="Email"/>
    <s v="Closed"/>
    <n v="24"/>
    <n v="2.78"/>
    <n v="3.8"/>
    <s v="No"/>
    <x v="0"/>
  </r>
  <r>
    <s v="INC101304"/>
    <d v="2025-06-12T00:00:00"/>
    <d v="2025-06-13T07:51:36"/>
    <x v="0"/>
    <x v="2"/>
    <s v="DNS"/>
    <s v="Application Support"/>
    <s v="Delhi"/>
    <s v="Chat"/>
    <s v="Resolved"/>
    <n v="48"/>
    <n v="31.86"/>
    <n v="4.7"/>
    <s v="No"/>
    <x v="0"/>
  </r>
  <r>
    <s v="INC101305"/>
    <d v="2025-04-21T00:00:00"/>
    <d v="2025-04-23T07:28:12"/>
    <x v="0"/>
    <x v="1"/>
    <s v="Account Lock"/>
    <s v="Application Support"/>
    <s v="Bengaluru"/>
    <s v="Email"/>
    <s v="Resolved"/>
    <n v="48"/>
    <n v="55.47"/>
    <n v="4.3"/>
    <s v="No"/>
    <x v="1"/>
  </r>
  <r>
    <s v="INC101306"/>
    <d v="2025-05-02T00:00:00"/>
    <d v="2025-05-02T12:30:00"/>
    <x v="0"/>
    <x v="0"/>
    <s v="Installation"/>
    <s v="Access Management"/>
    <s v="Delhi"/>
    <s v="Portal"/>
    <s v="Resolved"/>
    <n v="48"/>
    <n v="12.5"/>
    <n v="4.8"/>
    <s v="No"/>
    <x v="0"/>
  </r>
  <r>
    <s v="INC101307"/>
    <d v="2025-02-16T00:00:00"/>
    <d v="2025-02-16T15:13:48"/>
    <x v="1"/>
    <x v="2"/>
    <s v="Connectivity"/>
    <s v="Access Management"/>
    <s v="Bengaluru"/>
    <s v="Phone"/>
    <s v="Resolved"/>
    <n v="24"/>
    <n v="15.23"/>
    <n v="3.8"/>
    <s v="No"/>
    <x v="0"/>
  </r>
  <r>
    <s v="INC101308"/>
    <d v="2025-02-13T00:00:00"/>
    <d v="2025-02-14T04:01:48"/>
    <x v="1"/>
    <x v="1"/>
    <s v="Permission"/>
    <s v="Service Desk"/>
    <s v="Noida"/>
    <s v="Portal"/>
    <s v="Resolved"/>
    <n v="24"/>
    <n v="28.03"/>
    <n v="3.9"/>
    <s v="Yes"/>
    <x v="1"/>
  </r>
  <r>
    <s v="INC101309"/>
    <d v="2025-03-17T00:00:00"/>
    <d v="2025-03-17T05:42:00"/>
    <x v="3"/>
    <x v="4"/>
    <s v="Spam"/>
    <s v="Access Management"/>
    <s v="Hyderabad"/>
    <s v="Chat"/>
    <s v="Resolved"/>
    <n v="8"/>
    <n v="5.7"/>
    <n v="3.5"/>
    <s v="No"/>
    <x v="0"/>
  </r>
  <r>
    <s v="INC101310"/>
    <d v="2025-06-04T00:00:00"/>
    <d v="2025-06-04T04:42:00"/>
    <x v="3"/>
    <x v="4"/>
    <s v="Configuration"/>
    <s v="Network Support"/>
    <s v="Noida"/>
    <s v="Portal"/>
    <s v="Closed"/>
    <n v="8"/>
    <n v="4.7"/>
    <n v="3.5"/>
    <s v="No"/>
    <x v="0"/>
  </r>
  <r>
    <s v="INC101311"/>
    <d v="2025-04-05T00:00:00"/>
    <d v="2025-04-05T10:03:00"/>
    <x v="1"/>
    <x v="1"/>
    <s v="Account Lock"/>
    <s v="Service Desk"/>
    <s v="Mumbai"/>
    <s v="Chat"/>
    <s v="Closed"/>
    <n v="24"/>
    <n v="10.050000000000001"/>
    <n v="5"/>
    <s v="No"/>
    <x v="0"/>
  </r>
  <r>
    <s v="INC101312"/>
    <d v="2025-03-04T00:00:00"/>
    <d v="2025-03-04T22:49:12"/>
    <x v="0"/>
    <x v="4"/>
    <s v="Configuration"/>
    <s v="Application Support"/>
    <s v="Gurugram"/>
    <s v="Phone"/>
    <s v="Resolved"/>
    <n v="48"/>
    <n v="22.82"/>
    <n v="5"/>
    <s v="No"/>
    <x v="0"/>
  </r>
  <r>
    <s v="INC101313"/>
    <d v="2025-05-22T00:00:00"/>
    <d v="2025-05-22T21:43:12"/>
    <x v="1"/>
    <x v="0"/>
    <s v="Installation"/>
    <s v="Desktop Support"/>
    <s v="Delhi"/>
    <s v="Phone"/>
    <s v="Closed"/>
    <n v="24"/>
    <n v="21.72"/>
    <n v="3.4"/>
    <s v="No"/>
    <x v="0"/>
  </r>
  <r>
    <s v="INC101314"/>
    <d v="2025-06-04T00:00:00"/>
    <d v="2025-06-05T23:24:00"/>
    <x v="0"/>
    <x v="4"/>
    <s v="Spam"/>
    <s v="Service Desk"/>
    <s v="Mumbai"/>
    <s v="Portal"/>
    <s v="Resolved"/>
    <n v="48"/>
    <n v="47.4"/>
    <n v="3.1"/>
    <s v="No"/>
    <x v="0"/>
  </r>
  <r>
    <s v="INC101315"/>
    <d v="2025-06-13T00:00:00"/>
    <d v="2025-06-13T23:22:48"/>
    <x v="1"/>
    <x v="4"/>
    <s v="Spam"/>
    <s v="Network Support"/>
    <s v="Gurugram"/>
    <s v="Phone"/>
    <s v="Resolved"/>
    <n v="24"/>
    <n v="23.38"/>
    <n v="3.3"/>
    <s v="No"/>
    <x v="0"/>
  </r>
  <r>
    <s v="INC101316"/>
    <d v="2025-02-24T00:00:00"/>
    <d v="2025-02-24T07:08:24"/>
    <x v="1"/>
    <x v="3"/>
    <s v="Monitor"/>
    <s v="Application Support"/>
    <s v="Mumbai"/>
    <s v="Phone"/>
    <s v="Resolved"/>
    <n v="24"/>
    <n v="7.14"/>
    <n v="4.8"/>
    <s v="No"/>
    <x v="0"/>
  </r>
  <r>
    <s v="INC101317"/>
    <d v="2025-05-09T00:00:00"/>
    <d v="2025-05-09T00:37:48"/>
    <x v="1"/>
    <x v="1"/>
    <s v="Account Lock"/>
    <s v="Access Management"/>
    <s v="Noida"/>
    <s v="Portal"/>
    <s v="Resolved"/>
    <n v="24"/>
    <n v="0.63"/>
    <n v="4.2"/>
    <s v="No"/>
    <x v="0"/>
  </r>
  <r>
    <s v="INC101318"/>
    <d v="2025-04-17T00:00:00"/>
    <d v="2025-04-17T18:13:12"/>
    <x v="0"/>
    <x v="1"/>
    <s v="VPN Access"/>
    <s v="Application Support"/>
    <s v="Hyderabad"/>
    <s v="Email"/>
    <s v="Resolved"/>
    <n v="48"/>
    <n v="18.22"/>
    <n v="5"/>
    <s v="No"/>
    <x v="0"/>
  </r>
  <r>
    <s v="INC101319"/>
    <d v="2025-03-23T00:00:00"/>
    <d v="2025-03-24T01:20:24"/>
    <x v="1"/>
    <x v="1"/>
    <s v="Permission"/>
    <s v="Desktop Support"/>
    <s v="Noida"/>
    <s v="Email"/>
    <s v="Resolved"/>
    <n v="24"/>
    <n v="25.34"/>
    <n v="3.4"/>
    <s v="No"/>
    <x v="1"/>
  </r>
  <r>
    <s v="INC101320"/>
    <d v="2025-03-13T00:00:00"/>
    <d v="2025-03-13T13:45:36"/>
    <x v="3"/>
    <x v="4"/>
    <s v="Mailbox"/>
    <s v="Application Support"/>
    <s v="Noida"/>
    <s v="Chat"/>
    <s v="Resolved"/>
    <n v="8"/>
    <n v="13.76"/>
    <n v="3.2"/>
    <s v="No"/>
    <x v="1"/>
  </r>
  <r>
    <s v="INC101321"/>
    <d v="2025-01-21T00:00:00"/>
    <d v="2025-01-21T01:45:00"/>
    <x v="3"/>
    <x v="3"/>
    <s v="Laptop"/>
    <s v="Service Desk"/>
    <s v="Mumbai"/>
    <s v="Phone"/>
    <s v="Resolved"/>
    <n v="8"/>
    <n v="1.75"/>
    <n v="4.3"/>
    <s v="No"/>
    <x v="0"/>
  </r>
  <r>
    <s v="INC101322"/>
    <d v="2025-02-19T00:00:00"/>
    <d v="2025-02-19T20:53:24"/>
    <x v="1"/>
    <x v="3"/>
    <s v="Laptop"/>
    <s v="Access Management"/>
    <s v="Mumbai"/>
    <s v="Portal"/>
    <s v="Resolved"/>
    <n v="24"/>
    <n v="20.89"/>
    <n v="4.3"/>
    <s v="No"/>
    <x v="0"/>
  </r>
  <r>
    <s v="INC101323"/>
    <d v="2025-04-10T00:00:00"/>
    <d v="2025-04-10T07:34:47"/>
    <x v="1"/>
    <x v="0"/>
    <s v="Performance"/>
    <s v="Network Support"/>
    <s v="Delhi"/>
    <s v="Email"/>
    <s v="Resolved"/>
    <n v="24"/>
    <n v="7.58"/>
    <n v="5"/>
    <s v="No"/>
    <x v="0"/>
  </r>
  <r>
    <s v="INC101324"/>
    <d v="2025-06-10T00:00:00"/>
    <d v="2025-06-12T19:52:48"/>
    <x v="0"/>
    <x v="1"/>
    <s v="Password Reset"/>
    <s v="Desktop Support"/>
    <s v="Mumbai"/>
    <s v="Portal"/>
    <s v="Resolved"/>
    <n v="48"/>
    <n v="67.88"/>
    <n v="2.2000000000000002"/>
    <s v="No"/>
    <x v="1"/>
  </r>
  <r>
    <s v="INC101325"/>
    <d v="2025-06-06T00:00:00"/>
    <d v="2025-06-06T08:21:00"/>
    <x v="3"/>
    <x v="1"/>
    <s v="Account Lock"/>
    <s v="Service Desk"/>
    <s v="Noida"/>
    <s v="Portal"/>
    <s v="Closed"/>
    <n v="8"/>
    <n v="8.35"/>
    <n v="3.3"/>
    <s v="No"/>
    <x v="1"/>
  </r>
  <r>
    <s v="INC101326"/>
    <d v="2025-02-03T00:00:00"/>
    <d v="2025-02-03T16:45:00"/>
    <x v="1"/>
    <x v="1"/>
    <s v="VPN Access"/>
    <s v="Access Management"/>
    <s v="Hyderabad"/>
    <s v="Phone"/>
    <s v="Resolved"/>
    <n v="24"/>
    <n v="16.75"/>
    <n v="4.0999999999999996"/>
    <s v="No"/>
    <x v="0"/>
  </r>
  <r>
    <s v="INC101327"/>
    <d v="2025-05-03T00:00:00"/>
    <d v="2025-05-04T11:24:00"/>
    <x v="0"/>
    <x v="1"/>
    <s v="Password Reset"/>
    <s v="Service Desk"/>
    <s v="Bengaluru"/>
    <s v="Email"/>
    <s v="Resolved"/>
    <n v="48"/>
    <n v="35.4"/>
    <n v="3.8"/>
    <s v="No"/>
    <x v="0"/>
  </r>
  <r>
    <s v="INC101328"/>
    <d v="2025-01-16T00:00:00"/>
    <d v="2025-01-17T07:28:48"/>
    <x v="1"/>
    <x v="4"/>
    <s v="Mailbox"/>
    <s v="Application Support"/>
    <s v="Mumbai"/>
    <s v="Phone"/>
    <s v="Resolved"/>
    <n v="24"/>
    <n v="31.48"/>
    <n v="4"/>
    <s v="No"/>
    <x v="1"/>
  </r>
  <r>
    <s v="INC101329"/>
    <d v="2025-05-03T00:00:00"/>
    <d v="2025-05-03T00:43:12"/>
    <x v="3"/>
    <x v="2"/>
    <s v="Connectivity"/>
    <s v="Network Support"/>
    <s v="Noida"/>
    <s v="Email"/>
    <s v="Resolved"/>
    <n v="8"/>
    <n v="0.72"/>
    <n v="4.5"/>
    <s v="No"/>
    <x v="0"/>
  </r>
  <r>
    <s v="INC101330"/>
    <d v="2025-03-03T00:00:00"/>
    <d v="2025-03-03T12:12:00"/>
    <x v="1"/>
    <x v="4"/>
    <s v="Spam"/>
    <s v="Network Support"/>
    <s v="Gurugram"/>
    <s v="Portal"/>
    <s v="Closed"/>
    <n v="24"/>
    <n v="12.2"/>
    <n v="4.9000000000000004"/>
    <s v="No"/>
    <x v="0"/>
  </r>
  <r>
    <s v="INC101331"/>
    <d v="2025-03-23T00:00:00"/>
    <d v="2025-03-23T04:36:00"/>
    <x v="1"/>
    <x v="2"/>
    <s v="Connectivity"/>
    <s v="Desktop Support"/>
    <s v="Mumbai"/>
    <s v="Phone"/>
    <s v="Closed"/>
    <n v="24"/>
    <n v="4.5999999999999996"/>
    <n v="5"/>
    <s v="No"/>
    <x v="0"/>
  </r>
  <r>
    <s v="INC101332"/>
    <d v="2025-05-10T00:00:00"/>
    <d v="2025-05-10T17:28:12"/>
    <x v="1"/>
    <x v="0"/>
    <s v="Performance"/>
    <s v="Application Support"/>
    <s v="Delhi"/>
    <s v="Portal"/>
    <s v="Resolved"/>
    <n v="24"/>
    <n v="17.47"/>
    <n v="4.0999999999999996"/>
    <s v="No"/>
    <x v="0"/>
  </r>
  <r>
    <s v="INC101333"/>
    <d v="2025-03-18T00:00:00"/>
    <d v="2025-03-18T14:52:48"/>
    <x v="1"/>
    <x v="2"/>
    <s v="Packet Loss"/>
    <s v="Service Desk"/>
    <s v="Bengaluru"/>
    <s v="Chat"/>
    <s v="Resolved"/>
    <n v="24"/>
    <n v="14.88"/>
    <n v="4.7"/>
    <s v="No"/>
    <x v="0"/>
  </r>
  <r>
    <s v="INC101334"/>
    <d v="2025-05-27T00:00:00"/>
    <d v="2025-05-27T16:43:48"/>
    <x v="1"/>
    <x v="0"/>
    <s v="Application Error"/>
    <s v="Application Support"/>
    <s v="Hyderabad"/>
    <s v="Chat"/>
    <s v="Resolved"/>
    <n v="24"/>
    <n v="16.73"/>
    <n v="3.2"/>
    <s v="No"/>
    <x v="0"/>
  </r>
  <r>
    <s v="INC101335"/>
    <d v="2025-04-07T00:00:00"/>
    <d v="2025-04-07T07:52:48"/>
    <x v="0"/>
    <x v="3"/>
    <s v="Printer"/>
    <s v="Desktop Support"/>
    <s v="Hyderabad"/>
    <s v="Phone"/>
    <s v="Closed"/>
    <n v="48"/>
    <n v="7.88"/>
    <n v="4.8"/>
    <s v="No"/>
    <x v="0"/>
  </r>
  <r>
    <s v="INC101336"/>
    <d v="2025-06-30T00:00:00"/>
    <d v="2025-07-01T03:55:12"/>
    <x v="1"/>
    <x v="2"/>
    <s v="Link Down"/>
    <s v="Access Management"/>
    <s v="Mumbai"/>
    <s v="Phone"/>
    <s v="Closed"/>
    <n v="24"/>
    <n v="27.92"/>
    <n v="3.1"/>
    <s v="No"/>
    <x v="1"/>
  </r>
  <r>
    <s v="INC101337"/>
    <d v="2025-04-26T00:00:00"/>
    <d v="2025-04-26T22:31:48"/>
    <x v="1"/>
    <x v="0"/>
    <s v="Application Error"/>
    <s v="Service Desk"/>
    <s v="Noida"/>
    <s v="Email"/>
    <s v="Resolved"/>
    <n v="24"/>
    <n v="22.53"/>
    <n v="3.8"/>
    <s v="No"/>
    <x v="0"/>
  </r>
  <r>
    <s v="INC101338"/>
    <d v="2025-02-23T00:00:00"/>
    <d v="2025-02-23T17:45:00"/>
    <x v="0"/>
    <x v="1"/>
    <s v="Account Lock"/>
    <s v="Service Desk"/>
    <s v="Mumbai"/>
    <s v="Email"/>
    <s v="Pending"/>
    <n v="48"/>
    <n v="17.75"/>
    <n v="4.3"/>
    <s v="No"/>
    <x v="0"/>
  </r>
  <r>
    <s v="INC101339"/>
    <d v="2025-05-21T00:00:00"/>
    <d v="2025-05-21T07:56:24"/>
    <x v="3"/>
    <x v="2"/>
    <s v="Packet Loss"/>
    <s v="Access Management"/>
    <s v="Delhi"/>
    <s v="Phone"/>
    <s v="Resolved"/>
    <n v="8"/>
    <n v="7.94"/>
    <n v="3.8"/>
    <s v="No"/>
    <x v="0"/>
  </r>
  <r>
    <s v="INC101340"/>
    <d v="2025-03-15T00:00:00"/>
    <d v="2025-03-15T02:11:24"/>
    <x v="0"/>
    <x v="0"/>
    <s v="Application Error"/>
    <s v="Service Desk"/>
    <s v="Mumbai"/>
    <s v="Portal"/>
    <s v="Pending"/>
    <n v="48"/>
    <n v="2.19"/>
    <n v="5"/>
    <s v="Yes"/>
    <x v="0"/>
  </r>
  <r>
    <s v="INC101341"/>
    <d v="2025-04-07T00:00:00"/>
    <d v="2025-04-07T04:43:48"/>
    <x v="1"/>
    <x v="2"/>
    <s v="DNS"/>
    <s v="Service Desk"/>
    <s v="Gurugram"/>
    <s v="Phone"/>
    <s v="Resolved"/>
    <n v="24"/>
    <n v="4.7300000000000004"/>
    <n v="4.9000000000000004"/>
    <s v="No"/>
    <x v="0"/>
  </r>
  <r>
    <s v="INC101342"/>
    <d v="2025-01-25T00:00:00"/>
    <d v="2025-01-25T12:34:11"/>
    <x v="1"/>
    <x v="2"/>
    <s v="DNS"/>
    <s v="Access Management"/>
    <s v="Mumbai"/>
    <s v="Portal"/>
    <s v="Resolved"/>
    <n v="24"/>
    <n v="12.57"/>
    <n v="4.5"/>
    <s v="No"/>
    <x v="0"/>
  </r>
  <r>
    <s v="INC101343"/>
    <d v="2025-01-22T00:00:00"/>
    <d v="2025-01-22T10:12:00"/>
    <x v="1"/>
    <x v="2"/>
    <s v="Connectivity"/>
    <s v="Access Management"/>
    <s v="Noida"/>
    <s v="Phone"/>
    <s v="Resolved"/>
    <n v="24"/>
    <n v="10.199999999999999"/>
    <n v="4.9000000000000004"/>
    <s v="No"/>
    <x v="0"/>
  </r>
  <r>
    <s v="INC101344"/>
    <d v="2025-04-15T00:00:00"/>
    <d v="2025-04-16T08:48:36"/>
    <x v="1"/>
    <x v="0"/>
    <s v="Application Error"/>
    <s v="Network Support"/>
    <s v="Mumbai"/>
    <s v="Email"/>
    <s v="Resolved"/>
    <n v="24"/>
    <n v="32.81"/>
    <n v="2.5"/>
    <s v="No"/>
    <x v="1"/>
  </r>
  <r>
    <s v="INC101345"/>
    <d v="2025-02-03T00:00:00"/>
    <d v="2025-02-03T03:34:11"/>
    <x v="2"/>
    <x v="1"/>
    <s v="Account Lock"/>
    <s v="Access Management"/>
    <s v="Bengaluru"/>
    <s v="Phone"/>
    <s v="Closed"/>
    <n v="4"/>
    <n v="3.57"/>
    <n v="4.3"/>
    <s v="No"/>
    <x v="0"/>
  </r>
  <r>
    <s v="INC101346"/>
    <d v="2025-06-30T00:00:00"/>
    <d v="2025-07-01T13:42:36"/>
    <x v="1"/>
    <x v="0"/>
    <s v="License"/>
    <s v="Application Support"/>
    <s v="Hyderabad"/>
    <s v="Email"/>
    <s v="Resolved"/>
    <n v="24"/>
    <n v="37.71"/>
    <n v="2.1"/>
    <s v="No"/>
    <x v="1"/>
  </r>
  <r>
    <s v="INC101347"/>
    <d v="2025-06-04T00:00:00"/>
    <d v="2025-06-04T01:06:00"/>
    <x v="3"/>
    <x v="1"/>
    <s v="Password Reset"/>
    <s v="Service Desk"/>
    <s v="Mumbai"/>
    <s v="Email"/>
    <s v="Resolved"/>
    <n v="8"/>
    <n v="1.1000000000000001"/>
    <n v="3"/>
    <s v="Yes"/>
    <x v="0"/>
  </r>
  <r>
    <s v="INC101348"/>
    <d v="2025-05-07T00:00:00"/>
    <d v="2025-05-07T10:07:48"/>
    <x v="1"/>
    <x v="0"/>
    <s v="Installation"/>
    <s v="Desktop Support"/>
    <s v="Hyderabad"/>
    <s v="Chat"/>
    <s v="Resolved"/>
    <n v="24"/>
    <n v="10.130000000000001"/>
    <n v="5"/>
    <s v="No"/>
    <x v="0"/>
  </r>
  <r>
    <s v="INC101349"/>
    <d v="2025-05-13T00:00:00"/>
    <d v="2025-05-13T08:57:36"/>
    <x v="0"/>
    <x v="1"/>
    <s v="Permission"/>
    <s v="Service Desk"/>
    <s v="Delhi"/>
    <s v="Portal"/>
    <s v="Pending"/>
    <n v="48"/>
    <n v="8.9600000000000009"/>
    <n v="4.2"/>
    <s v="Yes"/>
    <x v="0"/>
  </r>
  <r>
    <s v="INC101350"/>
    <d v="2025-04-18T00:00:00"/>
    <d v="2025-04-19T09:37:12"/>
    <x v="0"/>
    <x v="4"/>
    <s v="Mailbox"/>
    <s v="Network Support"/>
    <s v="Noida"/>
    <s v="Portal"/>
    <s v="Pending"/>
    <n v="48"/>
    <n v="33.619999999999997"/>
    <n v="3.9"/>
    <s v="No"/>
    <x v="0"/>
  </r>
  <r>
    <s v="INC101351"/>
    <d v="2025-01-11T00:00:00"/>
    <d v="2025-01-11T03:18:00"/>
    <x v="1"/>
    <x v="3"/>
    <s v="Laptop"/>
    <s v="Network Support"/>
    <s v="Noida"/>
    <s v="Portal"/>
    <s v="Resolved"/>
    <n v="24"/>
    <n v="3.3"/>
    <n v="3.6"/>
    <s v="No"/>
    <x v="0"/>
  </r>
  <r>
    <s v="INC101352"/>
    <d v="2025-03-13T00:00:00"/>
    <d v="2025-03-14T06:17:23"/>
    <x v="0"/>
    <x v="2"/>
    <s v="Connectivity"/>
    <s v="Network Support"/>
    <s v="Delhi"/>
    <s v="Email"/>
    <s v="Resolved"/>
    <n v="48"/>
    <n v="30.29"/>
    <n v="3.9"/>
    <s v="Yes"/>
    <x v="0"/>
  </r>
  <r>
    <s v="INC101353"/>
    <d v="2025-03-31T00:00:00"/>
    <d v="2025-03-31T06:45:36"/>
    <x v="1"/>
    <x v="2"/>
    <s v="Connectivity"/>
    <s v="Desktop Support"/>
    <s v="Delhi"/>
    <s v="Email"/>
    <s v="Resolved"/>
    <n v="24"/>
    <n v="6.76"/>
    <n v="4.8"/>
    <s v="No"/>
    <x v="0"/>
  </r>
  <r>
    <s v="INC101354"/>
    <d v="2025-06-15T00:00:00"/>
    <d v="2025-06-16T00:02:24"/>
    <x v="1"/>
    <x v="0"/>
    <s v="Performance"/>
    <s v="Access Management"/>
    <s v="Delhi"/>
    <s v="Email"/>
    <s v="Resolved"/>
    <n v="24"/>
    <n v="24.04"/>
    <n v="4"/>
    <s v="No"/>
    <x v="1"/>
  </r>
  <r>
    <s v="INC101355"/>
    <d v="2025-02-09T00:00:00"/>
    <d v="2025-02-09T12:40:48"/>
    <x v="1"/>
    <x v="0"/>
    <s v="License"/>
    <s v="Desktop Support"/>
    <s v="Mumbai"/>
    <s v="Portal"/>
    <s v="Pending"/>
    <n v="24"/>
    <n v="12.68"/>
    <n v="3.6"/>
    <s v="No"/>
    <x v="0"/>
  </r>
  <r>
    <s v="INC101356"/>
    <d v="2025-03-31T00:00:00"/>
    <d v="2025-03-31T05:19:48"/>
    <x v="0"/>
    <x v="2"/>
    <s v="Link Down"/>
    <s v="Network Support"/>
    <s v="Noida"/>
    <s v="Portal"/>
    <s v="Closed"/>
    <n v="48"/>
    <n v="5.33"/>
    <n v="4.5999999999999996"/>
    <s v="No"/>
    <x v="0"/>
  </r>
  <r>
    <s v="INC101357"/>
    <d v="2025-03-04T00:00:00"/>
    <d v="2025-03-04T08:55:48"/>
    <x v="3"/>
    <x v="4"/>
    <s v="Spam"/>
    <s v="Desktop Support"/>
    <s v="Mumbai"/>
    <s v="Phone"/>
    <s v="Closed"/>
    <n v="8"/>
    <n v="8.93"/>
    <n v="3.9"/>
    <s v="No"/>
    <x v="1"/>
  </r>
  <r>
    <s v="INC101358"/>
    <d v="2025-01-25T00:00:00"/>
    <d v="2025-01-26T03:06:36"/>
    <x v="1"/>
    <x v="4"/>
    <s v="Mailbox"/>
    <s v="Application Support"/>
    <s v="Hyderabad"/>
    <s v="Email"/>
    <s v="Resolved"/>
    <n v="24"/>
    <n v="27.11"/>
    <n v="3.8"/>
    <s v="No"/>
    <x v="1"/>
  </r>
  <r>
    <s v="INC101359"/>
    <d v="2025-01-19T00:00:00"/>
    <d v="2025-01-19T23:05:24"/>
    <x v="1"/>
    <x v="2"/>
    <s v="DNS"/>
    <s v="Access Management"/>
    <s v="Delhi"/>
    <s v="Portal"/>
    <s v="Closed"/>
    <n v="24"/>
    <n v="23.09"/>
    <n v="3.9"/>
    <s v="No"/>
    <x v="0"/>
  </r>
  <r>
    <s v="INC101360"/>
    <d v="2025-03-08T00:00:00"/>
    <d v="2025-03-08T17:28:12"/>
    <x v="0"/>
    <x v="2"/>
    <s v="DNS"/>
    <s v="Application Support"/>
    <s v="Hyderabad"/>
    <s v="Portal"/>
    <s v="Pending"/>
    <n v="48"/>
    <n v="17.47"/>
    <n v="5"/>
    <s v="No"/>
    <x v="0"/>
  </r>
  <r>
    <s v="INC101361"/>
    <d v="2025-01-15T00:00:00"/>
    <d v="2025-01-15T19:46:48"/>
    <x v="1"/>
    <x v="2"/>
    <s v="Packet Loss"/>
    <s v="Service Desk"/>
    <s v="Gurugram"/>
    <s v="Portal"/>
    <s v="Pending"/>
    <n v="24"/>
    <n v="19.78"/>
    <n v="3.9"/>
    <s v="Yes"/>
    <x v="0"/>
  </r>
  <r>
    <s v="INC101362"/>
    <d v="2025-01-13T00:00:00"/>
    <d v="2025-01-15T09:39:00"/>
    <x v="0"/>
    <x v="3"/>
    <s v="Monitor"/>
    <s v="Application Support"/>
    <s v="Noida"/>
    <s v="Phone"/>
    <s v="Resolved"/>
    <n v="48"/>
    <n v="57.65"/>
    <n v="4.5"/>
    <s v="No"/>
    <x v="1"/>
  </r>
  <r>
    <s v="INC101363"/>
    <d v="2025-03-05T00:00:00"/>
    <d v="2025-03-05T11:40:48"/>
    <x v="1"/>
    <x v="1"/>
    <s v="Password Reset"/>
    <s v="Network Support"/>
    <s v="Hyderabad"/>
    <s v="Phone"/>
    <s v="Resolved"/>
    <n v="24"/>
    <n v="11.68"/>
    <n v="4.2"/>
    <s v="No"/>
    <x v="0"/>
  </r>
  <r>
    <s v="INC101364"/>
    <d v="2025-02-06T00:00:00"/>
    <d v="2025-02-06T12:07:12"/>
    <x v="1"/>
    <x v="0"/>
    <s v="License"/>
    <s v="Desktop Support"/>
    <s v="Gurugram"/>
    <s v="Email"/>
    <s v="Pending"/>
    <n v="24"/>
    <n v="12.12"/>
    <n v="4.8"/>
    <s v="No"/>
    <x v="0"/>
  </r>
  <r>
    <s v="INC101365"/>
    <d v="2025-04-11T00:00:00"/>
    <d v="2025-04-11T04:40:48"/>
    <x v="3"/>
    <x v="2"/>
    <s v="Connectivity"/>
    <s v="Desktop Support"/>
    <s v="Hyderabad"/>
    <s v="Email"/>
    <s v="Resolved"/>
    <n v="8"/>
    <n v="4.68"/>
    <n v="4.8"/>
    <s v="No"/>
    <x v="0"/>
  </r>
  <r>
    <s v="INC101366"/>
    <d v="2025-01-04T00:00:00"/>
    <d v="2025-01-04T23:20:24"/>
    <x v="1"/>
    <x v="3"/>
    <s v="Laptop"/>
    <s v="Network Support"/>
    <s v="Bengaluru"/>
    <s v="Phone"/>
    <s v="Resolved"/>
    <n v="24"/>
    <n v="23.34"/>
    <n v="2.8"/>
    <s v="No"/>
    <x v="0"/>
  </r>
  <r>
    <s v="INC101367"/>
    <d v="2025-02-24T00:00:00"/>
    <d v="2025-02-24T15:37:12"/>
    <x v="1"/>
    <x v="2"/>
    <s v="Packet Loss"/>
    <s v="Network Support"/>
    <s v="Delhi"/>
    <s v="Portal"/>
    <s v="Resolved"/>
    <n v="24"/>
    <n v="15.62"/>
    <n v="4.5"/>
    <s v="No"/>
    <x v="0"/>
  </r>
  <r>
    <s v="INC101368"/>
    <d v="2025-03-24T00:00:00"/>
    <d v="2025-03-25T17:34:47"/>
    <x v="0"/>
    <x v="3"/>
    <s v="Laptop"/>
    <s v="Access Management"/>
    <s v="Mumbai"/>
    <s v="Portal"/>
    <s v="Resolved"/>
    <n v="48"/>
    <n v="41.58"/>
    <n v="3.5"/>
    <s v="No"/>
    <x v="0"/>
  </r>
  <r>
    <s v="INC101369"/>
    <d v="2025-06-24T00:00:00"/>
    <d v="2025-06-24T11:13:12"/>
    <x v="1"/>
    <x v="3"/>
    <s v="Laptop"/>
    <s v="Service Desk"/>
    <s v="Delhi"/>
    <s v="Portal"/>
    <s v="Closed"/>
    <n v="24"/>
    <n v="11.22"/>
    <n v="3.8"/>
    <s v="No"/>
    <x v="0"/>
  </r>
  <r>
    <s v="INC101370"/>
    <d v="2025-04-25T00:00:00"/>
    <d v="2025-04-25T11:00:00"/>
    <x v="1"/>
    <x v="0"/>
    <s v="Performance"/>
    <s v="Network Support"/>
    <s v="Bengaluru"/>
    <s v="Chat"/>
    <s v="Pending"/>
    <n v="24"/>
    <n v="11"/>
    <n v="4.2"/>
    <s v="No"/>
    <x v="0"/>
  </r>
  <r>
    <s v="INC101371"/>
    <d v="2025-06-09T00:00:00"/>
    <d v="2025-06-09T21:20:24"/>
    <x v="1"/>
    <x v="0"/>
    <s v="Application Error"/>
    <s v="Desktop Support"/>
    <s v="Noida"/>
    <s v="Email"/>
    <s v="Pending"/>
    <n v="24"/>
    <n v="21.34"/>
    <n v="4"/>
    <s v="No"/>
    <x v="0"/>
  </r>
  <r>
    <s v="INC101372"/>
    <d v="2025-03-04T00:00:00"/>
    <d v="2025-03-04T15:30:00"/>
    <x v="0"/>
    <x v="1"/>
    <s v="Account Lock"/>
    <s v="Service Desk"/>
    <s v="Delhi"/>
    <s v="Email"/>
    <s v="Resolved"/>
    <n v="48"/>
    <n v="15.5"/>
    <n v="3.6"/>
    <s v="No"/>
    <x v="0"/>
  </r>
  <r>
    <s v="INC101373"/>
    <d v="2025-03-23T00:00:00"/>
    <d v="2025-03-23T10:40:48"/>
    <x v="0"/>
    <x v="2"/>
    <s v="Packet Loss"/>
    <s v="Access Management"/>
    <s v="Bengaluru"/>
    <s v="Phone"/>
    <s v="Pending"/>
    <n v="48"/>
    <n v="10.68"/>
    <n v="4.8"/>
    <s v="No"/>
    <x v="0"/>
  </r>
  <r>
    <s v="INC101374"/>
    <d v="2025-03-18T00:00:00"/>
    <d v="2025-03-18T14:52:48"/>
    <x v="0"/>
    <x v="1"/>
    <s v="Password Reset"/>
    <s v="Access Management"/>
    <s v="Noida"/>
    <s v="Portal"/>
    <s v="Resolved"/>
    <n v="48"/>
    <n v="14.88"/>
    <n v="4.5"/>
    <s v="No"/>
    <x v="0"/>
  </r>
  <r>
    <s v="INC101375"/>
    <d v="2025-06-10T00:00:00"/>
    <d v="2025-06-10T01:46:12"/>
    <x v="2"/>
    <x v="2"/>
    <s v="DNS"/>
    <s v="Access Management"/>
    <s v="Delhi"/>
    <s v="Portal"/>
    <s v="Resolved"/>
    <n v="4"/>
    <n v="1.77"/>
    <n v="5"/>
    <s v="No"/>
    <x v="0"/>
  </r>
  <r>
    <s v="INC101376"/>
    <d v="2025-06-23T00:00:00"/>
    <d v="2025-06-23T13:19:12"/>
    <x v="1"/>
    <x v="3"/>
    <s v="Laptop"/>
    <s v="Service Desk"/>
    <s v="Bengaluru"/>
    <s v="Email"/>
    <s v="Resolved"/>
    <n v="24"/>
    <n v="13.32"/>
    <n v="3.9"/>
    <s v="No"/>
    <x v="0"/>
  </r>
  <r>
    <s v="INC101377"/>
    <d v="2025-06-24T00:00:00"/>
    <d v="2025-06-24T17:33:00"/>
    <x v="0"/>
    <x v="1"/>
    <s v="Permission"/>
    <s v="Access Management"/>
    <s v="Delhi"/>
    <s v="Chat"/>
    <s v="Closed"/>
    <n v="48"/>
    <n v="17.55"/>
    <n v="5"/>
    <s v="Yes"/>
    <x v="0"/>
  </r>
  <r>
    <s v="INC101378"/>
    <d v="2025-05-17T00:00:00"/>
    <d v="2025-05-17T01:36:00"/>
    <x v="2"/>
    <x v="0"/>
    <s v="Application Error"/>
    <s v="Service Desk"/>
    <s v="Bengaluru"/>
    <s v="Portal"/>
    <s v="In Progress"/>
    <n v="4"/>
    <n v="1.6"/>
    <n v="4.8"/>
    <s v="Yes"/>
    <x v="0"/>
  </r>
  <r>
    <s v="INC101379"/>
    <d v="2025-04-02T00:00:00"/>
    <d v="2025-04-03T10:45:00"/>
    <x v="0"/>
    <x v="2"/>
    <s v="Packet Loss"/>
    <s v="Service Desk"/>
    <s v="Gurugram"/>
    <s v="Email"/>
    <s v="Closed"/>
    <n v="48"/>
    <n v="34.75"/>
    <n v="4.0999999999999996"/>
    <s v="No"/>
    <x v="0"/>
  </r>
  <r>
    <s v="INC101380"/>
    <d v="2025-04-08T00:00:00"/>
    <d v="2025-04-08T06:42:00"/>
    <x v="1"/>
    <x v="0"/>
    <s v="License"/>
    <s v="Access Management"/>
    <s v="Mumbai"/>
    <s v="Chat"/>
    <s v="Pending"/>
    <n v="24"/>
    <n v="6.7"/>
    <n v="5"/>
    <s v="No"/>
    <x v="0"/>
  </r>
  <r>
    <s v="INC101381"/>
    <d v="2025-06-27T00:00:00"/>
    <d v="2025-06-27T22:48:36"/>
    <x v="1"/>
    <x v="1"/>
    <s v="VPN Access"/>
    <s v="Application Support"/>
    <s v="Hyderabad"/>
    <s v="Phone"/>
    <s v="Resolved"/>
    <n v="24"/>
    <n v="22.81"/>
    <n v="5"/>
    <s v="No"/>
    <x v="0"/>
  </r>
  <r>
    <s v="INC101382"/>
    <d v="2025-02-21T00:00:00"/>
    <d v="2025-02-21T01:59:24"/>
    <x v="3"/>
    <x v="4"/>
    <s v="Spam"/>
    <s v="Network Support"/>
    <s v="Hyderabad"/>
    <s v="Email"/>
    <s v="Closed"/>
    <n v="8"/>
    <n v="1.99"/>
    <n v="4.5999999999999996"/>
    <s v="Yes"/>
    <x v="0"/>
  </r>
  <r>
    <s v="INC101383"/>
    <d v="2025-03-04T00:00:00"/>
    <d v="2025-03-04T13:03:36"/>
    <x v="1"/>
    <x v="0"/>
    <s v="Application Error"/>
    <s v="Access Management"/>
    <s v="Hyderabad"/>
    <s v="Portal"/>
    <s v="Resolved"/>
    <n v="24"/>
    <n v="13.06"/>
    <n v="3.9"/>
    <s v="No"/>
    <x v="0"/>
  </r>
  <r>
    <s v="INC101384"/>
    <d v="2025-06-12T00:00:00"/>
    <d v="2025-06-12T12:24:36"/>
    <x v="1"/>
    <x v="2"/>
    <s v="DNS"/>
    <s v="Network Support"/>
    <s v="Delhi"/>
    <s v="Portal"/>
    <s v="Closed"/>
    <n v="24"/>
    <n v="12.41"/>
    <n v="4.7"/>
    <s v="No"/>
    <x v="0"/>
  </r>
  <r>
    <s v="INC101385"/>
    <d v="2025-03-11T00:00:00"/>
    <d v="2025-03-11T05:26:24"/>
    <x v="2"/>
    <x v="0"/>
    <s v="Performance"/>
    <s v="Application Support"/>
    <s v="Bengaluru"/>
    <s v="Portal"/>
    <s v="Closed"/>
    <n v="4"/>
    <n v="5.44"/>
    <n v="2.4"/>
    <s v="No"/>
    <x v="1"/>
  </r>
  <r>
    <s v="INC101386"/>
    <d v="2025-02-12T00:00:00"/>
    <d v="2025-02-12T22:42:36"/>
    <x v="0"/>
    <x v="2"/>
    <s v="Connectivity"/>
    <s v="Desktop Support"/>
    <s v="Gurugram"/>
    <s v="Portal"/>
    <s v="Resolved"/>
    <n v="48"/>
    <n v="22.71"/>
    <n v="3.6"/>
    <s v="No"/>
    <x v="0"/>
  </r>
  <r>
    <s v="INC101387"/>
    <d v="2025-04-12T00:00:00"/>
    <d v="2025-04-12T04:10:48"/>
    <x v="2"/>
    <x v="2"/>
    <s v="Connectivity"/>
    <s v="Network Support"/>
    <s v="Delhi"/>
    <s v="Phone"/>
    <s v="Resolved"/>
    <n v="4"/>
    <n v="4.18"/>
    <n v="4.5999999999999996"/>
    <s v="No"/>
    <x v="1"/>
  </r>
  <r>
    <s v="INC101388"/>
    <d v="2025-02-28T00:00:00"/>
    <d v="2025-02-28T07:07:12"/>
    <x v="3"/>
    <x v="0"/>
    <s v="Installation"/>
    <s v="Application Support"/>
    <s v="Noida"/>
    <s v="Phone"/>
    <s v="Resolved"/>
    <n v="8"/>
    <n v="7.12"/>
    <n v="4.3"/>
    <s v="No"/>
    <x v="0"/>
  </r>
  <r>
    <s v="INC101389"/>
    <d v="2025-06-11T00:00:00"/>
    <d v="2025-06-11T02:46:12"/>
    <x v="3"/>
    <x v="1"/>
    <s v="Permission"/>
    <s v="Application Support"/>
    <s v="Noida"/>
    <s v="Phone"/>
    <s v="In Progress"/>
    <n v="8"/>
    <n v="2.77"/>
    <n v="4"/>
    <s v="No"/>
    <x v="0"/>
  </r>
  <r>
    <s v="INC101390"/>
    <d v="2025-06-14T00:00:00"/>
    <d v="2025-06-16T13:29:24"/>
    <x v="0"/>
    <x v="2"/>
    <s v="Link Down"/>
    <s v="Access Management"/>
    <s v="Gurugram"/>
    <s v="Portal"/>
    <s v="Resolved"/>
    <n v="48"/>
    <n v="61.49"/>
    <n v="5"/>
    <s v="No"/>
    <x v="1"/>
  </r>
  <r>
    <s v="INC101391"/>
    <d v="2025-02-25T00:00:00"/>
    <d v="2025-02-25T17:21:00"/>
    <x v="0"/>
    <x v="1"/>
    <s v="VPN Access"/>
    <s v="Application Support"/>
    <s v="Delhi"/>
    <s v="Portal"/>
    <s v="Resolved"/>
    <n v="48"/>
    <n v="17.350000000000001"/>
    <n v="3.7"/>
    <s v="No"/>
    <x v="0"/>
  </r>
  <r>
    <s v="INC101392"/>
    <d v="2025-04-06T00:00:00"/>
    <d v="2025-04-06T10:16:48"/>
    <x v="1"/>
    <x v="0"/>
    <s v="Performance"/>
    <s v="Application Support"/>
    <s v="Noida"/>
    <s v="Phone"/>
    <s v="Pending"/>
    <n v="24"/>
    <n v="10.28"/>
    <n v="4.9000000000000004"/>
    <s v="No"/>
    <x v="0"/>
  </r>
  <r>
    <s v="INC101393"/>
    <d v="2025-06-28T00:00:00"/>
    <d v="2025-06-28T18:23:24"/>
    <x v="1"/>
    <x v="1"/>
    <s v="VPN Access"/>
    <s v="Access Management"/>
    <s v="Delhi"/>
    <s v="Portal"/>
    <s v="Resolved"/>
    <n v="24"/>
    <n v="18.39"/>
    <n v="3.6"/>
    <s v="No"/>
    <x v="0"/>
  </r>
  <r>
    <s v="INC101394"/>
    <d v="2025-05-15T00:00:00"/>
    <d v="2025-05-15T09:30:00"/>
    <x v="1"/>
    <x v="2"/>
    <s v="DNS"/>
    <s v="Access Management"/>
    <s v="Delhi"/>
    <s v="Portal"/>
    <s v="Resolved"/>
    <n v="24"/>
    <n v="9.5"/>
    <n v="5"/>
    <s v="No"/>
    <x v="0"/>
  </r>
  <r>
    <s v="INC101395"/>
    <d v="2025-02-09T00:00:00"/>
    <d v="2025-02-09T01:07:48"/>
    <x v="3"/>
    <x v="3"/>
    <s v="Monitor"/>
    <s v="Desktop Support"/>
    <s v="Noida"/>
    <s v="Portal"/>
    <s v="Closed"/>
    <n v="8"/>
    <n v="1.1299999999999999"/>
    <n v="4.5"/>
    <s v="No"/>
    <x v="0"/>
  </r>
  <r>
    <s v="INC101396"/>
    <d v="2025-04-17T00:00:00"/>
    <d v="2025-04-17T10:25:12"/>
    <x v="1"/>
    <x v="2"/>
    <s v="DNS"/>
    <s v="Network Support"/>
    <s v="Delhi"/>
    <s v="Portal"/>
    <s v="Resolved"/>
    <n v="24"/>
    <n v="10.42"/>
    <n v="4.3"/>
    <s v="No"/>
    <x v="0"/>
  </r>
  <r>
    <s v="INC101397"/>
    <d v="2025-04-23T00:00:00"/>
    <d v="2025-04-23T10:16:48"/>
    <x v="1"/>
    <x v="2"/>
    <s v="Link Down"/>
    <s v="Service Desk"/>
    <s v="Hyderabad"/>
    <s v="Portal"/>
    <s v="Resolved"/>
    <n v="24"/>
    <n v="10.28"/>
    <n v="3.3"/>
    <s v="No"/>
    <x v="0"/>
  </r>
  <r>
    <s v="INC101398"/>
    <d v="2025-04-29T00:00:00"/>
    <d v="2025-04-29T05:37:48"/>
    <x v="1"/>
    <x v="3"/>
    <s v="Laptop"/>
    <s v="Application Support"/>
    <s v="Hyderabad"/>
    <s v="Portal"/>
    <s v="Closed"/>
    <n v="24"/>
    <n v="5.63"/>
    <n v="5"/>
    <s v="Yes"/>
    <x v="0"/>
  </r>
  <r>
    <s v="INC101399"/>
    <d v="2025-01-05T00:00:00"/>
    <d v="2025-01-06T01:52:48"/>
    <x v="0"/>
    <x v="3"/>
    <s v="Monitor"/>
    <s v="Network Support"/>
    <s v="Hyderabad"/>
    <s v="Phone"/>
    <s v="Resolved"/>
    <n v="48"/>
    <n v="25.88"/>
    <n v="4"/>
    <s v="No"/>
    <x v="0"/>
  </r>
  <r>
    <s v="INC101400"/>
    <d v="2025-02-24T00:00:00"/>
    <d v="2025-02-25T02:19:12"/>
    <x v="0"/>
    <x v="2"/>
    <s v="Link Down"/>
    <s v="Network Support"/>
    <s v="Delhi"/>
    <s v="Portal"/>
    <s v="Resolved"/>
    <n v="48"/>
    <n v="26.32"/>
    <n v="4.7"/>
    <s v="No"/>
    <x v="0"/>
  </r>
  <r>
    <s v="INC101401"/>
    <d v="2025-06-04T00:00:00"/>
    <d v="2025-06-05T10:55:12"/>
    <x v="0"/>
    <x v="2"/>
    <s v="DNS"/>
    <s v="Service Desk"/>
    <s v="Noida"/>
    <s v="Email"/>
    <s v="Resolved"/>
    <n v="48"/>
    <n v="34.92"/>
    <n v="4.0999999999999996"/>
    <s v="No"/>
    <x v="0"/>
  </r>
  <r>
    <s v="INC101402"/>
    <d v="2025-02-13T00:00:00"/>
    <d v="2025-02-13T01:34:47"/>
    <x v="3"/>
    <x v="4"/>
    <s v="Configuration"/>
    <s v="Access Management"/>
    <s v="Mumbai"/>
    <s v="Email"/>
    <s v="In Progress"/>
    <n v="8"/>
    <n v="1.58"/>
    <n v="4.4000000000000004"/>
    <s v="No"/>
    <x v="0"/>
  </r>
  <r>
    <s v="INC101403"/>
    <d v="2025-02-24T00:00:00"/>
    <d v="2025-02-24T05:00:36"/>
    <x v="1"/>
    <x v="1"/>
    <s v="Password Reset"/>
    <s v="Service Desk"/>
    <s v="Bengaluru"/>
    <s v="Email"/>
    <s v="Resolved"/>
    <n v="24"/>
    <n v="5.01"/>
    <n v="3.3"/>
    <s v="No"/>
    <x v="0"/>
  </r>
  <r>
    <s v="INC101404"/>
    <d v="2025-02-28T00:00:00"/>
    <d v="2025-02-28T23:19:48"/>
    <x v="1"/>
    <x v="3"/>
    <s v="Laptop"/>
    <s v="Access Management"/>
    <s v="Gurugram"/>
    <s v="Email"/>
    <s v="In Progress"/>
    <n v="24"/>
    <n v="23.33"/>
    <n v="3.7"/>
    <s v="No"/>
    <x v="0"/>
  </r>
  <r>
    <s v="INC101405"/>
    <d v="2025-02-02T00:00:00"/>
    <d v="2025-02-02T05:49:48"/>
    <x v="1"/>
    <x v="4"/>
    <s v="Delivery"/>
    <s v="Access Management"/>
    <s v="Mumbai"/>
    <s v="Portal"/>
    <s v="Closed"/>
    <n v="24"/>
    <n v="5.83"/>
    <n v="4.5"/>
    <s v="No"/>
    <x v="0"/>
  </r>
  <r>
    <s v="INC101406"/>
    <d v="2025-01-29T00:00:00"/>
    <d v="2025-01-29T15:53:24"/>
    <x v="1"/>
    <x v="2"/>
    <s v="Packet Loss"/>
    <s v="Service Desk"/>
    <s v="Gurugram"/>
    <s v="Portal"/>
    <s v="Resolved"/>
    <n v="24"/>
    <n v="15.89"/>
    <n v="4.4000000000000004"/>
    <s v="No"/>
    <x v="0"/>
  </r>
  <r>
    <s v="INC101407"/>
    <d v="2025-03-04T00:00:00"/>
    <d v="2025-03-04T03:40:12"/>
    <x v="3"/>
    <x v="3"/>
    <s v="Printer"/>
    <s v="Service Desk"/>
    <s v="Hyderabad"/>
    <s v="Email"/>
    <s v="Resolved"/>
    <n v="8"/>
    <n v="3.67"/>
    <n v="5"/>
    <s v="No"/>
    <x v="0"/>
  </r>
  <r>
    <s v="INC101408"/>
    <d v="2025-06-08T00:00:00"/>
    <d v="2025-06-08T02:21:00"/>
    <x v="3"/>
    <x v="1"/>
    <s v="Account Lock"/>
    <s v="Access Management"/>
    <s v="Delhi"/>
    <s v="Chat"/>
    <s v="Resolved"/>
    <n v="8"/>
    <n v="2.35"/>
    <n v="5"/>
    <s v="No"/>
    <x v="0"/>
  </r>
  <r>
    <s v="INC101409"/>
    <d v="2025-01-01T00:00:00"/>
    <d v="2025-01-02T08:22:12"/>
    <x v="1"/>
    <x v="3"/>
    <s v="Peripheral"/>
    <s v="Application Support"/>
    <s v="Mumbai"/>
    <s v="Portal"/>
    <s v="Closed"/>
    <n v="24"/>
    <n v="32.369999999999997"/>
    <n v="3.9"/>
    <s v="No"/>
    <x v="1"/>
  </r>
  <r>
    <s v="INC101410"/>
    <d v="2025-02-21T00:00:00"/>
    <d v="2025-02-21T04:26:24"/>
    <x v="3"/>
    <x v="2"/>
    <s v="Link Down"/>
    <s v="Application Support"/>
    <s v="Delhi"/>
    <s v="Email"/>
    <s v="Resolved"/>
    <n v="8"/>
    <n v="4.4400000000000004"/>
    <n v="4.0999999999999996"/>
    <s v="No"/>
    <x v="0"/>
  </r>
  <r>
    <s v="INC101411"/>
    <d v="2025-01-11T00:00:00"/>
    <d v="2025-01-11T07:58:48"/>
    <x v="1"/>
    <x v="3"/>
    <s v="Monitor"/>
    <s v="Access Management"/>
    <s v="Hyderabad"/>
    <s v="Chat"/>
    <s v="Closed"/>
    <n v="24"/>
    <n v="7.98"/>
    <n v="3.7"/>
    <s v="No"/>
    <x v="0"/>
  </r>
  <r>
    <s v="INC101412"/>
    <d v="2025-04-12T00:00:00"/>
    <d v="2025-04-12T02:44:24"/>
    <x v="1"/>
    <x v="0"/>
    <s v="Installation"/>
    <s v="Network Support"/>
    <s v="Noida"/>
    <s v="Phone"/>
    <s v="Closed"/>
    <n v="24"/>
    <n v="2.74"/>
    <n v="4.7"/>
    <s v="No"/>
    <x v="0"/>
  </r>
  <r>
    <s v="INC101413"/>
    <d v="2025-02-15T00:00:00"/>
    <d v="2025-02-15T06:46:48"/>
    <x v="3"/>
    <x v="0"/>
    <s v="License"/>
    <s v="Service Desk"/>
    <s v="Delhi"/>
    <s v="Phone"/>
    <s v="Resolved"/>
    <n v="8"/>
    <n v="6.78"/>
    <n v="3.5"/>
    <s v="No"/>
    <x v="0"/>
  </r>
  <r>
    <s v="INC101414"/>
    <d v="2025-05-24T00:00:00"/>
    <d v="2025-05-24T05:46:48"/>
    <x v="1"/>
    <x v="3"/>
    <s v="Monitor"/>
    <s v="Application Support"/>
    <s v="Hyderabad"/>
    <s v="Email"/>
    <s v="In Progress"/>
    <n v="24"/>
    <n v="5.78"/>
    <n v="4.7"/>
    <s v="No"/>
    <x v="0"/>
  </r>
  <r>
    <s v="INC101415"/>
    <d v="2025-04-16T00:00:00"/>
    <d v="2025-04-17T06:30:36"/>
    <x v="1"/>
    <x v="3"/>
    <s v="Printer"/>
    <s v="Network Support"/>
    <s v="Hyderabad"/>
    <s v="Phone"/>
    <s v="Resolved"/>
    <n v="24"/>
    <n v="30.51"/>
    <n v="3.2"/>
    <s v="No"/>
    <x v="1"/>
  </r>
  <r>
    <s v="INC101416"/>
    <d v="2025-05-22T00:00:00"/>
    <d v="2025-05-22T12:13:12"/>
    <x v="1"/>
    <x v="2"/>
    <s v="DNS"/>
    <s v="Access Management"/>
    <s v="Hyderabad"/>
    <s v="Email"/>
    <s v="Closed"/>
    <n v="24"/>
    <n v="12.22"/>
    <n v="3.3"/>
    <s v="No"/>
    <x v="0"/>
  </r>
  <r>
    <s v="INC101417"/>
    <d v="2025-04-25T00:00:00"/>
    <d v="2025-04-27T13:04:12"/>
    <x v="1"/>
    <x v="0"/>
    <s v="Application Error"/>
    <s v="Desktop Support"/>
    <s v="Noida"/>
    <s v="Email"/>
    <s v="Resolved"/>
    <n v="24"/>
    <n v="61.07"/>
    <n v="2.8"/>
    <s v="No"/>
    <x v="1"/>
  </r>
  <r>
    <s v="INC101418"/>
    <d v="2025-03-21T00:00:00"/>
    <d v="2025-03-21T10:16:12"/>
    <x v="1"/>
    <x v="2"/>
    <s v="Packet Loss"/>
    <s v="Service Desk"/>
    <s v="Delhi"/>
    <s v="Phone"/>
    <s v="Resolved"/>
    <n v="24"/>
    <n v="10.27"/>
    <n v="4.4000000000000004"/>
    <s v="No"/>
    <x v="0"/>
  </r>
  <r>
    <s v="INC101419"/>
    <d v="2025-06-05T00:00:00"/>
    <d v="2025-06-05T05:34:47"/>
    <x v="1"/>
    <x v="1"/>
    <s v="Permission"/>
    <s v="Service Desk"/>
    <s v="Gurugram"/>
    <s v="Portal"/>
    <s v="Closed"/>
    <n v="24"/>
    <n v="5.58"/>
    <n v="4.5"/>
    <s v="No"/>
    <x v="0"/>
  </r>
  <r>
    <s v="INC101420"/>
    <d v="2025-03-28T00:00:00"/>
    <d v="2025-03-28T13:30:36"/>
    <x v="1"/>
    <x v="1"/>
    <s v="VPN Access"/>
    <s v="Network Support"/>
    <s v="Delhi"/>
    <s v="Chat"/>
    <s v="Resolved"/>
    <n v="24"/>
    <n v="13.51"/>
    <n v="3.6"/>
    <s v="Yes"/>
    <x v="0"/>
  </r>
  <r>
    <s v="INC101421"/>
    <d v="2025-06-21T00:00:00"/>
    <d v="2025-06-21T15:25:48"/>
    <x v="0"/>
    <x v="3"/>
    <s v="Laptop"/>
    <s v="Desktop Support"/>
    <s v="Delhi"/>
    <s v="Chat"/>
    <s v="In Progress"/>
    <n v="48"/>
    <n v="15.43"/>
    <n v="4.3"/>
    <s v="No"/>
    <x v="0"/>
  </r>
  <r>
    <s v="INC101422"/>
    <d v="2025-06-30T00:00:00"/>
    <d v="2025-06-30T00:30:00"/>
    <x v="3"/>
    <x v="1"/>
    <s v="Permission"/>
    <s v="Access Management"/>
    <s v="Delhi"/>
    <s v="Email"/>
    <s v="Closed"/>
    <n v="8"/>
    <n v="0.5"/>
    <n v="4.4000000000000004"/>
    <s v="No"/>
    <x v="0"/>
  </r>
  <r>
    <s v="INC101423"/>
    <d v="2025-04-17T00:00:00"/>
    <d v="2025-04-18T00:00:36"/>
    <x v="1"/>
    <x v="2"/>
    <s v="DNS"/>
    <s v="Network Support"/>
    <s v="Bengaluru"/>
    <s v="Portal"/>
    <s v="Closed"/>
    <n v="24"/>
    <n v="24.01"/>
    <n v="3"/>
    <s v="No"/>
    <x v="1"/>
  </r>
  <r>
    <s v="INC101424"/>
    <d v="2025-05-03T00:00:00"/>
    <d v="2025-05-03T05:24:00"/>
    <x v="3"/>
    <x v="3"/>
    <s v="Monitor"/>
    <s v="Desktop Support"/>
    <s v="Mumbai"/>
    <s v="Phone"/>
    <s v="Resolved"/>
    <n v="8"/>
    <n v="5.4"/>
    <n v="4.3"/>
    <s v="No"/>
    <x v="0"/>
  </r>
  <r>
    <s v="INC101425"/>
    <d v="2025-02-16T00:00:00"/>
    <d v="2025-02-16T13:05:24"/>
    <x v="0"/>
    <x v="3"/>
    <s v="Printer"/>
    <s v="Application Support"/>
    <s v="Bengaluru"/>
    <s v="Portal"/>
    <s v="In Progress"/>
    <n v="48"/>
    <n v="13.09"/>
    <n v="4.4000000000000004"/>
    <s v="No"/>
    <x v="0"/>
  </r>
  <r>
    <s v="INC101426"/>
    <d v="2025-05-28T00:00:00"/>
    <d v="2025-05-28T04:40:48"/>
    <x v="1"/>
    <x v="3"/>
    <s v="Monitor"/>
    <s v="Desktop Support"/>
    <s v="Gurugram"/>
    <s v="Email"/>
    <s v="Pending"/>
    <n v="24"/>
    <n v="4.68"/>
    <n v="5"/>
    <s v="Yes"/>
    <x v="0"/>
  </r>
  <r>
    <s v="INC101427"/>
    <d v="2025-05-02T00:00:00"/>
    <d v="2025-05-02T05:13:12"/>
    <x v="1"/>
    <x v="1"/>
    <s v="Permission"/>
    <s v="Application Support"/>
    <s v="Bengaluru"/>
    <s v="Portal"/>
    <s v="Resolved"/>
    <n v="24"/>
    <n v="5.22"/>
    <n v="4.5"/>
    <s v="No"/>
    <x v="0"/>
  </r>
  <r>
    <s v="INC101428"/>
    <d v="2025-06-13T00:00:00"/>
    <d v="2025-06-13T04:19:48"/>
    <x v="3"/>
    <x v="4"/>
    <s v="Spam"/>
    <s v="Application Support"/>
    <s v="Gurugram"/>
    <s v="Phone"/>
    <s v="Resolved"/>
    <n v="8"/>
    <n v="4.33"/>
    <n v="4.4000000000000004"/>
    <s v="No"/>
    <x v="0"/>
  </r>
  <r>
    <s v="INC101429"/>
    <d v="2025-02-18T00:00:00"/>
    <d v="2025-02-21T18:01:12"/>
    <x v="0"/>
    <x v="3"/>
    <s v="Laptop"/>
    <s v="Access Management"/>
    <s v="Noida"/>
    <s v="Chat"/>
    <s v="In Progress"/>
    <n v="48"/>
    <n v="90.02"/>
    <n v="2.8"/>
    <s v="No"/>
    <x v="1"/>
  </r>
  <r>
    <s v="INC101430"/>
    <d v="2025-05-23T00:00:00"/>
    <d v="2025-05-23T03:37:48"/>
    <x v="3"/>
    <x v="3"/>
    <s v="Peripheral"/>
    <s v="Application Support"/>
    <s v="Hyderabad"/>
    <s v="Portal"/>
    <s v="Resolved"/>
    <n v="8"/>
    <n v="3.63"/>
    <n v="4.7"/>
    <s v="Yes"/>
    <x v="0"/>
  </r>
  <r>
    <s v="INC101431"/>
    <d v="2025-03-27T00:00:00"/>
    <d v="2025-03-27T02:35:24"/>
    <x v="1"/>
    <x v="0"/>
    <s v="Application Error"/>
    <s v="Application Support"/>
    <s v="Delhi"/>
    <s v="Phone"/>
    <s v="Resolved"/>
    <n v="24"/>
    <n v="2.59"/>
    <n v="4.3"/>
    <s v="No"/>
    <x v="0"/>
  </r>
  <r>
    <s v="INC101432"/>
    <d v="2025-02-03T00:00:00"/>
    <d v="2025-02-03T05:43:48"/>
    <x v="1"/>
    <x v="3"/>
    <s v="Laptop"/>
    <s v="Service Desk"/>
    <s v="Hyderabad"/>
    <s v="Phone"/>
    <s v="Pending"/>
    <n v="24"/>
    <n v="5.73"/>
    <n v="5"/>
    <s v="No"/>
    <x v="0"/>
  </r>
  <r>
    <s v="INC101433"/>
    <d v="2025-01-31T00:00:00"/>
    <d v="2025-01-31T14:12:00"/>
    <x v="1"/>
    <x v="2"/>
    <s v="DNS"/>
    <s v="Network Support"/>
    <s v="Gurugram"/>
    <s v="Portal"/>
    <s v="Resolved"/>
    <n v="24"/>
    <n v="14.2"/>
    <n v="3.5"/>
    <s v="No"/>
    <x v="0"/>
  </r>
  <r>
    <s v="INC101434"/>
    <d v="2025-04-12T00:00:00"/>
    <d v="2025-04-12T13:24:00"/>
    <x v="0"/>
    <x v="4"/>
    <s v="Configuration"/>
    <s v="Network Support"/>
    <s v="Mumbai"/>
    <s v="Portal"/>
    <s v="Pending"/>
    <n v="48"/>
    <n v="13.4"/>
    <n v="4.7"/>
    <s v="No"/>
    <x v="0"/>
  </r>
  <r>
    <s v="INC101435"/>
    <d v="2025-02-27T00:00:00"/>
    <d v="2025-02-27T03:55:12"/>
    <x v="1"/>
    <x v="1"/>
    <s v="Permission"/>
    <s v="Network Support"/>
    <s v="Gurugram"/>
    <s v="Portal"/>
    <s v="Resolved"/>
    <n v="24"/>
    <n v="3.92"/>
    <n v="4"/>
    <s v="No"/>
    <x v="0"/>
  </r>
  <r>
    <s v="INC101436"/>
    <d v="2025-01-19T00:00:00"/>
    <d v="2025-01-19T22:19:12"/>
    <x v="0"/>
    <x v="4"/>
    <s v="Delivery"/>
    <s v="Access Management"/>
    <s v="Delhi"/>
    <s v="Phone"/>
    <s v="Resolved"/>
    <n v="48"/>
    <n v="22.32"/>
    <n v="4.4000000000000004"/>
    <s v="No"/>
    <x v="0"/>
  </r>
  <r>
    <s v="INC101437"/>
    <d v="2025-03-19T00:00:00"/>
    <d v="2025-03-19T05:42:36"/>
    <x v="1"/>
    <x v="2"/>
    <s v="Link Down"/>
    <s v="Network Support"/>
    <s v="Noida"/>
    <s v="Email"/>
    <s v="Resolved"/>
    <n v="24"/>
    <n v="5.71"/>
    <n v="5"/>
    <s v="No"/>
    <x v="0"/>
  </r>
  <r>
    <s v="INC101438"/>
    <d v="2025-04-29T00:00:00"/>
    <d v="2025-04-29T14:49:48"/>
    <x v="1"/>
    <x v="2"/>
    <s v="Packet Loss"/>
    <s v="Desktop Support"/>
    <s v="Noida"/>
    <s v="Portal"/>
    <s v="Resolved"/>
    <n v="24"/>
    <n v="14.83"/>
    <n v="4.5999999999999996"/>
    <s v="No"/>
    <x v="0"/>
  </r>
  <r>
    <s v="INC101439"/>
    <d v="2025-02-27T00:00:00"/>
    <d v="2025-02-27T15:07:48"/>
    <x v="1"/>
    <x v="3"/>
    <s v="Printer"/>
    <s v="Application Support"/>
    <s v="Bengaluru"/>
    <s v="Portal"/>
    <s v="In Progress"/>
    <n v="24"/>
    <n v="15.13"/>
    <n v="4.9000000000000004"/>
    <s v="No"/>
    <x v="0"/>
  </r>
  <r>
    <s v="INC101440"/>
    <d v="2025-06-22T00:00:00"/>
    <d v="2025-06-23T13:20:24"/>
    <x v="0"/>
    <x v="4"/>
    <s v="Delivery"/>
    <s v="Application Support"/>
    <s v="Gurugram"/>
    <s v="Email"/>
    <s v="Closed"/>
    <n v="48"/>
    <n v="37.340000000000003"/>
    <n v="3.9"/>
    <s v="No"/>
    <x v="0"/>
  </r>
  <r>
    <s v="INC101441"/>
    <d v="2025-05-22T00:00:00"/>
    <d v="2025-05-23T18:02:24"/>
    <x v="0"/>
    <x v="2"/>
    <s v="Packet Loss"/>
    <s v="Network Support"/>
    <s v="Hyderabad"/>
    <s v="Portal"/>
    <s v="Pending"/>
    <n v="48"/>
    <n v="42.04"/>
    <n v="4.5"/>
    <s v="Yes"/>
    <x v="0"/>
  </r>
  <r>
    <s v="INC101442"/>
    <d v="2025-04-03T00:00:00"/>
    <d v="2025-04-03T12:46:12"/>
    <x v="0"/>
    <x v="2"/>
    <s v="Packet Loss"/>
    <s v="Access Management"/>
    <s v="Mumbai"/>
    <s v="Email"/>
    <s v="Resolved"/>
    <n v="48"/>
    <n v="12.77"/>
    <n v="4.2"/>
    <s v="No"/>
    <x v="0"/>
  </r>
  <r>
    <s v="INC101443"/>
    <d v="2025-06-19T00:00:00"/>
    <d v="2025-06-20T23:25:48"/>
    <x v="0"/>
    <x v="2"/>
    <s v="DNS"/>
    <s v="Desktop Support"/>
    <s v="Hyderabad"/>
    <s v="Portal"/>
    <s v="Pending"/>
    <n v="48"/>
    <n v="47.43"/>
    <n v="3.5"/>
    <s v="No"/>
    <x v="0"/>
  </r>
  <r>
    <s v="INC101444"/>
    <d v="2025-03-20T00:00:00"/>
    <d v="2025-03-20T09:24:00"/>
    <x v="1"/>
    <x v="1"/>
    <s v="Permission"/>
    <s v="Network Support"/>
    <s v="Mumbai"/>
    <s v="Phone"/>
    <s v="Closed"/>
    <n v="24"/>
    <n v="9.4"/>
    <n v="4.5999999999999996"/>
    <s v="No"/>
    <x v="0"/>
  </r>
  <r>
    <s v="INC101445"/>
    <d v="2025-01-26T00:00:00"/>
    <d v="2025-01-26T03:48:36"/>
    <x v="0"/>
    <x v="1"/>
    <s v="Account Lock"/>
    <s v="Network Support"/>
    <s v="Mumbai"/>
    <s v="Phone"/>
    <s v="Resolved"/>
    <n v="48"/>
    <n v="3.81"/>
    <n v="5"/>
    <s v="No"/>
    <x v="0"/>
  </r>
  <r>
    <s v="INC101446"/>
    <d v="2025-01-07T00:00:00"/>
    <d v="2025-01-07T07:16:48"/>
    <x v="3"/>
    <x v="0"/>
    <s v="Performance"/>
    <s v="Access Management"/>
    <s v="Delhi"/>
    <s v="Phone"/>
    <s v="Resolved"/>
    <n v="8"/>
    <n v="7.28"/>
    <n v="3.6"/>
    <s v="No"/>
    <x v="0"/>
  </r>
  <r>
    <s v="INC101447"/>
    <d v="2025-06-19T00:00:00"/>
    <d v="2025-06-21T16:05:24"/>
    <x v="0"/>
    <x v="2"/>
    <s v="Connectivity"/>
    <s v="Access Management"/>
    <s v="Bengaluru"/>
    <s v="Portal"/>
    <s v="Resolved"/>
    <n v="48"/>
    <n v="64.09"/>
    <n v="3.8"/>
    <s v="No"/>
    <x v="1"/>
  </r>
  <r>
    <s v="INC101448"/>
    <d v="2025-06-23T00:00:00"/>
    <d v="2025-06-23T21:18:36"/>
    <x v="0"/>
    <x v="1"/>
    <s v="Password Reset"/>
    <s v="Application Support"/>
    <s v="Hyderabad"/>
    <s v="Email"/>
    <s v="Resolved"/>
    <n v="48"/>
    <n v="21.31"/>
    <n v="4.5999999999999996"/>
    <s v="No"/>
    <x v="0"/>
  </r>
  <r>
    <s v="INC101449"/>
    <d v="2025-05-14T00:00:00"/>
    <d v="2025-05-14T08:12:36"/>
    <x v="3"/>
    <x v="3"/>
    <s v="Peripheral"/>
    <s v="Service Desk"/>
    <s v="Delhi"/>
    <s v="Phone"/>
    <s v="In Progress"/>
    <n v="8"/>
    <n v="8.2100000000000009"/>
    <n v="4"/>
    <s v="No"/>
    <x v="1"/>
  </r>
  <r>
    <s v="INC101450"/>
    <d v="2025-01-19T00:00:00"/>
    <d v="2025-01-19T22:34:47"/>
    <x v="0"/>
    <x v="2"/>
    <s v="Packet Loss"/>
    <s v="Access Management"/>
    <s v="Noida"/>
    <s v="Email"/>
    <s v="Pending"/>
    <n v="48"/>
    <n v="22.58"/>
    <n v="3.9"/>
    <s v="No"/>
    <x v="0"/>
  </r>
  <r>
    <s v="INC101451"/>
    <d v="2025-02-23T00:00:00"/>
    <d v="2025-02-23T07:48:36"/>
    <x v="1"/>
    <x v="3"/>
    <s v="Laptop"/>
    <s v="Service Desk"/>
    <s v="Gurugram"/>
    <s v="Portal"/>
    <s v="Resolved"/>
    <n v="24"/>
    <n v="7.81"/>
    <n v="4.4000000000000004"/>
    <s v="Yes"/>
    <x v="0"/>
  </r>
  <r>
    <s v="INC101452"/>
    <d v="2025-01-08T00:00:00"/>
    <d v="2025-01-08T01:54:36"/>
    <x v="2"/>
    <x v="0"/>
    <s v="Installation"/>
    <s v="Service Desk"/>
    <s v="Mumbai"/>
    <s v="Portal"/>
    <s v="Resolved"/>
    <n v="4"/>
    <n v="1.91"/>
    <n v="4.4000000000000004"/>
    <s v="No"/>
    <x v="0"/>
  </r>
  <r>
    <s v="INC101453"/>
    <d v="2025-01-10T00:00:00"/>
    <d v="2025-01-10T04:07:48"/>
    <x v="3"/>
    <x v="3"/>
    <s v="Peripheral"/>
    <s v="Application Support"/>
    <s v="Hyderabad"/>
    <s v="Email"/>
    <s v="Resolved"/>
    <n v="8"/>
    <n v="4.13"/>
    <n v="4.5999999999999996"/>
    <s v="No"/>
    <x v="0"/>
  </r>
  <r>
    <s v="INC101454"/>
    <d v="2025-02-14T00:00:00"/>
    <d v="2025-02-14T14:15:00"/>
    <x v="1"/>
    <x v="4"/>
    <s v="Delivery"/>
    <s v="Service Desk"/>
    <s v="Delhi"/>
    <s v="Email"/>
    <s v="Closed"/>
    <n v="24"/>
    <n v="14.25"/>
    <n v="3.8"/>
    <s v="No"/>
    <x v="0"/>
  </r>
  <r>
    <s v="INC101455"/>
    <d v="2025-04-14T00:00:00"/>
    <d v="2025-04-14T19:35:24"/>
    <x v="0"/>
    <x v="3"/>
    <s v="Peripheral"/>
    <s v="Desktop Support"/>
    <s v="Mumbai"/>
    <s v="Chat"/>
    <s v="Closed"/>
    <n v="48"/>
    <n v="19.59"/>
    <n v="3.7"/>
    <s v="No"/>
    <x v="0"/>
  </r>
  <r>
    <s v="INC101456"/>
    <d v="2025-01-12T00:00:00"/>
    <d v="2025-01-12T21:11:24"/>
    <x v="1"/>
    <x v="3"/>
    <s v="Printer"/>
    <s v="Application Support"/>
    <s v="Noida"/>
    <s v="Phone"/>
    <s v="Resolved"/>
    <n v="24"/>
    <n v="21.19"/>
    <n v="2.6"/>
    <s v="No"/>
    <x v="0"/>
  </r>
  <r>
    <s v="INC101457"/>
    <d v="2025-06-28T00:00:00"/>
    <d v="2025-06-28T03:00:00"/>
    <x v="2"/>
    <x v="0"/>
    <s v="Application Error"/>
    <s v="Network Support"/>
    <s v="Hyderabad"/>
    <s v="Phone"/>
    <s v="Resolved"/>
    <n v="4"/>
    <n v="3"/>
    <n v="4.5999999999999996"/>
    <s v="No"/>
    <x v="0"/>
  </r>
  <r>
    <s v="INC101458"/>
    <d v="2025-03-24T00:00:00"/>
    <d v="2025-03-24T01:44:24"/>
    <x v="3"/>
    <x v="0"/>
    <s v="Application Error"/>
    <s v="Access Management"/>
    <s v="Delhi"/>
    <s v="Chat"/>
    <s v="Pending"/>
    <n v="8"/>
    <n v="1.74"/>
    <n v="5"/>
    <s v="No"/>
    <x v="0"/>
  </r>
  <r>
    <s v="INC101459"/>
    <d v="2025-02-17T00:00:00"/>
    <d v="2025-02-17T16:37:48"/>
    <x v="0"/>
    <x v="2"/>
    <s v="Connectivity"/>
    <s v="Network Support"/>
    <s v="Gurugram"/>
    <s v="Email"/>
    <s v="Resolved"/>
    <n v="48"/>
    <n v="16.63"/>
    <n v="3.3"/>
    <s v="No"/>
    <x v="0"/>
  </r>
  <r>
    <s v="INC101460"/>
    <d v="2025-04-04T00:00:00"/>
    <d v="2025-04-04T20:23:24"/>
    <x v="1"/>
    <x v="0"/>
    <s v="Performance"/>
    <s v="Access Management"/>
    <s v="Mumbai"/>
    <s v="Portal"/>
    <s v="Resolved"/>
    <n v="24"/>
    <n v="20.39"/>
    <n v="4"/>
    <s v="No"/>
    <x v="0"/>
  </r>
  <r>
    <s v="INC101461"/>
    <d v="2025-05-24T00:00:00"/>
    <d v="2025-05-24T11:05:24"/>
    <x v="1"/>
    <x v="2"/>
    <s v="DNS"/>
    <s v="Service Desk"/>
    <s v="Mumbai"/>
    <s v="Portal"/>
    <s v="Closed"/>
    <n v="24"/>
    <n v="11.09"/>
    <n v="4.2"/>
    <s v="No"/>
    <x v="0"/>
  </r>
  <r>
    <s v="INC101462"/>
    <d v="2025-02-26T00:00:00"/>
    <d v="2025-02-26T13:27:36"/>
    <x v="0"/>
    <x v="3"/>
    <s v="Monitor"/>
    <s v="Desktop Support"/>
    <s v="Delhi"/>
    <s v="Phone"/>
    <s v="Pending"/>
    <n v="48"/>
    <n v="13.46"/>
    <n v="5"/>
    <s v="No"/>
    <x v="0"/>
  </r>
  <r>
    <s v="INC101463"/>
    <d v="2025-01-09T00:00:00"/>
    <d v="2025-01-09T10:48:00"/>
    <x v="1"/>
    <x v="0"/>
    <s v="Performance"/>
    <s v="Service Desk"/>
    <s v="Delhi"/>
    <s v="Portal"/>
    <s v="Closed"/>
    <n v="24"/>
    <n v="10.8"/>
    <n v="4.3"/>
    <s v="Yes"/>
    <x v="0"/>
  </r>
  <r>
    <s v="INC101464"/>
    <d v="2025-01-10T00:00:00"/>
    <d v="2025-01-10T06:25:12"/>
    <x v="0"/>
    <x v="0"/>
    <s v="Performance"/>
    <s v="Desktop Support"/>
    <s v="Noida"/>
    <s v="Chat"/>
    <s v="In Progress"/>
    <n v="48"/>
    <n v="6.42"/>
    <n v="5"/>
    <s v="No"/>
    <x v="0"/>
  </r>
  <r>
    <s v="INC101465"/>
    <d v="2025-06-04T00:00:00"/>
    <d v="2025-06-05T05:08:24"/>
    <x v="1"/>
    <x v="3"/>
    <s v="Printer"/>
    <s v="Network Support"/>
    <s v="Delhi"/>
    <s v="Portal"/>
    <s v="In Progress"/>
    <n v="24"/>
    <n v="29.14"/>
    <n v="3.3"/>
    <s v="No"/>
    <x v="1"/>
  </r>
  <r>
    <s v="INC101466"/>
    <d v="2025-01-21T00:00:00"/>
    <d v="2025-01-22T01:27:00"/>
    <x v="0"/>
    <x v="2"/>
    <s v="Packet Loss"/>
    <s v="Network Support"/>
    <s v="Mumbai"/>
    <s v="Portal"/>
    <s v="Resolved"/>
    <n v="48"/>
    <n v="25.45"/>
    <n v="3.9"/>
    <s v="No"/>
    <x v="0"/>
  </r>
  <r>
    <s v="INC101467"/>
    <d v="2025-04-26T00:00:00"/>
    <d v="2025-04-26T07:42:00"/>
    <x v="1"/>
    <x v="0"/>
    <s v="Installation"/>
    <s v="Desktop Support"/>
    <s v="Mumbai"/>
    <s v="Phone"/>
    <s v="Closed"/>
    <n v="24"/>
    <n v="7.7"/>
    <n v="5"/>
    <s v="No"/>
    <x v="0"/>
  </r>
  <r>
    <s v="INC101468"/>
    <d v="2025-03-11T00:00:00"/>
    <d v="2025-03-11T06:07:12"/>
    <x v="0"/>
    <x v="3"/>
    <s v="Printer"/>
    <s v="Application Support"/>
    <s v="Mumbai"/>
    <s v="Phone"/>
    <s v="In Progress"/>
    <n v="48"/>
    <n v="6.12"/>
    <n v="5"/>
    <s v="No"/>
    <x v="0"/>
  </r>
  <r>
    <s v="INC101469"/>
    <d v="2025-05-21T00:00:00"/>
    <d v="2025-05-22T15:01:48"/>
    <x v="1"/>
    <x v="4"/>
    <s v="Spam"/>
    <s v="Access Management"/>
    <s v="Noida"/>
    <s v="Phone"/>
    <s v="Resolved"/>
    <n v="24"/>
    <n v="39.03"/>
    <n v="2.2000000000000002"/>
    <s v="No"/>
    <x v="1"/>
  </r>
  <r>
    <s v="INC101470"/>
    <d v="2025-01-11T00:00:00"/>
    <d v="2025-01-11T05:33:00"/>
    <x v="0"/>
    <x v="0"/>
    <s v="Performance"/>
    <s v="Access Management"/>
    <s v="Bengaluru"/>
    <s v="Portal"/>
    <s v="Closed"/>
    <n v="48"/>
    <n v="5.55"/>
    <n v="5"/>
    <s v="No"/>
    <x v="0"/>
  </r>
  <r>
    <s v="INC101471"/>
    <d v="2025-06-12T00:00:00"/>
    <d v="2025-06-12T02:46:48"/>
    <x v="2"/>
    <x v="1"/>
    <s v="VPN Access"/>
    <s v="Access Management"/>
    <s v="Bengaluru"/>
    <s v="Portal"/>
    <s v="Resolved"/>
    <n v="4"/>
    <n v="2.78"/>
    <n v="3.5"/>
    <s v="No"/>
    <x v="0"/>
  </r>
  <r>
    <s v="INC101472"/>
    <d v="2025-05-07T00:00:00"/>
    <d v="2025-05-07T19:40:48"/>
    <x v="0"/>
    <x v="3"/>
    <s v="Laptop"/>
    <s v="Application Support"/>
    <s v="Mumbai"/>
    <s v="Email"/>
    <s v="Closed"/>
    <n v="48"/>
    <n v="19.68"/>
    <n v="3"/>
    <s v="No"/>
    <x v="0"/>
  </r>
  <r>
    <s v="INC101473"/>
    <d v="2025-03-23T00:00:00"/>
    <d v="2025-03-23T10:48:36"/>
    <x v="1"/>
    <x v="1"/>
    <s v="Permission"/>
    <s v="Application Support"/>
    <s v="Noida"/>
    <s v="Chat"/>
    <s v="Resolved"/>
    <n v="24"/>
    <n v="10.81"/>
    <n v="4.5"/>
    <s v="No"/>
    <x v="0"/>
  </r>
  <r>
    <s v="INC101474"/>
    <d v="2025-02-07T00:00:00"/>
    <d v="2025-02-07T23:37:48"/>
    <x v="0"/>
    <x v="2"/>
    <s v="Connectivity"/>
    <s v="Service Desk"/>
    <s v="Bengaluru"/>
    <s v="Portal"/>
    <s v="Resolved"/>
    <n v="48"/>
    <n v="23.63"/>
    <n v="4.7"/>
    <s v="No"/>
    <x v="0"/>
  </r>
  <r>
    <s v="INC101475"/>
    <d v="2025-06-26T00:00:00"/>
    <d v="2025-06-26T15:58:48"/>
    <x v="0"/>
    <x v="3"/>
    <s v="Monitor"/>
    <s v="Access Management"/>
    <s v="Bengaluru"/>
    <s v="Email"/>
    <s v="Closed"/>
    <n v="48"/>
    <n v="15.98"/>
    <n v="3.6"/>
    <s v="Yes"/>
    <x v="0"/>
  </r>
  <r>
    <s v="INC101476"/>
    <d v="2025-02-24T00:00:00"/>
    <d v="2025-02-25T00:56:24"/>
    <x v="0"/>
    <x v="2"/>
    <s v="Packet Loss"/>
    <s v="Access Management"/>
    <s v="Bengaluru"/>
    <s v="Portal"/>
    <s v="Resolved"/>
    <n v="48"/>
    <n v="24.94"/>
    <n v="3.1"/>
    <s v="No"/>
    <x v="0"/>
  </r>
  <r>
    <s v="INC101477"/>
    <d v="2025-03-30T00:00:00"/>
    <d v="2025-03-31T03:48:36"/>
    <x v="0"/>
    <x v="2"/>
    <s v="Link Down"/>
    <s v="Desktop Support"/>
    <s v="Hyderabad"/>
    <s v="Phone"/>
    <s v="Resolved"/>
    <n v="48"/>
    <n v="27.81"/>
    <n v="4"/>
    <s v="No"/>
    <x v="0"/>
  </r>
  <r>
    <s v="INC101478"/>
    <d v="2025-03-13T00:00:00"/>
    <d v="2025-03-14T14:57:36"/>
    <x v="0"/>
    <x v="4"/>
    <s v="Mailbox"/>
    <s v="Network Support"/>
    <s v="Noida"/>
    <s v="Portal"/>
    <s v="Resolved"/>
    <n v="48"/>
    <n v="38.96"/>
    <n v="3.6"/>
    <s v="No"/>
    <x v="0"/>
  </r>
  <r>
    <s v="INC101479"/>
    <d v="2025-02-11T00:00:00"/>
    <d v="2025-02-11T18:00:36"/>
    <x v="1"/>
    <x v="0"/>
    <s v="Installation"/>
    <s v="Network Support"/>
    <s v="Hyderabad"/>
    <s v="Chat"/>
    <s v="In Progress"/>
    <n v="24"/>
    <n v="18.010000000000002"/>
    <n v="5"/>
    <s v="No"/>
    <x v="0"/>
  </r>
  <r>
    <s v="INC101480"/>
    <d v="2025-03-17T00:00:00"/>
    <d v="2025-03-17T05:17:23"/>
    <x v="1"/>
    <x v="0"/>
    <s v="Application Error"/>
    <s v="Desktop Support"/>
    <s v="Delhi"/>
    <s v="Portal"/>
    <s v="Pending"/>
    <n v="24"/>
    <n v="5.29"/>
    <n v="4.7"/>
    <s v="No"/>
    <x v="0"/>
  </r>
  <r>
    <s v="INC101481"/>
    <d v="2025-01-28T00:00:00"/>
    <d v="2025-01-28T12:31:48"/>
    <x v="0"/>
    <x v="0"/>
    <s v="Performance"/>
    <s v="Application Support"/>
    <s v="Noida"/>
    <s v="Email"/>
    <s v="Closed"/>
    <n v="48"/>
    <n v="12.53"/>
    <n v="5"/>
    <s v="No"/>
    <x v="0"/>
  </r>
  <r>
    <s v="INC101482"/>
    <d v="2025-01-01T00:00:00"/>
    <d v="2025-01-01T23:46:12"/>
    <x v="1"/>
    <x v="0"/>
    <s v="Application Error"/>
    <s v="Desktop Support"/>
    <s v="Noida"/>
    <s v="Phone"/>
    <s v="Resolved"/>
    <n v="24"/>
    <n v="23.77"/>
    <n v="3.9"/>
    <s v="No"/>
    <x v="0"/>
  </r>
  <r>
    <s v="INC101483"/>
    <d v="2025-02-22T00:00:00"/>
    <d v="2025-02-22T08:49:48"/>
    <x v="1"/>
    <x v="0"/>
    <s v="Installation"/>
    <s v="Access Management"/>
    <s v="Hyderabad"/>
    <s v="Portal"/>
    <s v="Closed"/>
    <n v="24"/>
    <n v="8.83"/>
    <n v="5"/>
    <s v="Yes"/>
    <x v="0"/>
  </r>
  <r>
    <s v="INC101484"/>
    <d v="2025-01-21T00:00:00"/>
    <d v="2025-01-22T07:55:12"/>
    <x v="0"/>
    <x v="1"/>
    <s v="Account Lock"/>
    <s v="Desktop Support"/>
    <s v="Delhi"/>
    <s v="Portal"/>
    <s v="Closed"/>
    <n v="48"/>
    <n v="31.92"/>
    <n v="3.6"/>
    <s v="No"/>
    <x v="0"/>
  </r>
  <r>
    <s v="INC101485"/>
    <d v="2025-03-17T00:00:00"/>
    <d v="2025-03-18T03:14:24"/>
    <x v="1"/>
    <x v="0"/>
    <s v="License"/>
    <s v="Application Support"/>
    <s v="Gurugram"/>
    <s v="Email"/>
    <s v="Resolved"/>
    <n v="24"/>
    <n v="27.24"/>
    <n v="3.6"/>
    <s v="No"/>
    <x v="1"/>
  </r>
  <r>
    <s v="INC101486"/>
    <d v="2025-06-06T00:00:00"/>
    <d v="2025-06-07T02:02:24"/>
    <x v="0"/>
    <x v="1"/>
    <s v="VPN Access"/>
    <s v="Application Support"/>
    <s v="Noida"/>
    <s v="Email"/>
    <s v="Resolved"/>
    <n v="48"/>
    <n v="26.04"/>
    <n v="3.3"/>
    <s v="No"/>
    <x v="0"/>
  </r>
  <r>
    <s v="INC101487"/>
    <d v="2025-01-30T00:00:00"/>
    <d v="2025-01-30T10:10:12"/>
    <x v="0"/>
    <x v="3"/>
    <s v="Laptop"/>
    <s v="Access Management"/>
    <s v="Mumbai"/>
    <s v="Phone"/>
    <s v="Resolved"/>
    <n v="48"/>
    <n v="10.17"/>
    <n v="5"/>
    <s v="No"/>
    <x v="0"/>
  </r>
  <r>
    <s v="INC101488"/>
    <d v="2025-01-01T00:00:00"/>
    <d v="2025-01-01T05:10:48"/>
    <x v="1"/>
    <x v="4"/>
    <s v="Mailbox"/>
    <s v="Application Support"/>
    <s v="Noida"/>
    <s v="Email"/>
    <s v="Resolved"/>
    <n v="24"/>
    <n v="5.18"/>
    <n v="5"/>
    <s v="No"/>
    <x v="0"/>
  </r>
  <r>
    <s v="INC101489"/>
    <d v="2025-01-21T00:00:00"/>
    <d v="2025-01-21T01:37:48"/>
    <x v="2"/>
    <x v="2"/>
    <s v="Packet Loss"/>
    <s v="Desktop Support"/>
    <s v="Bengaluru"/>
    <s v="Portal"/>
    <s v="Closed"/>
    <n v="4"/>
    <n v="1.63"/>
    <n v="5"/>
    <s v="No"/>
    <x v="0"/>
  </r>
  <r>
    <s v="INC101490"/>
    <d v="2025-04-02T00:00:00"/>
    <d v="2025-04-02T01:38:24"/>
    <x v="2"/>
    <x v="3"/>
    <s v="Monitor"/>
    <s v="Network Support"/>
    <s v="Gurugram"/>
    <s v="Chat"/>
    <s v="Resolved"/>
    <n v="4"/>
    <n v="1.64"/>
    <n v="4.4000000000000004"/>
    <s v="No"/>
    <x v="0"/>
  </r>
  <r>
    <s v="INC101491"/>
    <d v="2025-02-19T00:00:00"/>
    <d v="2025-02-19T00:43:48"/>
    <x v="2"/>
    <x v="4"/>
    <s v="Delivery"/>
    <s v="Application Support"/>
    <s v="Hyderabad"/>
    <s v="Portal"/>
    <s v="Resolved"/>
    <n v="4"/>
    <n v="0.73"/>
    <n v="3.8"/>
    <s v="No"/>
    <x v="0"/>
  </r>
  <r>
    <s v="INC101492"/>
    <d v="2025-03-30T00:00:00"/>
    <d v="2025-03-30T05:58:12"/>
    <x v="1"/>
    <x v="2"/>
    <s v="DNS"/>
    <s v="Network Support"/>
    <s v="Mumbai"/>
    <s v="Email"/>
    <s v="Resolved"/>
    <n v="24"/>
    <n v="5.97"/>
    <n v="4.5999999999999996"/>
    <s v="Yes"/>
    <x v="0"/>
  </r>
  <r>
    <s v="INC101493"/>
    <d v="2025-01-06T00:00:00"/>
    <d v="2025-01-07T12:21:00"/>
    <x v="0"/>
    <x v="2"/>
    <s v="Connectivity"/>
    <s v="Service Desk"/>
    <s v="Delhi"/>
    <s v="Chat"/>
    <s v="Closed"/>
    <n v="48"/>
    <n v="36.35"/>
    <n v="3.7"/>
    <s v="No"/>
    <x v="0"/>
  </r>
  <r>
    <s v="INC101494"/>
    <d v="2025-03-02T00:00:00"/>
    <d v="2025-03-03T00:03:36"/>
    <x v="1"/>
    <x v="3"/>
    <s v="Peripheral"/>
    <s v="Desktop Support"/>
    <s v="Mumbai"/>
    <s v="Chat"/>
    <s v="Resolved"/>
    <n v="24"/>
    <n v="24.06"/>
    <n v="4.4000000000000004"/>
    <s v="No"/>
    <x v="1"/>
  </r>
  <r>
    <s v="INC101495"/>
    <d v="2025-03-16T00:00:00"/>
    <d v="2025-03-16T18:04:48"/>
    <x v="0"/>
    <x v="3"/>
    <s v="Laptop"/>
    <s v="Network Support"/>
    <s v="Delhi"/>
    <s v="Portal"/>
    <s v="Resolved"/>
    <n v="48"/>
    <n v="18.079999999999998"/>
    <n v="4.3"/>
    <s v="No"/>
    <x v="0"/>
  </r>
  <r>
    <s v="INC101496"/>
    <d v="2025-03-20T00:00:00"/>
    <d v="2025-03-20T00:33:36"/>
    <x v="0"/>
    <x v="4"/>
    <s v="Mailbox"/>
    <s v="Application Support"/>
    <s v="Bengaluru"/>
    <s v="Portal"/>
    <s v="Resolved"/>
    <n v="48"/>
    <n v="0.56000000000000005"/>
    <n v="4.7"/>
    <s v="No"/>
    <x v="0"/>
  </r>
  <r>
    <s v="INC101497"/>
    <d v="2025-04-10T00:00:00"/>
    <d v="2025-04-11T10:17:23"/>
    <x v="0"/>
    <x v="1"/>
    <s v="Permission"/>
    <s v="Service Desk"/>
    <s v="Mumbai"/>
    <s v="Email"/>
    <s v="Resolved"/>
    <n v="48"/>
    <n v="34.29"/>
    <n v="5"/>
    <s v="No"/>
    <x v="0"/>
  </r>
  <r>
    <s v="INC101498"/>
    <d v="2025-05-22T00:00:00"/>
    <d v="2025-05-22T02:19:48"/>
    <x v="1"/>
    <x v="3"/>
    <s v="Peripheral"/>
    <s v="Desktop Support"/>
    <s v="Hyderabad"/>
    <s v="Portal"/>
    <s v="Resolved"/>
    <n v="24"/>
    <n v="2.33"/>
    <n v="5"/>
    <s v="No"/>
    <x v="0"/>
  </r>
  <r>
    <s v="INC101499"/>
    <d v="2025-03-26T00:00:00"/>
    <d v="2025-03-26T03:25:12"/>
    <x v="1"/>
    <x v="4"/>
    <s v="Delivery"/>
    <s v="Service Desk"/>
    <s v="Delhi"/>
    <s v="Phone"/>
    <s v="Resolved"/>
    <n v="24"/>
    <n v="3.42"/>
    <n v="5"/>
    <s v="No"/>
    <x v="0"/>
  </r>
  <r>
    <s v="INC101500"/>
    <d v="2025-06-02T00:00:00"/>
    <d v="2025-06-02T21:14:24"/>
    <x v="0"/>
    <x v="0"/>
    <s v="Application Error"/>
    <s v="Service Desk"/>
    <s v="Gurugram"/>
    <s v="Email"/>
    <s v="Resolved"/>
    <n v="48"/>
    <n v="21.24"/>
    <n v="4.0999999999999996"/>
    <s v="No"/>
    <x v="0"/>
  </r>
  <r>
    <s v="INC101501"/>
    <d v="2025-04-06T00:00:00"/>
    <d v="2025-04-07T04:11:24"/>
    <x v="1"/>
    <x v="1"/>
    <s v="Password Reset"/>
    <s v="Service Desk"/>
    <s v="Mumbai"/>
    <s v="Portal"/>
    <s v="Resolved"/>
    <n v="24"/>
    <n v="28.19"/>
    <n v="2.9"/>
    <s v="No"/>
    <x v="1"/>
  </r>
  <r>
    <s v="INC101502"/>
    <d v="2025-02-17T00:00:00"/>
    <d v="2025-02-17T20:07:48"/>
    <x v="1"/>
    <x v="2"/>
    <s v="DNS"/>
    <s v="Network Support"/>
    <s v="Gurugram"/>
    <s v="Portal"/>
    <s v="Resolved"/>
    <n v="24"/>
    <n v="20.13"/>
    <n v="4.7"/>
    <s v="No"/>
    <x v="0"/>
  </r>
  <r>
    <s v="INC101503"/>
    <d v="2025-02-11T00:00:00"/>
    <d v="2025-02-11T06:13:48"/>
    <x v="3"/>
    <x v="0"/>
    <s v="Performance"/>
    <s v="Network Support"/>
    <s v="Mumbai"/>
    <s v="Email"/>
    <s v="Resolved"/>
    <n v="8"/>
    <n v="6.23"/>
    <n v="5"/>
    <s v="No"/>
    <x v="0"/>
  </r>
  <r>
    <s v="INC101504"/>
    <d v="2025-02-28T00:00:00"/>
    <d v="2025-02-28T21:25:12"/>
    <x v="0"/>
    <x v="2"/>
    <s v="Connectivity"/>
    <s v="Application Support"/>
    <s v="Gurugram"/>
    <s v="Phone"/>
    <s v="Closed"/>
    <n v="48"/>
    <n v="21.42"/>
    <n v="3.6"/>
    <s v="No"/>
    <x v="0"/>
  </r>
  <r>
    <s v="INC101505"/>
    <d v="2025-04-19T00:00:00"/>
    <d v="2025-04-19T04:03:00"/>
    <x v="1"/>
    <x v="2"/>
    <s v="Packet Loss"/>
    <s v="Network Support"/>
    <s v="Delhi"/>
    <s v="Portal"/>
    <s v="Resolved"/>
    <n v="24"/>
    <n v="4.05"/>
    <n v="4.5"/>
    <s v="No"/>
    <x v="0"/>
  </r>
  <r>
    <s v="INC101506"/>
    <d v="2025-02-13T00:00:00"/>
    <d v="2025-02-15T02:49:48"/>
    <x v="0"/>
    <x v="0"/>
    <s v="Installation"/>
    <s v="Desktop Support"/>
    <s v="Bengaluru"/>
    <s v="Portal"/>
    <s v="Closed"/>
    <n v="48"/>
    <n v="50.83"/>
    <n v="3.1"/>
    <s v="No"/>
    <x v="1"/>
  </r>
  <r>
    <s v="INC101507"/>
    <d v="2025-06-15T00:00:00"/>
    <d v="2025-06-15T04:10:48"/>
    <x v="1"/>
    <x v="2"/>
    <s v="Connectivity"/>
    <s v="Network Support"/>
    <s v="Mumbai"/>
    <s v="Portal"/>
    <s v="Resolved"/>
    <n v="24"/>
    <n v="4.18"/>
    <n v="5"/>
    <s v="No"/>
    <x v="0"/>
  </r>
  <r>
    <s v="INC101508"/>
    <d v="2025-03-28T00:00:00"/>
    <d v="2025-03-29T07:19:12"/>
    <x v="0"/>
    <x v="0"/>
    <s v="Application Error"/>
    <s v="Desktop Support"/>
    <s v="Gurugram"/>
    <s v="Email"/>
    <s v="Closed"/>
    <n v="48"/>
    <n v="31.32"/>
    <n v="4.9000000000000004"/>
    <s v="Yes"/>
    <x v="0"/>
  </r>
  <r>
    <s v="INC101509"/>
    <d v="2025-06-06T00:00:00"/>
    <d v="2025-06-07T03:18:36"/>
    <x v="0"/>
    <x v="0"/>
    <s v="License"/>
    <s v="Application Support"/>
    <s v="Hyderabad"/>
    <s v="Phone"/>
    <s v="Resolved"/>
    <n v="48"/>
    <n v="27.31"/>
    <n v="4.0999999999999996"/>
    <s v="No"/>
    <x v="0"/>
  </r>
  <r>
    <s v="INC101510"/>
    <d v="2025-05-04T00:00:00"/>
    <d v="2025-05-04T03:40:48"/>
    <x v="1"/>
    <x v="2"/>
    <s v="Packet Loss"/>
    <s v="Desktop Support"/>
    <s v="Hyderabad"/>
    <s v="Phone"/>
    <s v="Closed"/>
    <n v="24"/>
    <n v="3.68"/>
    <n v="4.5999999999999996"/>
    <s v="No"/>
    <x v="0"/>
  </r>
  <r>
    <s v="INC101511"/>
    <d v="2025-03-02T00:00:00"/>
    <d v="2025-03-02T04:29:24"/>
    <x v="0"/>
    <x v="3"/>
    <s v="Laptop"/>
    <s v="Application Support"/>
    <s v="Delhi"/>
    <s v="Chat"/>
    <s v="Resolved"/>
    <n v="48"/>
    <n v="4.49"/>
    <n v="3.6"/>
    <s v="No"/>
    <x v="0"/>
  </r>
  <r>
    <s v="INC101512"/>
    <d v="2025-02-11T00:00:00"/>
    <d v="2025-02-12T13:21:00"/>
    <x v="0"/>
    <x v="0"/>
    <s v="Application Error"/>
    <s v="Service Desk"/>
    <s v="Gurugram"/>
    <s v="Email"/>
    <s v="Resolved"/>
    <n v="48"/>
    <n v="37.35"/>
    <n v="3.4"/>
    <s v="Yes"/>
    <x v="0"/>
  </r>
  <r>
    <s v="INC101513"/>
    <d v="2025-05-15T00:00:00"/>
    <d v="2025-05-15T04:04:48"/>
    <x v="3"/>
    <x v="4"/>
    <s v="Spam"/>
    <s v="Desktop Support"/>
    <s v="Bengaluru"/>
    <s v="Phone"/>
    <s v="Closed"/>
    <n v="8"/>
    <n v="4.08"/>
    <n v="5"/>
    <s v="No"/>
    <x v="0"/>
  </r>
  <r>
    <s v="INC101514"/>
    <d v="2025-03-01T00:00:00"/>
    <d v="2025-03-03T02:36:36"/>
    <x v="0"/>
    <x v="3"/>
    <s v="Monitor"/>
    <s v="Service Desk"/>
    <s v="Noida"/>
    <s v="Portal"/>
    <s v="Resolved"/>
    <n v="48"/>
    <n v="50.61"/>
    <n v="4.0999999999999996"/>
    <s v="No"/>
    <x v="1"/>
  </r>
  <r>
    <s v="INC101515"/>
    <d v="2025-02-14T00:00:00"/>
    <d v="2025-02-14T15:07:48"/>
    <x v="1"/>
    <x v="4"/>
    <s v="Spam"/>
    <s v="Desktop Support"/>
    <s v="Gurugram"/>
    <s v="Email"/>
    <s v="Resolved"/>
    <n v="24"/>
    <n v="15.13"/>
    <n v="4.8"/>
    <s v="No"/>
    <x v="0"/>
  </r>
  <r>
    <s v="INC101516"/>
    <d v="2025-06-18T00:00:00"/>
    <d v="2025-06-18T13:48:36"/>
    <x v="1"/>
    <x v="1"/>
    <s v="Permission"/>
    <s v="Network Support"/>
    <s v="Bengaluru"/>
    <s v="Email"/>
    <s v="Resolved"/>
    <n v="24"/>
    <n v="13.81"/>
    <n v="4.0999999999999996"/>
    <s v="No"/>
    <x v="0"/>
  </r>
  <r>
    <s v="INC101517"/>
    <d v="2025-03-29T00:00:00"/>
    <d v="2025-03-29T02:59:24"/>
    <x v="0"/>
    <x v="0"/>
    <s v="Application Error"/>
    <s v="Service Desk"/>
    <s v="Hyderabad"/>
    <s v="Phone"/>
    <s v="Pending"/>
    <n v="48"/>
    <n v="2.99"/>
    <n v="4.7"/>
    <s v="No"/>
    <x v="0"/>
  </r>
  <r>
    <s v="INC101518"/>
    <d v="2025-01-09T00:00:00"/>
    <d v="2025-01-09T13:30:00"/>
    <x v="1"/>
    <x v="3"/>
    <s v="Laptop"/>
    <s v="Application Support"/>
    <s v="Gurugram"/>
    <s v="Phone"/>
    <s v="In Progress"/>
    <n v="24"/>
    <n v="13.5"/>
    <n v="4.3"/>
    <s v="No"/>
    <x v="0"/>
  </r>
  <r>
    <s v="INC101519"/>
    <d v="2025-03-31T00:00:00"/>
    <d v="2025-03-31T22:32:24"/>
    <x v="0"/>
    <x v="0"/>
    <s v="Performance"/>
    <s v="Application Support"/>
    <s v="Gurugram"/>
    <s v="Portal"/>
    <s v="Closed"/>
    <n v="48"/>
    <n v="22.54"/>
    <n v="4.5999999999999996"/>
    <s v="No"/>
    <x v="0"/>
  </r>
  <r>
    <s v="INC101520"/>
    <d v="2025-03-25T00:00:00"/>
    <d v="2025-03-25T05:05:24"/>
    <x v="3"/>
    <x v="1"/>
    <s v="VPN Access"/>
    <s v="Service Desk"/>
    <s v="Mumbai"/>
    <s v="Phone"/>
    <s v="Resolved"/>
    <n v="8"/>
    <n v="5.09"/>
    <n v="5"/>
    <s v="No"/>
    <x v="0"/>
  </r>
  <r>
    <s v="INC101521"/>
    <d v="2025-06-06T00:00:00"/>
    <d v="2025-06-06T22:33:36"/>
    <x v="0"/>
    <x v="3"/>
    <s v="Laptop"/>
    <s v="Service Desk"/>
    <s v="Bengaluru"/>
    <s v="Phone"/>
    <s v="Resolved"/>
    <n v="48"/>
    <n v="22.56"/>
    <n v="4"/>
    <s v="Yes"/>
    <x v="0"/>
  </r>
  <r>
    <s v="INC101522"/>
    <d v="2025-05-09T00:00:00"/>
    <d v="2025-05-09T22:06:00"/>
    <x v="0"/>
    <x v="4"/>
    <s v="Spam"/>
    <s v="Service Desk"/>
    <s v="Mumbai"/>
    <s v="Chat"/>
    <s v="Closed"/>
    <n v="48"/>
    <n v="22.1"/>
    <n v="4.4000000000000004"/>
    <s v="No"/>
    <x v="0"/>
  </r>
  <r>
    <s v="INC101523"/>
    <d v="2025-02-04T00:00:00"/>
    <d v="2025-02-04T10:31:12"/>
    <x v="1"/>
    <x v="4"/>
    <s v="Delivery"/>
    <s v="Service Desk"/>
    <s v="Bengaluru"/>
    <s v="Email"/>
    <s v="Resolved"/>
    <n v="24"/>
    <n v="10.52"/>
    <n v="4"/>
    <s v="No"/>
    <x v="0"/>
  </r>
  <r>
    <s v="INC101524"/>
    <d v="2025-01-28T00:00:00"/>
    <d v="2025-01-28T02:21:00"/>
    <x v="3"/>
    <x v="0"/>
    <s v="Application Error"/>
    <s v="Access Management"/>
    <s v="Mumbai"/>
    <s v="Chat"/>
    <s v="Resolved"/>
    <n v="8"/>
    <n v="2.35"/>
    <n v="3.4"/>
    <s v="No"/>
    <x v="0"/>
  </r>
  <r>
    <s v="INC101525"/>
    <d v="2025-04-20T00:00:00"/>
    <d v="2025-04-20T06:10:12"/>
    <x v="3"/>
    <x v="1"/>
    <s v="VPN Access"/>
    <s v="Application Support"/>
    <s v="Mumbai"/>
    <s v="Phone"/>
    <s v="Closed"/>
    <n v="8"/>
    <n v="6.17"/>
    <n v="4.7"/>
    <s v="No"/>
    <x v="0"/>
  </r>
  <r>
    <s v="INC101526"/>
    <d v="2025-01-09T00:00:00"/>
    <d v="2025-01-09T19:31:48"/>
    <x v="3"/>
    <x v="0"/>
    <s v="Application Error"/>
    <s v="Service Desk"/>
    <s v="Bengaluru"/>
    <s v="Email"/>
    <s v="Resolved"/>
    <n v="8"/>
    <n v="19.53"/>
    <n v="3.2"/>
    <s v="No"/>
    <x v="1"/>
  </r>
  <r>
    <s v="INC101527"/>
    <d v="2025-02-27T00:00:00"/>
    <d v="2025-02-27T03:55:12"/>
    <x v="1"/>
    <x v="1"/>
    <s v="Permission"/>
    <s v="Desktop Support"/>
    <s v="Noida"/>
    <s v="Portal"/>
    <s v="Closed"/>
    <n v="24"/>
    <n v="3.92"/>
    <n v="5"/>
    <s v="No"/>
    <x v="0"/>
  </r>
  <r>
    <s v="INC101528"/>
    <d v="2025-01-26T00:00:00"/>
    <d v="2025-01-26T05:25:48"/>
    <x v="1"/>
    <x v="1"/>
    <s v="Account Lock"/>
    <s v="Desktop Support"/>
    <s v="Noida"/>
    <s v="Phone"/>
    <s v="Closed"/>
    <n v="24"/>
    <n v="5.43"/>
    <n v="4.9000000000000004"/>
    <s v="No"/>
    <x v="0"/>
  </r>
  <r>
    <s v="INC101529"/>
    <d v="2025-01-04T00:00:00"/>
    <d v="2025-01-04T18:27:00"/>
    <x v="1"/>
    <x v="2"/>
    <s v="Packet Loss"/>
    <s v="Desktop Support"/>
    <s v="Gurugram"/>
    <s v="Phone"/>
    <s v="Closed"/>
    <n v="24"/>
    <n v="18.45"/>
    <n v="5"/>
    <s v="No"/>
    <x v="0"/>
  </r>
  <r>
    <s v="INC101530"/>
    <d v="2025-06-16T00:00:00"/>
    <d v="2025-06-16T03:11:24"/>
    <x v="3"/>
    <x v="2"/>
    <s v="Connectivity"/>
    <s v="Service Desk"/>
    <s v="Noida"/>
    <s v="Email"/>
    <s v="Closed"/>
    <n v="8"/>
    <n v="3.19"/>
    <n v="4.8"/>
    <s v="Yes"/>
    <x v="0"/>
  </r>
  <r>
    <s v="INC101531"/>
    <d v="2025-01-17T00:00:00"/>
    <d v="2025-01-17T08:06:36"/>
    <x v="1"/>
    <x v="3"/>
    <s v="Laptop"/>
    <s v="Access Management"/>
    <s v="Bengaluru"/>
    <s v="Chat"/>
    <s v="Resolved"/>
    <n v="24"/>
    <n v="8.11"/>
    <n v="5"/>
    <s v="No"/>
    <x v="0"/>
  </r>
  <r>
    <s v="INC101532"/>
    <d v="2025-01-02T00:00:00"/>
    <d v="2025-01-02T02:15:36"/>
    <x v="1"/>
    <x v="4"/>
    <s v="Delivery"/>
    <s v="Service Desk"/>
    <s v="Mumbai"/>
    <s v="Portal"/>
    <s v="Closed"/>
    <n v="24"/>
    <n v="2.2599999999999998"/>
    <n v="5"/>
    <s v="No"/>
    <x v="0"/>
  </r>
  <r>
    <s v="INC101533"/>
    <d v="2025-06-18T00:00:00"/>
    <d v="2025-06-18T05:43:48"/>
    <x v="1"/>
    <x v="3"/>
    <s v="Peripheral"/>
    <s v="Desktop Support"/>
    <s v="Mumbai"/>
    <s v="Email"/>
    <s v="Closed"/>
    <n v="24"/>
    <n v="5.73"/>
    <n v="4.9000000000000004"/>
    <s v="No"/>
    <x v="0"/>
  </r>
  <r>
    <s v="INC101534"/>
    <d v="2025-02-04T00:00:00"/>
    <d v="2025-02-04T04:55:12"/>
    <x v="1"/>
    <x v="4"/>
    <s v="Delivery"/>
    <s v="Network Support"/>
    <s v="Noida"/>
    <s v="Portal"/>
    <s v="Closed"/>
    <n v="24"/>
    <n v="4.92"/>
    <n v="4.7"/>
    <s v="No"/>
    <x v="0"/>
  </r>
  <r>
    <s v="INC101535"/>
    <d v="2025-05-28T00:00:00"/>
    <d v="2025-05-28T04:48:00"/>
    <x v="0"/>
    <x v="3"/>
    <s v="Peripheral"/>
    <s v="Desktop Support"/>
    <s v="Mumbai"/>
    <s v="Email"/>
    <s v="In Progress"/>
    <n v="48"/>
    <n v="4.8"/>
    <n v="5"/>
    <s v="No"/>
    <x v="0"/>
  </r>
  <r>
    <s v="INC101536"/>
    <d v="2025-01-06T00:00:00"/>
    <d v="2025-01-06T23:04:48"/>
    <x v="1"/>
    <x v="3"/>
    <s v="Monitor"/>
    <s v="Access Management"/>
    <s v="Noida"/>
    <s v="Portal"/>
    <s v="Pending"/>
    <n v="24"/>
    <n v="23.08"/>
    <n v="3.1"/>
    <s v="No"/>
    <x v="0"/>
  </r>
  <r>
    <s v="INC101537"/>
    <d v="2025-01-28T00:00:00"/>
    <d v="2025-01-28T13:01:48"/>
    <x v="1"/>
    <x v="4"/>
    <s v="Mailbox"/>
    <s v="Access Management"/>
    <s v="Noida"/>
    <s v="Portal"/>
    <s v="Closed"/>
    <n v="24"/>
    <n v="13.03"/>
    <n v="4.5999999999999996"/>
    <s v="No"/>
    <x v="0"/>
  </r>
  <r>
    <s v="INC101538"/>
    <d v="2025-01-21T00:00:00"/>
    <d v="2025-01-21T18:18:36"/>
    <x v="3"/>
    <x v="0"/>
    <s v="Installation"/>
    <s v="Desktop Support"/>
    <s v="Delhi"/>
    <s v="Portal"/>
    <s v="In Progress"/>
    <n v="8"/>
    <n v="18.309999999999999"/>
    <n v="1.7"/>
    <s v="No"/>
    <x v="1"/>
  </r>
  <r>
    <s v="INC101539"/>
    <d v="2025-05-08T00:00:00"/>
    <d v="2025-05-08T14:05:24"/>
    <x v="1"/>
    <x v="3"/>
    <s v="Peripheral"/>
    <s v="Network Support"/>
    <s v="Gurugram"/>
    <s v="Portal"/>
    <s v="Resolved"/>
    <n v="24"/>
    <n v="14.09"/>
    <n v="4.5999999999999996"/>
    <s v="No"/>
    <x v="0"/>
  </r>
  <r>
    <s v="INC101540"/>
    <d v="2025-04-23T00:00:00"/>
    <d v="2025-04-23T01:25:12"/>
    <x v="3"/>
    <x v="2"/>
    <s v="DNS"/>
    <s v="Application Support"/>
    <s v="Mumbai"/>
    <s v="Portal"/>
    <s v="Pending"/>
    <n v="8"/>
    <n v="1.42"/>
    <n v="5"/>
    <s v="No"/>
    <x v="0"/>
  </r>
  <r>
    <s v="INC101541"/>
    <d v="2025-03-28T00:00:00"/>
    <d v="2025-03-28T15:04:48"/>
    <x v="1"/>
    <x v="2"/>
    <s v="Packet Loss"/>
    <s v="Application Support"/>
    <s v="Gurugram"/>
    <s v="Phone"/>
    <s v="In Progress"/>
    <n v="24"/>
    <n v="15.08"/>
    <n v="4.7"/>
    <s v="Yes"/>
    <x v="0"/>
  </r>
  <r>
    <s v="INC101542"/>
    <d v="2025-02-13T00:00:00"/>
    <d v="2025-02-13T05:49:12"/>
    <x v="3"/>
    <x v="2"/>
    <s v="Link Down"/>
    <s v="Access Management"/>
    <s v="Delhi"/>
    <s v="Portal"/>
    <s v="Resolved"/>
    <n v="8"/>
    <n v="5.82"/>
    <n v="4.9000000000000004"/>
    <s v="No"/>
    <x v="0"/>
  </r>
  <r>
    <s v="INC101543"/>
    <d v="2025-01-17T00:00:00"/>
    <d v="2025-01-17T15:04:12"/>
    <x v="0"/>
    <x v="3"/>
    <s v="Printer"/>
    <s v="Desktop Support"/>
    <s v="Gurugram"/>
    <s v="Portal"/>
    <s v="Resolved"/>
    <n v="48"/>
    <n v="15.07"/>
    <n v="5"/>
    <s v="Yes"/>
    <x v="0"/>
  </r>
  <r>
    <s v="INC101544"/>
    <d v="2025-04-14T00:00:00"/>
    <d v="2025-04-14T05:41:24"/>
    <x v="3"/>
    <x v="0"/>
    <s v="Performance"/>
    <s v="Network Support"/>
    <s v="Hyderabad"/>
    <s v="Portal"/>
    <s v="Resolved"/>
    <n v="8"/>
    <n v="5.69"/>
    <n v="2.6"/>
    <s v="No"/>
    <x v="0"/>
  </r>
  <r>
    <s v="INC101545"/>
    <d v="2025-02-11T00:00:00"/>
    <d v="2025-02-11T16:46:12"/>
    <x v="1"/>
    <x v="3"/>
    <s v="Printer"/>
    <s v="Access Management"/>
    <s v="Delhi"/>
    <s v="Portal"/>
    <s v="Closed"/>
    <n v="24"/>
    <n v="16.77"/>
    <n v="4.0999999999999996"/>
    <s v="No"/>
    <x v="0"/>
  </r>
  <r>
    <s v="INC101546"/>
    <d v="2025-04-17T00:00:00"/>
    <d v="2025-04-17T12:06:00"/>
    <x v="0"/>
    <x v="2"/>
    <s v="DNS"/>
    <s v="Application Support"/>
    <s v="Delhi"/>
    <s v="Portal"/>
    <s v="Resolved"/>
    <n v="48"/>
    <n v="12.1"/>
    <n v="5"/>
    <s v="No"/>
    <x v="0"/>
  </r>
  <r>
    <s v="INC101547"/>
    <d v="2025-05-05T00:00:00"/>
    <d v="2025-05-06T14:43:12"/>
    <x v="0"/>
    <x v="2"/>
    <s v="Packet Loss"/>
    <s v="Access Management"/>
    <s v="Noida"/>
    <s v="Chat"/>
    <s v="Resolved"/>
    <n v="48"/>
    <n v="38.72"/>
    <n v="2.7"/>
    <s v="No"/>
    <x v="0"/>
  </r>
  <r>
    <s v="INC101548"/>
    <d v="2025-06-03T00:00:00"/>
    <d v="2025-06-04T05:13:48"/>
    <x v="0"/>
    <x v="3"/>
    <s v="Laptop"/>
    <s v="Network Support"/>
    <s v="Noida"/>
    <s v="Email"/>
    <s v="Resolved"/>
    <n v="48"/>
    <n v="29.23"/>
    <n v="4.0999999999999996"/>
    <s v="No"/>
    <x v="0"/>
  </r>
  <r>
    <s v="INC101549"/>
    <d v="2025-03-31T00:00:00"/>
    <d v="2025-03-31T12:07:48"/>
    <x v="1"/>
    <x v="4"/>
    <s v="Mailbox"/>
    <s v="Desktop Support"/>
    <s v="Hyderabad"/>
    <s v="Portal"/>
    <s v="Resolved"/>
    <n v="24"/>
    <n v="12.13"/>
    <n v="4.3"/>
    <s v="No"/>
    <x v="0"/>
  </r>
  <r>
    <s v="INC101550"/>
    <d v="2025-01-01T00:00:00"/>
    <d v="2025-01-01T13:04:12"/>
    <x v="1"/>
    <x v="3"/>
    <s v="Printer"/>
    <s v="Desktop Support"/>
    <s v="Gurugram"/>
    <s v="Email"/>
    <s v="Pending"/>
    <n v="24"/>
    <n v="13.07"/>
    <n v="3.5"/>
    <s v="No"/>
    <x v="0"/>
  </r>
  <r>
    <s v="INC101551"/>
    <d v="2025-02-20T00:00:00"/>
    <d v="2025-02-20T01:24:00"/>
    <x v="3"/>
    <x v="2"/>
    <s v="DNS"/>
    <s v="Service Desk"/>
    <s v="Noida"/>
    <s v="Portal"/>
    <s v="Resolved"/>
    <n v="8"/>
    <n v="1.4"/>
    <n v="4.2"/>
    <s v="No"/>
    <x v="0"/>
  </r>
  <r>
    <s v="INC101552"/>
    <d v="2025-06-04T00:00:00"/>
    <d v="2025-06-05T05:51:36"/>
    <x v="1"/>
    <x v="0"/>
    <s v="License"/>
    <s v="Access Management"/>
    <s v="Gurugram"/>
    <s v="Phone"/>
    <s v="Resolved"/>
    <n v="24"/>
    <n v="29.86"/>
    <n v="4.4000000000000004"/>
    <s v="No"/>
    <x v="1"/>
  </r>
  <r>
    <s v="INC101553"/>
    <d v="2025-04-07T00:00:00"/>
    <d v="2025-04-07T09:27:00"/>
    <x v="1"/>
    <x v="4"/>
    <s v="Delivery"/>
    <s v="Network Support"/>
    <s v="Gurugram"/>
    <s v="Chat"/>
    <s v="In Progress"/>
    <n v="24"/>
    <n v="9.4499999999999993"/>
    <n v="2.2000000000000002"/>
    <s v="No"/>
    <x v="0"/>
  </r>
  <r>
    <s v="INC101554"/>
    <d v="2025-04-23T00:00:00"/>
    <d v="2025-04-23T08:42:36"/>
    <x v="1"/>
    <x v="1"/>
    <s v="Permission"/>
    <s v="Network Support"/>
    <s v="Gurugram"/>
    <s v="Portal"/>
    <s v="Resolved"/>
    <n v="24"/>
    <n v="8.7100000000000009"/>
    <n v="4.7"/>
    <s v="No"/>
    <x v="0"/>
  </r>
  <r>
    <s v="INC101555"/>
    <d v="2025-03-24T00:00:00"/>
    <d v="2025-03-24T05:10:12"/>
    <x v="3"/>
    <x v="1"/>
    <s v="VPN Access"/>
    <s v="Service Desk"/>
    <s v="Gurugram"/>
    <s v="Portal"/>
    <s v="Resolved"/>
    <n v="8"/>
    <n v="5.17"/>
    <n v="5"/>
    <s v="No"/>
    <x v="0"/>
  </r>
  <r>
    <s v="INC101556"/>
    <d v="2025-01-30T00:00:00"/>
    <d v="2025-01-30T16:34:11"/>
    <x v="3"/>
    <x v="4"/>
    <s v="Configuration"/>
    <s v="Access Management"/>
    <s v="Mumbai"/>
    <s v="Email"/>
    <s v="Resolved"/>
    <n v="8"/>
    <n v="16.57"/>
    <n v="2.5"/>
    <s v="No"/>
    <x v="1"/>
  </r>
  <r>
    <s v="INC101557"/>
    <d v="2025-06-12T00:00:00"/>
    <d v="2025-06-13T15:51:00"/>
    <x v="0"/>
    <x v="0"/>
    <s v="Application Error"/>
    <s v="Network Support"/>
    <s v="Mumbai"/>
    <s v="Portal"/>
    <s v="Pending"/>
    <n v="48"/>
    <n v="39.85"/>
    <n v="4.9000000000000004"/>
    <s v="No"/>
    <x v="0"/>
  </r>
  <r>
    <s v="INC101558"/>
    <d v="2025-05-20T00:00:00"/>
    <d v="2025-05-20T01:36:00"/>
    <x v="2"/>
    <x v="4"/>
    <s v="Spam"/>
    <s v="Desktop Support"/>
    <s v="Gurugram"/>
    <s v="Portal"/>
    <s v="In Progress"/>
    <n v="4"/>
    <n v="1.6"/>
    <n v="4.2"/>
    <s v="No"/>
    <x v="0"/>
  </r>
  <r>
    <s v="INC101559"/>
    <d v="2025-06-30T00:00:00"/>
    <d v="2025-06-30T15:21:36"/>
    <x v="1"/>
    <x v="2"/>
    <s v="Link Down"/>
    <s v="Network Support"/>
    <s v="Noida"/>
    <s v="Email"/>
    <s v="Closed"/>
    <n v="24"/>
    <n v="15.36"/>
    <n v="3.6"/>
    <s v="No"/>
    <x v="0"/>
  </r>
  <r>
    <s v="INC101560"/>
    <d v="2025-06-04T00:00:00"/>
    <d v="2025-06-04T05:06:00"/>
    <x v="3"/>
    <x v="1"/>
    <s v="Permission"/>
    <s v="Service Desk"/>
    <s v="Gurugram"/>
    <s v="Email"/>
    <s v="Resolved"/>
    <n v="8"/>
    <n v="5.0999999999999996"/>
    <n v="4.2"/>
    <s v="No"/>
    <x v="0"/>
  </r>
  <r>
    <s v="INC101561"/>
    <d v="2025-02-22T00:00:00"/>
    <d v="2025-02-22T02:00:36"/>
    <x v="2"/>
    <x v="1"/>
    <s v="Account Lock"/>
    <s v="Desktop Support"/>
    <s v="Hyderabad"/>
    <s v="Portal"/>
    <s v="Resolved"/>
    <n v="4"/>
    <n v="2.0099999999999998"/>
    <n v="4.0999999999999996"/>
    <s v="No"/>
    <x v="0"/>
  </r>
  <r>
    <s v="INC101562"/>
    <d v="2025-02-16T00:00:00"/>
    <d v="2025-02-16T04:23:24"/>
    <x v="1"/>
    <x v="4"/>
    <s v="Spam"/>
    <s v="Network Support"/>
    <s v="Delhi"/>
    <s v="Phone"/>
    <s v="Resolved"/>
    <n v="24"/>
    <n v="4.3899999999999997"/>
    <n v="4.4000000000000004"/>
    <s v="No"/>
    <x v="0"/>
  </r>
  <r>
    <s v="INC101563"/>
    <d v="2025-02-14T00:00:00"/>
    <d v="2025-02-15T16:42:36"/>
    <x v="0"/>
    <x v="3"/>
    <s v="Laptop"/>
    <s v="Service Desk"/>
    <s v="Noida"/>
    <s v="Portal"/>
    <s v="Resolved"/>
    <n v="48"/>
    <n v="40.71"/>
    <n v="3.9"/>
    <s v="No"/>
    <x v="0"/>
  </r>
  <r>
    <s v="INC101564"/>
    <d v="2025-06-16T00:00:00"/>
    <d v="2025-06-16T08:15:00"/>
    <x v="1"/>
    <x v="1"/>
    <s v="Password Reset"/>
    <s v="Desktop Support"/>
    <s v="Gurugram"/>
    <s v="Portal"/>
    <s v="Resolved"/>
    <n v="24"/>
    <n v="8.25"/>
    <n v="4.0999999999999996"/>
    <s v="No"/>
    <x v="0"/>
  </r>
  <r>
    <s v="INC101565"/>
    <d v="2025-04-11T00:00:00"/>
    <d v="2025-04-11T12:59:24"/>
    <x v="0"/>
    <x v="2"/>
    <s v="Link Down"/>
    <s v="Network Support"/>
    <s v="Noida"/>
    <s v="Phone"/>
    <s v="Resolved"/>
    <n v="48"/>
    <n v="12.99"/>
    <n v="4.0999999999999996"/>
    <s v="No"/>
    <x v="0"/>
  </r>
  <r>
    <s v="INC101566"/>
    <d v="2025-03-24T00:00:00"/>
    <d v="2025-03-24T02:58:48"/>
    <x v="3"/>
    <x v="0"/>
    <s v="License"/>
    <s v="Desktop Support"/>
    <s v="Hyderabad"/>
    <s v="Email"/>
    <s v="In Progress"/>
    <n v="8"/>
    <n v="2.98"/>
    <n v="3.8"/>
    <s v="No"/>
    <x v="0"/>
  </r>
  <r>
    <s v="INC101567"/>
    <d v="2025-06-25T00:00:00"/>
    <d v="2025-06-27T00:21:00"/>
    <x v="0"/>
    <x v="3"/>
    <s v="Monitor"/>
    <s v="Application Support"/>
    <s v="Bengaluru"/>
    <s v="Email"/>
    <s v="Closed"/>
    <n v="48"/>
    <n v="48.35"/>
    <n v="4.0999999999999996"/>
    <s v="No"/>
    <x v="1"/>
  </r>
  <r>
    <s v="INC101568"/>
    <d v="2025-04-20T00:00:00"/>
    <d v="2025-04-20T08:06:00"/>
    <x v="1"/>
    <x v="0"/>
    <s v="Application Error"/>
    <s v="Service Desk"/>
    <s v="Noida"/>
    <s v="Email"/>
    <s v="Resolved"/>
    <n v="24"/>
    <n v="8.1"/>
    <n v="3.9"/>
    <s v="No"/>
    <x v="0"/>
  </r>
  <r>
    <s v="INC101569"/>
    <d v="2025-06-14T00:00:00"/>
    <d v="2025-06-14T03:42:36"/>
    <x v="3"/>
    <x v="0"/>
    <s v="Installation"/>
    <s v="Network Support"/>
    <s v="Mumbai"/>
    <s v="Email"/>
    <s v="Pending"/>
    <n v="8"/>
    <n v="3.71"/>
    <n v="3.6"/>
    <s v="Yes"/>
    <x v="0"/>
  </r>
  <r>
    <s v="INC101570"/>
    <d v="2025-06-28T00:00:00"/>
    <d v="2025-07-01T11:24:00"/>
    <x v="0"/>
    <x v="3"/>
    <s v="Peripheral"/>
    <s v="Desktop Support"/>
    <s v="Mumbai"/>
    <s v="Phone"/>
    <s v="Resolved"/>
    <n v="48"/>
    <n v="83.4"/>
    <n v="2.2000000000000002"/>
    <s v="No"/>
    <x v="1"/>
  </r>
  <r>
    <s v="INC101571"/>
    <d v="2025-01-15T00:00:00"/>
    <d v="2025-01-15T08:31:48"/>
    <x v="1"/>
    <x v="2"/>
    <s v="Packet Loss"/>
    <s v="Application Support"/>
    <s v="Delhi"/>
    <s v="Email"/>
    <s v="Closed"/>
    <n v="24"/>
    <n v="8.5299999999999994"/>
    <n v="4.7"/>
    <s v="No"/>
    <x v="0"/>
  </r>
  <r>
    <s v="INC101572"/>
    <d v="2025-03-07T00:00:00"/>
    <d v="2025-03-07T10:49:48"/>
    <x v="1"/>
    <x v="3"/>
    <s v="Printer"/>
    <s v="Network Support"/>
    <s v="Noida"/>
    <s v="Portal"/>
    <s v="Resolved"/>
    <n v="24"/>
    <n v="10.83"/>
    <n v="4.9000000000000004"/>
    <s v="No"/>
    <x v="0"/>
  </r>
  <r>
    <s v="INC101573"/>
    <d v="2025-05-13T00:00:00"/>
    <d v="2025-05-13T11:55:12"/>
    <x v="1"/>
    <x v="0"/>
    <s v="Application Error"/>
    <s v="Service Desk"/>
    <s v="Noida"/>
    <s v="Phone"/>
    <s v="Pending"/>
    <n v="24"/>
    <n v="11.92"/>
    <n v="4.9000000000000004"/>
    <s v="No"/>
    <x v="0"/>
  </r>
  <r>
    <s v="INC101574"/>
    <d v="2025-05-28T00:00:00"/>
    <d v="2025-05-28T16:55:12"/>
    <x v="0"/>
    <x v="0"/>
    <s v="License"/>
    <s v="Access Management"/>
    <s v="Noida"/>
    <s v="Portal"/>
    <s v="Resolved"/>
    <n v="48"/>
    <n v="16.920000000000002"/>
    <n v="4.7"/>
    <s v="No"/>
    <x v="0"/>
  </r>
  <r>
    <s v="INC101575"/>
    <d v="2025-01-27T00:00:00"/>
    <d v="2025-01-27T21:27:36"/>
    <x v="0"/>
    <x v="1"/>
    <s v="Password Reset"/>
    <s v="Service Desk"/>
    <s v="Noida"/>
    <s v="Phone"/>
    <s v="Pending"/>
    <n v="48"/>
    <n v="21.46"/>
    <n v="4.8"/>
    <s v="Yes"/>
    <x v="0"/>
  </r>
  <r>
    <s v="INC101576"/>
    <d v="2025-02-27T00:00:00"/>
    <d v="2025-02-27T13:00:36"/>
    <x v="1"/>
    <x v="2"/>
    <s v="DNS"/>
    <s v="Service Desk"/>
    <s v="Mumbai"/>
    <s v="Portal"/>
    <s v="Closed"/>
    <n v="24"/>
    <n v="13.01"/>
    <n v="4.3"/>
    <s v="No"/>
    <x v="0"/>
  </r>
  <r>
    <s v="INC101577"/>
    <d v="2025-04-10T00:00:00"/>
    <d v="2025-04-10T08:09:00"/>
    <x v="1"/>
    <x v="1"/>
    <s v="VPN Access"/>
    <s v="Application Support"/>
    <s v="Hyderabad"/>
    <s v="Email"/>
    <s v="Resolved"/>
    <n v="24"/>
    <n v="8.15"/>
    <n v="4.9000000000000004"/>
    <s v="No"/>
    <x v="0"/>
  </r>
  <r>
    <s v="INC101578"/>
    <d v="2025-05-25T00:00:00"/>
    <d v="2025-05-25T02:07:48"/>
    <x v="1"/>
    <x v="0"/>
    <s v="Performance"/>
    <s v="Desktop Support"/>
    <s v="Delhi"/>
    <s v="Phone"/>
    <s v="Resolved"/>
    <n v="24"/>
    <n v="2.13"/>
    <n v="5"/>
    <s v="No"/>
    <x v="0"/>
  </r>
  <r>
    <s v="INC101579"/>
    <d v="2025-01-21T00:00:00"/>
    <d v="2025-01-21T06:30:00"/>
    <x v="0"/>
    <x v="2"/>
    <s v="DNS"/>
    <s v="Service Desk"/>
    <s v="Hyderabad"/>
    <s v="Email"/>
    <s v="Closed"/>
    <n v="48"/>
    <n v="6.5"/>
    <n v="4.4000000000000004"/>
    <s v="No"/>
    <x v="0"/>
  </r>
  <r>
    <s v="INC101580"/>
    <d v="2025-04-19T00:00:00"/>
    <d v="2025-04-19T11:35:24"/>
    <x v="1"/>
    <x v="3"/>
    <s v="Peripheral"/>
    <s v="Application Support"/>
    <s v="Hyderabad"/>
    <s v="Portal"/>
    <s v="Resolved"/>
    <n v="24"/>
    <n v="11.59"/>
    <n v="3.7"/>
    <s v="Yes"/>
    <x v="0"/>
  </r>
  <r>
    <s v="INC101581"/>
    <d v="2025-02-23T00:00:00"/>
    <d v="2025-02-24T08:44:24"/>
    <x v="1"/>
    <x v="3"/>
    <s v="Printer"/>
    <s v="Network Support"/>
    <s v="Noida"/>
    <s v="Portal"/>
    <s v="Resolved"/>
    <n v="24"/>
    <n v="32.74"/>
    <n v="4.2"/>
    <s v="No"/>
    <x v="1"/>
  </r>
  <r>
    <s v="INC101582"/>
    <d v="2025-02-09T00:00:00"/>
    <d v="2025-02-09T18:51:36"/>
    <x v="0"/>
    <x v="3"/>
    <s v="Peripheral"/>
    <s v="Application Support"/>
    <s v="Noida"/>
    <s v="Phone"/>
    <s v="Closed"/>
    <n v="48"/>
    <n v="18.86"/>
    <n v="4.5999999999999996"/>
    <s v="No"/>
    <x v="0"/>
  </r>
  <r>
    <s v="INC101583"/>
    <d v="2025-04-04T00:00:00"/>
    <d v="2025-04-04T04:48:36"/>
    <x v="3"/>
    <x v="2"/>
    <s v="Packet Loss"/>
    <s v="Service Desk"/>
    <s v="Delhi"/>
    <s v="Chat"/>
    <s v="Resolved"/>
    <n v="8"/>
    <n v="4.8099999999999996"/>
    <n v="5"/>
    <s v="No"/>
    <x v="0"/>
  </r>
  <r>
    <s v="INC101584"/>
    <d v="2025-03-16T00:00:00"/>
    <d v="2025-03-17T01:24:36"/>
    <x v="1"/>
    <x v="2"/>
    <s v="Packet Loss"/>
    <s v="Access Management"/>
    <s v="Noida"/>
    <s v="Email"/>
    <s v="Resolved"/>
    <n v="24"/>
    <n v="25.41"/>
    <n v="3"/>
    <s v="No"/>
    <x v="1"/>
  </r>
  <r>
    <s v="INC101585"/>
    <d v="2025-04-26T00:00:00"/>
    <d v="2025-04-26T16:54:36"/>
    <x v="1"/>
    <x v="2"/>
    <s v="Link Down"/>
    <s v="Application Support"/>
    <s v="Gurugram"/>
    <s v="Portal"/>
    <s v="Resolved"/>
    <n v="24"/>
    <n v="16.91"/>
    <n v="3.9"/>
    <s v="No"/>
    <x v="0"/>
  </r>
  <r>
    <s v="INC101586"/>
    <d v="2025-02-27T00:00:00"/>
    <d v="2025-02-27T03:57:00"/>
    <x v="3"/>
    <x v="2"/>
    <s v="Packet Loss"/>
    <s v="Access Management"/>
    <s v="Hyderabad"/>
    <s v="Portal"/>
    <s v="Resolved"/>
    <n v="8"/>
    <n v="3.95"/>
    <n v="3.5"/>
    <s v="No"/>
    <x v="0"/>
  </r>
  <r>
    <s v="INC101587"/>
    <d v="2025-05-30T00:00:00"/>
    <d v="2025-05-30T10:52:12"/>
    <x v="1"/>
    <x v="2"/>
    <s v="Link Down"/>
    <s v="Network Support"/>
    <s v="Delhi"/>
    <s v="Email"/>
    <s v="Resolved"/>
    <n v="24"/>
    <n v="10.87"/>
    <n v="4.9000000000000004"/>
    <s v="No"/>
    <x v="0"/>
  </r>
  <r>
    <s v="INC101588"/>
    <d v="2025-01-15T00:00:00"/>
    <d v="2025-01-15T06:52:12"/>
    <x v="1"/>
    <x v="1"/>
    <s v="Password Reset"/>
    <s v="Network Support"/>
    <s v="Noida"/>
    <s v="Portal"/>
    <s v="Resolved"/>
    <n v="24"/>
    <n v="6.87"/>
    <n v="4.3"/>
    <s v="No"/>
    <x v="0"/>
  </r>
  <r>
    <s v="INC101589"/>
    <d v="2025-06-06T00:00:00"/>
    <d v="2025-06-07T15:57:00"/>
    <x v="0"/>
    <x v="0"/>
    <s v="Installation"/>
    <s v="Access Management"/>
    <s v="Noida"/>
    <s v="Phone"/>
    <s v="Pending"/>
    <n v="48"/>
    <n v="39.950000000000003"/>
    <n v="3.6"/>
    <s v="No"/>
    <x v="0"/>
  </r>
  <r>
    <s v="INC101590"/>
    <d v="2025-01-06T00:00:00"/>
    <d v="2025-01-08T00:46:12"/>
    <x v="0"/>
    <x v="3"/>
    <s v="Laptop"/>
    <s v="Service Desk"/>
    <s v="Hyderabad"/>
    <s v="Email"/>
    <s v="Resolved"/>
    <n v="48"/>
    <n v="48.77"/>
    <n v="5"/>
    <s v="No"/>
    <x v="1"/>
  </r>
  <r>
    <s v="INC101591"/>
    <d v="2025-05-14T00:00:00"/>
    <d v="2025-05-14T00:30:00"/>
    <x v="0"/>
    <x v="0"/>
    <s v="License"/>
    <s v="Access Management"/>
    <s v="Mumbai"/>
    <s v="Portal"/>
    <s v="Closed"/>
    <n v="48"/>
    <n v="0.5"/>
    <n v="5"/>
    <s v="No"/>
    <x v="0"/>
  </r>
  <r>
    <s v="INC101592"/>
    <d v="2025-03-04T00:00:00"/>
    <d v="2025-03-04T06:41:24"/>
    <x v="3"/>
    <x v="0"/>
    <s v="Installation"/>
    <s v="Application Support"/>
    <s v="Hyderabad"/>
    <s v="Portal"/>
    <s v="Closed"/>
    <n v="8"/>
    <n v="6.69"/>
    <n v="4.4000000000000004"/>
    <s v="No"/>
    <x v="0"/>
  </r>
  <r>
    <s v="INC101593"/>
    <d v="2025-03-11T00:00:00"/>
    <d v="2025-03-11T05:52:48"/>
    <x v="3"/>
    <x v="2"/>
    <s v="DNS"/>
    <s v="Desktop Support"/>
    <s v="Gurugram"/>
    <s v="Portal"/>
    <s v="Closed"/>
    <n v="8"/>
    <n v="5.88"/>
    <n v="3.3"/>
    <s v="No"/>
    <x v="0"/>
  </r>
  <r>
    <s v="INC101594"/>
    <d v="2025-01-04T00:00:00"/>
    <d v="2025-01-04T17:51:36"/>
    <x v="0"/>
    <x v="2"/>
    <s v="Link Down"/>
    <s v="Network Support"/>
    <s v="Gurugram"/>
    <s v="Email"/>
    <s v="Resolved"/>
    <n v="48"/>
    <n v="17.86"/>
    <n v="3.3"/>
    <s v="No"/>
    <x v="0"/>
  </r>
  <r>
    <s v="INC101595"/>
    <d v="2025-05-08T00:00:00"/>
    <d v="2025-05-08T13:46:48"/>
    <x v="0"/>
    <x v="2"/>
    <s v="Link Down"/>
    <s v="Network Support"/>
    <s v="Bengaluru"/>
    <s v="Email"/>
    <s v="Resolved"/>
    <n v="48"/>
    <n v="13.78"/>
    <n v="5"/>
    <s v="No"/>
    <x v="0"/>
  </r>
  <r>
    <s v="INC101596"/>
    <d v="2025-01-30T00:00:00"/>
    <d v="2025-01-30T16:04:12"/>
    <x v="1"/>
    <x v="0"/>
    <s v="Application Error"/>
    <s v="Application Support"/>
    <s v="Noida"/>
    <s v="Portal"/>
    <s v="Resolved"/>
    <n v="24"/>
    <n v="16.07"/>
    <n v="2.7"/>
    <s v="No"/>
    <x v="0"/>
  </r>
  <r>
    <s v="INC101597"/>
    <d v="2025-04-30T00:00:00"/>
    <d v="2025-04-30T03:13:48"/>
    <x v="1"/>
    <x v="3"/>
    <s v="Peripheral"/>
    <s v="Network Support"/>
    <s v="Delhi"/>
    <s v="Email"/>
    <s v="Closed"/>
    <n v="24"/>
    <n v="3.23"/>
    <n v="4.5"/>
    <s v="No"/>
    <x v="0"/>
  </r>
  <r>
    <s v="INC101598"/>
    <d v="2025-05-12T00:00:00"/>
    <d v="2025-05-12T09:10:12"/>
    <x v="1"/>
    <x v="3"/>
    <s v="Printer"/>
    <s v="Network Support"/>
    <s v="Mumbai"/>
    <s v="Portal"/>
    <s v="Closed"/>
    <n v="24"/>
    <n v="9.17"/>
    <n v="4"/>
    <s v="No"/>
    <x v="0"/>
  </r>
  <r>
    <s v="INC101599"/>
    <d v="2025-06-02T00:00:00"/>
    <d v="2025-06-02T14:23:24"/>
    <x v="1"/>
    <x v="0"/>
    <s v="Installation"/>
    <s v="Service Desk"/>
    <s v="Delhi"/>
    <s v="Email"/>
    <s v="Resolved"/>
    <n v="24"/>
    <n v="14.39"/>
    <n v="3.7"/>
    <s v="No"/>
    <x v="0"/>
  </r>
  <r>
    <s v="INC101600"/>
    <d v="2025-05-09T00:00:00"/>
    <d v="2025-05-09T09:15:00"/>
    <x v="3"/>
    <x v="4"/>
    <s v="Delivery"/>
    <s v="Access Management"/>
    <s v="Gurugram"/>
    <s v="Phone"/>
    <s v="Closed"/>
    <n v="8"/>
    <n v="9.25"/>
    <n v="3.3"/>
    <s v="No"/>
    <x v="1"/>
  </r>
  <r>
    <s v="INC101601"/>
    <d v="2025-02-24T00:00:00"/>
    <d v="2025-02-26T22:15:36"/>
    <x v="0"/>
    <x v="3"/>
    <s v="Peripheral"/>
    <s v="Application Support"/>
    <s v="Hyderabad"/>
    <s v="Portal"/>
    <s v="Resolved"/>
    <n v="48"/>
    <n v="70.260000000000005"/>
    <n v="2.6"/>
    <s v="No"/>
    <x v="1"/>
  </r>
  <r>
    <s v="INC101602"/>
    <d v="2025-05-14T00:00:00"/>
    <d v="2025-05-14T04:48:36"/>
    <x v="1"/>
    <x v="0"/>
    <s v="Performance"/>
    <s v="Application Support"/>
    <s v="Mumbai"/>
    <s v="Portal"/>
    <s v="Resolved"/>
    <n v="24"/>
    <n v="4.8099999999999996"/>
    <n v="4"/>
    <s v="No"/>
    <x v="0"/>
  </r>
  <r>
    <s v="INC101603"/>
    <d v="2025-05-30T00:00:00"/>
    <d v="2025-05-30T15:15:00"/>
    <x v="1"/>
    <x v="0"/>
    <s v="Installation"/>
    <s v="Application Support"/>
    <s v="Bengaluru"/>
    <s v="Phone"/>
    <s v="Resolved"/>
    <n v="24"/>
    <n v="15.25"/>
    <n v="4.4000000000000004"/>
    <s v="No"/>
    <x v="0"/>
  </r>
  <r>
    <s v="INC101604"/>
    <d v="2025-02-27T00:00:00"/>
    <d v="2025-02-27T11:52:48"/>
    <x v="1"/>
    <x v="0"/>
    <s v="License"/>
    <s v="Desktop Support"/>
    <s v="Delhi"/>
    <s v="Portal"/>
    <s v="Resolved"/>
    <n v="24"/>
    <n v="11.88"/>
    <n v="5"/>
    <s v="No"/>
    <x v="0"/>
  </r>
  <r>
    <s v="INC101605"/>
    <d v="2025-01-23T00:00:00"/>
    <d v="2025-01-23T06:06:00"/>
    <x v="3"/>
    <x v="1"/>
    <s v="VPN Access"/>
    <s v="Service Desk"/>
    <s v="Gurugram"/>
    <s v="Portal"/>
    <s v="Pending"/>
    <n v="8"/>
    <n v="6.1"/>
    <n v="3"/>
    <s v="No"/>
    <x v="0"/>
  </r>
  <r>
    <s v="INC101606"/>
    <d v="2025-06-11T00:00:00"/>
    <d v="2025-06-11T21:05:24"/>
    <x v="0"/>
    <x v="1"/>
    <s v="VPN Access"/>
    <s v="Desktop Support"/>
    <s v="Gurugram"/>
    <s v="Phone"/>
    <s v="Closed"/>
    <n v="48"/>
    <n v="21.09"/>
    <n v="4.5999999999999996"/>
    <s v="No"/>
    <x v="0"/>
  </r>
  <r>
    <s v="INC101607"/>
    <d v="2025-01-27T00:00:00"/>
    <d v="2025-01-27T19:01:48"/>
    <x v="1"/>
    <x v="2"/>
    <s v="Connectivity"/>
    <s v="Desktop Support"/>
    <s v="Bengaluru"/>
    <s v="Email"/>
    <s v="Resolved"/>
    <n v="24"/>
    <n v="19.03"/>
    <n v="4.4000000000000004"/>
    <s v="No"/>
    <x v="0"/>
  </r>
  <r>
    <s v="INC101608"/>
    <d v="2025-04-18T00:00:00"/>
    <d v="2025-04-18T04:43:12"/>
    <x v="3"/>
    <x v="3"/>
    <s v="Peripheral"/>
    <s v="Access Management"/>
    <s v="Bengaluru"/>
    <s v="Chat"/>
    <s v="Resolved"/>
    <n v="8"/>
    <n v="4.72"/>
    <n v="4.5999999999999996"/>
    <s v="No"/>
    <x v="0"/>
  </r>
  <r>
    <s v="INC101609"/>
    <d v="2025-02-12T00:00:00"/>
    <d v="2025-02-12T02:30:36"/>
    <x v="3"/>
    <x v="1"/>
    <s v="Password Reset"/>
    <s v="Access Management"/>
    <s v="Noida"/>
    <s v="Email"/>
    <s v="Closed"/>
    <n v="8"/>
    <n v="2.5099999999999998"/>
    <n v="4.5"/>
    <s v="No"/>
    <x v="0"/>
  </r>
  <r>
    <s v="INC101610"/>
    <d v="2025-01-23T00:00:00"/>
    <d v="2025-01-23T19:09:36"/>
    <x v="1"/>
    <x v="3"/>
    <s v="Printer"/>
    <s v="Application Support"/>
    <s v="Mumbai"/>
    <s v="Email"/>
    <s v="Closed"/>
    <n v="24"/>
    <n v="19.16"/>
    <n v="3.7"/>
    <s v="No"/>
    <x v="0"/>
  </r>
  <r>
    <s v="INC101611"/>
    <d v="2025-05-21T00:00:00"/>
    <d v="2025-05-21T10:43:48"/>
    <x v="1"/>
    <x v="4"/>
    <s v="Delivery"/>
    <s v="Access Management"/>
    <s v="Mumbai"/>
    <s v="Portal"/>
    <s v="Resolved"/>
    <n v="24"/>
    <n v="10.73"/>
    <n v="5"/>
    <s v="No"/>
    <x v="0"/>
  </r>
  <r>
    <s v="INC101612"/>
    <d v="2025-01-27T00:00:00"/>
    <d v="2025-01-27T04:10:48"/>
    <x v="3"/>
    <x v="3"/>
    <s v="Laptop"/>
    <s v="Access Management"/>
    <s v="Mumbai"/>
    <s v="Portal"/>
    <s v="Resolved"/>
    <n v="8"/>
    <n v="4.18"/>
    <n v="4.5999999999999996"/>
    <s v="No"/>
    <x v="0"/>
  </r>
  <r>
    <s v="INC101613"/>
    <d v="2025-05-02T00:00:00"/>
    <d v="2025-05-02T01:52:48"/>
    <x v="3"/>
    <x v="0"/>
    <s v="Application Error"/>
    <s v="Application Support"/>
    <s v="Delhi"/>
    <s v="Email"/>
    <s v="Closed"/>
    <n v="8"/>
    <n v="1.88"/>
    <n v="3.5"/>
    <s v="No"/>
    <x v="0"/>
  </r>
  <r>
    <s v="INC101614"/>
    <d v="2025-05-06T00:00:00"/>
    <d v="2025-05-06T09:42:36"/>
    <x v="1"/>
    <x v="3"/>
    <s v="Peripheral"/>
    <s v="Access Management"/>
    <s v="Bengaluru"/>
    <s v="Portal"/>
    <s v="Resolved"/>
    <n v="24"/>
    <n v="9.7100000000000009"/>
    <n v="4.4000000000000004"/>
    <s v="No"/>
    <x v="0"/>
  </r>
  <r>
    <s v="INC101615"/>
    <d v="2025-01-11T00:00:00"/>
    <d v="2025-01-11T09:07:48"/>
    <x v="3"/>
    <x v="3"/>
    <s v="Peripheral"/>
    <s v="Network Support"/>
    <s v="Gurugram"/>
    <s v="Email"/>
    <s v="Resolved"/>
    <n v="8"/>
    <n v="9.1300000000000008"/>
    <n v="3.7"/>
    <s v="No"/>
    <x v="1"/>
  </r>
  <r>
    <s v="INC101616"/>
    <d v="2025-02-01T00:00:00"/>
    <d v="2025-02-01T15:30:00"/>
    <x v="0"/>
    <x v="1"/>
    <s v="Password Reset"/>
    <s v="Network Support"/>
    <s v="Gurugram"/>
    <s v="Portal"/>
    <s v="Resolved"/>
    <n v="48"/>
    <n v="15.5"/>
    <n v="3.9"/>
    <s v="Yes"/>
    <x v="0"/>
  </r>
  <r>
    <s v="INC101617"/>
    <d v="2025-05-24T00:00:00"/>
    <d v="2025-05-25T11:15:36"/>
    <x v="1"/>
    <x v="2"/>
    <s v="Packet Loss"/>
    <s v="Desktop Support"/>
    <s v="Hyderabad"/>
    <s v="Portal"/>
    <s v="Resolved"/>
    <n v="24"/>
    <n v="35.26"/>
    <n v="3.1"/>
    <s v="No"/>
    <x v="1"/>
  </r>
  <r>
    <s v="INC101618"/>
    <d v="2025-04-02T00:00:00"/>
    <d v="2025-04-02T04:18:00"/>
    <x v="3"/>
    <x v="0"/>
    <s v="Application Error"/>
    <s v="Network Support"/>
    <s v="Noida"/>
    <s v="Email"/>
    <s v="Resolved"/>
    <n v="8"/>
    <n v="4.3"/>
    <n v="4.7"/>
    <s v="No"/>
    <x v="0"/>
  </r>
  <r>
    <s v="INC101619"/>
    <d v="2025-01-22T00:00:00"/>
    <d v="2025-01-22T14:42:00"/>
    <x v="1"/>
    <x v="0"/>
    <s v="Performance"/>
    <s v="Service Desk"/>
    <s v="Mumbai"/>
    <s v="Email"/>
    <s v="Resolved"/>
    <n v="24"/>
    <n v="14.7"/>
    <n v="3.7"/>
    <s v="No"/>
    <x v="0"/>
  </r>
  <r>
    <s v="INC101620"/>
    <d v="2025-06-29T00:00:00"/>
    <d v="2025-06-29T06:36:00"/>
    <x v="1"/>
    <x v="1"/>
    <s v="Account Lock"/>
    <s v="Network Support"/>
    <s v="Gurugram"/>
    <s v="Portal"/>
    <s v="Resolved"/>
    <n v="24"/>
    <n v="6.6"/>
    <n v="4.8"/>
    <s v="No"/>
    <x v="0"/>
  </r>
  <r>
    <s v="INC101621"/>
    <d v="2025-02-17T00:00:00"/>
    <d v="2025-02-17T03:20:24"/>
    <x v="2"/>
    <x v="0"/>
    <s v="License"/>
    <s v="Access Management"/>
    <s v="Hyderabad"/>
    <s v="Phone"/>
    <s v="Resolved"/>
    <n v="4"/>
    <n v="3.34"/>
    <n v="3.4"/>
    <s v="No"/>
    <x v="0"/>
  </r>
  <r>
    <s v="INC101622"/>
    <d v="2025-01-01T00:00:00"/>
    <d v="2025-01-01T01:00:00"/>
    <x v="3"/>
    <x v="4"/>
    <s v="Delivery"/>
    <s v="Application Support"/>
    <s v="Gurugram"/>
    <s v="Portal"/>
    <s v="Pending"/>
    <n v="8"/>
    <n v="1"/>
    <n v="4"/>
    <s v="No"/>
    <x v="0"/>
  </r>
  <r>
    <s v="INC101623"/>
    <d v="2025-06-17T00:00:00"/>
    <d v="2025-06-17T03:18:00"/>
    <x v="3"/>
    <x v="1"/>
    <s v="Account Lock"/>
    <s v="Network Support"/>
    <s v="Gurugram"/>
    <s v="Portal"/>
    <s v="Resolved"/>
    <n v="8"/>
    <n v="3.3"/>
    <n v="4.9000000000000004"/>
    <s v="No"/>
    <x v="0"/>
  </r>
  <r>
    <s v="INC101624"/>
    <d v="2025-01-04T00:00:00"/>
    <d v="2025-01-04T06:37:48"/>
    <x v="1"/>
    <x v="3"/>
    <s v="Printer"/>
    <s v="Application Support"/>
    <s v="Gurugram"/>
    <s v="Chat"/>
    <s v="Resolved"/>
    <n v="24"/>
    <n v="6.63"/>
    <n v="5"/>
    <s v="No"/>
    <x v="0"/>
  </r>
  <r>
    <s v="INC101625"/>
    <d v="2025-04-11T00:00:00"/>
    <d v="2025-04-11T00:36:00"/>
    <x v="2"/>
    <x v="1"/>
    <s v="Account Lock"/>
    <s v="Application Support"/>
    <s v="Gurugram"/>
    <s v="Chat"/>
    <s v="In Progress"/>
    <n v="4"/>
    <n v="0.6"/>
    <n v="4.0999999999999996"/>
    <s v="No"/>
    <x v="0"/>
  </r>
  <r>
    <s v="INC101626"/>
    <d v="2025-06-29T00:00:00"/>
    <d v="2025-06-30T12:34:47"/>
    <x v="0"/>
    <x v="4"/>
    <s v="Mailbox"/>
    <s v="Service Desk"/>
    <s v="Bengaluru"/>
    <s v="Portal"/>
    <s v="Pending"/>
    <n v="48"/>
    <n v="36.58"/>
    <n v="4.7"/>
    <s v="No"/>
    <x v="0"/>
  </r>
  <r>
    <s v="INC101627"/>
    <d v="2025-04-15T00:00:00"/>
    <d v="2025-04-15T10:13:48"/>
    <x v="1"/>
    <x v="2"/>
    <s v="Packet Loss"/>
    <s v="Access Management"/>
    <s v="Delhi"/>
    <s v="Portal"/>
    <s v="Closed"/>
    <n v="24"/>
    <n v="10.23"/>
    <n v="4.5"/>
    <s v="No"/>
    <x v="0"/>
  </r>
  <r>
    <s v="INC101628"/>
    <d v="2025-04-16T00:00:00"/>
    <d v="2025-04-16T12:31:12"/>
    <x v="1"/>
    <x v="0"/>
    <s v="License"/>
    <s v="Access Management"/>
    <s v="Gurugram"/>
    <s v="Phone"/>
    <s v="Resolved"/>
    <n v="24"/>
    <n v="12.52"/>
    <n v="2.9"/>
    <s v="No"/>
    <x v="0"/>
  </r>
  <r>
    <s v="INC101629"/>
    <d v="2025-03-12T00:00:00"/>
    <d v="2025-03-12T02:18:00"/>
    <x v="3"/>
    <x v="3"/>
    <s v="Monitor"/>
    <s v="Access Management"/>
    <s v="Mumbai"/>
    <s v="Email"/>
    <s v="Closed"/>
    <n v="8"/>
    <n v="2.2999999999999998"/>
    <n v="3.7"/>
    <s v="Yes"/>
    <x v="0"/>
  </r>
  <r>
    <s v="INC101630"/>
    <d v="2025-01-23T00:00:00"/>
    <d v="2025-01-23T07:00:36"/>
    <x v="3"/>
    <x v="0"/>
    <s v="Application Error"/>
    <s v="Network Support"/>
    <s v="Delhi"/>
    <s v="Portal"/>
    <s v="Closed"/>
    <n v="8"/>
    <n v="7.01"/>
    <n v="4.3"/>
    <s v="No"/>
    <x v="0"/>
  </r>
  <r>
    <s v="INC101631"/>
    <d v="2025-04-14T00:00:00"/>
    <d v="2025-04-14T04:41:24"/>
    <x v="3"/>
    <x v="2"/>
    <s v="Connectivity"/>
    <s v="Desktop Support"/>
    <s v="Noida"/>
    <s v="Portal"/>
    <s v="Closed"/>
    <n v="8"/>
    <n v="4.6900000000000004"/>
    <n v="3.2"/>
    <s v="No"/>
    <x v="0"/>
  </r>
  <r>
    <s v="INC101632"/>
    <d v="2025-06-12T00:00:00"/>
    <d v="2025-06-13T06:46:48"/>
    <x v="1"/>
    <x v="1"/>
    <s v="Account Lock"/>
    <s v="Application Support"/>
    <s v="Mumbai"/>
    <s v="Portal"/>
    <s v="Resolved"/>
    <n v="24"/>
    <n v="30.78"/>
    <n v="3.1"/>
    <s v="No"/>
    <x v="1"/>
  </r>
  <r>
    <s v="INC101633"/>
    <d v="2025-01-17T00:00:00"/>
    <d v="2025-01-17T07:15:00"/>
    <x v="1"/>
    <x v="3"/>
    <s v="Peripheral"/>
    <s v="Desktop Support"/>
    <s v="Noida"/>
    <s v="Phone"/>
    <s v="Resolved"/>
    <n v="24"/>
    <n v="7.25"/>
    <n v="4.5999999999999996"/>
    <s v="No"/>
    <x v="0"/>
  </r>
  <r>
    <s v="INC101634"/>
    <d v="2025-06-09T00:00:00"/>
    <d v="2025-06-09T07:12:36"/>
    <x v="1"/>
    <x v="0"/>
    <s v="Installation"/>
    <s v="Desktop Support"/>
    <s v="Delhi"/>
    <s v="Email"/>
    <s v="Resolved"/>
    <n v="24"/>
    <n v="7.21"/>
    <n v="4.9000000000000004"/>
    <s v="No"/>
    <x v="0"/>
  </r>
  <r>
    <s v="INC101635"/>
    <d v="2025-03-17T00:00:00"/>
    <d v="2025-03-17T17:04:12"/>
    <x v="1"/>
    <x v="2"/>
    <s v="DNS"/>
    <s v="Service Desk"/>
    <s v="Delhi"/>
    <s v="Portal"/>
    <s v="Closed"/>
    <n v="24"/>
    <n v="17.07"/>
    <n v="4.3"/>
    <s v="No"/>
    <x v="0"/>
  </r>
  <r>
    <s v="INC101636"/>
    <d v="2025-04-08T00:00:00"/>
    <d v="2025-04-10T17:45:36"/>
    <x v="0"/>
    <x v="0"/>
    <s v="Installation"/>
    <s v="Desktop Support"/>
    <s v="Hyderabad"/>
    <s v="Portal"/>
    <s v="Resolved"/>
    <n v="48"/>
    <n v="65.760000000000005"/>
    <n v="4.4000000000000004"/>
    <s v="No"/>
    <x v="1"/>
  </r>
  <r>
    <s v="INC101637"/>
    <d v="2025-01-30T00:00:00"/>
    <d v="2025-01-30T08:07:12"/>
    <x v="1"/>
    <x v="0"/>
    <s v="Installation"/>
    <s v="Application Support"/>
    <s v="Mumbai"/>
    <s v="Portal"/>
    <s v="Resolved"/>
    <n v="24"/>
    <n v="8.1199999999999992"/>
    <n v="4.0999999999999996"/>
    <s v="Yes"/>
    <x v="0"/>
  </r>
  <r>
    <s v="INC101638"/>
    <d v="2025-04-23T00:00:00"/>
    <d v="2025-04-23T00:30:00"/>
    <x v="3"/>
    <x v="0"/>
    <s v="License"/>
    <s v="Network Support"/>
    <s v="Noida"/>
    <s v="Phone"/>
    <s v="Closed"/>
    <n v="8"/>
    <n v="0.5"/>
    <n v="5"/>
    <s v="No"/>
    <x v="0"/>
  </r>
  <r>
    <s v="INC101639"/>
    <d v="2025-02-03T00:00:00"/>
    <d v="2025-02-03T04:08:24"/>
    <x v="1"/>
    <x v="3"/>
    <s v="Printer"/>
    <s v="Application Support"/>
    <s v="Hyderabad"/>
    <s v="Phone"/>
    <s v="In Progress"/>
    <n v="24"/>
    <n v="4.1399999999999997"/>
    <n v="5"/>
    <s v="Yes"/>
    <x v="0"/>
  </r>
  <r>
    <s v="INC101640"/>
    <d v="2025-02-19T00:00:00"/>
    <d v="2025-02-19T09:07:48"/>
    <x v="3"/>
    <x v="2"/>
    <s v="Connectivity"/>
    <s v="Application Support"/>
    <s v="Delhi"/>
    <s v="Email"/>
    <s v="In Progress"/>
    <n v="8"/>
    <n v="9.1300000000000008"/>
    <n v="4.0999999999999996"/>
    <s v="No"/>
    <x v="1"/>
  </r>
  <r>
    <s v="INC101641"/>
    <d v="2025-05-11T00:00:00"/>
    <d v="2025-05-11T09:34:47"/>
    <x v="1"/>
    <x v="3"/>
    <s v="Laptop"/>
    <s v="Network Support"/>
    <s v="Delhi"/>
    <s v="Phone"/>
    <s v="Closed"/>
    <n v="24"/>
    <n v="9.58"/>
    <n v="5"/>
    <s v="No"/>
    <x v="0"/>
  </r>
  <r>
    <s v="INC101642"/>
    <d v="2025-01-10T00:00:00"/>
    <d v="2025-01-11T13:32:24"/>
    <x v="1"/>
    <x v="4"/>
    <s v="Mailbox"/>
    <s v="Application Support"/>
    <s v="Hyderabad"/>
    <s v="Portal"/>
    <s v="Resolved"/>
    <n v="24"/>
    <n v="37.54"/>
    <n v="2.8"/>
    <s v="No"/>
    <x v="1"/>
  </r>
  <r>
    <s v="INC101643"/>
    <d v="2025-03-22T00:00:00"/>
    <d v="2025-03-22T09:34:11"/>
    <x v="0"/>
    <x v="2"/>
    <s v="DNS"/>
    <s v="Desktop Support"/>
    <s v="Mumbai"/>
    <s v="Email"/>
    <s v="In Progress"/>
    <n v="48"/>
    <n v="9.57"/>
    <n v="5"/>
    <s v="No"/>
    <x v="0"/>
  </r>
  <r>
    <s v="INC101644"/>
    <d v="2025-04-18T00:00:00"/>
    <d v="2025-04-18T17:09:36"/>
    <x v="1"/>
    <x v="0"/>
    <s v="Application Error"/>
    <s v="Service Desk"/>
    <s v="Bengaluru"/>
    <s v="Portal"/>
    <s v="Resolved"/>
    <n v="24"/>
    <n v="17.16"/>
    <n v="3.5"/>
    <s v="No"/>
    <x v="0"/>
  </r>
  <r>
    <s v="INC101645"/>
    <d v="2025-01-24T00:00:00"/>
    <d v="2025-01-24T17:24:36"/>
    <x v="1"/>
    <x v="2"/>
    <s v="Connectivity"/>
    <s v="Desktop Support"/>
    <s v="Noida"/>
    <s v="Portal"/>
    <s v="Resolved"/>
    <n v="24"/>
    <n v="17.41"/>
    <n v="4.0999999999999996"/>
    <s v="No"/>
    <x v="0"/>
  </r>
  <r>
    <s v="INC101646"/>
    <d v="2025-02-23T00:00:00"/>
    <d v="2025-02-23T06:27:36"/>
    <x v="0"/>
    <x v="0"/>
    <s v="License"/>
    <s v="Desktop Support"/>
    <s v="Mumbai"/>
    <s v="Email"/>
    <s v="Resolved"/>
    <n v="48"/>
    <n v="6.46"/>
    <n v="5"/>
    <s v="No"/>
    <x v="0"/>
  </r>
  <r>
    <s v="INC101647"/>
    <d v="2025-03-04T00:00:00"/>
    <d v="2025-03-04T06:36:36"/>
    <x v="0"/>
    <x v="2"/>
    <s v="Packet Loss"/>
    <s v="Service Desk"/>
    <s v="Bengaluru"/>
    <s v="Phone"/>
    <s v="Closed"/>
    <n v="48"/>
    <n v="6.61"/>
    <n v="5"/>
    <s v="No"/>
    <x v="0"/>
  </r>
  <r>
    <s v="INC101648"/>
    <d v="2025-05-01T00:00:00"/>
    <d v="2025-05-01T09:51:36"/>
    <x v="1"/>
    <x v="3"/>
    <s v="Peripheral"/>
    <s v="Application Support"/>
    <s v="Noida"/>
    <s v="Portal"/>
    <s v="Resolved"/>
    <n v="24"/>
    <n v="9.86"/>
    <n v="4.9000000000000004"/>
    <s v="No"/>
    <x v="0"/>
  </r>
  <r>
    <s v="INC101649"/>
    <d v="2025-06-26T00:00:00"/>
    <d v="2025-06-26T18:14:24"/>
    <x v="1"/>
    <x v="3"/>
    <s v="Laptop"/>
    <s v="Application Support"/>
    <s v="Noida"/>
    <s v="Email"/>
    <s v="Resolved"/>
    <n v="24"/>
    <n v="18.239999999999998"/>
    <n v="4.0999999999999996"/>
    <s v="No"/>
    <x v="0"/>
  </r>
  <r>
    <s v="INC101650"/>
    <d v="2025-06-01T00:00:00"/>
    <d v="2025-06-01T15:37:12"/>
    <x v="1"/>
    <x v="2"/>
    <s v="Packet Loss"/>
    <s v="Service Desk"/>
    <s v="Noida"/>
    <s v="Phone"/>
    <s v="Resolved"/>
    <n v="24"/>
    <n v="15.62"/>
    <n v="4.2"/>
    <s v="Yes"/>
    <x v="0"/>
  </r>
  <r>
    <s v="INC101651"/>
    <d v="2025-02-04T00:00:00"/>
    <d v="2025-02-04T21:04:12"/>
    <x v="0"/>
    <x v="3"/>
    <s v="Laptop"/>
    <s v="Desktop Support"/>
    <s v="Bengaluru"/>
    <s v="Phone"/>
    <s v="Closed"/>
    <n v="48"/>
    <n v="21.07"/>
    <n v="4.8"/>
    <s v="No"/>
    <x v="0"/>
  </r>
  <r>
    <s v="INC101652"/>
    <d v="2025-01-04T00:00:00"/>
    <d v="2025-01-04T10:14:24"/>
    <x v="1"/>
    <x v="3"/>
    <s v="Printer"/>
    <s v="Application Support"/>
    <s v="Bengaluru"/>
    <s v="Email"/>
    <s v="Closed"/>
    <n v="24"/>
    <n v="10.24"/>
    <n v="5"/>
    <s v="No"/>
    <x v="0"/>
  </r>
  <r>
    <s v="INC101653"/>
    <d v="2025-01-10T00:00:00"/>
    <d v="2025-01-10T01:35:24"/>
    <x v="1"/>
    <x v="0"/>
    <s v="Application Error"/>
    <s v="Desktop Support"/>
    <s v="Mumbai"/>
    <s v="Portal"/>
    <s v="Resolved"/>
    <n v="24"/>
    <n v="1.59"/>
    <n v="5"/>
    <s v="No"/>
    <x v="0"/>
  </r>
  <r>
    <s v="INC101654"/>
    <d v="2025-04-18T00:00:00"/>
    <d v="2025-04-18T05:49:48"/>
    <x v="1"/>
    <x v="4"/>
    <s v="Configuration"/>
    <s v="Desktop Support"/>
    <s v="Noida"/>
    <s v="Phone"/>
    <s v="Resolved"/>
    <n v="24"/>
    <n v="5.83"/>
    <n v="5"/>
    <s v="No"/>
    <x v="0"/>
  </r>
  <r>
    <s v="INC101655"/>
    <d v="2025-01-29T00:00:00"/>
    <d v="2025-01-29T02:39:36"/>
    <x v="1"/>
    <x v="3"/>
    <s v="Monitor"/>
    <s v="Access Management"/>
    <s v="Gurugram"/>
    <s v="Portal"/>
    <s v="Closed"/>
    <n v="24"/>
    <n v="2.66"/>
    <n v="4"/>
    <s v="No"/>
    <x v="0"/>
  </r>
  <r>
    <s v="INC101656"/>
    <d v="2025-02-11T00:00:00"/>
    <d v="2025-02-12T06:46:48"/>
    <x v="0"/>
    <x v="4"/>
    <s v="Spam"/>
    <s v="Access Management"/>
    <s v="Bengaluru"/>
    <s v="Portal"/>
    <s v="Resolved"/>
    <n v="48"/>
    <n v="30.78"/>
    <n v="3.7"/>
    <s v="No"/>
    <x v="0"/>
  </r>
  <r>
    <s v="INC101657"/>
    <d v="2025-06-03T00:00:00"/>
    <d v="2025-06-03T01:23:24"/>
    <x v="3"/>
    <x v="3"/>
    <s v="Peripheral"/>
    <s v="Service Desk"/>
    <s v="Bengaluru"/>
    <s v="Portal"/>
    <s v="Resolved"/>
    <n v="8"/>
    <n v="1.39"/>
    <n v="4.5999999999999996"/>
    <s v="No"/>
    <x v="0"/>
  </r>
  <r>
    <s v="INC101658"/>
    <d v="2025-06-08T00:00:00"/>
    <d v="2025-06-10T06:12:00"/>
    <x v="0"/>
    <x v="2"/>
    <s v="Connectivity"/>
    <s v="Application Support"/>
    <s v="Gurugram"/>
    <s v="Email"/>
    <s v="Resolved"/>
    <n v="48"/>
    <n v="54.2"/>
    <n v="4.2"/>
    <s v="No"/>
    <x v="1"/>
  </r>
  <r>
    <s v="INC101659"/>
    <d v="2025-06-01T00:00:00"/>
    <d v="2025-06-01T12:30:36"/>
    <x v="1"/>
    <x v="2"/>
    <s v="DNS"/>
    <s v="Access Management"/>
    <s v="Delhi"/>
    <s v="Email"/>
    <s v="Closed"/>
    <n v="24"/>
    <n v="12.51"/>
    <n v="3.8"/>
    <s v="No"/>
    <x v="0"/>
  </r>
  <r>
    <s v="INC101660"/>
    <d v="2025-02-15T00:00:00"/>
    <d v="2025-02-15T11:20:24"/>
    <x v="0"/>
    <x v="3"/>
    <s v="Printer"/>
    <s v="Network Support"/>
    <s v="Gurugram"/>
    <s v="Phone"/>
    <s v="Closed"/>
    <n v="48"/>
    <n v="11.34"/>
    <n v="5"/>
    <s v="No"/>
    <x v="0"/>
  </r>
  <r>
    <s v="INC101661"/>
    <d v="2025-04-23T00:00:00"/>
    <d v="2025-04-24T00:13:12"/>
    <x v="1"/>
    <x v="3"/>
    <s v="Printer"/>
    <s v="Desktop Support"/>
    <s v="Delhi"/>
    <s v="Email"/>
    <s v="Resolved"/>
    <n v="24"/>
    <n v="24.22"/>
    <n v="3.9"/>
    <s v="No"/>
    <x v="1"/>
  </r>
  <r>
    <s v="INC101662"/>
    <d v="2025-04-21T00:00:00"/>
    <d v="2025-04-21T07:33:36"/>
    <x v="0"/>
    <x v="1"/>
    <s v="Account Lock"/>
    <s v="Application Support"/>
    <s v="Delhi"/>
    <s v="Chat"/>
    <s v="In Progress"/>
    <n v="48"/>
    <n v="7.56"/>
    <n v="5"/>
    <s v="No"/>
    <x v="0"/>
  </r>
  <r>
    <s v="INC101663"/>
    <d v="2025-02-03T00:00:00"/>
    <d v="2025-02-03T01:17:23"/>
    <x v="3"/>
    <x v="0"/>
    <s v="License"/>
    <s v="Network Support"/>
    <s v="Hyderabad"/>
    <s v="Email"/>
    <s v="Resolved"/>
    <n v="8"/>
    <n v="1.29"/>
    <n v="4.7"/>
    <s v="No"/>
    <x v="0"/>
  </r>
  <r>
    <s v="INC101664"/>
    <d v="2025-04-11T00:00:00"/>
    <d v="2025-04-11T05:29:24"/>
    <x v="1"/>
    <x v="0"/>
    <s v="Installation"/>
    <s v="Service Desk"/>
    <s v="Mumbai"/>
    <s v="Email"/>
    <s v="In Progress"/>
    <n v="24"/>
    <n v="5.49"/>
    <n v="4.3"/>
    <s v="No"/>
    <x v="0"/>
  </r>
  <r>
    <s v="INC101665"/>
    <d v="2025-04-06T00:00:00"/>
    <d v="2025-04-07T00:19:12"/>
    <x v="1"/>
    <x v="0"/>
    <s v="Installation"/>
    <s v="Application Support"/>
    <s v="Delhi"/>
    <s v="Portal"/>
    <s v="Resolved"/>
    <n v="24"/>
    <n v="24.32"/>
    <n v="3.2"/>
    <s v="No"/>
    <x v="1"/>
  </r>
  <r>
    <s v="INC101666"/>
    <d v="2025-03-13T00:00:00"/>
    <d v="2025-03-16T03:31:12"/>
    <x v="0"/>
    <x v="3"/>
    <s v="Monitor"/>
    <s v="Access Management"/>
    <s v="Noida"/>
    <s v="Portal"/>
    <s v="Resolved"/>
    <n v="48"/>
    <n v="75.52"/>
    <n v="3.5"/>
    <s v="No"/>
    <x v="1"/>
  </r>
  <r>
    <s v="INC101667"/>
    <d v="2025-05-17T00:00:00"/>
    <d v="2025-05-17T05:19:48"/>
    <x v="0"/>
    <x v="0"/>
    <s v="Installation"/>
    <s v="Access Management"/>
    <s v="Gurugram"/>
    <s v="Email"/>
    <s v="Resolved"/>
    <n v="48"/>
    <n v="5.33"/>
    <n v="4.8"/>
    <s v="No"/>
    <x v="0"/>
  </r>
  <r>
    <s v="INC101668"/>
    <d v="2025-05-03T00:00:00"/>
    <d v="2025-05-05T18:34:11"/>
    <x v="1"/>
    <x v="2"/>
    <s v="Link Down"/>
    <s v="Application Support"/>
    <s v="Hyderabad"/>
    <s v="Phone"/>
    <s v="Resolved"/>
    <n v="24"/>
    <n v="66.569999999999993"/>
    <n v="1"/>
    <s v="No"/>
    <x v="1"/>
  </r>
  <r>
    <s v="INC101669"/>
    <d v="2025-04-07T00:00:00"/>
    <d v="2025-04-07T18:40:12"/>
    <x v="1"/>
    <x v="2"/>
    <s v="Connectivity"/>
    <s v="Network Support"/>
    <s v="Noida"/>
    <s v="Portal"/>
    <s v="Resolved"/>
    <n v="24"/>
    <n v="18.670000000000002"/>
    <n v="4.2"/>
    <s v="No"/>
    <x v="0"/>
  </r>
  <r>
    <s v="INC101670"/>
    <d v="2025-05-12T00:00:00"/>
    <d v="2025-05-12T08:22:12"/>
    <x v="1"/>
    <x v="3"/>
    <s v="Monitor"/>
    <s v="Network Support"/>
    <s v="Gurugram"/>
    <s v="Email"/>
    <s v="In Progress"/>
    <n v="24"/>
    <n v="8.3699999999999992"/>
    <n v="5"/>
    <s v="No"/>
    <x v="0"/>
  </r>
  <r>
    <s v="INC101671"/>
    <d v="2025-05-19T00:00:00"/>
    <d v="2025-05-19T02:54:36"/>
    <x v="2"/>
    <x v="2"/>
    <s v="Link Down"/>
    <s v="Access Management"/>
    <s v="Bengaluru"/>
    <s v="Portal"/>
    <s v="In Progress"/>
    <n v="4"/>
    <n v="2.91"/>
    <n v="4"/>
    <s v="No"/>
    <x v="0"/>
  </r>
  <r>
    <s v="INC101672"/>
    <d v="2025-04-13T00:00:00"/>
    <d v="2025-04-14T00:40:12"/>
    <x v="1"/>
    <x v="0"/>
    <s v="Installation"/>
    <s v="Application Support"/>
    <s v="Noida"/>
    <s v="Portal"/>
    <s v="Resolved"/>
    <n v="24"/>
    <n v="24.67"/>
    <n v="4.8"/>
    <s v="No"/>
    <x v="1"/>
  </r>
  <r>
    <s v="INC101673"/>
    <d v="2025-02-18T00:00:00"/>
    <d v="2025-02-18T00:57:36"/>
    <x v="2"/>
    <x v="2"/>
    <s v="DNS"/>
    <s v="Network Support"/>
    <s v="Gurugram"/>
    <s v="Portal"/>
    <s v="In Progress"/>
    <n v="4"/>
    <n v="0.96"/>
    <n v="3"/>
    <s v="No"/>
    <x v="0"/>
  </r>
  <r>
    <s v="INC101674"/>
    <d v="2025-05-18T00:00:00"/>
    <d v="2025-05-20T01:31:48"/>
    <x v="0"/>
    <x v="2"/>
    <s v="Connectivity"/>
    <s v="Network Support"/>
    <s v="Gurugram"/>
    <s v="Portal"/>
    <s v="In Progress"/>
    <n v="48"/>
    <n v="49.53"/>
    <n v="3.6"/>
    <s v="No"/>
    <x v="1"/>
  </r>
  <r>
    <s v="INC101675"/>
    <d v="2025-05-10T00:00:00"/>
    <d v="2025-05-10T03:57:00"/>
    <x v="3"/>
    <x v="4"/>
    <s v="Configuration"/>
    <s v="Network Support"/>
    <s v="Delhi"/>
    <s v="Portal"/>
    <s v="Pending"/>
    <n v="8"/>
    <n v="3.95"/>
    <n v="5"/>
    <s v="No"/>
    <x v="0"/>
  </r>
  <r>
    <s v="INC101676"/>
    <d v="2025-06-27T00:00:00"/>
    <d v="2025-06-27T02:36:36"/>
    <x v="1"/>
    <x v="4"/>
    <s v="Configuration"/>
    <s v="Access Management"/>
    <s v="Mumbai"/>
    <s v="Phone"/>
    <s v="Resolved"/>
    <n v="24"/>
    <n v="2.61"/>
    <n v="4.9000000000000004"/>
    <s v="No"/>
    <x v="0"/>
  </r>
  <r>
    <s v="INC101677"/>
    <d v="2025-01-28T00:00:00"/>
    <d v="2025-01-28T18:31:12"/>
    <x v="1"/>
    <x v="0"/>
    <s v="Application Error"/>
    <s v="Application Support"/>
    <s v="Hyderabad"/>
    <s v="Phone"/>
    <s v="Resolved"/>
    <n v="24"/>
    <n v="18.52"/>
    <n v="3.7"/>
    <s v="No"/>
    <x v="0"/>
  </r>
  <r>
    <s v="INC101678"/>
    <d v="2025-03-17T00:00:00"/>
    <d v="2025-03-17T05:17:23"/>
    <x v="2"/>
    <x v="0"/>
    <s v="Performance"/>
    <s v="Access Management"/>
    <s v="Mumbai"/>
    <s v="Portal"/>
    <s v="Pending"/>
    <n v="4"/>
    <n v="5.29"/>
    <n v="3.4"/>
    <s v="No"/>
    <x v="1"/>
  </r>
  <r>
    <s v="INC101679"/>
    <d v="2025-06-17T00:00:00"/>
    <d v="2025-06-17T16:09:36"/>
    <x v="1"/>
    <x v="1"/>
    <s v="Password Reset"/>
    <s v="Network Support"/>
    <s v="Noida"/>
    <s v="Portal"/>
    <s v="Resolved"/>
    <n v="24"/>
    <n v="16.16"/>
    <n v="4.8"/>
    <s v="No"/>
    <x v="0"/>
  </r>
  <r>
    <s v="INC101680"/>
    <d v="2025-04-04T00:00:00"/>
    <d v="2025-04-04T01:32:24"/>
    <x v="3"/>
    <x v="2"/>
    <s v="Connectivity"/>
    <s v="Application Support"/>
    <s v="Noida"/>
    <s v="Email"/>
    <s v="Resolved"/>
    <n v="8"/>
    <n v="1.54"/>
    <n v="5"/>
    <s v="No"/>
    <x v="0"/>
  </r>
  <r>
    <s v="INC101681"/>
    <d v="2025-06-20T00:00:00"/>
    <d v="2025-06-20T05:27:00"/>
    <x v="3"/>
    <x v="3"/>
    <s v="Peripheral"/>
    <s v="Access Management"/>
    <s v="Delhi"/>
    <s v="Portal"/>
    <s v="Resolved"/>
    <n v="8"/>
    <n v="5.45"/>
    <n v="4.9000000000000004"/>
    <s v="No"/>
    <x v="0"/>
  </r>
  <r>
    <s v="INC101682"/>
    <d v="2025-01-03T00:00:00"/>
    <d v="2025-01-04T04:50:24"/>
    <x v="0"/>
    <x v="2"/>
    <s v="Connectivity"/>
    <s v="Desktop Support"/>
    <s v="Noida"/>
    <s v="Phone"/>
    <s v="Resolved"/>
    <n v="48"/>
    <n v="28.84"/>
    <n v="4"/>
    <s v="No"/>
    <x v="0"/>
  </r>
  <r>
    <s v="INC101683"/>
    <d v="2025-01-07T00:00:00"/>
    <d v="2025-01-07T17:24:00"/>
    <x v="1"/>
    <x v="3"/>
    <s v="Monitor"/>
    <s v="Application Support"/>
    <s v="Delhi"/>
    <s v="Email"/>
    <s v="Resolved"/>
    <n v="24"/>
    <n v="17.399999999999999"/>
    <n v="4"/>
    <s v="No"/>
    <x v="0"/>
  </r>
  <r>
    <s v="INC101684"/>
    <d v="2025-05-25T00:00:00"/>
    <d v="2025-05-25T02:26:24"/>
    <x v="1"/>
    <x v="4"/>
    <s v="Mailbox"/>
    <s v="Application Support"/>
    <s v="Mumbai"/>
    <s v="Phone"/>
    <s v="Resolved"/>
    <n v="24"/>
    <n v="2.44"/>
    <n v="4.7"/>
    <s v="No"/>
    <x v="0"/>
  </r>
  <r>
    <s v="INC101685"/>
    <d v="2025-03-06T00:00:00"/>
    <d v="2025-03-06T00:55:48"/>
    <x v="3"/>
    <x v="1"/>
    <s v="Password Reset"/>
    <s v="Network Support"/>
    <s v="Hyderabad"/>
    <s v="Portal"/>
    <s v="Resolved"/>
    <n v="8"/>
    <n v="0.93"/>
    <n v="4.3"/>
    <s v="Yes"/>
    <x v="0"/>
  </r>
  <r>
    <s v="INC101686"/>
    <d v="2025-04-05T00:00:00"/>
    <d v="2025-04-05T02:31:48"/>
    <x v="3"/>
    <x v="4"/>
    <s v="Mailbox"/>
    <s v="Desktop Support"/>
    <s v="Gurugram"/>
    <s v="Chat"/>
    <s v="Resolved"/>
    <n v="8"/>
    <n v="2.5299999999999998"/>
    <n v="4.5"/>
    <s v="No"/>
    <x v="0"/>
  </r>
  <r>
    <s v="INC101687"/>
    <d v="2025-03-19T00:00:00"/>
    <d v="2025-03-20T19:13:12"/>
    <x v="0"/>
    <x v="1"/>
    <s v="VPN Access"/>
    <s v="Service Desk"/>
    <s v="Mumbai"/>
    <s v="Phone"/>
    <s v="Resolved"/>
    <n v="48"/>
    <n v="43.22"/>
    <n v="3.7"/>
    <s v="No"/>
    <x v="0"/>
  </r>
  <r>
    <s v="INC101688"/>
    <d v="2025-03-15T00:00:00"/>
    <d v="2025-03-16T14:43:48"/>
    <x v="0"/>
    <x v="0"/>
    <s v="Application Error"/>
    <s v="Network Support"/>
    <s v="Bengaluru"/>
    <s v="Phone"/>
    <s v="Resolved"/>
    <n v="48"/>
    <n v="38.729999999999997"/>
    <n v="3.3"/>
    <s v="No"/>
    <x v="0"/>
  </r>
  <r>
    <s v="INC101689"/>
    <d v="2025-06-20T00:00:00"/>
    <d v="2025-06-21T22:39:36"/>
    <x v="0"/>
    <x v="1"/>
    <s v="VPN Access"/>
    <s v="Desktop Support"/>
    <s v="Noida"/>
    <s v="Chat"/>
    <s v="Resolved"/>
    <n v="48"/>
    <n v="46.66"/>
    <n v="4.4000000000000004"/>
    <s v="Yes"/>
    <x v="0"/>
  </r>
  <r>
    <s v="INC101690"/>
    <d v="2025-01-18T00:00:00"/>
    <d v="2025-01-18T17:37:48"/>
    <x v="1"/>
    <x v="0"/>
    <s v="Application Error"/>
    <s v="Access Management"/>
    <s v="Mumbai"/>
    <s v="Email"/>
    <s v="Resolved"/>
    <n v="24"/>
    <n v="17.63"/>
    <n v="4.4000000000000004"/>
    <s v="Yes"/>
    <x v="0"/>
  </r>
  <r>
    <s v="INC101691"/>
    <d v="2025-05-20T00:00:00"/>
    <d v="2025-05-21T17:08:24"/>
    <x v="0"/>
    <x v="3"/>
    <s v="Peripheral"/>
    <s v="Network Support"/>
    <s v="Mumbai"/>
    <s v="Portal"/>
    <s v="Resolved"/>
    <n v="48"/>
    <n v="41.14"/>
    <n v="3.6"/>
    <s v="No"/>
    <x v="0"/>
  </r>
  <r>
    <s v="INC101692"/>
    <d v="2025-06-11T00:00:00"/>
    <d v="2025-06-11T04:46:48"/>
    <x v="3"/>
    <x v="3"/>
    <s v="Peripheral"/>
    <s v="Service Desk"/>
    <s v="Gurugram"/>
    <s v="Email"/>
    <s v="In Progress"/>
    <n v="8"/>
    <n v="4.78"/>
    <n v="4.4000000000000004"/>
    <s v="No"/>
    <x v="0"/>
  </r>
  <r>
    <s v="INC101693"/>
    <d v="2025-04-29T00:00:00"/>
    <d v="2025-04-29T10:35:24"/>
    <x v="1"/>
    <x v="0"/>
    <s v="Performance"/>
    <s v="Application Support"/>
    <s v="Mumbai"/>
    <s v="Phone"/>
    <s v="Resolved"/>
    <n v="24"/>
    <n v="10.59"/>
    <n v="3.8"/>
    <s v="No"/>
    <x v="0"/>
  </r>
  <r>
    <s v="INC101694"/>
    <d v="2025-03-13T00:00:00"/>
    <d v="2025-03-13T06:18:36"/>
    <x v="3"/>
    <x v="2"/>
    <s v="DNS"/>
    <s v="Service Desk"/>
    <s v="Bengaluru"/>
    <s v="Phone"/>
    <s v="Resolved"/>
    <n v="8"/>
    <n v="6.31"/>
    <n v="3.7"/>
    <s v="No"/>
    <x v="0"/>
  </r>
  <r>
    <s v="INC101695"/>
    <d v="2025-01-29T00:00:00"/>
    <d v="2025-01-29T08:24:36"/>
    <x v="0"/>
    <x v="0"/>
    <s v="Installation"/>
    <s v="Network Support"/>
    <s v="Gurugram"/>
    <s v="Email"/>
    <s v="Resolved"/>
    <n v="48"/>
    <n v="8.41"/>
    <n v="5"/>
    <s v="No"/>
    <x v="0"/>
  </r>
  <r>
    <s v="INC101696"/>
    <d v="2025-05-04T00:00:00"/>
    <d v="2025-05-04T05:19:12"/>
    <x v="1"/>
    <x v="2"/>
    <s v="DNS"/>
    <s v="Network Support"/>
    <s v="Mumbai"/>
    <s v="Phone"/>
    <s v="Closed"/>
    <n v="24"/>
    <n v="5.32"/>
    <n v="5"/>
    <s v="No"/>
    <x v="0"/>
  </r>
  <r>
    <s v="INC101697"/>
    <d v="2025-03-26T00:00:00"/>
    <d v="2025-03-26T07:33:36"/>
    <x v="0"/>
    <x v="0"/>
    <s v="Application Error"/>
    <s v="Network Support"/>
    <s v="Bengaluru"/>
    <s v="Portal"/>
    <s v="Resolved"/>
    <n v="48"/>
    <n v="7.56"/>
    <n v="4.5"/>
    <s v="Yes"/>
    <x v="0"/>
  </r>
  <r>
    <s v="INC101698"/>
    <d v="2025-01-28T00:00:00"/>
    <d v="2025-01-28T04:31:48"/>
    <x v="3"/>
    <x v="2"/>
    <s v="Packet Loss"/>
    <s v="Access Management"/>
    <s v="Delhi"/>
    <s v="Portal"/>
    <s v="Closed"/>
    <n v="8"/>
    <n v="4.53"/>
    <n v="4.5"/>
    <s v="No"/>
    <x v="0"/>
  </r>
  <r>
    <s v="INC101699"/>
    <d v="2025-03-07T00:00:00"/>
    <d v="2025-03-07T08:32:24"/>
    <x v="0"/>
    <x v="3"/>
    <s v="Peripheral"/>
    <s v="Desktop Support"/>
    <s v="Delhi"/>
    <s v="Email"/>
    <s v="Resolved"/>
    <n v="48"/>
    <n v="8.5399999999999991"/>
    <n v="4.7"/>
    <s v="No"/>
    <x v="0"/>
  </r>
  <r>
    <s v="INC101700"/>
    <d v="2025-06-24T00:00:00"/>
    <d v="2025-06-24T01:56:24"/>
    <x v="0"/>
    <x v="0"/>
    <s v="Performance"/>
    <s v="Access Management"/>
    <s v="Gurugram"/>
    <s v="Portal"/>
    <s v="Resolved"/>
    <n v="48"/>
    <n v="1.94"/>
    <n v="4.3"/>
    <s v="No"/>
    <x v="0"/>
  </r>
  <r>
    <s v="INC101701"/>
    <d v="2025-02-18T00:00:00"/>
    <d v="2025-02-18T06:22:12"/>
    <x v="0"/>
    <x v="2"/>
    <s v="Link Down"/>
    <s v="Application Support"/>
    <s v="Delhi"/>
    <s v="Portal"/>
    <s v="Resolved"/>
    <n v="48"/>
    <n v="6.37"/>
    <n v="4.7"/>
    <s v="No"/>
    <x v="0"/>
  </r>
  <r>
    <s v="INC101702"/>
    <d v="2025-02-02T00:00:00"/>
    <d v="2025-02-02T10:35:24"/>
    <x v="3"/>
    <x v="4"/>
    <s v="Delivery"/>
    <s v="Service Desk"/>
    <s v="Noida"/>
    <s v="Phone"/>
    <s v="Resolved"/>
    <n v="8"/>
    <n v="10.59"/>
    <n v="3.7"/>
    <s v="No"/>
    <x v="1"/>
  </r>
  <r>
    <s v="INC101703"/>
    <d v="2025-05-04T00:00:00"/>
    <d v="2025-05-05T03:24:36"/>
    <x v="0"/>
    <x v="3"/>
    <s v="Peripheral"/>
    <s v="Access Management"/>
    <s v="Noida"/>
    <s v="Email"/>
    <s v="Closed"/>
    <n v="48"/>
    <n v="27.41"/>
    <n v="4.5"/>
    <s v="No"/>
    <x v="0"/>
  </r>
  <r>
    <s v="INC101704"/>
    <d v="2025-02-06T00:00:00"/>
    <d v="2025-02-07T00:12:00"/>
    <x v="1"/>
    <x v="3"/>
    <s v="Peripheral"/>
    <s v="Service Desk"/>
    <s v="Mumbai"/>
    <s v="Email"/>
    <s v="Closed"/>
    <n v="24"/>
    <n v="24.2"/>
    <n v="2.7"/>
    <s v="No"/>
    <x v="1"/>
  </r>
  <r>
    <s v="INC101705"/>
    <d v="2025-06-16T00:00:00"/>
    <d v="2025-06-16T00:54:36"/>
    <x v="3"/>
    <x v="2"/>
    <s v="Packet Loss"/>
    <s v="Network Support"/>
    <s v="Gurugram"/>
    <s v="Portal"/>
    <s v="Resolved"/>
    <n v="8"/>
    <n v="0.91"/>
    <n v="5"/>
    <s v="No"/>
    <x v="0"/>
  </r>
  <r>
    <s v="INC101706"/>
    <d v="2025-06-05T00:00:00"/>
    <d v="2025-06-05T05:40:48"/>
    <x v="3"/>
    <x v="1"/>
    <s v="Permission"/>
    <s v="Access Management"/>
    <s v="Bengaluru"/>
    <s v="Portal"/>
    <s v="Resolved"/>
    <n v="8"/>
    <n v="5.68"/>
    <n v="4.2"/>
    <s v="No"/>
    <x v="0"/>
  </r>
  <r>
    <s v="INC101707"/>
    <d v="2025-06-28T00:00:00"/>
    <d v="2025-06-28T07:46:12"/>
    <x v="0"/>
    <x v="0"/>
    <s v="License"/>
    <s v="Desktop Support"/>
    <s v="Bengaluru"/>
    <s v="Email"/>
    <s v="Closed"/>
    <n v="48"/>
    <n v="7.77"/>
    <n v="3.6"/>
    <s v="No"/>
    <x v="0"/>
  </r>
  <r>
    <s v="INC101708"/>
    <d v="2025-06-15T00:00:00"/>
    <d v="2025-06-16T09:23:24"/>
    <x v="0"/>
    <x v="3"/>
    <s v="Printer"/>
    <s v="Desktop Support"/>
    <s v="Noida"/>
    <s v="Phone"/>
    <s v="Resolved"/>
    <n v="48"/>
    <n v="33.39"/>
    <n v="3.6"/>
    <s v="No"/>
    <x v="0"/>
  </r>
  <r>
    <s v="INC101709"/>
    <d v="2025-02-14T00:00:00"/>
    <d v="2025-02-14T23:19:12"/>
    <x v="1"/>
    <x v="2"/>
    <s v="Connectivity"/>
    <s v="Desktop Support"/>
    <s v="Hyderabad"/>
    <s v="Portal"/>
    <s v="Resolved"/>
    <n v="24"/>
    <n v="23.32"/>
    <n v="4.2"/>
    <s v="No"/>
    <x v="0"/>
  </r>
  <r>
    <s v="INC101710"/>
    <d v="2025-02-08T00:00:00"/>
    <d v="2025-02-09T13:11:24"/>
    <x v="0"/>
    <x v="1"/>
    <s v="VPN Access"/>
    <s v="Access Management"/>
    <s v="Gurugram"/>
    <s v="Phone"/>
    <s v="Resolved"/>
    <n v="48"/>
    <n v="37.19"/>
    <n v="5"/>
    <s v="No"/>
    <x v="0"/>
  </r>
  <r>
    <s v="INC101711"/>
    <d v="2025-03-04T00:00:00"/>
    <d v="2025-03-04T12:36:00"/>
    <x v="1"/>
    <x v="4"/>
    <s v="Mailbox"/>
    <s v="Service Desk"/>
    <s v="Noida"/>
    <s v="Phone"/>
    <s v="Resolved"/>
    <n v="24"/>
    <n v="12.6"/>
    <n v="3.3"/>
    <s v="No"/>
    <x v="0"/>
  </r>
  <r>
    <s v="INC101712"/>
    <d v="2025-03-27T00:00:00"/>
    <d v="2025-03-28T06:38:24"/>
    <x v="1"/>
    <x v="3"/>
    <s v="Printer"/>
    <s v="Access Management"/>
    <s v="Delhi"/>
    <s v="Phone"/>
    <s v="Closed"/>
    <n v="24"/>
    <n v="30.64"/>
    <n v="4.0999999999999996"/>
    <s v="No"/>
    <x v="1"/>
  </r>
  <r>
    <s v="INC101713"/>
    <d v="2025-06-09T00:00:00"/>
    <d v="2025-06-09T21:34:47"/>
    <x v="1"/>
    <x v="2"/>
    <s v="Link Down"/>
    <s v="Access Management"/>
    <s v="Noida"/>
    <s v="Email"/>
    <s v="Resolved"/>
    <n v="24"/>
    <n v="21.58"/>
    <n v="2.7"/>
    <s v="No"/>
    <x v="0"/>
  </r>
  <r>
    <s v="INC101714"/>
    <d v="2025-05-13T00:00:00"/>
    <d v="2025-05-13T12:33:00"/>
    <x v="0"/>
    <x v="2"/>
    <s v="Connectivity"/>
    <s v="Application Support"/>
    <s v="Delhi"/>
    <s v="Portal"/>
    <s v="In Progress"/>
    <n v="48"/>
    <n v="12.55"/>
    <n v="5"/>
    <s v="No"/>
    <x v="0"/>
  </r>
  <r>
    <s v="INC101715"/>
    <d v="2025-04-27T00:00:00"/>
    <d v="2025-04-27T04:03:36"/>
    <x v="1"/>
    <x v="2"/>
    <s v="Link Down"/>
    <s v="Network Support"/>
    <s v="Hyderabad"/>
    <s v="Phone"/>
    <s v="Closed"/>
    <n v="24"/>
    <n v="4.0599999999999996"/>
    <n v="4.5999999999999996"/>
    <s v="No"/>
    <x v="0"/>
  </r>
  <r>
    <s v="INC101716"/>
    <d v="2025-06-08T00:00:00"/>
    <d v="2025-06-12T08:16:12"/>
    <x v="0"/>
    <x v="1"/>
    <s v="Password Reset"/>
    <s v="Network Support"/>
    <s v="Gurugram"/>
    <s v="Email"/>
    <s v="Resolved"/>
    <n v="48"/>
    <n v="104.27"/>
    <n v="1.9"/>
    <s v="No"/>
    <x v="1"/>
  </r>
  <r>
    <s v="INC101717"/>
    <d v="2025-04-27T00:00:00"/>
    <d v="2025-04-27T06:37:48"/>
    <x v="1"/>
    <x v="4"/>
    <s v="Spam"/>
    <s v="Network Support"/>
    <s v="Mumbai"/>
    <s v="Portal"/>
    <s v="Resolved"/>
    <n v="24"/>
    <n v="6.63"/>
    <n v="4.9000000000000004"/>
    <s v="No"/>
    <x v="0"/>
  </r>
  <r>
    <s v="INC101718"/>
    <d v="2025-03-10T00:00:00"/>
    <d v="2025-03-10T21:51:00"/>
    <x v="0"/>
    <x v="4"/>
    <s v="Spam"/>
    <s v="Application Support"/>
    <s v="Delhi"/>
    <s v="Portal"/>
    <s v="Resolved"/>
    <n v="48"/>
    <n v="21.85"/>
    <n v="3.8"/>
    <s v="No"/>
    <x v="0"/>
  </r>
  <r>
    <s v="INC101719"/>
    <d v="2025-03-16T00:00:00"/>
    <d v="2025-03-16T00:51:00"/>
    <x v="2"/>
    <x v="1"/>
    <s v="Account Lock"/>
    <s v="Service Desk"/>
    <s v="Gurugram"/>
    <s v="Email"/>
    <s v="Resolved"/>
    <n v="4"/>
    <n v="0.85"/>
    <n v="5"/>
    <s v="No"/>
    <x v="0"/>
  </r>
  <r>
    <s v="INC101720"/>
    <d v="2025-04-04T00:00:00"/>
    <d v="2025-04-04T20:45:36"/>
    <x v="1"/>
    <x v="2"/>
    <s v="Connectivity"/>
    <s v="Access Management"/>
    <s v="Delhi"/>
    <s v="Email"/>
    <s v="Resolved"/>
    <n v="24"/>
    <n v="20.76"/>
    <n v="3.9"/>
    <s v="No"/>
    <x v="0"/>
  </r>
  <r>
    <s v="INC101721"/>
    <d v="2025-01-17T00:00:00"/>
    <d v="2025-01-17T11:10:48"/>
    <x v="0"/>
    <x v="4"/>
    <s v="Delivery"/>
    <s v="Network Support"/>
    <s v="Noida"/>
    <s v="Phone"/>
    <s v="Resolved"/>
    <n v="48"/>
    <n v="11.18"/>
    <n v="2.2000000000000002"/>
    <s v="No"/>
    <x v="0"/>
  </r>
  <r>
    <s v="INC101722"/>
    <d v="2025-05-15T00:00:00"/>
    <d v="2025-05-16T00:21:00"/>
    <x v="0"/>
    <x v="3"/>
    <s v="Laptop"/>
    <s v="Service Desk"/>
    <s v="Bengaluru"/>
    <s v="Portal"/>
    <s v="Closed"/>
    <n v="48"/>
    <n v="24.35"/>
    <n v="3.9"/>
    <s v="No"/>
    <x v="0"/>
  </r>
  <r>
    <s v="INC101723"/>
    <d v="2025-04-29T00:00:00"/>
    <d v="2025-04-29T16:15:00"/>
    <x v="1"/>
    <x v="3"/>
    <s v="Peripheral"/>
    <s v="Service Desk"/>
    <s v="Noida"/>
    <s v="Portal"/>
    <s v="Resolved"/>
    <n v="24"/>
    <n v="16.25"/>
    <n v="4.3"/>
    <s v="No"/>
    <x v="0"/>
  </r>
  <r>
    <s v="INC101724"/>
    <d v="2025-05-13T00:00:00"/>
    <d v="2025-05-13T14:14:24"/>
    <x v="0"/>
    <x v="0"/>
    <s v="Application Error"/>
    <s v="Access Management"/>
    <s v="Bengaluru"/>
    <s v="Chat"/>
    <s v="Resolved"/>
    <n v="48"/>
    <n v="14.24"/>
    <n v="5"/>
    <s v="No"/>
    <x v="0"/>
  </r>
  <r>
    <s v="INC101725"/>
    <d v="2025-04-07T00:00:00"/>
    <d v="2025-04-08T08:10:12"/>
    <x v="0"/>
    <x v="2"/>
    <s v="Connectivity"/>
    <s v="Network Support"/>
    <s v="Mumbai"/>
    <s v="Portal"/>
    <s v="Resolved"/>
    <n v="48"/>
    <n v="32.17"/>
    <n v="4.4000000000000004"/>
    <s v="No"/>
    <x v="0"/>
  </r>
  <r>
    <s v="INC101726"/>
    <d v="2025-05-22T00:00:00"/>
    <d v="2025-05-22T11:53:24"/>
    <x v="3"/>
    <x v="1"/>
    <s v="Account Lock"/>
    <s v="Desktop Support"/>
    <s v="Delhi"/>
    <s v="Portal"/>
    <s v="Closed"/>
    <n v="8"/>
    <n v="11.89"/>
    <n v="3.9"/>
    <s v="No"/>
    <x v="1"/>
  </r>
  <r>
    <s v="INC101727"/>
    <d v="2025-06-21T00:00:00"/>
    <d v="2025-06-21T14:18:36"/>
    <x v="1"/>
    <x v="4"/>
    <s v="Spam"/>
    <s v="Access Management"/>
    <s v="Noida"/>
    <s v="Phone"/>
    <s v="Resolved"/>
    <n v="24"/>
    <n v="14.31"/>
    <n v="3.7"/>
    <s v="No"/>
    <x v="0"/>
  </r>
  <r>
    <s v="INC101728"/>
    <d v="2025-04-14T00:00:00"/>
    <d v="2025-04-15T15:08:24"/>
    <x v="0"/>
    <x v="1"/>
    <s v="VPN Access"/>
    <s v="Access Management"/>
    <s v="Bengaluru"/>
    <s v="Chat"/>
    <s v="In Progress"/>
    <n v="48"/>
    <n v="39.14"/>
    <n v="4.5"/>
    <s v="No"/>
    <x v="0"/>
  </r>
  <r>
    <s v="INC101729"/>
    <d v="2025-03-22T00:00:00"/>
    <d v="2025-03-22T08:51:00"/>
    <x v="1"/>
    <x v="1"/>
    <s v="Permission"/>
    <s v="Access Management"/>
    <s v="Bengaluru"/>
    <s v="Email"/>
    <s v="In Progress"/>
    <n v="24"/>
    <n v="8.85"/>
    <n v="5"/>
    <s v="No"/>
    <x v="0"/>
  </r>
  <r>
    <s v="INC101730"/>
    <d v="2025-01-19T00:00:00"/>
    <d v="2025-01-19T16:29:24"/>
    <x v="0"/>
    <x v="3"/>
    <s v="Monitor"/>
    <s v="Application Support"/>
    <s v="Delhi"/>
    <s v="Portal"/>
    <s v="In Progress"/>
    <n v="48"/>
    <n v="16.489999999999998"/>
    <n v="3.5"/>
    <s v="No"/>
    <x v="0"/>
  </r>
  <r>
    <s v="INC101731"/>
    <d v="2025-05-21T00:00:00"/>
    <d v="2025-05-21T00:38:24"/>
    <x v="2"/>
    <x v="2"/>
    <s v="DNS"/>
    <s v="Network Support"/>
    <s v="Gurugram"/>
    <s v="Email"/>
    <s v="Closed"/>
    <n v="4"/>
    <n v="0.64"/>
    <n v="5"/>
    <s v="Yes"/>
    <x v="0"/>
  </r>
  <r>
    <s v="INC101732"/>
    <d v="2025-06-13T00:00:00"/>
    <d v="2025-06-14T02:46:12"/>
    <x v="0"/>
    <x v="1"/>
    <s v="Password Reset"/>
    <s v="Network Support"/>
    <s v="Noida"/>
    <s v="Phone"/>
    <s v="Closed"/>
    <n v="48"/>
    <n v="26.77"/>
    <n v="4.5"/>
    <s v="No"/>
    <x v="0"/>
  </r>
  <r>
    <s v="INC101733"/>
    <d v="2025-05-07T00:00:00"/>
    <d v="2025-05-07T08:08:24"/>
    <x v="3"/>
    <x v="0"/>
    <s v="License"/>
    <s v="Desktop Support"/>
    <s v="Bengaluru"/>
    <s v="Phone"/>
    <s v="Resolved"/>
    <n v="8"/>
    <n v="8.14"/>
    <n v="3.6"/>
    <s v="No"/>
    <x v="1"/>
  </r>
  <r>
    <s v="INC101734"/>
    <d v="2025-06-06T00:00:00"/>
    <d v="2025-06-06T06:16:48"/>
    <x v="3"/>
    <x v="4"/>
    <s v="Spam"/>
    <s v="Desktop Support"/>
    <s v="Hyderabad"/>
    <s v="Portal"/>
    <s v="Closed"/>
    <n v="8"/>
    <n v="6.28"/>
    <n v="3.9"/>
    <s v="No"/>
    <x v="0"/>
  </r>
  <r>
    <s v="INC101735"/>
    <d v="2025-06-05T00:00:00"/>
    <d v="2025-06-05T16:23:24"/>
    <x v="0"/>
    <x v="2"/>
    <s v="Link Down"/>
    <s v="Desktop Support"/>
    <s v="Noida"/>
    <s v="Phone"/>
    <s v="Resolved"/>
    <n v="48"/>
    <n v="16.39"/>
    <n v="3.9"/>
    <s v="No"/>
    <x v="0"/>
  </r>
  <r>
    <s v="INC101736"/>
    <d v="2025-05-25T00:00:00"/>
    <d v="2025-05-25T19:06:00"/>
    <x v="0"/>
    <x v="3"/>
    <s v="Monitor"/>
    <s v="Network Support"/>
    <s v="Bengaluru"/>
    <s v="Email"/>
    <s v="Resolved"/>
    <n v="48"/>
    <n v="19.100000000000001"/>
    <n v="4.9000000000000004"/>
    <s v="No"/>
    <x v="0"/>
  </r>
  <r>
    <s v="INC101737"/>
    <d v="2025-04-02T00:00:00"/>
    <d v="2025-04-03T12:01:12"/>
    <x v="1"/>
    <x v="3"/>
    <s v="Laptop"/>
    <s v="Application Support"/>
    <s v="Gurugram"/>
    <s v="Portal"/>
    <s v="Pending"/>
    <n v="24"/>
    <n v="36.020000000000003"/>
    <n v="3.4"/>
    <s v="No"/>
    <x v="1"/>
  </r>
  <r>
    <s v="INC101738"/>
    <d v="2025-01-19T00:00:00"/>
    <d v="2025-01-19T05:45:00"/>
    <x v="3"/>
    <x v="0"/>
    <s v="Performance"/>
    <s v="Service Desk"/>
    <s v="Delhi"/>
    <s v="Portal"/>
    <s v="Resolved"/>
    <n v="8"/>
    <n v="5.75"/>
    <n v="4.5"/>
    <s v="No"/>
    <x v="0"/>
  </r>
  <r>
    <s v="INC101739"/>
    <d v="2025-01-01T00:00:00"/>
    <d v="2025-01-01T21:07:12"/>
    <x v="1"/>
    <x v="1"/>
    <s v="Permission"/>
    <s v="Network Support"/>
    <s v="Noida"/>
    <s v="Portal"/>
    <s v="Resolved"/>
    <n v="24"/>
    <n v="21.12"/>
    <n v="4"/>
    <s v="No"/>
    <x v="0"/>
  </r>
  <r>
    <s v="INC101740"/>
    <d v="2025-02-06T00:00:00"/>
    <d v="2025-02-06T22:57:36"/>
    <x v="1"/>
    <x v="4"/>
    <s v="Delivery"/>
    <s v="Access Management"/>
    <s v="Noida"/>
    <s v="Chat"/>
    <s v="Resolved"/>
    <n v="24"/>
    <n v="22.96"/>
    <n v="4"/>
    <s v="No"/>
    <x v="0"/>
  </r>
  <r>
    <s v="INC101741"/>
    <d v="2025-03-20T00:00:00"/>
    <d v="2025-03-20T02:50:24"/>
    <x v="3"/>
    <x v="3"/>
    <s v="Printer"/>
    <s v="Service Desk"/>
    <s v="Delhi"/>
    <s v="Portal"/>
    <s v="Resolved"/>
    <n v="8"/>
    <n v="2.84"/>
    <n v="4.4000000000000004"/>
    <s v="No"/>
    <x v="0"/>
  </r>
  <r>
    <s v="INC101742"/>
    <d v="2025-05-15T00:00:00"/>
    <d v="2025-05-15T02:34:11"/>
    <x v="3"/>
    <x v="0"/>
    <s v="Application Error"/>
    <s v="Service Desk"/>
    <s v="Mumbai"/>
    <s v="Phone"/>
    <s v="Closed"/>
    <n v="8"/>
    <n v="2.57"/>
    <n v="5"/>
    <s v="No"/>
    <x v="0"/>
  </r>
  <r>
    <s v="INC101743"/>
    <d v="2025-03-24T00:00:00"/>
    <d v="2025-03-24T08:23:24"/>
    <x v="1"/>
    <x v="2"/>
    <s v="DNS"/>
    <s v="Desktop Support"/>
    <s v="Gurugram"/>
    <s v="Portal"/>
    <s v="In Progress"/>
    <n v="24"/>
    <n v="8.39"/>
    <n v="5"/>
    <s v="No"/>
    <x v="0"/>
  </r>
  <r>
    <s v="INC101744"/>
    <d v="2025-01-05T00:00:00"/>
    <d v="2025-01-05T07:32:24"/>
    <x v="1"/>
    <x v="2"/>
    <s v="Packet Loss"/>
    <s v="Access Management"/>
    <s v="Gurugram"/>
    <s v="Phone"/>
    <s v="Resolved"/>
    <n v="24"/>
    <n v="7.54"/>
    <n v="4.7"/>
    <s v="No"/>
    <x v="0"/>
  </r>
  <r>
    <s v="INC101745"/>
    <d v="2025-02-08T00:00:00"/>
    <d v="2025-02-09T07:13:48"/>
    <x v="1"/>
    <x v="3"/>
    <s v="Printer"/>
    <s v="Access Management"/>
    <s v="Noida"/>
    <s v="Email"/>
    <s v="Resolved"/>
    <n v="24"/>
    <n v="31.23"/>
    <n v="3.4"/>
    <s v="No"/>
    <x v="1"/>
  </r>
  <r>
    <s v="INC101746"/>
    <d v="2025-06-27T00:00:00"/>
    <d v="2025-06-27T20:59:24"/>
    <x v="0"/>
    <x v="0"/>
    <s v="Application Error"/>
    <s v="Network Support"/>
    <s v="Hyderabad"/>
    <s v="Chat"/>
    <s v="Resolved"/>
    <n v="48"/>
    <n v="20.99"/>
    <n v="3.3"/>
    <s v="Yes"/>
    <x v="0"/>
  </r>
  <r>
    <s v="INC101747"/>
    <d v="2025-06-28T00:00:00"/>
    <d v="2025-06-28T09:24:36"/>
    <x v="3"/>
    <x v="3"/>
    <s v="Peripheral"/>
    <s v="Application Support"/>
    <s v="Bengaluru"/>
    <s v="Email"/>
    <s v="Closed"/>
    <n v="8"/>
    <n v="9.41"/>
    <n v="2.2999999999999998"/>
    <s v="No"/>
    <x v="1"/>
  </r>
  <r>
    <s v="INC101748"/>
    <d v="2025-03-10T00:00:00"/>
    <d v="2025-03-10T21:33:36"/>
    <x v="0"/>
    <x v="3"/>
    <s v="Printer"/>
    <s v="Application Support"/>
    <s v="Noida"/>
    <s v="Phone"/>
    <s v="Resolved"/>
    <n v="48"/>
    <n v="21.56"/>
    <n v="4.2"/>
    <s v="No"/>
    <x v="0"/>
  </r>
  <r>
    <s v="INC101749"/>
    <d v="2025-05-26T00:00:00"/>
    <d v="2025-05-26T22:37:12"/>
    <x v="0"/>
    <x v="0"/>
    <s v="Installation"/>
    <s v="Access Management"/>
    <s v="Mumbai"/>
    <s v="Email"/>
    <s v="Closed"/>
    <n v="48"/>
    <n v="22.62"/>
    <n v="5"/>
    <s v="No"/>
    <x v="0"/>
  </r>
  <r>
    <s v="INC101750"/>
    <d v="2025-05-11T00:00:00"/>
    <d v="2025-05-11T00:37:12"/>
    <x v="3"/>
    <x v="1"/>
    <s v="VPN Access"/>
    <s v="Access Management"/>
    <s v="Delhi"/>
    <s v="Email"/>
    <s v="Resolved"/>
    <n v="8"/>
    <n v="0.62"/>
    <n v="4.4000000000000004"/>
    <s v="No"/>
    <x v="0"/>
  </r>
  <r>
    <s v="INC101751"/>
    <d v="2025-06-18T00:00:00"/>
    <d v="2025-06-18T08:00:00"/>
    <x v="1"/>
    <x v="2"/>
    <s v="Packet Loss"/>
    <s v="Application Support"/>
    <s v="Noida"/>
    <s v="Chat"/>
    <s v="Resolved"/>
    <n v="24"/>
    <n v="8"/>
    <n v="4.2"/>
    <s v="No"/>
    <x v="0"/>
  </r>
  <r>
    <s v="INC101752"/>
    <d v="2025-06-10T00:00:00"/>
    <d v="2025-06-12T15:36:36"/>
    <x v="0"/>
    <x v="3"/>
    <s v="Peripheral"/>
    <s v="Application Support"/>
    <s v="Bengaluru"/>
    <s v="Email"/>
    <s v="Resolved"/>
    <n v="48"/>
    <n v="63.61"/>
    <n v="2.8"/>
    <s v="No"/>
    <x v="1"/>
  </r>
  <r>
    <s v="INC101753"/>
    <d v="2025-04-24T00:00:00"/>
    <d v="2025-04-26T14:00:00"/>
    <x v="0"/>
    <x v="0"/>
    <s v="License"/>
    <s v="Service Desk"/>
    <s v="Noida"/>
    <s v="Phone"/>
    <s v="Resolved"/>
    <n v="48"/>
    <n v="62"/>
    <n v="2.6"/>
    <s v="No"/>
    <x v="1"/>
  </r>
  <r>
    <s v="INC101754"/>
    <d v="2025-03-13T00:00:00"/>
    <d v="2025-03-13T07:49:48"/>
    <x v="1"/>
    <x v="1"/>
    <s v="Password Reset"/>
    <s v="Access Management"/>
    <s v="Mumbai"/>
    <s v="Portal"/>
    <s v="Closed"/>
    <n v="24"/>
    <n v="7.83"/>
    <n v="4"/>
    <s v="No"/>
    <x v="0"/>
  </r>
  <r>
    <s v="INC101755"/>
    <d v="2025-04-24T00:00:00"/>
    <d v="2025-04-24T00:30:00"/>
    <x v="3"/>
    <x v="1"/>
    <s v="VPN Access"/>
    <s v="Access Management"/>
    <s v="Mumbai"/>
    <s v="Email"/>
    <s v="Resolved"/>
    <n v="8"/>
    <n v="0.5"/>
    <n v="5"/>
    <s v="No"/>
    <x v="0"/>
  </r>
  <r>
    <s v="INC101756"/>
    <d v="2025-02-27T00:00:00"/>
    <d v="2025-02-27T10:29:24"/>
    <x v="0"/>
    <x v="2"/>
    <s v="Packet Loss"/>
    <s v="Access Management"/>
    <s v="Noida"/>
    <s v="Chat"/>
    <s v="Pending"/>
    <n v="48"/>
    <n v="10.49"/>
    <n v="4.4000000000000004"/>
    <s v="No"/>
    <x v="0"/>
  </r>
  <r>
    <s v="INC101757"/>
    <d v="2025-03-05T00:00:00"/>
    <d v="2025-03-05T15:32:24"/>
    <x v="0"/>
    <x v="0"/>
    <s v="Application Error"/>
    <s v="Access Management"/>
    <s v="Hyderabad"/>
    <s v="Phone"/>
    <s v="Resolved"/>
    <n v="48"/>
    <n v="15.54"/>
    <n v="4.3"/>
    <s v="No"/>
    <x v="0"/>
  </r>
  <r>
    <s v="INC101758"/>
    <d v="2025-04-21T00:00:00"/>
    <d v="2025-04-21T07:48:36"/>
    <x v="1"/>
    <x v="4"/>
    <s v="Configuration"/>
    <s v="Application Support"/>
    <s v="Hyderabad"/>
    <s v="Email"/>
    <s v="Pending"/>
    <n v="24"/>
    <n v="7.81"/>
    <n v="4.2"/>
    <s v="No"/>
    <x v="0"/>
  </r>
  <r>
    <s v="INC101759"/>
    <d v="2025-04-14T00:00:00"/>
    <d v="2025-04-14T01:18:00"/>
    <x v="2"/>
    <x v="3"/>
    <s v="Monitor"/>
    <s v="Access Management"/>
    <s v="Noida"/>
    <s v="Email"/>
    <s v="Resolved"/>
    <n v="4"/>
    <n v="1.3"/>
    <n v="4.8"/>
    <s v="No"/>
    <x v="0"/>
  </r>
  <r>
    <s v="INC101760"/>
    <d v="2025-04-16T00:00:00"/>
    <d v="2025-04-17T00:43:48"/>
    <x v="0"/>
    <x v="3"/>
    <s v="Peripheral"/>
    <s v="Application Support"/>
    <s v="Hyderabad"/>
    <s v="Phone"/>
    <s v="Resolved"/>
    <n v="48"/>
    <n v="24.73"/>
    <n v="4.5999999999999996"/>
    <s v="No"/>
    <x v="0"/>
  </r>
  <r>
    <s v="INC101761"/>
    <d v="2025-03-11T00:00:00"/>
    <d v="2025-03-11T00:47:24"/>
    <x v="2"/>
    <x v="4"/>
    <s v="Mailbox"/>
    <s v="Service Desk"/>
    <s v="Bengaluru"/>
    <s v="Portal"/>
    <s v="Resolved"/>
    <n v="4"/>
    <n v="0.79"/>
    <n v="3.5"/>
    <s v="No"/>
    <x v="0"/>
  </r>
  <r>
    <s v="INC101762"/>
    <d v="2025-03-16T00:00:00"/>
    <d v="2025-03-16T03:40:12"/>
    <x v="3"/>
    <x v="2"/>
    <s v="Link Down"/>
    <s v="Network Support"/>
    <s v="Delhi"/>
    <s v="Chat"/>
    <s v="Resolved"/>
    <n v="8"/>
    <n v="3.67"/>
    <n v="4"/>
    <s v="Yes"/>
    <x v="0"/>
  </r>
  <r>
    <s v="INC101763"/>
    <d v="2025-01-02T00:00:00"/>
    <d v="2025-01-03T05:58:12"/>
    <x v="0"/>
    <x v="0"/>
    <s v="Installation"/>
    <s v="Access Management"/>
    <s v="Delhi"/>
    <s v="Portal"/>
    <s v="Resolved"/>
    <n v="48"/>
    <n v="29.97"/>
    <n v="4.2"/>
    <s v="No"/>
    <x v="0"/>
  </r>
  <r>
    <s v="INC101764"/>
    <d v="2025-04-19T00:00:00"/>
    <d v="2025-04-19T02:46:12"/>
    <x v="3"/>
    <x v="1"/>
    <s v="Account Lock"/>
    <s v="Desktop Support"/>
    <s v="Delhi"/>
    <s v="Portal"/>
    <s v="Resolved"/>
    <n v="8"/>
    <n v="2.77"/>
    <n v="4.9000000000000004"/>
    <s v="No"/>
    <x v="0"/>
  </r>
  <r>
    <s v="INC101765"/>
    <d v="2025-04-15T00:00:00"/>
    <d v="2025-04-15T12:49:48"/>
    <x v="1"/>
    <x v="2"/>
    <s v="Packet Loss"/>
    <s v="Access Management"/>
    <s v="Gurugram"/>
    <s v="Phone"/>
    <s v="Resolved"/>
    <n v="24"/>
    <n v="12.83"/>
    <n v="4.4000000000000004"/>
    <s v="No"/>
    <x v="0"/>
  </r>
  <r>
    <s v="INC101766"/>
    <d v="2025-06-19T00:00:00"/>
    <d v="2025-06-20T11:21:36"/>
    <x v="1"/>
    <x v="0"/>
    <s v="Application Error"/>
    <s v="Service Desk"/>
    <s v="Gurugram"/>
    <s v="Portal"/>
    <s v="Closed"/>
    <n v="24"/>
    <n v="35.36"/>
    <n v="3.8"/>
    <s v="No"/>
    <x v="1"/>
  </r>
  <r>
    <s v="INC101767"/>
    <d v="2025-04-02T00:00:00"/>
    <d v="2025-04-02T19:25:48"/>
    <x v="1"/>
    <x v="3"/>
    <s v="Printer"/>
    <s v="Service Desk"/>
    <s v="Delhi"/>
    <s v="Portal"/>
    <s v="Closed"/>
    <n v="24"/>
    <n v="19.43"/>
    <n v="3.1"/>
    <s v="Yes"/>
    <x v="0"/>
  </r>
  <r>
    <s v="INC101768"/>
    <d v="2025-03-26T00:00:00"/>
    <d v="2025-03-26T05:49:48"/>
    <x v="3"/>
    <x v="1"/>
    <s v="Password Reset"/>
    <s v="Access Management"/>
    <s v="Bengaluru"/>
    <s v="Portal"/>
    <s v="Closed"/>
    <n v="8"/>
    <n v="5.83"/>
    <n v="4.4000000000000004"/>
    <s v="Yes"/>
    <x v="0"/>
  </r>
  <r>
    <s v="INC101769"/>
    <d v="2025-01-13T00:00:00"/>
    <d v="2025-01-13T02:58:12"/>
    <x v="3"/>
    <x v="4"/>
    <s v="Spam"/>
    <s v="Desktop Support"/>
    <s v="Noida"/>
    <s v="Chat"/>
    <s v="Closed"/>
    <n v="8"/>
    <n v="2.97"/>
    <n v="5"/>
    <s v="No"/>
    <x v="0"/>
  </r>
  <r>
    <s v="INC101770"/>
    <d v="2025-02-05T00:00:00"/>
    <d v="2025-02-05T02:30:36"/>
    <x v="3"/>
    <x v="1"/>
    <s v="Permission"/>
    <s v="Application Support"/>
    <s v="Bengaluru"/>
    <s v="Email"/>
    <s v="Pending"/>
    <n v="8"/>
    <n v="2.5099999999999998"/>
    <n v="4.7"/>
    <s v="No"/>
    <x v="0"/>
  </r>
  <r>
    <s v="INC101771"/>
    <d v="2025-03-03T00:00:00"/>
    <d v="2025-03-03T01:55:12"/>
    <x v="2"/>
    <x v="2"/>
    <s v="Link Down"/>
    <s v="Service Desk"/>
    <s v="Bengaluru"/>
    <s v="Chat"/>
    <s v="Resolved"/>
    <n v="4"/>
    <n v="1.92"/>
    <n v="4.5"/>
    <s v="Yes"/>
    <x v="0"/>
  </r>
  <r>
    <s v="INC101772"/>
    <d v="2025-03-10T00:00:00"/>
    <d v="2025-03-10T17:12:36"/>
    <x v="1"/>
    <x v="1"/>
    <s v="Account Lock"/>
    <s v="Application Support"/>
    <s v="Gurugram"/>
    <s v="Portal"/>
    <s v="Pending"/>
    <n v="24"/>
    <n v="17.21"/>
    <n v="4.5"/>
    <s v="No"/>
    <x v="0"/>
  </r>
  <r>
    <s v="INC101773"/>
    <d v="2025-03-07T00:00:00"/>
    <d v="2025-03-07T04:44:24"/>
    <x v="3"/>
    <x v="4"/>
    <s v="Delivery"/>
    <s v="Desktop Support"/>
    <s v="Bengaluru"/>
    <s v="Portal"/>
    <s v="Resolved"/>
    <n v="8"/>
    <n v="4.74"/>
    <n v="3.9"/>
    <s v="No"/>
    <x v="0"/>
  </r>
  <r>
    <s v="INC101774"/>
    <d v="2025-03-13T00:00:00"/>
    <d v="2025-03-13T04:23:24"/>
    <x v="3"/>
    <x v="0"/>
    <s v="Application Error"/>
    <s v="Access Management"/>
    <s v="Hyderabad"/>
    <s v="Portal"/>
    <s v="Resolved"/>
    <n v="8"/>
    <n v="4.3899999999999997"/>
    <n v="3.7"/>
    <s v="No"/>
    <x v="0"/>
  </r>
  <r>
    <s v="INC101775"/>
    <d v="2025-05-20T00:00:00"/>
    <d v="2025-05-21T19:20:24"/>
    <x v="0"/>
    <x v="0"/>
    <s v="License"/>
    <s v="Desktop Support"/>
    <s v="Gurugram"/>
    <s v="Portal"/>
    <s v="Resolved"/>
    <n v="48"/>
    <n v="43.34"/>
    <n v="4"/>
    <s v="No"/>
    <x v="0"/>
  </r>
  <r>
    <s v="INC101776"/>
    <d v="2025-01-24T00:00:00"/>
    <d v="2025-01-25T09:00:00"/>
    <x v="0"/>
    <x v="2"/>
    <s v="DNS"/>
    <s v="Network Support"/>
    <s v="Gurugram"/>
    <s v="Portal"/>
    <s v="Resolved"/>
    <n v="48"/>
    <n v="33"/>
    <n v="3.1"/>
    <s v="No"/>
    <x v="0"/>
  </r>
  <r>
    <s v="INC101777"/>
    <d v="2025-03-02T00:00:00"/>
    <d v="2025-03-02T20:44:24"/>
    <x v="1"/>
    <x v="1"/>
    <s v="VPN Access"/>
    <s v="Application Support"/>
    <s v="Bengaluru"/>
    <s v="Portal"/>
    <s v="Resolved"/>
    <n v="24"/>
    <n v="20.74"/>
    <n v="4.2"/>
    <s v="No"/>
    <x v="0"/>
  </r>
  <r>
    <s v="INC101778"/>
    <d v="2025-01-30T00:00:00"/>
    <d v="2025-01-30T01:51:36"/>
    <x v="3"/>
    <x v="2"/>
    <s v="Link Down"/>
    <s v="Access Management"/>
    <s v="Mumbai"/>
    <s v="Email"/>
    <s v="Resolved"/>
    <n v="8"/>
    <n v="1.86"/>
    <n v="5"/>
    <s v="No"/>
    <x v="0"/>
  </r>
  <r>
    <s v="INC101779"/>
    <d v="2025-02-25T00:00:00"/>
    <d v="2025-02-25T08:03:00"/>
    <x v="0"/>
    <x v="3"/>
    <s v="Monitor"/>
    <s v="Access Management"/>
    <s v="Bengaluru"/>
    <s v="Phone"/>
    <s v="Closed"/>
    <n v="48"/>
    <n v="8.0500000000000007"/>
    <n v="3.8"/>
    <s v="Yes"/>
    <x v="0"/>
  </r>
  <r>
    <s v="INC101780"/>
    <d v="2025-05-04T00:00:00"/>
    <d v="2025-05-05T09:21:00"/>
    <x v="1"/>
    <x v="4"/>
    <s v="Configuration"/>
    <s v="Network Support"/>
    <s v="Mumbai"/>
    <s v="Portal"/>
    <s v="In Progress"/>
    <n v="24"/>
    <n v="33.35"/>
    <n v="3.4"/>
    <s v="No"/>
    <x v="1"/>
  </r>
  <r>
    <s v="INC101781"/>
    <d v="2025-01-09T00:00:00"/>
    <d v="2025-01-09T01:58:48"/>
    <x v="0"/>
    <x v="4"/>
    <s v="Delivery"/>
    <s v="Access Management"/>
    <s v="Delhi"/>
    <s v="Email"/>
    <s v="Resolved"/>
    <n v="48"/>
    <n v="1.98"/>
    <n v="4.8"/>
    <s v="No"/>
    <x v="0"/>
  </r>
  <r>
    <s v="INC101782"/>
    <d v="2025-03-03T00:00:00"/>
    <d v="2025-03-03T04:31:12"/>
    <x v="1"/>
    <x v="4"/>
    <s v="Configuration"/>
    <s v="Service Desk"/>
    <s v="Delhi"/>
    <s v="Portal"/>
    <s v="Resolved"/>
    <n v="24"/>
    <n v="4.5199999999999996"/>
    <n v="5"/>
    <s v="No"/>
    <x v="0"/>
  </r>
  <r>
    <s v="INC101783"/>
    <d v="2025-01-05T00:00:00"/>
    <d v="2025-01-05T08:51:00"/>
    <x v="1"/>
    <x v="3"/>
    <s v="Laptop"/>
    <s v="Access Management"/>
    <s v="Noida"/>
    <s v="Email"/>
    <s v="Closed"/>
    <n v="24"/>
    <n v="8.85"/>
    <n v="5"/>
    <s v="No"/>
    <x v="0"/>
  </r>
  <r>
    <s v="INC101784"/>
    <d v="2025-06-22T00:00:00"/>
    <d v="2025-06-24T08:05:24"/>
    <x v="0"/>
    <x v="2"/>
    <s v="DNS"/>
    <s v="Application Support"/>
    <s v="Gurugram"/>
    <s v="Phone"/>
    <s v="Resolved"/>
    <n v="48"/>
    <n v="56.09"/>
    <n v="4.0999999999999996"/>
    <s v="No"/>
    <x v="1"/>
  </r>
  <r>
    <s v="INC101785"/>
    <d v="2025-05-12T00:00:00"/>
    <d v="2025-05-12T01:18:00"/>
    <x v="3"/>
    <x v="0"/>
    <s v="Performance"/>
    <s v="Access Management"/>
    <s v="Delhi"/>
    <s v="Phone"/>
    <s v="Resolved"/>
    <n v="8"/>
    <n v="1.3"/>
    <n v="5"/>
    <s v="No"/>
    <x v="0"/>
  </r>
  <r>
    <s v="INC101786"/>
    <d v="2025-02-14T00:00:00"/>
    <d v="2025-02-14T03:55:48"/>
    <x v="0"/>
    <x v="2"/>
    <s v="DNS"/>
    <s v="Service Desk"/>
    <s v="Gurugram"/>
    <s v="Phone"/>
    <s v="Resolved"/>
    <n v="48"/>
    <n v="3.93"/>
    <n v="4.7"/>
    <s v="No"/>
    <x v="0"/>
  </r>
  <r>
    <s v="INC101787"/>
    <d v="2025-02-05T00:00:00"/>
    <d v="2025-02-05T01:57:36"/>
    <x v="3"/>
    <x v="1"/>
    <s v="VPN Access"/>
    <s v="Application Support"/>
    <s v="Gurugram"/>
    <s v="Portal"/>
    <s v="Closed"/>
    <n v="8"/>
    <n v="1.96"/>
    <n v="4.9000000000000004"/>
    <s v="No"/>
    <x v="0"/>
  </r>
  <r>
    <s v="INC101788"/>
    <d v="2025-01-18T00:00:00"/>
    <d v="2025-01-18T16:02:24"/>
    <x v="0"/>
    <x v="0"/>
    <s v="Application Error"/>
    <s v="Application Support"/>
    <s v="Hyderabad"/>
    <s v="Email"/>
    <s v="Resolved"/>
    <n v="48"/>
    <n v="16.04"/>
    <n v="4.4000000000000004"/>
    <s v="No"/>
    <x v="0"/>
  </r>
  <r>
    <s v="INC101789"/>
    <d v="2025-03-27T00:00:00"/>
    <d v="2025-03-27T02:07:12"/>
    <x v="2"/>
    <x v="3"/>
    <s v="Laptop"/>
    <s v="Network Support"/>
    <s v="Mumbai"/>
    <s v="Phone"/>
    <s v="Resolved"/>
    <n v="4"/>
    <n v="2.12"/>
    <n v="3.7"/>
    <s v="No"/>
    <x v="0"/>
  </r>
  <r>
    <s v="INC101790"/>
    <d v="2025-05-17T00:00:00"/>
    <d v="2025-05-17T17:45:00"/>
    <x v="1"/>
    <x v="2"/>
    <s v="Connectivity"/>
    <s v="Application Support"/>
    <s v="Noida"/>
    <s v="Chat"/>
    <s v="Resolved"/>
    <n v="24"/>
    <n v="17.75"/>
    <n v="4.2"/>
    <s v="No"/>
    <x v="0"/>
  </r>
  <r>
    <s v="INC101791"/>
    <d v="2025-04-16T00:00:00"/>
    <d v="2025-04-17T20:19:12"/>
    <x v="0"/>
    <x v="3"/>
    <s v="Printer"/>
    <s v="Network Support"/>
    <s v="Hyderabad"/>
    <s v="Email"/>
    <s v="Resolved"/>
    <n v="48"/>
    <n v="44.32"/>
    <n v="3.8"/>
    <s v="No"/>
    <x v="0"/>
  </r>
  <r>
    <s v="INC101792"/>
    <d v="2025-06-09T00:00:00"/>
    <d v="2025-06-09T06:12:00"/>
    <x v="0"/>
    <x v="1"/>
    <s v="VPN Access"/>
    <s v="Access Management"/>
    <s v="Hyderabad"/>
    <s v="Email"/>
    <s v="Resolved"/>
    <n v="48"/>
    <n v="6.2"/>
    <n v="4.7"/>
    <s v="No"/>
    <x v="0"/>
  </r>
  <r>
    <s v="INC101793"/>
    <d v="2025-03-04T00:00:00"/>
    <d v="2025-03-04T01:43:48"/>
    <x v="0"/>
    <x v="0"/>
    <s v="Application Error"/>
    <s v="Network Support"/>
    <s v="Gurugram"/>
    <s v="Phone"/>
    <s v="Resolved"/>
    <n v="48"/>
    <n v="1.73"/>
    <n v="4.9000000000000004"/>
    <s v="No"/>
    <x v="0"/>
  </r>
  <r>
    <s v="INC101794"/>
    <d v="2025-02-20T00:00:00"/>
    <d v="2025-02-20T12:23:24"/>
    <x v="1"/>
    <x v="2"/>
    <s v="Connectivity"/>
    <s v="Network Support"/>
    <s v="Noida"/>
    <s v="Chat"/>
    <s v="In Progress"/>
    <n v="24"/>
    <n v="12.39"/>
    <n v="4.4000000000000004"/>
    <s v="No"/>
    <x v="0"/>
  </r>
  <r>
    <s v="INC101795"/>
    <d v="2025-03-28T00:00:00"/>
    <d v="2025-03-28T01:16:12"/>
    <x v="3"/>
    <x v="2"/>
    <s v="Link Down"/>
    <s v="Desktop Support"/>
    <s v="Hyderabad"/>
    <s v="Portal"/>
    <s v="Resolved"/>
    <n v="8"/>
    <n v="1.27"/>
    <n v="5"/>
    <s v="No"/>
    <x v="0"/>
  </r>
  <r>
    <s v="INC101796"/>
    <d v="2025-02-06T00:00:00"/>
    <d v="2025-02-06T07:19:48"/>
    <x v="1"/>
    <x v="3"/>
    <s v="Monitor"/>
    <s v="Network Support"/>
    <s v="Noida"/>
    <s v="Portal"/>
    <s v="Resolved"/>
    <n v="24"/>
    <n v="7.33"/>
    <n v="4.3"/>
    <s v="No"/>
    <x v="0"/>
  </r>
  <r>
    <s v="INC101797"/>
    <d v="2025-06-26T00:00:00"/>
    <d v="2025-06-26T09:16:12"/>
    <x v="1"/>
    <x v="2"/>
    <s v="Connectivity"/>
    <s v="Network Support"/>
    <s v="Noida"/>
    <s v="Phone"/>
    <s v="Resolved"/>
    <n v="24"/>
    <n v="9.27"/>
    <n v="3.7"/>
    <s v="No"/>
    <x v="0"/>
  </r>
  <r>
    <s v="INC101798"/>
    <d v="2025-02-03T00:00:00"/>
    <d v="2025-02-03T07:47:24"/>
    <x v="1"/>
    <x v="4"/>
    <s v="Delivery"/>
    <s v="Network Support"/>
    <s v="Hyderabad"/>
    <s v="Phone"/>
    <s v="Pending"/>
    <n v="24"/>
    <n v="7.79"/>
    <n v="5"/>
    <s v="No"/>
    <x v="0"/>
  </r>
  <r>
    <s v="INC101799"/>
    <d v="2025-03-28T00:00:00"/>
    <d v="2025-03-28T01:42:00"/>
    <x v="1"/>
    <x v="0"/>
    <s v="License"/>
    <s v="Service Desk"/>
    <s v="Bengaluru"/>
    <s v="Portal"/>
    <s v="Resolved"/>
    <n v="24"/>
    <n v="1.7"/>
    <n v="5"/>
    <s v="No"/>
    <x v="0"/>
  </r>
  <r>
    <s v="INC101800"/>
    <d v="2025-04-05T00:00:00"/>
    <d v="2025-04-05T13:22:48"/>
    <x v="1"/>
    <x v="2"/>
    <s v="Connectivity"/>
    <s v="Desktop Support"/>
    <s v="Noida"/>
    <s v="Portal"/>
    <s v="Closed"/>
    <n v="24"/>
    <n v="13.38"/>
    <n v="4.5999999999999996"/>
    <s v="No"/>
    <x v="0"/>
  </r>
  <r>
    <s v="INC101801"/>
    <d v="2025-01-11T00:00:00"/>
    <d v="2025-01-12T17:39:00"/>
    <x v="1"/>
    <x v="1"/>
    <s v="Password Reset"/>
    <s v="Network Support"/>
    <s v="Hyderabad"/>
    <s v="Email"/>
    <s v="In Progress"/>
    <n v="24"/>
    <n v="41.65"/>
    <n v="2.2000000000000002"/>
    <s v="No"/>
    <x v="1"/>
  </r>
  <r>
    <s v="INC101802"/>
    <d v="2025-03-26T00:00:00"/>
    <d v="2025-03-26T11:03:00"/>
    <x v="1"/>
    <x v="3"/>
    <s v="Laptop"/>
    <s v="Network Support"/>
    <s v="Mumbai"/>
    <s v="Phone"/>
    <s v="Pending"/>
    <n v="24"/>
    <n v="11.05"/>
    <n v="4.4000000000000004"/>
    <s v="No"/>
    <x v="0"/>
  </r>
  <r>
    <s v="INC101803"/>
    <d v="2025-03-24T00:00:00"/>
    <d v="2025-03-24T07:41:24"/>
    <x v="2"/>
    <x v="2"/>
    <s v="Connectivity"/>
    <s v="Application Support"/>
    <s v="Noida"/>
    <s v="Phone"/>
    <s v="In Progress"/>
    <n v="4"/>
    <n v="7.69"/>
    <n v="2.9"/>
    <s v="No"/>
    <x v="1"/>
  </r>
  <r>
    <s v="INC101804"/>
    <d v="2025-02-16T00:00:00"/>
    <d v="2025-02-16T00:58:12"/>
    <x v="1"/>
    <x v="0"/>
    <s v="Installation"/>
    <s v="Service Desk"/>
    <s v="Noida"/>
    <s v="Portal"/>
    <s v="Resolved"/>
    <n v="24"/>
    <n v="0.97"/>
    <n v="4.3"/>
    <s v="No"/>
    <x v="0"/>
  </r>
  <r>
    <s v="INC101805"/>
    <d v="2025-01-24T00:00:00"/>
    <d v="2025-01-24T11:33:00"/>
    <x v="0"/>
    <x v="2"/>
    <s v="Connectivity"/>
    <s v="Application Support"/>
    <s v="Delhi"/>
    <s v="Portal"/>
    <s v="Resolved"/>
    <n v="48"/>
    <n v="11.55"/>
    <n v="4.2"/>
    <s v="No"/>
    <x v="0"/>
  </r>
  <r>
    <s v="INC101806"/>
    <d v="2025-01-09T00:00:00"/>
    <d v="2025-01-12T02:23:24"/>
    <x v="0"/>
    <x v="3"/>
    <s v="Monitor"/>
    <s v="Access Management"/>
    <s v="Delhi"/>
    <s v="Phone"/>
    <s v="Pending"/>
    <n v="48"/>
    <n v="74.39"/>
    <n v="3"/>
    <s v="No"/>
    <x v="1"/>
  </r>
  <r>
    <s v="INC101807"/>
    <d v="2025-01-02T00:00:00"/>
    <d v="2025-01-02T05:37:12"/>
    <x v="1"/>
    <x v="1"/>
    <s v="Password Reset"/>
    <s v="Network Support"/>
    <s v="Hyderabad"/>
    <s v="Portal"/>
    <s v="Closed"/>
    <n v="24"/>
    <n v="5.62"/>
    <n v="5"/>
    <s v="No"/>
    <x v="0"/>
  </r>
  <r>
    <s v="INC101808"/>
    <d v="2025-03-29T00:00:00"/>
    <d v="2025-03-29T14:07:12"/>
    <x v="1"/>
    <x v="4"/>
    <s v="Delivery"/>
    <s v="Access Management"/>
    <s v="Delhi"/>
    <s v="Email"/>
    <s v="Closed"/>
    <n v="24"/>
    <n v="14.12"/>
    <n v="4.4000000000000004"/>
    <s v="No"/>
    <x v="0"/>
  </r>
  <r>
    <s v="INC101809"/>
    <d v="2025-01-17T00:00:00"/>
    <d v="2025-01-17T03:45:00"/>
    <x v="3"/>
    <x v="3"/>
    <s v="Monitor"/>
    <s v="Application Support"/>
    <s v="Hyderabad"/>
    <s v="Email"/>
    <s v="In Progress"/>
    <n v="8"/>
    <n v="3.75"/>
    <n v="4.0999999999999996"/>
    <s v="No"/>
    <x v="0"/>
  </r>
  <r>
    <s v="INC101810"/>
    <d v="2025-06-23T00:00:00"/>
    <d v="2025-06-23T09:00:36"/>
    <x v="1"/>
    <x v="0"/>
    <s v="Application Error"/>
    <s v="Access Management"/>
    <s v="Gurugram"/>
    <s v="Portal"/>
    <s v="Closed"/>
    <n v="24"/>
    <n v="9.01"/>
    <n v="4.4000000000000004"/>
    <s v="No"/>
    <x v="0"/>
  </r>
  <r>
    <s v="INC101811"/>
    <d v="2025-02-14T00:00:00"/>
    <d v="2025-02-14T22:20:24"/>
    <x v="1"/>
    <x v="2"/>
    <s v="Connectivity"/>
    <s v="Desktop Support"/>
    <s v="Bengaluru"/>
    <s v="Phone"/>
    <s v="Closed"/>
    <n v="24"/>
    <n v="22.34"/>
    <n v="3.4"/>
    <s v="No"/>
    <x v="0"/>
  </r>
  <r>
    <s v="INC101812"/>
    <d v="2025-04-29T00:00:00"/>
    <d v="2025-04-29T03:51:00"/>
    <x v="3"/>
    <x v="0"/>
    <s v="Installation"/>
    <s v="Network Support"/>
    <s v="Mumbai"/>
    <s v="Portal"/>
    <s v="Resolved"/>
    <n v="8"/>
    <n v="3.85"/>
    <n v="4.2"/>
    <s v="No"/>
    <x v="0"/>
  </r>
  <r>
    <s v="INC101813"/>
    <d v="2025-05-02T00:00:00"/>
    <d v="2025-05-03T15:16:12"/>
    <x v="0"/>
    <x v="2"/>
    <s v="Packet Loss"/>
    <s v="Access Management"/>
    <s v="Hyderabad"/>
    <s v="Phone"/>
    <s v="Resolved"/>
    <n v="48"/>
    <n v="39.270000000000003"/>
    <n v="4.5"/>
    <s v="No"/>
    <x v="0"/>
  </r>
  <r>
    <s v="INC101814"/>
    <d v="2025-03-31T00:00:00"/>
    <d v="2025-03-31T12:36:36"/>
    <x v="3"/>
    <x v="0"/>
    <s v="Application Error"/>
    <s v="Desktop Support"/>
    <s v="Noida"/>
    <s v="Email"/>
    <s v="Resolved"/>
    <n v="8"/>
    <n v="12.61"/>
    <n v="1.9"/>
    <s v="No"/>
    <x v="1"/>
  </r>
  <r>
    <s v="INC101815"/>
    <d v="2025-06-09T00:00:00"/>
    <d v="2025-06-10T21:39:00"/>
    <x v="0"/>
    <x v="2"/>
    <s v="Link Down"/>
    <s v="Network Support"/>
    <s v="Hyderabad"/>
    <s v="Email"/>
    <s v="Closed"/>
    <n v="48"/>
    <n v="45.65"/>
    <n v="4.7"/>
    <s v="No"/>
    <x v="0"/>
  </r>
  <r>
    <s v="INC101816"/>
    <d v="2025-01-21T00:00:00"/>
    <d v="2025-01-21T04:28:48"/>
    <x v="1"/>
    <x v="4"/>
    <s v="Delivery"/>
    <s v="Network Support"/>
    <s v="Noida"/>
    <s v="Phone"/>
    <s v="Pending"/>
    <n v="24"/>
    <n v="4.4800000000000004"/>
    <n v="5"/>
    <s v="No"/>
    <x v="0"/>
  </r>
  <r>
    <s v="INC101817"/>
    <d v="2025-02-12T00:00:00"/>
    <d v="2025-02-12T17:34:47"/>
    <x v="3"/>
    <x v="4"/>
    <s v="Spam"/>
    <s v="Service Desk"/>
    <s v="Hyderabad"/>
    <s v="Portal"/>
    <s v="In Progress"/>
    <n v="8"/>
    <n v="17.579999999999998"/>
    <n v="2.5"/>
    <s v="No"/>
    <x v="1"/>
  </r>
  <r>
    <s v="INC101818"/>
    <d v="2025-02-15T00:00:00"/>
    <d v="2025-02-15T05:46:12"/>
    <x v="3"/>
    <x v="3"/>
    <s v="Laptop"/>
    <s v="Service Desk"/>
    <s v="Delhi"/>
    <s v="Phone"/>
    <s v="Resolved"/>
    <n v="8"/>
    <n v="5.77"/>
    <n v="3.6"/>
    <s v="No"/>
    <x v="0"/>
  </r>
  <r>
    <s v="INC101819"/>
    <d v="2025-01-25T00:00:00"/>
    <d v="2025-01-25T03:14:24"/>
    <x v="3"/>
    <x v="1"/>
    <s v="Account Lock"/>
    <s v="Desktop Support"/>
    <s v="Gurugram"/>
    <s v="Portal"/>
    <s v="Closed"/>
    <n v="8"/>
    <n v="3.24"/>
    <n v="5"/>
    <s v="No"/>
    <x v="0"/>
  </r>
  <r>
    <s v="INC101820"/>
    <d v="2025-02-23T00:00:00"/>
    <d v="2025-02-23T03:45:00"/>
    <x v="1"/>
    <x v="2"/>
    <s v="Connectivity"/>
    <s v="Desktop Support"/>
    <s v="Bengaluru"/>
    <s v="Chat"/>
    <s v="Resolved"/>
    <n v="24"/>
    <n v="3.75"/>
    <n v="5"/>
    <s v="No"/>
    <x v="0"/>
  </r>
  <r>
    <s v="INC101821"/>
    <d v="2025-02-26T00:00:00"/>
    <d v="2025-02-26T04:02:24"/>
    <x v="3"/>
    <x v="1"/>
    <s v="VPN Access"/>
    <s v="Access Management"/>
    <s v="Mumbai"/>
    <s v="Portal"/>
    <s v="Resolved"/>
    <n v="8"/>
    <n v="4.04"/>
    <n v="4.0999999999999996"/>
    <s v="No"/>
    <x v="0"/>
  </r>
  <r>
    <s v="INC101822"/>
    <d v="2025-05-19T00:00:00"/>
    <d v="2025-05-19T06:10:48"/>
    <x v="1"/>
    <x v="3"/>
    <s v="Peripheral"/>
    <s v="Access Management"/>
    <s v="Mumbai"/>
    <s v="Email"/>
    <s v="Pending"/>
    <n v="24"/>
    <n v="6.18"/>
    <n v="4.0999999999999996"/>
    <s v="No"/>
    <x v="0"/>
  </r>
  <r>
    <s v="INC101823"/>
    <d v="2025-02-24T00:00:00"/>
    <d v="2025-02-24T02:51:36"/>
    <x v="1"/>
    <x v="2"/>
    <s v="Link Down"/>
    <s v="Application Support"/>
    <s v="Noida"/>
    <s v="Portal"/>
    <s v="Pending"/>
    <n v="24"/>
    <n v="2.86"/>
    <n v="4.5999999999999996"/>
    <s v="No"/>
    <x v="0"/>
  </r>
  <r>
    <s v="INC101824"/>
    <d v="2025-06-08T00:00:00"/>
    <d v="2025-06-08T08:13:12"/>
    <x v="0"/>
    <x v="0"/>
    <s v="Application Error"/>
    <s v="Application Support"/>
    <s v="Bengaluru"/>
    <s v="Portal"/>
    <s v="Closed"/>
    <n v="48"/>
    <n v="8.2200000000000006"/>
    <n v="4.9000000000000004"/>
    <s v="No"/>
    <x v="0"/>
  </r>
  <r>
    <s v="INC101825"/>
    <d v="2025-05-20T00:00:00"/>
    <d v="2025-05-20T04:43:12"/>
    <x v="0"/>
    <x v="3"/>
    <s v="Laptop"/>
    <s v="Access Management"/>
    <s v="Bengaluru"/>
    <s v="Portal"/>
    <s v="Closed"/>
    <n v="48"/>
    <n v="4.72"/>
    <n v="5"/>
    <s v="No"/>
    <x v="0"/>
  </r>
  <r>
    <s v="INC101826"/>
    <d v="2025-06-13T00:00:00"/>
    <d v="2025-06-13T08:33:36"/>
    <x v="1"/>
    <x v="0"/>
    <s v="Performance"/>
    <s v="Service Desk"/>
    <s v="Hyderabad"/>
    <s v="Portal"/>
    <s v="Resolved"/>
    <n v="24"/>
    <n v="8.56"/>
    <n v="4.8"/>
    <s v="No"/>
    <x v="0"/>
  </r>
  <r>
    <s v="INC101827"/>
    <d v="2025-01-20T00:00:00"/>
    <d v="2025-01-20T20:56:24"/>
    <x v="0"/>
    <x v="0"/>
    <s v="License"/>
    <s v="Desktop Support"/>
    <s v="Delhi"/>
    <s v="Portal"/>
    <s v="Closed"/>
    <n v="48"/>
    <n v="20.94"/>
    <n v="4.8"/>
    <s v="No"/>
    <x v="0"/>
  </r>
  <r>
    <s v="INC101828"/>
    <d v="2025-06-28T00:00:00"/>
    <d v="2025-06-28T05:12:36"/>
    <x v="3"/>
    <x v="2"/>
    <s v="Link Down"/>
    <s v="Application Support"/>
    <s v="Delhi"/>
    <s v="Portal"/>
    <s v="Resolved"/>
    <n v="8"/>
    <n v="5.21"/>
    <n v="4"/>
    <s v="No"/>
    <x v="0"/>
  </r>
  <r>
    <s v="INC101829"/>
    <d v="2025-04-22T00:00:00"/>
    <d v="2025-04-22T05:39:00"/>
    <x v="3"/>
    <x v="2"/>
    <s v="Packet Loss"/>
    <s v="Service Desk"/>
    <s v="Bengaluru"/>
    <s v="Phone"/>
    <s v="Resolved"/>
    <n v="8"/>
    <n v="5.65"/>
    <n v="4.7"/>
    <s v="No"/>
    <x v="0"/>
  </r>
  <r>
    <s v="INC101830"/>
    <d v="2025-06-27T00:00:00"/>
    <d v="2025-06-27T02:28:12"/>
    <x v="3"/>
    <x v="0"/>
    <s v="Application Error"/>
    <s v="Access Management"/>
    <s v="Delhi"/>
    <s v="Email"/>
    <s v="Closed"/>
    <n v="8"/>
    <n v="2.4700000000000002"/>
    <n v="4.5"/>
    <s v="No"/>
    <x v="0"/>
  </r>
  <r>
    <s v="INC101831"/>
    <d v="2025-03-06T00:00:00"/>
    <d v="2025-03-06T16:30:00"/>
    <x v="0"/>
    <x v="0"/>
    <s v="License"/>
    <s v="Service Desk"/>
    <s v="Gurugram"/>
    <s v="Portal"/>
    <s v="Resolved"/>
    <n v="48"/>
    <n v="16.5"/>
    <n v="5"/>
    <s v="No"/>
    <x v="0"/>
  </r>
  <r>
    <s v="INC101832"/>
    <d v="2025-06-22T00:00:00"/>
    <d v="2025-06-22T04:30:00"/>
    <x v="3"/>
    <x v="2"/>
    <s v="Link Down"/>
    <s v="Network Support"/>
    <s v="Bengaluru"/>
    <s v="Chat"/>
    <s v="Closed"/>
    <n v="8"/>
    <n v="4.5"/>
    <n v="3.9"/>
    <s v="Yes"/>
    <x v="0"/>
  </r>
  <r>
    <s v="INC101833"/>
    <d v="2025-04-17T00:00:00"/>
    <d v="2025-04-17T08:38:24"/>
    <x v="0"/>
    <x v="3"/>
    <s v="Laptop"/>
    <s v="Service Desk"/>
    <s v="Gurugram"/>
    <s v="Email"/>
    <s v="Resolved"/>
    <n v="48"/>
    <n v="8.64"/>
    <n v="5"/>
    <s v="No"/>
    <x v="0"/>
  </r>
  <r>
    <s v="INC101834"/>
    <d v="2025-01-13T00:00:00"/>
    <d v="2025-01-13T19:04:48"/>
    <x v="1"/>
    <x v="0"/>
    <s v="License"/>
    <s v="Access Management"/>
    <s v="Gurugram"/>
    <s v="Portal"/>
    <s v="Resolved"/>
    <n v="24"/>
    <n v="19.079999999999998"/>
    <n v="5"/>
    <s v="No"/>
    <x v="0"/>
  </r>
  <r>
    <s v="INC101835"/>
    <d v="2025-03-16T00:00:00"/>
    <d v="2025-03-16T02:57:00"/>
    <x v="3"/>
    <x v="0"/>
    <s v="License"/>
    <s v="Service Desk"/>
    <s v="Noida"/>
    <s v="Portal"/>
    <s v="Resolved"/>
    <n v="8"/>
    <n v="2.95"/>
    <n v="5"/>
    <s v="Yes"/>
    <x v="0"/>
  </r>
  <r>
    <s v="INC101836"/>
    <d v="2025-01-25T00:00:00"/>
    <d v="2025-01-26T18:51:00"/>
    <x v="0"/>
    <x v="1"/>
    <s v="Account Lock"/>
    <s v="Service Desk"/>
    <s v="Mumbai"/>
    <s v="Email"/>
    <s v="Resolved"/>
    <n v="48"/>
    <n v="42.85"/>
    <n v="4.4000000000000004"/>
    <s v="No"/>
    <x v="0"/>
  </r>
  <r>
    <s v="INC101837"/>
    <d v="2025-06-20T00:00:00"/>
    <d v="2025-06-21T01:04:48"/>
    <x v="0"/>
    <x v="3"/>
    <s v="Peripheral"/>
    <s v="Access Management"/>
    <s v="Noida"/>
    <s v="Email"/>
    <s v="Resolved"/>
    <n v="48"/>
    <n v="25.08"/>
    <n v="4.5999999999999996"/>
    <s v="No"/>
    <x v="0"/>
  </r>
  <r>
    <s v="INC101838"/>
    <d v="2025-02-25T00:00:00"/>
    <d v="2025-02-25T19:22:12"/>
    <x v="0"/>
    <x v="0"/>
    <s v="Application Error"/>
    <s v="Network Support"/>
    <s v="Mumbai"/>
    <s v="Phone"/>
    <s v="Closed"/>
    <n v="48"/>
    <n v="19.37"/>
    <n v="4.5999999999999996"/>
    <s v="No"/>
    <x v="0"/>
  </r>
  <r>
    <s v="INC101839"/>
    <d v="2025-02-10T00:00:00"/>
    <d v="2025-02-11T01:45:36"/>
    <x v="1"/>
    <x v="0"/>
    <s v="Installation"/>
    <s v="Network Support"/>
    <s v="Delhi"/>
    <s v="Email"/>
    <s v="Resolved"/>
    <n v="24"/>
    <n v="25.76"/>
    <n v="3.6"/>
    <s v="No"/>
    <x v="1"/>
  </r>
  <r>
    <s v="INC101840"/>
    <d v="2025-04-11T00:00:00"/>
    <d v="2025-04-11T00:54:00"/>
    <x v="3"/>
    <x v="3"/>
    <s v="Printer"/>
    <s v="Access Management"/>
    <s v="Delhi"/>
    <s v="Chat"/>
    <s v="Resolved"/>
    <n v="8"/>
    <n v="0.9"/>
    <n v="4.5"/>
    <s v="Yes"/>
    <x v="0"/>
  </r>
  <r>
    <s v="INC101841"/>
    <d v="2025-03-18T00:00:00"/>
    <d v="2025-03-19T06:13:48"/>
    <x v="0"/>
    <x v="2"/>
    <s v="Packet Loss"/>
    <s v="Service Desk"/>
    <s v="Delhi"/>
    <s v="Phone"/>
    <s v="Closed"/>
    <n v="48"/>
    <n v="30.23"/>
    <n v="3.2"/>
    <s v="No"/>
    <x v="0"/>
  </r>
  <r>
    <s v="INC101842"/>
    <d v="2025-01-18T00:00:00"/>
    <d v="2025-01-20T18:44:24"/>
    <x v="0"/>
    <x v="2"/>
    <s v="Link Down"/>
    <s v="Network Support"/>
    <s v="Hyderabad"/>
    <s v="Chat"/>
    <s v="Closed"/>
    <n v="48"/>
    <n v="66.739999999999995"/>
    <n v="3.7"/>
    <s v="No"/>
    <x v="1"/>
  </r>
  <r>
    <s v="INC101843"/>
    <d v="2025-05-28T00:00:00"/>
    <d v="2025-05-28T12:58:12"/>
    <x v="1"/>
    <x v="1"/>
    <s v="VPN Access"/>
    <s v="Desktop Support"/>
    <s v="Gurugram"/>
    <s v="Email"/>
    <s v="Closed"/>
    <n v="24"/>
    <n v="12.97"/>
    <n v="3.4"/>
    <s v="No"/>
    <x v="0"/>
  </r>
  <r>
    <s v="INC101844"/>
    <d v="2025-06-03T00:00:00"/>
    <d v="2025-06-03T22:08:24"/>
    <x v="0"/>
    <x v="2"/>
    <s v="DNS"/>
    <s v="Application Support"/>
    <s v="Delhi"/>
    <s v="Email"/>
    <s v="Resolved"/>
    <n v="48"/>
    <n v="22.14"/>
    <n v="4.9000000000000004"/>
    <s v="No"/>
    <x v="0"/>
  </r>
  <r>
    <s v="INC101845"/>
    <d v="2025-05-15T00:00:00"/>
    <d v="2025-05-15T07:16:12"/>
    <x v="3"/>
    <x v="0"/>
    <s v="Application Error"/>
    <s v="Application Support"/>
    <s v="Gurugram"/>
    <s v="Phone"/>
    <s v="Closed"/>
    <n v="8"/>
    <n v="7.27"/>
    <n v="3.7"/>
    <s v="No"/>
    <x v="0"/>
  </r>
  <r>
    <s v="INC101846"/>
    <d v="2025-04-22T00:00:00"/>
    <d v="2025-04-22T02:27:36"/>
    <x v="3"/>
    <x v="0"/>
    <s v="License"/>
    <s v="Network Support"/>
    <s v="Mumbai"/>
    <s v="Phone"/>
    <s v="Resolved"/>
    <n v="8"/>
    <n v="2.46"/>
    <n v="4"/>
    <s v="No"/>
    <x v="0"/>
  </r>
  <r>
    <s v="INC101847"/>
    <d v="2025-03-14T00:00:00"/>
    <d v="2025-03-14T03:04:12"/>
    <x v="3"/>
    <x v="3"/>
    <s v="Laptop"/>
    <s v="Service Desk"/>
    <s v="Noida"/>
    <s v="Portal"/>
    <s v="Resolved"/>
    <n v="8"/>
    <n v="3.07"/>
    <n v="5"/>
    <s v="No"/>
    <x v="0"/>
  </r>
  <r>
    <s v="INC101848"/>
    <d v="2025-04-09T00:00:00"/>
    <d v="2025-04-09T01:15:00"/>
    <x v="3"/>
    <x v="1"/>
    <s v="Permission"/>
    <s v="Application Support"/>
    <s v="Noida"/>
    <s v="Portal"/>
    <s v="Resolved"/>
    <n v="8"/>
    <n v="1.25"/>
    <n v="3.9"/>
    <s v="No"/>
    <x v="0"/>
  </r>
  <r>
    <s v="INC101849"/>
    <d v="2025-04-05T00:00:00"/>
    <d v="2025-04-05T07:00:00"/>
    <x v="1"/>
    <x v="0"/>
    <s v="Installation"/>
    <s v="Application Support"/>
    <s v="Delhi"/>
    <s v="Portal"/>
    <s v="Closed"/>
    <n v="24"/>
    <n v="7"/>
    <n v="4.2"/>
    <s v="No"/>
    <x v="0"/>
  </r>
  <r>
    <s v="INC101850"/>
    <d v="2025-01-30T00:00:00"/>
    <d v="2025-01-30T06:03:00"/>
    <x v="3"/>
    <x v="2"/>
    <s v="Link Down"/>
    <s v="Application Support"/>
    <s v="Mumbai"/>
    <s v="Portal"/>
    <s v="Resolved"/>
    <n v="8"/>
    <n v="6.05"/>
    <n v="3.7"/>
    <s v="No"/>
    <x v="0"/>
  </r>
  <r>
    <s v="INC101851"/>
    <d v="2025-01-15T00:00:00"/>
    <d v="2025-01-15T18:48:00"/>
    <x v="0"/>
    <x v="1"/>
    <s v="Password Reset"/>
    <s v="Service Desk"/>
    <s v="Gurugram"/>
    <s v="Chat"/>
    <s v="Pending"/>
    <n v="48"/>
    <n v="18.8"/>
    <n v="4.5999999999999996"/>
    <s v="Yes"/>
    <x v="0"/>
  </r>
  <r>
    <s v="INC101852"/>
    <d v="2025-02-15T00:00:00"/>
    <d v="2025-02-15T10:29:24"/>
    <x v="0"/>
    <x v="0"/>
    <s v="Installation"/>
    <s v="Access Management"/>
    <s v="Delhi"/>
    <s v="Phone"/>
    <s v="Resolved"/>
    <n v="48"/>
    <n v="10.49"/>
    <n v="4.3"/>
    <s v="No"/>
    <x v="0"/>
  </r>
  <r>
    <s v="INC101853"/>
    <d v="2025-03-24T00:00:00"/>
    <d v="2025-03-25T02:33:00"/>
    <x v="1"/>
    <x v="3"/>
    <s v="Laptop"/>
    <s v="Network Support"/>
    <s v="Mumbai"/>
    <s v="Portal"/>
    <s v="Resolved"/>
    <n v="24"/>
    <n v="26.55"/>
    <n v="4.5999999999999996"/>
    <s v="No"/>
    <x v="1"/>
  </r>
  <r>
    <s v="INC101854"/>
    <d v="2025-01-30T00:00:00"/>
    <d v="2025-02-01T00:15:36"/>
    <x v="0"/>
    <x v="1"/>
    <s v="VPN Access"/>
    <s v="Access Management"/>
    <s v="Hyderabad"/>
    <s v="Portal"/>
    <s v="Resolved"/>
    <n v="48"/>
    <n v="48.26"/>
    <n v="2.9"/>
    <s v="No"/>
    <x v="1"/>
  </r>
  <r>
    <s v="INC101855"/>
    <d v="2025-01-20T00:00:00"/>
    <d v="2025-01-20T01:57:00"/>
    <x v="3"/>
    <x v="0"/>
    <s v="Application Error"/>
    <s v="Access Management"/>
    <s v="Bengaluru"/>
    <s v="Portal"/>
    <s v="Closed"/>
    <n v="8"/>
    <n v="1.95"/>
    <n v="5"/>
    <s v="No"/>
    <x v="0"/>
  </r>
  <r>
    <s v="INC101856"/>
    <d v="2025-06-04T00:00:00"/>
    <d v="2025-06-04T23:59:24"/>
    <x v="1"/>
    <x v="3"/>
    <s v="Monitor"/>
    <s v="Application Support"/>
    <s v="Hyderabad"/>
    <s v="Phone"/>
    <s v="Resolved"/>
    <n v="24"/>
    <n v="23.99"/>
    <n v="3.1"/>
    <s v="No"/>
    <x v="0"/>
  </r>
  <r>
    <s v="INC101857"/>
    <d v="2025-03-09T00:00:00"/>
    <d v="2025-03-09T02:58:12"/>
    <x v="2"/>
    <x v="4"/>
    <s v="Mailbox"/>
    <s v="Desktop Support"/>
    <s v="Noida"/>
    <s v="Chat"/>
    <s v="Closed"/>
    <n v="4"/>
    <n v="2.97"/>
    <n v="5"/>
    <s v="No"/>
    <x v="0"/>
  </r>
  <r>
    <s v="INC101858"/>
    <d v="2025-04-16T00:00:00"/>
    <d v="2025-04-16T13:32:24"/>
    <x v="1"/>
    <x v="0"/>
    <s v="Application Error"/>
    <s v="Service Desk"/>
    <s v="Bengaluru"/>
    <s v="Portal"/>
    <s v="Resolved"/>
    <n v="24"/>
    <n v="13.54"/>
    <n v="5"/>
    <s v="No"/>
    <x v="0"/>
  </r>
  <r>
    <s v="INC101859"/>
    <d v="2025-04-05T00:00:00"/>
    <d v="2025-04-06T10:49:48"/>
    <x v="1"/>
    <x v="0"/>
    <s v="Installation"/>
    <s v="Desktop Support"/>
    <s v="Noida"/>
    <s v="Portal"/>
    <s v="Resolved"/>
    <n v="24"/>
    <n v="34.83"/>
    <n v="3.2"/>
    <s v="Yes"/>
    <x v="1"/>
  </r>
  <r>
    <s v="INC101860"/>
    <d v="2025-05-14T00:00:00"/>
    <d v="2025-05-14T05:00:36"/>
    <x v="3"/>
    <x v="2"/>
    <s v="DNS"/>
    <s v="Network Support"/>
    <s v="Bengaluru"/>
    <s v="Chat"/>
    <s v="Closed"/>
    <n v="8"/>
    <n v="5.01"/>
    <n v="4.4000000000000004"/>
    <s v="No"/>
    <x v="0"/>
  </r>
  <r>
    <s v="INC101861"/>
    <d v="2025-05-14T00:00:00"/>
    <d v="2025-05-14T12:37:48"/>
    <x v="0"/>
    <x v="2"/>
    <s v="Link Down"/>
    <s v="Service Desk"/>
    <s v="Hyderabad"/>
    <s v="Email"/>
    <s v="Closed"/>
    <n v="48"/>
    <n v="12.63"/>
    <n v="4.4000000000000004"/>
    <s v="No"/>
    <x v="0"/>
  </r>
  <r>
    <s v="INC101862"/>
    <d v="2025-02-23T00:00:00"/>
    <d v="2025-02-23T08:39:36"/>
    <x v="1"/>
    <x v="3"/>
    <s v="Peripheral"/>
    <s v="Application Support"/>
    <s v="Bengaluru"/>
    <s v="Phone"/>
    <s v="Closed"/>
    <n v="24"/>
    <n v="8.66"/>
    <n v="4.8"/>
    <s v="No"/>
    <x v="0"/>
  </r>
  <r>
    <s v="INC101863"/>
    <d v="2025-06-03T00:00:00"/>
    <d v="2025-06-03T02:31:12"/>
    <x v="1"/>
    <x v="0"/>
    <s v="License"/>
    <s v="Desktop Support"/>
    <s v="Delhi"/>
    <s v="Portal"/>
    <s v="Resolved"/>
    <n v="24"/>
    <n v="2.52"/>
    <n v="4.4000000000000004"/>
    <s v="No"/>
    <x v="0"/>
  </r>
  <r>
    <s v="INC101864"/>
    <d v="2025-03-09T00:00:00"/>
    <d v="2025-03-09T02:54:00"/>
    <x v="2"/>
    <x v="0"/>
    <s v="Installation"/>
    <s v="Desktop Support"/>
    <s v="Bengaluru"/>
    <s v="Portal"/>
    <s v="Closed"/>
    <n v="4"/>
    <n v="2.9"/>
    <n v="4.5999999999999996"/>
    <s v="No"/>
    <x v="0"/>
  </r>
  <r>
    <s v="INC101865"/>
    <d v="2025-06-01T00:00:00"/>
    <d v="2025-06-01T11:29:24"/>
    <x v="3"/>
    <x v="1"/>
    <s v="VPN Access"/>
    <s v="Desktop Support"/>
    <s v="Noida"/>
    <s v="Email"/>
    <s v="Closed"/>
    <n v="8"/>
    <n v="11.49"/>
    <n v="3.4"/>
    <s v="No"/>
    <x v="1"/>
  </r>
  <r>
    <s v="INC101866"/>
    <d v="2025-03-15T00:00:00"/>
    <d v="2025-03-16T06:19:12"/>
    <x v="0"/>
    <x v="2"/>
    <s v="Link Down"/>
    <s v="Network Support"/>
    <s v="Bengaluru"/>
    <s v="Portal"/>
    <s v="In Progress"/>
    <n v="48"/>
    <n v="30.32"/>
    <n v="3.6"/>
    <s v="No"/>
    <x v="0"/>
  </r>
  <r>
    <s v="INC101867"/>
    <d v="2025-01-21T00:00:00"/>
    <d v="2025-01-21T13:33:36"/>
    <x v="1"/>
    <x v="0"/>
    <s v="Performance"/>
    <s v="Access Management"/>
    <s v="Bengaluru"/>
    <s v="Phone"/>
    <s v="Resolved"/>
    <n v="24"/>
    <n v="13.56"/>
    <n v="4.5999999999999996"/>
    <s v="No"/>
    <x v="0"/>
  </r>
  <r>
    <s v="INC101868"/>
    <d v="2025-05-18T00:00:00"/>
    <d v="2025-05-18T21:21:36"/>
    <x v="1"/>
    <x v="1"/>
    <s v="Permission"/>
    <s v="Access Management"/>
    <s v="Bengaluru"/>
    <s v="Phone"/>
    <s v="In Progress"/>
    <n v="24"/>
    <n v="21.36"/>
    <n v="4.2"/>
    <s v="No"/>
    <x v="0"/>
  </r>
  <r>
    <s v="INC101869"/>
    <d v="2025-01-06T00:00:00"/>
    <d v="2025-01-07T14:00:00"/>
    <x v="0"/>
    <x v="1"/>
    <s v="Permission"/>
    <s v="Service Desk"/>
    <s v="Hyderabad"/>
    <s v="Portal"/>
    <s v="In Progress"/>
    <n v="48"/>
    <n v="38"/>
    <n v="3.6"/>
    <s v="No"/>
    <x v="0"/>
  </r>
  <r>
    <s v="INC101870"/>
    <d v="2025-05-20T00:00:00"/>
    <d v="2025-05-21T03:01:12"/>
    <x v="1"/>
    <x v="1"/>
    <s v="VPN Access"/>
    <s v="Service Desk"/>
    <s v="Hyderabad"/>
    <s v="Email"/>
    <s v="Resolved"/>
    <n v="24"/>
    <n v="27.02"/>
    <n v="3.4"/>
    <s v="No"/>
    <x v="1"/>
  </r>
  <r>
    <s v="INC101871"/>
    <d v="2025-01-08T00:00:00"/>
    <d v="2025-01-08T23:00:00"/>
    <x v="0"/>
    <x v="4"/>
    <s v="Mailbox"/>
    <s v="Application Support"/>
    <s v="Hyderabad"/>
    <s v="Phone"/>
    <s v="Closed"/>
    <n v="48"/>
    <n v="23"/>
    <n v="4.8"/>
    <s v="No"/>
    <x v="0"/>
  </r>
  <r>
    <s v="INC101872"/>
    <d v="2025-02-07T00:00:00"/>
    <d v="2025-02-08T08:24:36"/>
    <x v="0"/>
    <x v="2"/>
    <s v="Link Down"/>
    <s v="Network Support"/>
    <s v="Bengaluru"/>
    <s v="Chat"/>
    <s v="Resolved"/>
    <n v="48"/>
    <n v="32.409999999999997"/>
    <n v="4.9000000000000004"/>
    <s v="No"/>
    <x v="0"/>
  </r>
  <r>
    <s v="INC101873"/>
    <d v="2025-04-20T00:00:00"/>
    <d v="2025-04-20T11:01:48"/>
    <x v="1"/>
    <x v="0"/>
    <s v="Performance"/>
    <s v="Network Support"/>
    <s v="Gurugram"/>
    <s v="Portal"/>
    <s v="Resolved"/>
    <n v="24"/>
    <n v="11.03"/>
    <n v="4.4000000000000004"/>
    <s v="No"/>
    <x v="0"/>
  </r>
  <r>
    <s v="INC101874"/>
    <d v="2025-06-20T00:00:00"/>
    <d v="2025-06-20T07:22:12"/>
    <x v="0"/>
    <x v="4"/>
    <s v="Spam"/>
    <s v="Access Management"/>
    <s v="Gurugram"/>
    <s v="Phone"/>
    <s v="Closed"/>
    <n v="48"/>
    <n v="7.37"/>
    <n v="5"/>
    <s v="No"/>
    <x v="0"/>
  </r>
  <r>
    <s v="INC101875"/>
    <d v="2025-03-15T00:00:00"/>
    <d v="2025-03-15T04:31:12"/>
    <x v="1"/>
    <x v="0"/>
    <s v="License"/>
    <s v="Network Support"/>
    <s v="Hyderabad"/>
    <s v="Portal"/>
    <s v="Resolved"/>
    <n v="24"/>
    <n v="4.5199999999999996"/>
    <n v="5"/>
    <s v="No"/>
    <x v="0"/>
  </r>
  <r>
    <s v="INC101876"/>
    <d v="2025-01-22T00:00:00"/>
    <d v="2025-01-22T13:24:00"/>
    <x v="0"/>
    <x v="2"/>
    <s v="Link Down"/>
    <s v="Desktop Support"/>
    <s v="Hyderabad"/>
    <s v="Chat"/>
    <s v="Resolved"/>
    <n v="48"/>
    <n v="13.4"/>
    <n v="5"/>
    <s v="No"/>
    <x v="0"/>
  </r>
  <r>
    <s v="INC101877"/>
    <d v="2025-02-12T00:00:00"/>
    <d v="2025-02-12T01:11:24"/>
    <x v="3"/>
    <x v="4"/>
    <s v="Spam"/>
    <s v="Access Management"/>
    <s v="Delhi"/>
    <s v="Email"/>
    <s v="Closed"/>
    <n v="8"/>
    <n v="1.19"/>
    <n v="5"/>
    <s v="No"/>
    <x v="0"/>
  </r>
  <r>
    <s v="INC101878"/>
    <d v="2025-06-12T00:00:00"/>
    <d v="2025-06-13T02:26:24"/>
    <x v="0"/>
    <x v="2"/>
    <s v="Link Down"/>
    <s v="Application Support"/>
    <s v="Gurugram"/>
    <s v="Portal"/>
    <s v="Pending"/>
    <n v="48"/>
    <n v="26.44"/>
    <n v="3.8"/>
    <s v="Yes"/>
    <x v="0"/>
  </r>
  <r>
    <s v="INC101879"/>
    <d v="2025-05-12T00:00:00"/>
    <d v="2025-05-12T07:27:36"/>
    <x v="3"/>
    <x v="3"/>
    <s v="Printer"/>
    <s v="Service Desk"/>
    <s v="Mumbai"/>
    <s v="Phone"/>
    <s v="Resolved"/>
    <n v="8"/>
    <n v="7.46"/>
    <n v="4.5"/>
    <s v="No"/>
    <x v="0"/>
  </r>
  <r>
    <s v="INC101880"/>
    <d v="2025-01-19T00:00:00"/>
    <d v="2025-01-19T14:52:48"/>
    <x v="0"/>
    <x v="2"/>
    <s v="Connectivity"/>
    <s v="Network Support"/>
    <s v="Delhi"/>
    <s v="Phone"/>
    <s v="Resolved"/>
    <n v="48"/>
    <n v="14.88"/>
    <n v="4.5"/>
    <s v="No"/>
    <x v="0"/>
  </r>
  <r>
    <s v="INC101881"/>
    <d v="2025-03-11T00:00:00"/>
    <d v="2025-03-11T02:01:12"/>
    <x v="1"/>
    <x v="3"/>
    <s v="Laptop"/>
    <s v="Application Support"/>
    <s v="Delhi"/>
    <s v="Phone"/>
    <s v="Resolved"/>
    <n v="24"/>
    <n v="2.02"/>
    <n v="5"/>
    <s v="No"/>
    <x v="0"/>
  </r>
  <r>
    <s v="INC101882"/>
    <d v="2025-02-17T00:00:00"/>
    <d v="2025-02-17T06:07:12"/>
    <x v="1"/>
    <x v="3"/>
    <s v="Peripheral"/>
    <s v="Desktop Support"/>
    <s v="Hyderabad"/>
    <s v="Portal"/>
    <s v="Resolved"/>
    <n v="24"/>
    <n v="6.12"/>
    <n v="4.3"/>
    <s v="No"/>
    <x v="0"/>
  </r>
  <r>
    <s v="INC101883"/>
    <d v="2025-02-02T00:00:00"/>
    <d v="2025-02-02T18:54:36"/>
    <x v="0"/>
    <x v="0"/>
    <s v="Application Error"/>
    <s v="Access Management"/>
    <s v="Delhi"/>
    <s v="Phone"/>
    <s v="In Progress"/>
    <n v="48"/>
    <n v="18.91"/>
    <n v="4.0999999999999996"/>
    <s v="Yes"/>
    <x v="0"/>
  </r>
  <r>
    <s v="INC101884"/>
    <d v="2025-06-03T00:00:00"/>
    <d v="2025-06-03T21:15:36"/>
    <x v="1"/>
    <x v="4"/>
    <s v="Mailbox"/>
    <s v="Application Support"/>
    <s v="Gurugram"/>
    <s v="Phone"/>
    <s v="Resolved"/>
    <n v="24"/>
    <n v="21.26"/>
    <n v="3.5"/>
    <s v="No"/>
    <x v="0"/>
  </r>
  <r>
    <s v="INC101885"/>
    <d v="2025-04-22T00:00:00"/>
    <d v="2025-04-22T04:05:24"/>
    <x v="3"/>
    <x v="3"/>
    <s v="Monitor"/>
    <s v="Network Support"/>
    <s v="Hyderabad"/>
    <s v="Portal"/>
    <s v="Closed"/>
    <n v="8"/>
    <n v="4.09"/>
    <n v="3.5"/>
    <s v="No"/>
    <x v="0"/>
  </r>
  <r>
    <s v="INC101886"/>
    <d v="2025-02-02T00:00:00"/>
    <d v="2025-02-02T04:05:24"/>
    <x v="3"/>
    <x v="0"/>
    <s v="Installation"/>
    <s v="Service Desk"/>
    <s v="Delhi"/>
    <s v="Portal"/>
    <s v="Resolved"/>
    <n v="8"/>
    <n v="4.09"/>
    <n v="4"/>
    <s v="No"/>
    <x v="0"/>
  </r>
  <r>
    <s v="INC101887"/>
    <d v="2025-04-28T00:00:00"/>
    <d v="2025-04-28T16:46:12"/>
    <x v="1"/>
    <x v="4"/>
    <s v="Mailbox"/>
    <s v="Application Support"/>
    <s v="Mumbai"/>
    <s v="Phone"/>
    <s v="Pending"/>
    <n v="24"/>
    <n v="16.77"/>
    <n v="3.5"/>
    <s v="No"/>
    <x v="0"/>
  </r>
  <r>
    <s v="INC101888"/>
    <d v="2025-03-16T00:00:00"/>
    <d v="2025-03-17T23:19:48"/>
    <x v="0"/>
    <x v="1"/>
    <s v="VPN Access"/>
    <s v="Application Support"/>
    <s v="Bengaluru"/>
    <s v="Email"/>
    <s v="Resolved"/>
    <n v="48"/>
    <n v="47.33"/>
    <n v="4.2"/>
    <s v="No"/>
    <x v="0"/>
  </r>
  <r>
    <s v="INC101889"/>
    <d v="2025-01-12T00:00:00"/>
    <d v="2025-01-12T11:11:24"/>
    <x v="3"/>
    <x v="2"/>
    <s v="Connectivity"/>
    <s v="Application Support"/>
    <s v="Bengaluru"/>
    <s v="Email"/>
    <s v="Pending"/>
    <n v="8"/>
    <n v="11.19"/>
    <n v="2.6"/>
    <s v="No"/>
    <x v="1"/>
  </r>
  <r>
    <s v="INC101890"/>
    <d v="2025-03-23T00:00:00"/>
    <d v="2025-03-23T07:27:36"/>
    <x v="1"/>
    <x v="2"/>
    <s v="Link Down"/>
    <s v="Service Desk"/>
    <s v="Mumbai"/>
    <s v="Phone"/>
    <s v="Closed"/>
    <n v="24"/>
    <n v="7.46"/>
    <n v="4.2"/>
    <s v="Yes"/>
    <x v="0"/>
  </r>
  <r>
    <s v="INC101891"/>
    <d v="2025-02-03T00:00:00"/>
    <d v="2025-02-03T23:00:36"/>
    <x v="0"/>
    <x v="0"/>
    <s v="Application Error"/>
    <s v="Service Desk"/>
    <s v="Delhi"/>
    <s v="Portal"/>
    <s v="Pending"/>
    <n v="48"/>
    <n v="23.01"/>
    <n v="4.4000000000000004"/>
    <s v="No"/>
    <x v="0"/>
  </r>
  <r>
    <s v="INC101892"/>
    <d v="2025-02-14T00:00:00"/>
    <d v="2025-02-14T02:28:48"/>
    <x v="3"/>
    <x v="1"/>
    <s v="Account Lock"/>
    <s v="Service Desk"/>
    <s v="Delhi"/>
    <s v="Phone"/>
    <s v="Resolved"/>
    <n v="8"/>
    <n v="2.48"/>
    <n v="5"/>
    <s v="No"/>
    <x v="0"/>
  </r>
  <r>
    <s v="INC101893"/>
    <d v="2025-06-09T00:00:00"/>
    <d v="2025-06-09T16:07:48"/>
    <x v="1"/>
    <x v="0"/>
    <s v="Application Error"/>
    <s v="Application Support"/>
    <s v="Gurugram"/>
    <s v="Email"/>
    <s v="In Progress"/>
    <n v="24"/>
    <n v="16.13"/>
    <n v="3.7"/>
    <s v="No"/>
    <x v="0"/>
  </r>
  <r>
    <s v="INC101894"/>
    <d v="2025-05-09T00:00:00"/>
    <d v="2025-05-09T02:00:00"/>
    <x v="1"/>
    <x v="2"/>
    <s v="DNS"/>
    <s v="Network Support"/>
    <s v="Noida"/>
    <s v="Portal"/>
    <s v="Resolved"/>
    <n v="24"/>
    <n v="2"/>
    <n v="4"/>
    <s v="No"/>
    <x v="0"/>
  </r>
  <r>
    <s v="INC101895"/>
    <d v="2025-01-25T00:00:00"/>
    <d v="2025-01-26T15:48:36"/>
    <x v="1"/>
    <x v="1"/>
    <s v="VPN Access"/>
    <s v="Access Management"/>
    <s v="Hyderabad"/>
    <s v="Chat"/>
    <s v="Closed"/>
    <n v="24"/>
    <n v="39.81"/>
    <n v="2.2000000000000002"/>
    <s v="No"/>
    <x v="1"/>
  </r>
  <r>
    <s v="INC101896"/>
    <d v="2025-06-04T00:00:00"/>
    <d v="2025-06-04T17:26:24"/>
    <x v="1"/>
    <x v="0"/>
    <s v="Application Error"/>
    <s v="Service Desk"/>
    <s v="Delhi"/>
    <s v="Phone"/>
    <s v="Closed"/>
    <n v="24"/>
    <n v="17.440000000000001"/>
    <n v="3.6"/>
    <s v="No"/>
    <x v="0"/>
  </r>
  <r>
    <s v="INC101897"/>
    <d v="2025-04-14T00:00:00"/>
    <d v="2025-04-15T06:59:24"/>
    <x v="0"/>
    <x v="0"/>
    <s v="Application Error"/>
    <s v="Desktop Support"/>
    <s v="Noida"/>
    <s v="Portal"/>
    <s v="Resolved"/>
    <n v="48"/>
    <n v="30.99"/>
    <n v="3.8"/>
    <s v="Yes"/>
    <x v="0"/>
  </r>
  <r>
    <s v="INC101898"/>
    <d v="2025-06-08T00:00:00"/>
    <d v="2025-06-08T02:05:24"/>
    <x v="3"/>
    <x v="1"/>
    <s v="VPN Access"/>
    <s v="Service Desk"/>
    <s v="Noida"/>
    <s v="Chat"/>
    <s v="Resolved"/>
    <n v="8"/>
    <n v="2.09"/>
    <n v="5"/>
    <s v="No"/>
    <x v="0"/>
  </r>
  <r>
    <s v="INC101899"/>
    <d v="2025-05-16T00:00:00"/>
    <d v="2025-05-16T16:56:24"/>
    <x v="0"/>
    <x v="1"/>
    <s v="Account Lock"/>
    <s v="Desktop Support"/>
    <s v="Gurugram"/>
    <s v="Chat"/>
    <s v="Resolved"/>
    <n v="48"/>
    <n v="16.940000000000001"/>
    <n v="5"/>
    <s v="No"/>
    <x v="0"/>
  </r>
  <r>
    <s v="INC101900"/>
    <d v="2025-03-03T00:00:00"/>
    <d v="2025-03-03T01:11:24"/>
    <x v="3"/>
    <x v="0"/>
    <s v="Application Error"/>
    <s v="Application Support"/>
    <s v="Noida"/>
    <s v="Phone"/>
    <s v="In Progress"/>
    <n v="8"/>
    <n v="1.19"/>
    <n v="4.5999999999999996"/>
    <s v="No"/>
    <x v="0"/>
  </r>
  <r>
    <s v="INC101901"/>
    <d v="2025-04-07T00:00:00"/>
    <d v="2025-04-07T01:59:24"/>
    <x v="3"/>
    <x v="0"/>
    <s v="Application Error"/>
    <s v="Network Support"/>
    <s v="Gurugram"/>
    <s v="Portal"/>
    <s v="Resolved"/>
    <n v="8"/>
    <n v="1.99"/>
    <n v="5"/>
    <s v="Yes"/>
    <x v="0"/>
  </r>
  <r>
    <s v="INC101902"/>
    <d v="2025-04-07T00:00:00"/>
    <d v="2025-04-07T07:53:24"/>
    <x v="3"/>
    <x v="0"/>
    <s v="Installation"/>
    <s v="Desktop Support"/>
    <s v="Delhi"/>
    <s v="Portal"/>
    <s v="Resolved"/>
    <n v="8"/>
    <n v="7.89"/>
    <n v="3.4"/>
    <s v="No"/>
    <x v="0"/>
  </r>
  <r>
    <s v="INC101903"/>
    <d v="2025-05-11T00:00:00"/>
    <d v="2025-05-11T05:01:12"/>
    <x v="0"/>
    <x v="0"/>
    <s v="Performance"/>
    <s v="Network Support"/>
    <s v="Bengaluru"/>
    <s v="Phone"/>
    <s v="Closed"/>
    <n v="48"/>
    <n v="5.0199999999999996"/>
    <n v="4.5999999999999996"/>
    <s v="No"/>
    <x v="0"/>
  </r>
  <r>
    <s v="INC101904"/>
    <d v="2025-02-14T00:00:00"/>
    <d v="2025-02-17T18:48:36"/>
    <x v="0"/>
    <x v="3"/>
    <s v="Printer"/>
    <s v="Network Support"/>
    <s v="Hyderabad"/>
    <s v="Chat"/>
    <s v="Closed"/>
    <n v="48"/>
    <n v="90.81"/>
    <n v="2.4"/>
    <s v="No"/>
    <x v="1"/>
  </r>
  <r>
    <s v="INC101905"/>
    <d v="2025-03-02T00:00:00"/>
    <d v="2025-03-03T02:57:00"/>
    <x v="1"/>
    <x v="0"/>
    <s v="Application Error"/>
    <s v="Application Support"/>
    <s v="Noida"/>
    <s v="Portal"/>
    <s v="Resolved"/>
    <n v="24"/>
    <n v="26.95"/>
    <n v="4.3"/>
    <s v="No"/>
    <x v="1"/>
  </r>
  <r>
    <s v="INC101906"/>
    <d v="2025-02-14T00:00:00"/>
    <d v="2025-02-14T15:15:00"/>
    <x v="1"/>
    <x v="0"/>
    <s v="Installation"/>
    <s v="Desktop Support"/>
    <s v="Bengaluru"/>
    <s v="Email"/>
    <s v="Resolved"/>
    <n v="24"/>
    <n v="15.25"/>
    <n v="4.2"/>
    <s v="No"/>
    <x v="0"/>
  </r>
  <r>
    <s v="INC101907"/>
    <d v="2025-02-23T00:00:00"/>
    <d v="2025-02-23T01:51:36"/>
    <x v="3"/>
    <x v="0"/>
    <s v="Installation"/>
    <s v="Application Support"/>
    <s v="Mumbai"/>
    <s v="Portal"/>
    <s v="Resolved"/>
    <n v="8"/>
    <n v="1.86"/>
    <n v="5"/>
    <s v="No"/>
    <x v="0"/>
  </r>
  <r>
    <s v="INC101908"/>
    <d v="2025-01-30T00:00:00"/>
    <d v="2025-01-30T19:39:36"/>
    <x v="1"/>
    <x v="2"/>
    <s v="Packet Loss"/>
    <s v="Service Desk"/>
    <s v="Hyderabad"/>
    <s v="Email"/>
    <s v="Closed"/>
    <n v="24"/>
    <n v="19.66"/>
    <n v="4.3"/>
    <s v="No"/>
    <x v="0"/>
  </r>
  <r>
    <s v="INC101909"/>
    <d v="2025-01-07T00:00:00"/>
    <d v="2025-01-07T06:06:36"/>
    <x v="3"/>
    <x v="0"/>
    <s v="Installation"/>
    <s v="Service Desk"/>
    <s v="Mumbai"/>
    <s v="Email"/>
    <s v="Resolved"/>
    <n v="8"/>
    <n v="6.11"/>
    <n v="4.7"/>
    <s v="No"/>
    <x v="0"/>
  </r>
  <r>
    <s v="INC101910"/>
    <d v="2025-06-20T00:00:00"/>
    <d v="2025-06-20T14:40:12"/>
    <x v="0"/>
    <x v="0"/>
    <s v="Application Error"/>
    <s v="Desktop Support"/>
    <s v="Hyderabad"/>
    <s v="Portal"/>
    <s v="Resolved"/>
    <n v="48"/>
    <n v="14.67"/>
    <n v="3.5"/>
    <s v="No"/>
    <x v="0"/>
  </r>
  <r>
    <s v="INC101911"/>
    <d v="2025-01-14T00:00:00"/>
    <d v="2025-01-14T17:09:00"/>
    <x v="1"/>
    <x v="3"/>
    <s v="Peripheral"/>
    <s v="Network Support"/>
    <s v="Mumbai"/>
    <s v="Email"/>
    <s v="Closed"/>
    <n v="24"/>
    <n v="17.149999999999999"/>
    <n v="3"/>
    <s v="No"/>
    <x v="0"/>
  </r>
  <r>
    <s v="INC101912"/>
    <d v="2025-06-10T00:00:00"/>
    <d v="2025-06-10T18:51:00"/>
    <x v="0"/>
    <x v="3"/>
    <s v="Printer"/>
    <s v="Access Management"/>
    <s v="Hyderabad"/>
    <s v="Email"/>
    <s v="Resolved"/>
    <n v="48"/>
    <n v="18.850000000000001"/>
    <n v="3.4"/>
    <s v="No"/>
    <x v="0"/>
  </r>
  <r>
    <s v="INC101913"/>
    <d v="2025-01-01T00:00:00"/>
    <d v="2025-01-01T00:36:36"/>
    <x v="3"/>
    <x v="2"/>
    <s v="Link Down"/>
    <s v="Service Desk"/>
    <s v="Hyderabad"/>
    <s v="Email"/>
    <s v="In Progress"/>
    <n v="8"/>
    <n v="0.61"/>
    <n v="4.5999999999999996"/>
    <s v="No"/>
    <x v="0"/>
  </r>
  <r>
    <s v="INC101914"/>
    <d v="2025-05-21T00:00:00"/>
    <d v="2025-05-21T07:37:48"/>
    <x v="0"/>
    <x v="4"/>
    <s v="Mailbox"/>
    <s v="Application Support"/>
    <s v="Mumbai"/>
    <s v="Phone"/>
    <s v="Closed"/>
    <n v="48"/>
    <n v="7.63"/>
    <n v="3.8"/>
    <s v="No"/>
    <x v="0"/>
  </r>
  <r>
    <s v="INC101915"/>
    <d v="2025-03-01T00:00:00"/>
    <d v="2025-03-03T04:33:36"/>
    <x v="0"/>
    <x v="1"/>
    <s v="Password Reset"/>
    <s v="Network Support"/>
    <s v="Noida"/>
    <s v="Portal"/>
    <s v="In Progress"/>
    <n v="48"/>
    <n v="52.56"/>
    <n v="4.5"/>
    <s v="No"/>
    <x v="1"/>
  </r>
  <r>
    <s v="INC101916"/>
    <d v="2025-04-04T00:00:00"/>
    <d v="2025-04-04T02:43:12"/>
    <x v="3"/>
    <x v="0"/>
    <s v="License"/>
    <s v="Application Support"/>
    <s v="Gurugram"/>
    <s v="Portal"/>
    <s v="Resolved"/>
    <n v="8"/>
    <n v="2.72"/>
    <n v="4.5"/>
    <s v="No"/>
    <x v="0"/>
  </r>
  <r>
    <s v="INC101917"/>
    <d v="2025-02-21T00:00:00"/>
    <d v="2025-02-21T06:31:48"/>
    <x v="1"/>
    <x v="3"/>
    <s v="Peripheral"/>
    <s v="Service Desk"/>
    <s v="Bengaluru"/>
    <s v="Email"/>
    <s v="Resolved"/>
    <n v="24"/>
    <n v="6.53"/>
    <n v="5"/>
    <s v="No"/>
    <x v="0"/>
  </r>
  <r>
    <s v="INC101918"/>
    <d v="2025-03-30T00:00:00"/>
    <d v="2025-03-31T02:20:24"/>
    <x v="0"/>
    <x v="1"/>
    <s v="Permission"/>
    <s v="Service Desk"/>
    <s v="Mumbai"/>
    <s v="Email"/>
    <s v="Resolved"/>
    <n v="48"/>
    <n v="26.34"/>
    <n v="4"/>
    <s v="No"/>
    <x v="0"/>
  </r>
  <r>
    <s v="INC101919"/>
    <d v="2025-03-23T00:00:00"/>
    <d v="2025-03-23T02:21:00"/>
    <x v="0"/>
    <x v="0"/>
    <s v="Application Error"/>
    <s v="Desktop Support"/>
    <s v="Mumbai"/>
    <s v="Portal"/>
    <s v="Resolved"/>
    <n v="48"/>
    <n v="2.35"/>
    <n v="5"/>
    <s v="No"/>
    <x v="0"/>
  </r>
  <r>
    <s v="INC101920"/>
    <d v="2025-04-06T00:00:00"/>
    <d v="2025-04-06T12:04:48"/>
    <x v="1"/>
    <x v="4"/>
    <s v="Spam"/>
    <s v="Network Support"/>
    <s v="Bengaluru"/>
    <s v="Chat"/>
    <s v="Resolved"/>
    <n v="24"/>
    <n v="12.08"/>
    <n v="3.1"/>
    <s v="No"/>
    <x v="0"/>
  </r>
  <r>
    <s v="INC101921"/>
    <d v="2025-03-13T00:00:00"/>
    <d v="2025-03-13T13:49:48"/>
    <x v="1"/>
    <x v="2"/>
    <s v="Link Down"/>
    <s v="Network Support"/>
    <s v="Delhi"/>
    <s v="Portal"/>
    <s v="Resolved"/>
    <n v="24"/>
    <n v="13.83"/>
    <n v="4.3"/>
    <s v="Yes"/>
    <x v="0"/>
  </r>
  <r>
    <s v="INC101922"/>
    <d v="2025-04-08T00:00:00"/>
    <d v="2025-04-09T14:31:12"/>
    <x v="0"/>
    <x v="2"/>
    <s v="Connectivity"/>
    <s v="Application Support"/>
    <s v="Gurugram"/>
    <s v="Portal"/>
    <s v="Resolved"/>
    <n v="48"/>
    <n v="38.520000000000003"/>
    <n v="4.4000000000000004"/>
    <s v="No"/>
    <x v="0"/>
  </r>
  <r>
    <s v="INC101923"/>
    <d v="2025-05-30T00:00:00"/>
    <d v="2025-05-30T04:33:36"/>
    <x v="1"/>
    <x v="0"/>
    <s v="Application Error"/>
    <s v="Service Desk"/>
    <s v="Bengaluru"/>
    <s v="Phone"/>
    <s v="Resolved"/>
    <n v="24"/>
    <n v="4.5599999999999996"/>
    <n v="5"/>
    <s v="No"/>
    <x v="0"/>
  </r>
  <r>
    <s v="INC101924"/>
    <d v="2025-03-20T00:00:00"/>
    <d v="2025-03-20T14:26:24"/>
    <x v="0"/>
    <x v="2"/>
    <s v="Link Down"/>
    <s v="Desktop Support"/>
    <s v="Noida"/>
    <s v="Chat"/>
    <s v="Resolved"/>
    <n v="48"/>
    <n v="14.44"/>
    <n v="4.4000000000000004"/>
    <s v="No"/>
    <x v="0"/>
  </r>
  <r>
    <s v="INC101925"/>
    <d v="2025-03-07T00:00:00"/>
    <d v="2025-03-07T13:35:24"/>
    <x v="1"/>
    <x v="0"/>
    <s v="Installation"/>
    <s v="Application Support"/>
    <s v="Noida"/>
    <s v="Email"/>
    <s v="Resolved"/>
    <n v="24"/>
    <n v="13.59"/>
    <n v="3.2"/>
    <s v="No"/>
    <x v="0"/>
  </r>
  <r>
    <s v="INC101926"/>
    <d v="2025-01-24T00:00:00"/>
    <d v="2025-01-24T04:58:12"/>
    <x v="1"/>
    <x v="1"/>
    <s v="Permission"/>
    <s v="Application Support"/>
    <s v="Gurugram"/>
    <s v="Portal"/>
    <s v="Closed"/>
    <n v="24"/>
    <n v="4.97"/>
    <n v="5"/>
    <s v="No"/>
    <x v="0"/>
  </r>
  <r>
    <s v="INC101927"/>
    <d v="2025-03-07T00:00:00"/>
    <d v="2025-03-08T04:54:36"/>
    <x v="0"/>
    <x v="2"/>
    <s v="Packet Loss"/>
    <s v="Application Support"/>
    <s v="Delhi"/>
    <s v="Portal"/>
    <s v="Resolved"/>
    <n v="48"/>
    <n v="28.91"/>
    <n v="4"/>
    <s v="No"/>
    <x v="0"/>
  </r>
  <r>
    <s v="INC101928"/>
    <d v="2025-01-23T00:00:00"/>
    <d v="2025-01-24T02:16:48"/>
    <x v="0"/>
    <x v="3"/>
    <s v="Monitor"/>
    <s v="Access Management"/>
    <s v="Noida"/>
    <s v="Portal"/>
    <s v="Closed"/>
    <n v="48"/>
    <n v="26.28"/>
    <n v="4.0999999999999996"/>
    <s v="No"/>
    <x v="0"/>
  </r>
  <r>
    <s v="INC101929"/>
    <d v="2025-02-03T00:00:00"/>
    <d v="2025-02-03T02:06:36"/>
    <x v="0"/>
    <x v="0"/>
    <s v="Installation"/>
    <s v="Application Support"/>
    <s v="Noida"/>
    <s v="Email"/>
    <s v="Closed"/>
    <n v="48"/>
    <n v="2.11"/>
    <n v="5"/>
    <s v="No"/>
    <x v="0"/>
  </r>
  <r>
    <s v="INC101930"/>
    <d v="2025-06-22T00:00:00"/>
    <d v="2025-06-23T22:34:11"/>
    <x v="0"/>
    <x v="1"/>
    <s v="Permission"/>
    <s v="Service Desk"/>
    <s v="Mumbai"/>
    <s v="Email"/>
    <s v="Closed"/>
    <n v="48"/>
    <n v="46.57"/>
    <n v="3.9"/>
    <s v="No"/>
    <x v="0"/>
  </r>
  <r>
    <s v="INC101931"/>
    <d v="2025-01-17T00:00:00"/>
    <d v="2025-01-17T05:06:00"/>
    <x v="1"/>
    <x v="0"/>
    <s v="Application Error"/>
    <s v="Service Desk"/>
    <s v="Delhi"/>
    <s v="Portal"/>
    <s v="In Progress"/>
    <n v="24"/>
    <n v="5.0999999999999996"/>
    <n v="4.4000000000000004"/>
    <s v="No"/>
    <x v="0"/>
  </r>
  <r>
    <s v="INC101932"/>
    <d v="2025-03-29T00:00:00"/>
    <d v="2025-03-29T04:06:36"/>
    <x v="3"/>
    <x v="2"/>
    <s v="Connectivity"/>
    <s v="Access Management"/>
    <s v="Noida"/>
    <s v="Email"/>
    <s v="Pending"/>
    <n v="8"/>
    <n v="4.1100000000000003"/>
    <n v="4"/>
    <s v="No"/>
    <x v="0"/>
  </r>
  <r>
    <s v="INC101933"/>
    <d v="2025-06-01T00:00:00"/>
    <d v="2025-06-01T13:24:00"/>
    <x v="3"/>
    <x v="0"/>
    <s v="License"/>
    <s v="Desktop Support"/>
    <s v="Hyderabad"/>
    <s v="Phone"/>
    <s v="Resolved"/>
    <n v="8"/>
    <n v="13.4"/>
    <n v="3.4"/>
    <s v="No"/>
    <x v="1"/>
  </r>
  <r>
    <s v="INC101934"/>
    <d v="2025-06-22T00:00:00"/>
    <d v="2025-06-22T05:38:24"/>
    <x v="1"/>
    <x v="3"/>
    <s v="Laptop"/>
    <s v="Desktop Support"/>
    <s v="Gurugram"/>
    <s v="Portal"/>
    <s v="Resolved"/>
    <n v="24"/>
    <n v="5.64"/>
    <n v="4.2"/>
    <s v="No"/>
    <x v="0"/>
  </r>
  <r>
    <s v="INC101935"/>
    <d v="2025-01-27T00:00:00"/>
    <d v="2025-01-27T16:51:00"/>
    <x v="1"/>
    <x v="1"/>
    <s v="Password Reset"/>
    <s v="Access Management"/>
    <s v="Gurugram"/>
    <s v="Portal"/>
    <s v="Closed"/>
    <n v="24"/>
    <n v="16.850000000000001"/>
    <n v="4.5"/>
    <s v="No"/>
    <x v="0"/>
  </r>
  <r>
    <s v="INC101936"/>
    <d v="2025-01-30T00:00:00"/>
    <d v="2025-01-31T23:04:12"/>
    <x v="1"/>
    <x v="0"/>
    <s v="Performance"/>
    <s v="Service Desk"/>
    <s v="Delhi"/>
    <s v="Phone"/>
    <s v="Closed"/>
    <n v="24"/>
    <n v="47.07"/>
    <n v="3.4"/>
    <s v="No"/>
    <x v="1"/>
  </r>
  <r>
    <s v="INC101937"/>
    <d v="2025-03-09T00:00:00"/>
    <d v="2025-03-09T06:15:00"/>
    <x v="3"/>
    <x v="2"/>
    <s v="Packet Loss"/>
    <s v="Service Desk"/>
    <s v="Bengaluru"/>
    <s v="Portal"/>
    <s v="Resolved"/>
    <n v="8"/>
    <n v="6.25"/>
    <n v="4"/>
    <s v="No"/>
    <x v="0"/>
  </r>
  <r>
    <s v="INC101938"/>
    <d v="2025-04-11T00:00:00"/>
    <d v="2025-04-13T05:37:12"/>
    <x v="0"/>
    <x v="1"/>
    <s v="Password Reset"/>
    <s v="Network Support"/>
    <s v="Hyderabad"/>
    <s v="Portal"/>
    <s v="Pending"/>
    <n v="48"/>
    <n v="53.62"/>
    <n v="4.3"/>
    <s v="Yes"/>
    <x v="1"/>
  </r>
  <r>
    <s v="INC101939"/>
    <d v="2025-06-23T00:00:00"/>
    <d v="2025-06-23T08:11:24"/>
    <x v="0"/>
    <x v="0"/>
    <s v="License"/>
    <s v="Network Support"/>
    <s v="Noida"/>
    <s v="Portal"/>
    <s v="In Progress"/>
    <n v="48"/>
    <n v="8.19"/>
    <n v="4.8"/>
    <s v="No"/>
    <x v="0"/>
  </r>
  <r>
    <s v="INC101940"/>
    <d v="2025-02-07T00:00:00"/>
    <d v="2025-02-08T09:23:24"/>
    <x v="1"/>
    <x v="2"/>
    <s v="Connectivity"/>
    <s v="Application Support"/>
    <s v="Noida"/>
    <s v="Email"/>
    <s v="In Progress"/>
    <n v="24"/>
    <n v="33.39"/>
    <n v="2.9"/>
    <s v="No"/>
    <x v="1"/>
  </r>
  <r>
    <s v="INC101941"/>
    <d v="2025-01-30T00:00:00"/>
    <d v="2025-01-30T03:43:48"/>
    <x v="0"/>
    <x v="0"/>
    <s v="Performance"/>
    <s v="Desktop Support"/>
    <s v="Mumbai"/>
    <s v="Email"/>
    <s v="Resolved"/>
    <n v="48"/>
    <n v="3.73"/>
    <n v="3.8"/>
    <s v="Yes"/>
    <x v="0"/>
  </r>
  <r>
    <s v="INC101942"/>
    <d v="2025-02-15T00:00:00"/>
    <d v="2025-02-15T17:48:36"/>
    <x v="1"/>
    <x v="4"/>
    <s v="Delivery"/>
    <s v="Service Desk"/>
    <s v="Noida"/>
    <s v="Email"/>
    <s v="Resolved"/>
    <n v="24"/>
    <n v="17.809999999999999"/>
    <n v="4.3"/>
    <s v="No"/>
    <x v="0"/>
  </r>
  <r>
    <s v="INC101943"/>
    <d v="2025-06-08T00:00:00"/>
    <d v="2025-06-08T03:58:48"/>
    <x v="3"/>
    <x v="0"/>
    <s v="License"/>
    <s v="Service Desk"/>
    <s v="Noida"/>
    <s v="Portal"/>
    <s v="Resolved"/>
    <n v="8"/>
    <n v="3.98"/>
    <n v="4.5999999999999996"/>
    <s v="No"/>
    <x v="0"/>
  </r>
  <r>
    <s v="INC101944"/>
    <d v="2025-01-06T00:00:00"/>
    <d v="2025-01-06T03:04:12"/>
    <x v="3"/>
    <x v="3"/>
    <s v="Printer"/>
    <s v="Application Support"/>
    <s v="Mumbai"/>
    <s v="Email"/>
    <s v="Resolved"/>
    <n v="8"/>
    <n v="3.07"/>
    <n v="5"/>
    <s v="No"/>
    <x v="0"/>
  </r>
  <r>
    <s v="INC101945"/>
    <d v="2025-03-10T00:00:00"/>
    <d v="2025-03-10T15:49:12"/>
    <x v="0"/>
    <x v="0"/>
    <s v="Performance"/>
    <s v="Network Support"/>
    <s v="Gurugram"/>
    <s v="Portal"/>
    <s v="Resolved"/>
    <n v="48"/>
    <n v="15.82"/>
    <n v="5"/>
    <s v="No"/>
    <x v="0"/>
  </r>
  <r>
    <s v="INC101946"/>
    <d v="2025-01-22T00:00:00"/>
    <d v="2025-01-22T19:03:36"/>
    <x v="1"/>
    <x v="3"/>
    <s v="Laptop"/>
    <s v="Application Support"/>
    <s v="Hyderabad"/>
    <s v="Phone"/>
    <s v="Resolved"/>
    <n v="24"/>
    <n v="19.059999999999999"/>
    <n v="5"/>
    <s v="No"/>
    <x v="0"/>
  </r>
  <r>
    <s v="INC101947"/>
    <d v="2025-01-29T00:00:00"/>
    <d v="2025-01-29T06:16:48"/>
    <x v="1"/>
    <x v="0"/>
    <s v="License"/>
    <s v="Access Management"/>
    <s v="Gurugram"/>
    <s v="Chat"/>
    <s v="In Progress"/>
    <n v="24"/>
    <n v="6.28"/>
    <n v="4.3"/>
    <s v="No"/>
    <x v="0"/>
  </r>
  <r>
    <s v="INC101948"/>
    <d v="2025-06-15T00:00:00"/>
    <d v="2025-06-15T08:16:48"/>
    <x v="1"/>
    <x v="0"/>
    <s v="Application Error"/>
    <s v="Desktop Support"/>
    <s v="Bengaluru"/>
    <s v="Email"/>
    <s v="Resolved"/>
    <n v="24"/>
    <n v="8.2799999999999994"/>
    <n v="4.8"/>
    <s v="No"/>
    <x v="0"/>
  </r>
  <r>
    <s v="INC101949"/>
    <d v="2025-01-01T00:00:00"/>
    <d v="2025-01-01T17:54:36"/>
    <x v="1"/>
    <x v="2"/>
    <s v="Link Down"/>
    <s v="Desktop Support"/>
    <s v="Gurugram"/>
    <s v="Portal"/>
    <s v="Closed"/>
    <n v="24"/>
    <n v="17.91"/>
    <n v="3.7"/>
    <s v="No"/>
    <x v="0"/>
  </r>
  <r>
    <s v="INC101950"/>
    <d v="2025-02-28T00:00:00"/>
    <d v="2025-03-02T04:07:12"/>
    <x v="0"/>
    <x v="3"/>
    <s v="Monitor"/>
    <s v="Desktop Support"/>
    <s v="Bengaluru"/>
    <s v="Phone"/>
    <s v="Resolved"/>
    <n v="48"/>
    <n v="52.12"/>
    <n v="4.3"/>
    <s v="No"/>
    <x v="1"/>
  </r>
  <r>
    <s v="INC101951"/>
    <d v="2025-06-15T00:00:00"/>
    <d v="2025-06-15T03:38:24"/>
    <x v="3"/>
    <x v="4"/>
    <s v="Spam"/>
    <s v="Network Support"/>
    <s v="Noida"/>
    <s v="Portal"/>
    <s v="Pending"/>
    <n v="8"/>
    <n v="3.64"/>
    <n v="3.9"/>
    <s v="No"/>
    <x v="0"/>
  </r>
  <r>
    <s v="INC101952"/>
    <d v="2025-04-21T00:00:00"/>
    <d v="2025-04-21T05:43:12"/>
    <x v="2"/>
    <x v="2"/>
    <s v="Packet Loss"/>
    <s v="Application Support"/>
    <s v="Gurugram"/>
    <s v="Portal"/>
    <s v="Pending"/>
    <n v="4"/>
    <n v="5.72"/>
    <n v="3.9"/>
    <s v="No"/>
    <x v="1"/>
  </r>
  <r>
    <s v="INC101953"/>
    <d v="2025-01-13T00:00:00"/>
    <d v="2025-01-13T13:46:12"/>
    <x v="1"/>
    <x v="1"/>
    <s v="Password Reset"/>
    <s v="Service Desk"/>
    <s v="Mumbai"/>
    <s v="Chat"/>
    <s v="Closed"/>
    <n v="24"/>
    <n v="13.77"/>
    <n v="3.8"/>
    <s v="No"/>
    <x v="0"/>
  </r>
  <r>
    <s v="INC101954"/>
    <d v="2025-03-26T00:00:00"/>
    <d v="2025-03-26T12:46:12"/>
    <x v="1"/>
    <x v="0"/>
    <s v="Installation"/>
    <s v="Desktop Support"/>
    <s v="Hyderabad"/>
    <s v="Portal"/>
    <s v="Resolved"/>
    <n v="24"/>
    <n v="12.77"/>
    <n v="4.9000000000000004"/>
    <s v="No"/>
    <x v="0"/>
  </r>
  <r>
    <s v="INC101955"/>
    <d v="2025-06-25T00:00:00"/>
    <d v="2025-06-27T15:24:00"/>
    <x v="1"/>
    <x v="0"/>
    <s v="Installation"/>
    <s v="Network Support"/>
    <s v="Delhi"/>
    <s v="Portal"/>
    <s v="Resolved"/>
    <n v="24"/>
    <n v="63.4"/>
    <n v="2.6"/>
    <s v="No"/>
    <x v="1"/>
  </r>
  <r>
    <s v="INC101956"/>
    <d v="2025-03-14T00:00:00"/>
    <d v="2025-03-14T16:01:48"/>
    <x v="1"/>
    <x v="2"/>
    <s v="Packet Loss"/>
    <s v="Access Management"/>
    <s v="Bengaluru"/>
    <s v="Email"/>
    <s v="Resolved"/>
    <n v="24"/>
    <n v="16.03"/>
    <n v="3.2"/>
    <s v="No"/>
    <x v="0"/>
  </r>
  <r>
    <s v="INC101957"/>
    <d v="2025-04-06T00:00:00"/>
    <d v="2025-04-09T14:16:12"/>
    <x v="0"/>
    <x v="2"/>
    <s v="Packet Loss"/>
    <s v="Service Desk"/>
    <s v="Mumbai"/>
    <s v="Email"/>
    <s v="Closed"/>
    <n v="48"/>
    <n v="86.27"/>
    <n v="2"/>
    <s v="No"/>
    <x v="1"/>
  </r>
  <r>
    <s v="INC101958"/>
    <d v="2025-04-07T00:00:00"/>
    <d v="2025-04-09T11:52:12"/>
    <x v="1"/>
    <x v="2"/>
    <s v="DNS"/>
    <s v="Network Support"/>
    <s v="Mumbai"/>
    <s v="Email"/>
    <s v="Pending"/>
    <n v="24"/>
    <n v="59.87"/>
    <n v="2.2000000000000002"/>
    <s v="No"/>
    <x v="1"/>
  </r>
  <r>
    <s v="INC101959"/>
    <d v="2025-04-30T00:00:00"/>
    <d v="2025-04-30T08:30:00"/>
    <x v="0"/>
    <x v="0"/>
    <s v="Application Error"/>
    <s v="Application Support"/>
    <s v="Gurugram"/>
    <s v="Portal"/>
    <s v="Resolved"/>
    <n v="48"/>
    <n v="8.5"/>
    <n v="4.9000000000000004"/>
    <s v="No"/>
    <x v="0"/>
  </r>
  <r>
    <s v="INC101960"/>
    <d v="2025-02-03T00:00:00"/>
    <d v="2025-02-03T02:03:36"/>
    <x v="3"/>
    <x v="4"/>
    <s v="Configuration"/>
    <s v="Access Management"/>
    <s v="Delhi"/>
    <s v="Phone"/>
    <s v="Resolved"/>
    <n v="8"/>
    <n v="2.06"/>
    <n v="4.5"/>
    <s v="No"/>
    <x v="0"/>
  </r>
  <r>
    <s v="INC101961"/>
    <d v="2025-06-01T00:00:00"/>
    <d v="2025-06-01T02:21:36"/>
    <x v="1"/>
    <x v="1"/>
    <s v="Account Lock"/>
    <s v="Desktop Support"/>
    <s v="Bengaluru"/>
    <s v="Portal"/>
    <s v="Resolved"/>
    <n v="24"/>
    <n v="2.36"/>
    <n v="4.5999999999999996"/>
    <s v="No"/>
    <x v="0"/>
  </r>
  <r>
    <s v="INC101962"/>
    <d v="2025-06-28T00:00:00"/>
    <d v="2025-06-28T20:05:24"/>
    <x v="1"/>
    <x v="2"/>
    <s v="Link Down"/>
    <s v="Network Support"/>
    <s v="Bengaluru"/>
    <s v="Chat"/>
    <s v="Resolved"/>
    <n v="24"/>
    <n v="20.09"/>
    <n v="3.4"/>
    <s v="No"/>
    <x v="0"/>
  </r>
  <r>
    <s v="INC101963"/>
    <d v="2025-01-26T00:00:00"/>
    <d v="2025-01-26T20:19:12"/>
    <x v="1"/>
    <x v="2"/>
    <s v="Packet Loss"/>
    <s v="Access Management"/>
    <s v="Gurugram"/>
    <s v="Portal"/>
    <s v="Closed"/>
    <n v="24"/>
    <n v="20.32"/>
    <n v="4.2"/>
    <s v="No"/>
    <x v="0"/>
  </r>
  <r>
    <s v="INC101964"/>
    <d v="2025-05-29T00:00:00"/>
    <d v="2025-05-29T01:15:00"/>
    <x v="2"/>
    <x v="2"/>
    <s v="Connectivity"/>
    <s v="Service Desk"/>
    <s v="Noida"/>
    <s v="Portal"/>
    <s v="Resolved"/>
    <n v="4"/>
    <n v="1.25"/>
    <n v="4"/>
    <s v="No"/>
    <x v="0"/>
  </r>
  <r>
    <s v="INC101965"/>
    <d v="2025-05-28T00:00:00"/>
    <d v="2025-05-28T01:54:36"/>
    <x v="0"/>
    <x v="4"/>
    <s v="Configuration"/>
    <s v="Service Desk"/>
    <s v="Bengaluru"/>
    <s v="Email"/>
    <s v="In Progress"/>
    <n v="48"/>
    <n v="1.91"/>
    <n v="5"/>
    <s v="No"/>
    <x v="0"/>
  </r>
  <r>
    <s v="INC101966"/>
    <d v="2025-05-15T00:00:00"/>
    <d v="2025-05-16T09:15:36"/>
    <x v="0"/>
    <x v="2"/>
    <s v="Link Down"/>
    <s v="Application Support"/>
    <s v="Noida"/>
    <s v="Portal"/>
    <s v="Resolved"/>
    <n v="48"/>
    <n v="33.26"/>
    <n v="3.8"/>
    <s v="No"/>
    <x v="0"/>
  </r>
  <r>
    <s v="INC101967"/>
    <d v="2025-03-09T00:00:00"/>
    <d v="2025-03-09T05:13:48"/>
    <x v="0"/>
    <x v="2"/>
    <s v="DNS"/>
    <s v="Service Desk"/>
    <s v="Noida"/>
    <s v="Email"/>
    <s v="Resolved"/>
    <n v="48"/>
    <n v="5.23"/>
    <n v="4.5999999999999996"/>
    <s v="No"/>
    <x v="0"/>
  </r>
  <r>
    <s v="INC101968"/>
    <d v="2025-03-26T00:00:00"/>
    <d v="2025-03-26T10:13:48"/>
    <x v="1"/>
    <x v="0"/>
    <s v="Application Error"/>
    <s v="Network Support"/>
    <s v="Mumbai"/>
    <s v="Portal"/>
    <s v="Resolved"/>
    <n v="24"/>
    <n v="10.23"/>
    <n v="5"/>
    <s v="No"/>
    <x v="0"/>
  </r>
  <r>
    <s v="INC101969"/>
    <d v="2025-06-01T00:00:00"/>
    <d v="2025-06-01T03:29:24"/>
    <x v="2"/>
    <x v="0"/>
    <s v="License"/>
    <s v="Application Support"/>
    <s v="Hyderabad"/>
    <s v="Portal"/>
    <s v="Closed"/>
    <n v="4"/>
    <n v="3.49"/>
    <n v="4.5999999999999996"/>
    <s v="No"/>
    <x v="0"/>
  </r>
  <r>
    <s v="INC101970"/>
    <d v="2025-01-28T00:00:00"/>
    <d v="2025-01-29T02:58:12"/>
    <x v="0"/>
    <x v="2"/>
    <s v="Link Down"/>
    <s v="Service Desk"/>
    <s v="Mumbai"/>
    <s v="Portal"/>
    <s v="Closed"/>
    <n v="48"/>
    <n v="26.97"/>
    <n v="3.7"/>
    <s v="No"/>
    <x v="0"/>
  </r>
  <r>
    <s v="INC101971"/>
    <d v="2025-05-31T00:00:00"/>
    <d v="2025-05-31T08:37:48"/>
    <x v="3"/>
    <x v="0"/>
    <s v="Performance"/>
    <s v="Access Management"/>
    <s v="Delhi"/>
    <s v="Portal"/>
    <s v="In Progress"/>
    <n v="8"/>
    <n v="8.6300000000000008"/>
    <n v="3.1"/>
    <s v="No"/>
    <x v="1"/>
  </r>
  <r>
    <s v="INC101972"/>
    <d v="2025-06-16T00:00:00"/>
    <d v="2025-06-16T19:29:24"/>
    <x v="0"/>
    <x v="2"/>
    <s v="DNS"/>
    <s v="Network Support"/>
    <s v="Noida"/>
    <s v="Portal"/>
    <s v="Resolved"/>
    <n v="48"/>
    <n v="19.489999999999998"/>
    <n v="5"/>
    <s v="No"/>
    <x v="0"/>
  </r>
  <r>
    <s v="INC101973"/>
    <d v="2025-05-04T00:00:00"/>
    <d v="2025-05-04T06:27:00"/>
    <x v="1"/>
    <x v="2"/>
    <s v="Connectivity"/>
    <s v="Access Management"/>
    <s v="Delhi"/>
    <s v="Portal"/>
    <s v="Resolved"/>
    <n v="24"/>
    <n v="6.45"/>
    <n v="3.7"/>
    <s v="No"/>
    <x v="0"/>
  </r>
  <r>
    <s v="INC101974"/>
    <d v="2025-03-03T00:00:00"/>
    <d v="2025-03-03T10:44:24"/>
    <x v="0"/>
    <x v="2"/>
    <s v="Link Down"/>
    <s v="Application Support"/>
    <s v="Hyderabad"/>
    <s v="Portal"/>
    <s v="Closed"/>
    <n v="48"/>
    <n v="10.74"/>
    <n v="5"/>
    <s v="No"/>
    <x v="0"/>
  </r>
  <r>
    <s v="INC101975"/>
    <d v="2025-04-12T00:00:00"/>
    <d v="2025-04-12T20:30:36"/>
    <x v="1"/>
    <x v="3"/>
    <s v="Peripheral"/>
    <s v="Service Desk"/>
    <s v="Bengaluru"/>
    <s v="Phone"/>
    <s v="Pending"/>
    <n v="24"/>
    <n v="20.51"/>
    <n v="4.0999999999999996"/>
    <s v="No"/>
    <x v="0"/>
  </r>
  <r>
    <s v="INC101976"/>
    <d v="2025-01-10T00:00:00"/>
    <d v="2025-01-10T11:16:48"/>
    <x v="1"/>
    <x v="4"/>
    <s v="Mailbox"/>
    <s v="Desktop Support"/>
    <s v="Gurugram"/>
    <s v="Phone"/>
    <s v="Resolved"/>
    <n v="24"/>
    <n v="11.28"/>
    <n v="4.0999999999999996"/>
    <s v="No"/>
    <x v="0"/>
  </r>
  <r>
    <s v="INC101977"/>
    <d v="2025-06-18T00:00:00"/>
    <d v="2025-06-18T06:09:36"/>
    <x v="1"/>
    <x v="0"/>
    <s v="Application Error"/>
    <s v="Access Management"/>
    <s v="Hyderabad"/>
    <s v="Portal"/>
    <s v="Resolved"/>
    <n v="24"/>
    <n v="6.16"/>
    <n v="4.7"/>
    <s v="No"/>
    <x v="0"/>
  </r>
  <r>
    <s v="INC101978"/>
    <d v="2025-03-03T00:00:00"/>
    <d v="2025-03-04T08:04:48"/>
    <x v="0"/>
    <x v="1"/>
    <s v="Permission"/>
    <s v="Network Support"/>
    <s v="Bengaluru"/>
    <s v="Portal"/>
    <s v="Resolved"/>
    <n v="48"/>
    <n v="32.08"/>
    <n v="5"/>
    <s v="No"/>
    <x v="0"/>
  </r>
  <r>
    <s v="INC101979"/>
    <d v="2025-01-11T00:00:00"/>
    <d v="2025-01-11T00:42:00"/>
    <x v="3"/>
    <x v="3"/>
    <s v="Laptop"/>
    <s v="Access Management"/>
    <s v="Delhi"/>
    <s v="Portal"/>
    <s v="Closed"/>
    <n v="8"/>
    <n v="0.7"/>
    <n v="3.5"/>
    <s v="No"/>
    <x v="0"/>
  </r>
  <r>
    <s v="INC101980"/>
    <d v="2025-05-24T00:00:00"/>
    <d v="2025-05-24T02:06:00"/>
    <x v="2"/>
    <x v="0"/>
    <s v="License"/>
    <s v="Desktop Support"/>
    <s v="Delhi"/>
    <s v="Portal"/>
    <s v="Resolved"/>
    <n v="4"/>
    <n v="2.1"/>
    <n v="5"/>
    <s v="No"/>
    <x v="0"/>
  </r>
  <r>
    <s v="INC101981"/>
    <d v="2025-04-30T00:00:00"/>
    <d v="2025-04-30T14:52:48"/>
    <x v="1"/>
    <x v="4"/>
    <s v="Configuration"/>
    <s v="Access Management"/>
    <s v="Mumbai"/>
    <s v="Email"/>
    <s v="Resolved"/>
    <n v="24"/>
    <n v="14.88"/>
    <n v="5"/>
    <s v="No"/>
    <x v="0"/>
  </r>
  <r>
    <s v="INC101982"/>
    <d v="2025-04-23T00:00:00"/>
    <d v="2025-04-23T16:28:12"/>
    <x v="1"/>
    <x v="3"/>
    <s v="Laptop"/>
    <s v="Service Desk"/>
    <s v="Gurugram"/>
    <s v="Portal"/>
    <s v="Resolved"/>
    <n v="24"/>
    <n v="16.47"/>
    <n v="4"/>
    <s v="No"/>
    <x v="0"/>
  </r>
  <r>
    <s v="INC101983"/>
    <d v="2025-01-10T00:00:00"/>
    <d v="2025-01-10T11:29:24"/>
    <x v="3"/>
    <x v="4"/>
    <s v="Mailbox"/>
    <s v="Application Support"/>
    <s v="Bengaluru"/>
    <s v="Chat"/>
    <s v="Closed"/>
    <n v="8"/>
    <n v="11.49"/>
    <n v="3.2"/>
    <s v="No"/>
    <x v="1"/>
  </r>
  <r>
    <s v="INC101984"/>
    <d v="2025-05-16T00:00:00"/>
    <d v="2025-05-16T18:37:12"/>
    <x v="0"/>
    <x v="0"/>
    <s v="License"/>
    <s v="Access Management"/>
    <s v="Hyderabad"/>
    <s v="Phone"/>
    <s v="Resolved"/>
    <n v="48"/>
    <n v="18.62"/>
    <n v="4.5999999999999996"/>
    <s v="No"/>
    <x v="0"/>
  </r>
  <r>
    <s v="INC101985"/>
    <d v="2025-04-26T00:00:00"/>
    <d v="2025-04-26T05:01:12"/>
    <x v="3"/>
    <x v="1"/>
    <s v="Permission"/>
    <s v="Service Desk"/>
    <s v="Gurugram"/>
    <s v="Portal"/>
    <s v="Resolved"/>
    <n v="8"/>
    <n v="5.0199999999999996"/>
    <n v="4.7"/>
    <s v="No"/>
    <x v="0"/>
  </r>
  <r>
    <s v="INC101986"/>
    <d v="2025-05-24T00:00:00"/>
    <d v="2025-05-25T09:54:00"/>
    <x v="0"/>
    <x v="2"/>
    <s v="DNS"/>
    <s v="Network Support"/>
    <s v="Delhi"/>
    <s v="Portal"/>
    <s v="Closed"/>
    <n v="48"/>
    <n v="33.9"/>
    <n v="3.7"/>
    <s v="No"/>
    <x v="0"/>
  </r>
  <r>
    <s v="INC101987"/>
    <d v="2025-05-30T00:00:00"/>
    <d v="2025-05-30T03:48:00"/>
    <x v="3"/>
    <x v="0"/>
    <s v="License"/>
    <s v="Service Desk"/>
    <s v="Delhi"/>
    <s v="Portal"/>
    <s v="Resolved"/>
    <n v="8"/>
    <n v="3.8"/>
    <n v="4.4000000000000004"/>
    <s v="No"/>
    <x v="0"/>
  </r>
  <r>
    <s v="INC101988"/>
    <d v="2025-02-08T00:00:00"/>
    <d v="2025-02-08T07:34:47"/>
    <x v="0"/>
    <x v="0"/>
    <s v="Installation"/>
    <s v="Desktop Support"/>
    <s v="Hyderabad"/>
    <s v="Portal"/>
    <s v="Resolved"/>
    <n v="48"/>
    <n v="7.58"/>
    <n v="4.7"/>
    <s v="No"/>
    <x v="0"/>
  </r>
  <r>
    <s v="INC101989"/>
    <d v="2025-02-08T00:00:00"/>
    <d v="2025-02-09T19:55:12"/>
    <x v="0"/>
    <x v="4"/>
    <s v="Spam"/>
    <s v="Application Support"/>
    <s v="Bengaluru"/>
    <s v="Email"/>
    <s v="Resolved"/>
    <n v="48"/>
    <n v="43.92"/>
    <n v="4.3"/>
    <s v="No"/>
    <x v="0"/>
  </r>
  <r>
    <s v="INC101990"/>
    <d v="2025-06-17T00:00:00"/>
    <d v="2025-06-17T00:56:24"/>
    <x v="1"/>
    <x v="4"/>
    <s v="Delivery"/>
    <s v="Desktop Support"/>
    <s v="Gurugram"/>
    <s v="Portal"/>
    <s v="Resolved"/>
    <n v="24"/>
    <n v="0.94"/>
    <n v="5"/>
    <s v="No"/>
    <x v="0"/>
  </r>
  <r>
    <s v="INC101991"/>
    <d v="2025-04-07T00:00:00"/>
    <d v="2025-04-07T04:02:24"/>
    <x v="1"/>
    <x v="3"/>
    <s v="Printer"/>
    <s v="Access Management"/>
    <s v="Delhi"/>
    <s v="Portal"/>
    <s v="Resolved"/>
    <n v="24"/>
    <n v="4.04"/>
    <n v="4.3"/>
    <s v="No"/>
    <x v="0"/>
  </r>
  <r>
    <s v="INC101992"/>
    <d v="2025-03-21T00:00:00"/>
    <d v="2025-03-21T03:01:48"/>
    <x v="3"/>
    <x v="4"/>
    <s v="Spam"/>
    <s v="Desktop Support"/>
    <s v="Mumbai"/>
    <s v="Portal"/>
    <s v="Resolved"/>
    <n v="8"/>
    <n v="3.03"/>
    <n v="4.5999999999999996"/>
    <s v="No"/>
    <x v="0"/>
  </r>
  <r>
    <s v="INC101993"/>
    <d v="2025-02-21T00:00:00"/>
    <d v="2025-02-21T00:40:12"/>
    <x v="2"/>
    <x v="4"/>
    <s v="Spam"/>
    <s v="Application Support"/>
    <s v="Delhi"/>
    <s v="Email"/>
    <s v="Resolved"/>
    <n v="4"/>
    <n v="0.67"/>
    <n v="4.3"/>
    <s v="No"/>
    <x v="0"/>
  </r>
  <r>
    <s v="INC101994"/>
    <d v="2025-04-26T00:00:00"/>
    <d v="2025-04-27T01:09:00"/>
    <x v="0"/>
    <x v="0"/>
    <s v="Installation"/>
    <s v="Access Management"/>
    <s v="Delhi"/>
    <s v="Portal"/>
    <s v="Closed"/>
    <n v="48"/>
    <n v="25.15"/>
    <n v="4.0999999999999996"/>
    <s v="No"/>
    <x v="0"/>
  </r>
  <r>
    <s v="INC101995"/>
    <d v="2025-05-17T00:00:00"/>
    <d v="2025-05-19T07:27:00"/>
    <x v="0"/>
    <x v="2"/>
    <s v="Packet Loss"/>
    <s v="Access Management"/>
    <s v="Bengaluru"/>
    <s v="Chat"/>
    <s v="Closed"/>
    <n v="48"/>
    <n v="55.45"/>
    <n v="2.9"/>
    <s v="Yes"/>
    <x v="1"/>
  </r>
  <r>
    <s v="INC101996"/>
    <d v="2025-01-01T00:00:00"/>
    <d v="2025-01-02T20:12:36"/>
    <x v="1"/>
    <x v="2"/>
    <s v="Link Down"/>
    <s v="Service Desk"/>
    <s v="Bengaluru"/>
    <s v="Portal"/>
    <s v="Resolved"/>
    <n v="24"/>
    <n v="44.21"/>
    <n v="1.8"/>
    <s v="No"/>
    <x v="1"/>
  </r>
  <r>
    <s v="INC101997"/>
    <d v="2025-04-11T00:00:00"/>
    <d v="2025-04-11T11:33:36"/>
    <x v="1"/>
    <x v="2"/>
    <s v="Link Down"/>
    <s v="Service Desk"/>
    <s v="Bengaluru"/>
    <s v="Portal"/>
    <s v="Closed"/>
    <n v="24"/>
    <n v="11.56"/>
    <n v="5"/>
    <s v="No"/>
    <x v="0"/>
  </r>
  <r>
    <s v="INC101998"/>
    <d v="2025-06-29T00:00:00"/>
    <d v="2025-06-29T15:57:00"/>
    <x v="1"/>
    <x v="2"/>
    <s v="Connectivity"/>
    <s v="Application Support"/>
    <s v="Hyderabad"/>
    <s v="Email"/>
    <s v="Resolved"/>
    <n v="24"/>
    <n v="15.95"/>
    <n v="4.4000000000000004"/>
    <s v="No"/>
    <x v="0"/>
  </r>
  <r>
    <s v="INC101999"/>
    <d v="2025-02-20T00:00:00"/>
    <d v="2025-02-20T04:10:12"/>
    <x v="3"/>
    <x v="4"/>
    <s v="Configuration"/>
    <s v="Desktop Support"/>
    <s v="Gurugram"/>
    <s v="Email"/>
    <s v="In Progress"/>
    <n v="8"/>
    <n v="4.17"/>
    <n v="4.4000000000000004"/>
    <s v="No"/>
    <x v="0"/>
  </r>
  <r>
    <s v="INC102000"/>
    <d v="2025-02-20T00:00:00"/>
    <d v="2025-02-20T03:40:48"/>
    <x v="3"/>
    <x v="2"/>
    <s v="Packet Loss"/>
    <s v="Desktop Support"/>
    <s v="Bengaluru"/>
    <s v="Portal"/>
    <s v="Resolved"/>
    <n v="8"/>
    <n v="3.68"/>
    <n v="3.9"/>
    <s v="No"/>
    <x v="0"/>
  </r>
  <r>
    <s v="INC102001"/>
    <d v="2025-06-08T00:00:00"/>
    <d v="2025-06-08T22:12:36"/>
    <x v="0"/>
    <x v="0"/>
    <s v="License"/>
    <s v="Application Support"/>
    <s v="Gurugram"/>
    <s v="Email"/>
    <s v="Resolved"/>
    <n v="48"/>
    <n v="22.21"/>
    <n v="4.4000000000000004"/>
    <s v="Yes"/>
    <x v="0"/>
  </r>
  <r>
    <s v="INC102002"/>
    <d v="2025-01-12T00:00:00"/>
    <d v="2025-01-13T14:44:24"/>
    <x v="1"/>
    <x v="0"/>
    <s v="License"/>
    <s v="Application Support"/>
    <s v="Noida"/>
    <s v="Portal"/>
    <s v="Resolved"/>
    <n v="24"/>
    <n v="38.74"/>
    <n v="2.2999999999999998"/>
    <s v="No"/>
    <x v="1"/>
  </r>
  <r>
    <s v="INC102003"/>
    <d v="2025-03-13T00:00:00"/>
    <d v="2025-03-13T01:16:48"/>
    <x v="1"/>
    <x v="0"/>
    <s v="Performance"/>
    <s v="Access Management"/>
    <s v="Delhi"/>
    <s v="Portal"/>
    <s v="Resolved"/>
    <n v="24"/>
    <n v="1.28"/>
    <n v="4.9000000000000004"/>
    <s v="No"/>
    <x v="0"/>
  </r>
  <r>
    <s v="INC102004"/>
    <d v="2025-03-24T00:00:00"/>
    <d v="2025-03-24T23:19:48"/>
    <x v="1"/>
    <x v="2"/>
    <s v="Link Down"/>
    <s v="Service Desk"/>
    <s v="Mumbai"/>
    <s v="Portal"/>
    <s v="Resolved"/>
    <n v="24"/>
    <n v="23.33"/>
    <n v="4.0999999999999996"/>
    <s v="No"/>
    <x v="0"/>
  </r>
  <r>
    <s v="INC102005"/>
    <d v="2025-05-25T00:00:00"/>
    <d v="2025-05-25T11:09:00"/>
    <x v="0"/>
    <x v="0"/>
    <s v="Performance"/>
    <s v="Application Support"/>
    <s v="Mumbai"/>
    <s v="Email"/>
    <s v="Resolved"/>
    <n v="48"/>
    <n v="11.15"/>
    <n v="4.4000000000000004"/>
    <s v="No"/>
    <x v="0"/>
  </r>
  <r>
    <s v="INC102006"/>
    <d v="2025-01-24T00:00:00"/>
    <d v="2025-01-24T09:55:12"/>
    <x v="1"/>
    <x v="0"/>
    <s v="Performance"/>
    <s v="Service Desk"/>
    <s v="Mumbai"/>
    <s v="Email"/>
    <s v="Closed"/>
    <n v="24"/>
    <n v="9.92"/>
    <n v="4"/>
    <s v="No"/>
    <x v="0"/>
  </r>
  <r>
    <s v="INC102007"/>
    <d v="2025-03-20T00:00:00"/>
    <d v="2025-03-20T03:50:24"/>
    <x v="1"/>
    <x v="0"/>
    <s v="License"/>
    <s v="Access Management"/>
    <s v="Delhi"/>
    <s v="Email"/>
    <s v="Resolved"/>
    <n v="24"/>
    <n v="3.84"/>
    <n v="4.5"/>
    <s v="No"/>
    <x v="0"/>
  </r>
  <r>
    <s v="INC102008"/>
    <d v="2025-01-28T00:00:00"/>
    <d v="2025-01-28T07:03:00"/>
    <x v="0"/>
    <x v="2"/>
    <s v="Connectivity"/>
    <s v="Network Support"/>
    <s v="Delhi"/>
    <s v="Chat"/>
    <s v="Resolved"/>
    <n v="48"/>
    <n v="7.05"/>
    <n v="5"/>
    <s v="No"/>
    <x v="0"/>
  </r>
  <r>
    <s v="INC102009"/>
    <d v="2025-05-23T00:00:00"/>
    <d v="2025-05-23T08:40:12"/>
    <x v="3"/>
    <x v="1"/>
    <s v="Password Reset"/>
    <s v="Application Support"/>
    <s v="Mumbai"/>
    <s v="Email"/>
    <s v="In Progress"/>
    <n v="8"/>
    <n v="8.67"/>
    <n v="3.8"/>
    <s v="No"/>
    <x v="1"/>
  </r>
  <r>
    <s v="INC102010"/>
    <d v="2025-04-25T00:00:00"/>
    <d v="2025-04-25T06:46:12"/>
    <x v="1"/>
    <x v="2"/>
    <s v="Connectivity"/>
    <s v="Network Support"/>
    <s v="Bengaluru"/>
    <s v="Phone"/>
    <s v="Resolved"/>
    <n v="24"/>
    <n v="6.77"/>
    <n v="3.6"/>
    <s v="Yes"/>
    <x v="0"/>
  </r>
  <r>
    <s v="INC102011"/>
    <d v="2025-03-31T00:00:00"/>
    <d v="2025-03-31T12:12:00"/>
    <x v="1"/>
    <x v="0"/>
    <s v="Application Error"/>
    <s v="Access Management"/>
    <s v="Delhi"/>
    <s v="Portal"/>
    <s v="Resolved"/>
    <n v="24"/>
    <n v="12.2"/>
    <n v="4.9000000000000004"/>
    <s v="No"/>
    <x v="0"/>
  </r>
  <r>
    <s v="INC102012"/>
    <d v="2025-03-13T00:00:00"/>
    <d v="2025-03-13T17:32:24"/>
    <x v="1"/>
    <x v="3"/>
    <s v="Printer"/>
    <s v="Access Management"/>
    <s v="Bengaluru"/>
    <s v="Email"/>
    <s v="Resolved"/>
    <n v="24"/>
    <n v="17.54"/>
    <n v="4.5"/>
    <s v="No"/>
    <x v="0"/>
  </r>
  <r>
    <s v="INC102013"/>
    <d v="2025-01-28T00:00:00"/>
    <d v="2025-01-28T11:27:36"/>
    <x v="3"/>
    <x v="2"/>
    <s v="Connectivity"/>
    <s v="Access Management"/>
    <s v="Hyderabad"/>
    <s v="Email"/>
    <s v="Resolved"/>
    <n v="8"/>
    <n v="11.46"/>
    <n v="3.4"/>
    <s v="No"/>
    <x v="1"/>
  </r>
  <r>
    <s v="INC102014"/>
    <d v="2025-06-16T00:00:00"/>
    <d v="2025-06-16T07:18:36"/>
    <x v="0"/>
    <x v="1"/>
    <s v="Password Reset"/>
    <s v="Application Support"/>
    <s v="Mumbai"/>
    <s v="Portal"/>
    <s v="Closed"/>
    <n v="48"/>
    <n v="7.31"/>
    <n v="5"/>
    <s v="Yes"/>
    <x v="0"/>
  </r>
  <r>
    <s v="INC102015"/>
    <d v="2025-04-28T00:00:00"/>
    <d v="2025-04-30T23:56:24"/>
    <x v="0"/>
    <x v="2"/>
    <s v="Link Down"/>
    <s v="Desktop Support"/>
    <s v="Gurugram"/>
    <s v="Portal"/>
    <s v="Resolved"/>
    <n v="48"/>
    <n v="71.94"/>
    <n v="3.2"/>
    <s v="No"/>
    <x v="1"/>
  </r>
  <r>
    <s v="INC102016"/>
    <d v="2025-02-27T00:00:00"/>
    <d v="2025-02-27T14:36:36"/>
    <x v="1"/>
    <x v="4"/>
    <s v="Configuration"/>
    <s v="Service Desk"/>
    <s v="Gurugram"/>
    <s v="Email"/>
    <s v="Resolved"/>
    <n v="24"/>
    <n v="14.61"/>
    <n v="4.5"/>
    <s v="No"/>
    <x v="0"/>
  </r>
  <r>
    <s v="INC102017"/>
    <d v="2025-03-16T00:00:00"/>
    <d v="2025-03-16T14:07:12"/>
    <x v="1"/>
    <x v="4"/>
    <s v="Spam"/>
    <s v="Access Management"/>
    <s v="Mumbai"/>
    <s v="Portal"/>
    <s v="Closed"/>
    <n v="24"/>
    <n v="14.12"/>
    <n v="4.5999999999999996"/>
    <s v="No"/>
    <x v="0"/>
  </r>
  <r>
    <s v="INC102018"/>
    <d v="2025-05-12T00:00:00"/>
    <d v="2025-05-12T18:27:36"/>
    <x v="0"/>
    <x v="3"/>
    <s v="Monitor"/>
    <s v="Desktop Support"/>
    <s v="Noida"/>
    <s v="Portal"/>
    <s v="Closed"/>
    <n v="48"/>
    <n v="18.46"/>
    <n v="5"/>
    <s v="No"/>
    <x v="0"/>
  </r>
  <r>
    <s v="INC102019"/>
    <d v="2025-05-11T00:00:00"/>
    <d v="2025-05-11T02:41:24"/>
    <x v="3"/>
    <x v="3"/>
    <s v="Monitor"/>
    <s v="Access Management"/>
    <s v="Mumbai"/>
    <s v="Phone"/>
    <s v="Closed"/>
    <n v="8"/>
    <n v="2.69"/>
    <n v="4.5"/>
    <s v="No"/>
    <x v="0"/>
  </r>
  <r>
    <s v="INC102020"/>
    <d v="2025-03-25T00:00:00"/>
    <d v="2025-03-25T04:28:12"/>
    <x v="0"/>
    <x v="2"/>
    <s v="DNS"/>
    <s v="Application Support"/>
    <s v="Hyderabad"/>
    <s v="Email"/>
    <s v="Resolved"/>
    <n v="48"/>
    <n v="4.47"/>
    <n v="4.5"/>
    <s v="Yes"/>
    <x v="0"/>
  </r>
  <r>
    <s v="INC102021"/>
    <d v="2025-02-24T00:00:00"/>
    <d v="2025-02-26T10:27:00"/>
    <x v="0"/>
    <x v="4"/>
    <s v="Spam"/>
    <s v="Application Support"/>
    <s v="Noida"/>
    <s v="Portal"/>
    <s v="Resolved"/>
    <n v="48"/>
    <n v="58.45"/>
    <n v="4.2"/>
    <s v="No"/>
    <x v="1"/>
  </r>
  <r>
    <s v="INC102022"/>
    <d v="2025-04-30T00:00:00"/>
    <d v="2025-04-30T03:20:24"/>
    <x v="1"/>
    <x v="0"/>
    <s v="Installation"/>
    <s v="Service Desk"/>
    <s v="Bengaluru"/>
    <s v="Portal"/>
    <s v="Pending"/>
    <n v="24"/>
    <n v="3.34"/>
    <n v="5"/>
    <s v="No"/>
    <x v="0"/>
  </r>
  <r>
    <s v="INC102023"/>
    <d v="2025-04-30T00:00:00"/>
    <d v="2025-04-30T02:24:00"/>
    <x v="3"/>
    <x v="2"/>
    <s v="DNS"/>
    <s v="Desktop Support"/>
    <s v="Noida"/>
    <s v="Chat"/>
    <s v="Resolved"/>
    <n v="8"/>
    <n v="2.4"/>
    <n v="5"/>
    <s v="No"/>
    <x v="0"/>
  </r>
  <r>
    <s v="INC102024"/>
    <d v="2025-04-19T00:00:00"/>
    <d v="2025-04-19T08:41:24"/>
    <x v="3"/>
    <x v="0"/>
    <s v="Installation"/>
    <s v="Desktop Support"/>
    <s v="Bengaluru"/>
    <s v="Chat"/>
    <s v="Pending"/>
    <n v="8"/>
    <n v="8.69"/>
    <n v="4"/>
    <s v="No"/>
    <x v="1"/>
  </r>
  <r>
    <s v="INC102025"/>
    <d v="2025-01-14T00:00:00"/>
    <d v="2025-01-14T03:37:48"/>
    <x v="3"/>
    <x v="2"/>
    <s v="Link Down"/>
    <s v="Application Support"/>
    <s v="Delhi"/>
    <s v="Email"/>
    <s v="Closed"/>
    <n v="8"/>
    <n v="3.63"/>
    <n v="3.4"/>
    <s v="No"/>
    <x v="0"/>
  </r>
  <r>
    <s v="INC102026"/>
    <d v="2025-03-27T00:00:00"/>
    <d v="2025-03-27T04:17:23"/>
    <x v="1"/>
    <x v="0"/>
    <s v="License"/>
    <s v="Application Support"/>
    <s v="Hyderabad"/>
    <s v="Portal"/>
    <s v="Closed"/>
    <n v="24"/>
    <n v="4.29"/>
    <n v="4.9000000000000004"/>
    <s v="No"/>
    <x v="0"/>
  </r>
  <r>
    <s v="INC102027"/>
    <d v="2025-04-22T00:00:00"/>
    <d v="2025-04-22T07:24:00"/>
    <x v="3"/>
    <x v="0"/>
    <s v="Installation"/>
    <s v="Network Support"/>
    <s v="Bengaluru"/>
    <s v="Portal"/>
    <s v="Resolved"/>
    <n v="8"/>
    <n v="7.4"/>
    <n v="3.9"/>
    <s v="No"/>
    <x v="0"/>
  </r>
  <r>
    <s v="INC102028"/>
    <d v="2025-06-21T00:00:00"/>
    <d v="2025-06-21T08:08:24"/>
    <x v="1"/>
    <x v="2"/>
    <s v="Packet Loss"/>
    <s v="Service Desk"/>
    <s v="Gurugram"/>
    <s v="Portal"/>
    <s v="In Progress"/>
    <n v="24"/>
    <n v="8.14"/>
    <n v="5"/>
    <s v="No"/>
    <x v="0"/>
  </r>
  <r>
    <s v="INC102029"/>
    <d v="2025-04-06T00:00:00"/>
    <d v="2025-04-06T14:12:00"/>
    <x v="0"/>
    <x v="1"/>
    <s v="Permission"/>
    <s v="Network Support"/>
    <s v="Bengaluru"/>
    <s v="Phone"/>
    <s v="In Progress"/>
    <n v="48"/>
    <n v="14.2"/>
    <n v="5"/>
    <s v="No"/>
    <x v="0"/>
  </r>
  <r>
    <s v="INC102030"/>
    <d v="2025-03-04T00:00:00"/>
    <d v="2025-03-04T03:29:24"/>
    <x v="1"/>
    <x v="2"/>
    <s v="Connectivity"/>
    <s v="Desktop Support"/>
    <s v="Noida"/>
    <s v="Email"/>
    <s v="Closed"/>
    <n v="24"/>
    <n v="3.49"/>
    <n v="5"/>
    <s v="No"/>
    <x v="0"/>
  </r>
  <r>
    <s v="INC102031"/>
    <d v="2025-04-11T00:00:00"/>
    <d v="2025-04-11T02:33:00"/>
    <x v="3"/>
    <x v="0"/>
    <s v="Application Error"/>
    <s v="Application Support"/>
    <s v="Mumbai"/>
    <s v="Phone"/>
    <s v="Pending"/>
    <n v="8"/>
    <n v="2.5499999999999998"/>
    <n v="3.3"/>
    <s v="No"/>
    <x v="0"/>
  </r>
  <r>
    <s v="INC102032"/>
    <d v="2025-02-02T00:00:00"/>
    <d v="2025-02-02T09:01:12"/>
    <x v="1"/>
    <x v="0"/>
    <s v="License"/>
    <s v="Service Desk"/>
    <s v="Mumbai"/>
    <s v="Portal"/>
    <s v="Closed"/>
    <n v="24"/>
    <n v="9.02"/>
    <n v="4"/>
    <s v="No"/>
    <x v="0"/>
  </r>
  <r>
    <s v="INC102033"/>
    <d v="2025-01-17T00:00:00"/>
    <d v="2025-01-17T17:16:12"/>
    <x v="1"/>
    <x v="4"/>
    <s v="Spam"/>
    <s v="Application Support"/>
    <s v="Noida"/>
    <s v="Phone"/>
    <s v="Resolved"/>
    <n v="24"/>
    <n v="17.27"/>
    <n v="3.9"/>
    <s v="No"/>
    <x v="0"/>
  </r>
  <r>
    <s v="INC102034"/>
    <d v="2025-05-03T00:00:00"/>
    <d v="2025-05-03T06:02:24"/>
    <x v="1"/>
    <x v="0"/>
    <s v="Installation"/>
    <s v="Network Support"/>
    <s v="Mumbai"/>
    <s v="Portal"/>
    <s v="Closed"/>
    <n v="24"/>
    <n v="6.04"/>
    <n v="4.5"/>
    <s v="No"/>
    <x v="0"/>
  </r>
  <r>
    <s v="INC102035"/>
    <d v="2025-06-28T00:00:00"/>
    <d v="2025-06-29T05:49:48"/>
    <x v="1"/>
    <x v="4"/>
    <s v="Delivery"/>
    <s v="Access Management"/>
    <s v="Delhi"/>
    <s v="Portal"/>
    <s v="Closed"/>
    <n v="24"/>
    <n v="29.83"/>
    <n v="3.6"/>
    <s v="No"/>
    <x v="1"/>
  </r>
  <r>
    <s v="INC102036"/>
    <d v="2025-06-03T00:00:00"/>
    <d v="2025-06-05T05:07:48"/>
    <x v="0"/>
    <x v="3"/>
    <s v="Laptop"/>
    <s v="Application Support"/>
    <s v="Hyderabad"/>
    <s v="Email"/>
    <s v="Closed"/>
    <n v="48"/>
    <n v="53.13"/>
    <n v="4.5999999999999996"/>
    <s v="No"/>
    <x v="1"/>
  </r>
  <r>
    <s v="INC102037"/>
    <d v="2025-04-16T00:00:00"/>
    <d v="2025-04-17T02:33:36"/>
    <x v="1"/>
    <x v="1"/>
    <s v="Password Reset"/>
    <s v="Application Support"/>
    <s v="Bengaluru"/>
    <s v="Email"/>
    <s v="Resolved"/>
    <n v="24"/>
    <n v="26.56"/>
    <n v="4.2"/>
    <s v="No"/>
    <x v="1"/>
  </r>
  <r>
    <s v="INC102038"/>
    <d v="2025-01-08T00:00:00"/>
    <d v="2025-01-08T04:36:00"/>
    <x v="3"/>
    <x v="2"/>
    <s v="Link Down"/>
    <s v="Application Support"/>
    <s v="Bengaluru"/>
    <s v="Phone"/>
    <s v="Resolved"/>
    <n v="8"/>
    <n v="4.5999999999999996"/>
    <n v="3.7"/>
    <s v="No"/>
    <x v="0"/>
  </r>
  <r>
    <s v="INC102039"/>
    <d v="2025-06-28T00:00:00"/>
    <d v="2025-06-29T18:19:12"/>
    <x v="0"/>
    <x v="0"/>
    <s v="License"/>
    <s v="Service Desk"/>
    <s v="Bengaluru"/>
    <s v="Email"/>
    <s v="In Progress"/>
    <n v="48"/>
    <n v="42.32"/>
    <n v="3.4"/>
    <s v="No"/>
    <x v="0"/>
  </r>
  <r>
    <s v="INC102040"/>
    <d v="2025-03-23T00:00:00"/>
    <d v="2025-03-23T19:45:36"/>
    <x v="1"/>
    <x v="2"/>
    <s v="Packet Loss"/>
    <s v="Access Management"/>
    <s v="Gurugram"/>
    <s v="Chat"/>
    <s v="Resolved"/>
    <n v="24"/>
    <n v="19.760000000000002"/>
    <n v="3.4"/>
    <s v="No"/>
    <x v="0"/>
  </r>
  <r>
    <s v="INC102041"/>
    <d v="2025-02-22T00:00:00"/>
    <d v="2025-02-24T01:06:36"/>
    <x v="0"/>
    <x v="4"/>
    <s v="Delivery"/>
    <s v="Application Support"/>
    <s v="Mumbai"/>
    <s v="Portal"/>
    <s v="Closed"/>
    <n v="48"/>
    <n v="49.11"/>
    <n v="3.7"/>
    <s v="No"/>
    <x v="1"/>
  </r>
  <r>
    <s v="INC102042"/>
    <d v="2025-06-11T00:00:00"/>
    <d v="2025-06-13T04:26:24"/>
    <x v="0"/>
    <x v="4"/>
    <s v="Delivery"/>
    <s v="Network Support"/>
    <s v="Noida"/>
    <s v="Portal"/>
    <s v="Resolved"/>
    <n v="48"/>
    <n v="52.44"/>
    <n v="4.2"/>
    <s v="No"/>
    <x v="1"/>
  </r>
  <r>
    <s v="INC102043"/>
    <d v="2025-05-16T00:00:00"/>
    <d v="2025-05-16T03:24:00"/>
    <x v="2"/>
    <x v="3"/>
    <s v="Peripheral"/>
    <s v="Access Management"/>
    <s v="Mumbai"/>
    <s v="Portal"/>
    <s v="Closed"/>
    <n v="4"/>
    <n v="3.4"/>
    <n v="4.5999999999999996"/>
    <s v="No"/>
    <x v="0"/>
  </r>
  <r>
    <s v="INC102044"/>
    <d v="2025-05-16T00:00:00"/>
    <d v="2025-05-16T20:42:36"/>
    <x v="1"/>
    <x v="0"/>
    <s v="License"/>
    <s v="Application Support"/>
    <s v="Delhi"/>
    <s v="Portal"/>
    <s v="Resolved"/>
    <n v="24"/>
    <n v="20.71"/>
    <n v="3.7"/>
    <s v="No"/>
    <x v="0"/>
  </r>
  <r>
    <s v="INC102045"/>
    <d v="2025-02-20T00:00:00"/>
    <d v="2025-02-20T19:20:24"/>
    <x v="1"/>
    <x v="0"/>
    <s v="Application Error"/>
    <s v="Service Desk"/>
    <s v="Delhi"/>
    <s v="Phone"/>
    <s v="Resolved"/>
    <n v="24"/>
    <n v="19.34"/>
    <n v="4"/>
    <s v="No"/>
    <x v="0"/>
  </r>
  <r>
    <s v="INC102046"/>
    <d v="2025-06-29T00:00:00"/>
    <d v="2025-06-30T17:28:12"/>
    <x v="0"/>
    <x v="2"/>
    <s v="Packet Loss"/>
    <s v="Access Management"/>
    <s v="Hyderabad"/>
    <s v="Portal"/>
    <s v="Resolved"/>
    <n v="48"/>
    <n v="41.47"/>
    <n v="5"/>
    <s v="No"/>
    <x v="0"/>
  </r>
  <r>
    <s v="INC102047"/>
    <d v="2025-03-23T00:00:00"/>
    <d v="2025-03-23T02:08:24"/>
    <x v="2"/>
    <x v="0"/>
    <s v="Performance"/>
    <s v="Service Desk"/>
    <s v="Mumbai"/>
    <s v="Portal"/>
    <s v="Closed"/>
    <n v="4"/>
    <n v="2.14"/>
    <n v="3.4"/>
    <s v="No"/>
    <x v="0"/>
  </r>
  <r>
    <s v="INC102048"/>
    <d v="2025-04-07T00:00:00"/>
    <d v="2025-04-07T14:31:48"/>
    <x v="0"/>
    <x v="0"/>
    <s v="Application Error"/>
    <s v="Application Support"/>
    <s v="Delhi"/>
    <s v="Portal"/>
    <s v="Closed"/>
    <n v="48"/>
    <n v="14.53"/>
    <n v="5"/>
    <s v="No"/>
    <x v="0"/>
  </r>
  <r>
    <s v="INC102049"/>
    <d v="2025-05-16T00:00:00"/>
    <d v="2025-05-16T01:29:24"/>
    <x v="3"/>
    <x v="0"/>
    <s v="License"/>
    <s v="Application Support"/>
    <s v="Gurugram"/>
    <s v="Phone"/>
    <s v="Closed"/>
    <n v="8"/>
    <n v="1.49"/>
    <n v="5"/>
    <s v="No"/>
    <x v="0"/>
  </r>
  <r>
    <s v="INC102050"/>
    <d v="2025-04-30T00:00:00"/>
    <d v="2025-04-30T06:53:24"/>
    <x v="0"/>
    <x v="2"/>
    <s v="Link Down"/>
    <s v="Access Management"/>
    <s v="Bengaluru"/>
    <s v="Chat"/>
    <s v="Resolved"/>
    <n v="48"/>
    <n v="6.89"/>
    <n v="4.5999999999999996"/>
    <s v="No"/>
    <x v="0"/>
  </r>
  <r>
    <s v="INC102051"/>
    <d v="2025-02-01T00:00:00"/>
    <d v="2025-02-01T09:43:48"/>
    <x v="0"/>
    <x v="4"/>
    <s v="Configuration"/>
    <s v="Desktop Support"/>
    <s v="Delhi"/>
    <s v="Phone"/>
    <s v="Resolved"/>
    <n v="48"/>
    <n v="9.73"/>
    <n v="4.7"/>
    <s v="No"/>
    <x v="0"/>
  </r>
  <r>
    <s v="INC102052"/>
    <d v="2025-02-24T00:00:00"/>
    <d v="2025-02-25T01:07:12"/>
    <x v="1"/>
    <x v="2"/>
    <s v="Connectivity"/>
    <s v="Access Management"/>
    <s v="Noida"/>
    <s v="Portal"/>
    <s v="Closed"/>
    <n v="24"/>
    <n v="25.12"/>
    <n v="4"/>
    <s v="No"/>
    <x v="1"/>
  </r>
  <r>
    <s v="INC102053"/>
    <d v="2025-03-07T00:00:00"/>
    <d v="2025-03-09T17:43:12"/>
    <x v="0"/>
    <x v="0"/>
    <s v="Performance"/>
    <s v="Service Desk"/>
    <s v="Gurugram"/>
    <s v="Email"/>
    <s v="In Progress"/>
    <n v="48"/>
    <n v="65.72"/>
    <n v="3.2"/>
    <s v="No"/>
    <x v="1"/>
  </r>
  <r>
    <s v="INC102054"/>
    <d v="2025-06-21T00:00:00"/>
    <d v="2025-06-21T20:01:12"/>
    <x v="1"/>
    <x v="2"/>
    <s v="Packet Loss"/>
    <s v="Access Management"/>
    <s v="Delhi"/>
    <s v="Portal"/>
    <s v="Closed"/>
    <n v="24"/>
    <n v="20.02"/>
    <n v="3.6"/>
    <s v="No"/>
    <x v="0"/>
  </r>
  <r>
    <s v="INC102055"/>
    <d v="2025-05-10T00:00:00"/>
    <d v="2025-05-11T05:40:48"/>
    <x v="0"/>
    <x v="2"/>
    <s v="Packet Loss"/>
    <s v="Service Desk"/>
    <s v="Gurugram"/>
    <s v="Chat"/>
    <s v="Resolved"/>
    <n v="48"/>
    <n v="29.68"/>
    <n v="3.8"/>
    <s v="No"/>
    <x v="0"/>
  </r>
  <r>
    <s v="INC102056"/>
    <d v="2025-03-08T00:00:00"/>
    <d v="2025-03-08T00:44:24"/>
    <x v="3"/>
    <x v="2"/>
    <s v="Connectivity"/>
    <s v="Access Management"/>
    <s v="Gurugram"/>
    <s v="Portal"/>
    <s v="Resolved"/>
    <n v="8"/>
    <n v="0.74"/>
    <n v="5"/>
    <s v="Yes"/>
    <x v="0"/>
  </r>
  <r>
    <s v="INC102057"/>
    <d v="2025-05-13T00:00:00"/>
    <d v="2025-05-13T03:43:12"/>
    <x v="3"/>
    <x v="3"/>
    <s v="Laptop"/>
    <s v="Application Support"/>
    <s v="Delhi"/>
    <s v="Chat"/>
    <s v="Closed"/>
    <n v="8"/>
    <n v="3.72"/>
    <n v="4.2"/>
    <s v="Yes"/>
    <x v="0"/>
  </r>
  <r>
    <s v="INC102058"/>
    <d v="2025-05-14T00:00:00"/>
    <d v="2025-05-14T02:18:36"/>
    <x v="3"/>
    <x v="0"/>
    <s v="Performance"/>
    <s v="Application Support"/>
    <s v="Bengaluru"/>
    <s v="Phone"/>
    <s v="Resolved"/>
    <n v="8"/>
    <n v="2.31"/>
    <n v="4.8"/>
    <s v="No"/>
    <x v="0"/>
  </r>
  <r>
    <s v="INC102059"/>
    <d v="2025-03-13T00:00:00"/>
    <d v="2025-03-13T13:50:24"/>
    <x v="0"/>
    <x v="0"/>
    <s v="License"/>
    <s v="Network Support"/>
    <s v="Gurugram"/>
    <s v="Phone"/>
    <s v="Resolved"/>
    <n v="48"/>
    <n v="13.84"/>
    <n v="5"/>
    <s v="No"/>
    <x v="0"/>
  </r>
  <r>
    <s v="INC102060"/>
    <d v="2025-03-14T00:00:00"/>
    <d v="2025-03-14T13:27:36"/>
    <x v="1"/>
    <x v="0"/>
    <s v="Performance"/>
    <s v="Desktop Support"/>
    <s v="Delhi"/>
    <s v="Phone"/>
    <s v="In Progress"/>
    <n v="24"/>
    <n v="13.46"/>
    <n v="4.2"/>
    <s v="No"/>
    <x v="0"/>
  </r>
  <r>
    <s v="INC102061"/>
    <d v="2025-06-11T00:00:00"/>
    <d v="2025-06-11T03:19:12"/>
    <x v="2"/>
    <x v="0"/>
    <s v="Application Error"/>
    <s v="Network Support"/>
    <s v="Delhi"/>
    <s v="Portal"/>
    <s v="In Progress"/>
    <n v="4"/>
    <n v="3.32"/>
    <n v="4"/>
    <s v="No"/>
    <x v="0"/>
  </r>
  <r>
    <s v="INC102062"/>
    <d v="2025-04-12T00:00:00"/>
    <d v="2025-04-13T00:52:12"/>
    <x v="0"/>
    <x v="2"/>
    <s v="DNS"/>
    <s v="Access Management"/>
    <s v="Hyderabad"/>
    <s v="Portal"/>
    <s v="Resolved"/>
    <n v="48"/>
    <n v="24.87"/>
    <n v="4.7"/>
    <s v="No"/>
    <x v="0"/>
  </r>
  <r>
    <s v="INC102063"/>
    <d v="2025-01-28T00:00:00"/>
    <d v="2025-02-01T03:20:24"/>
    <x v="0"/>
    <x v="2"/>
    <s v="Link Down"/>
    <s v="Service Desk"/>
    <s v="Delhi"/>
    <s v="Portal"/>
    <s v="Resolved"/>
    <n v="48"/>
    <n v="99.34"/>
    <n v="2"/>
    <s v="No"/>
    <x v="1"/>
  </r>
  <r>
    <s v="INC102064"/>
    <d v="2025-05-11T00:00:00"/>
    <d v="2025-05-11T04:49:48"/>
    <x v="3"/>
    <x v="0"/>
    <s v="Application Error"/>
    <s v="Access Management"/>
    <s v="Hyderabad"/>
    <s v="Portal"/>
    <s v="Closed"/>
    <n v="8"/>
    <n v="4.83"/>
    <n v="3.3"/>
    <s v="No"/>
    <x v="0"/>
  </r>
  <r>
    <s v="INC102065"/>
    <d v="2025-04-17T00:00:00"/>
    <d v="2025-04-17T03:43:12"/>
    <x v="0"/>
    <x v="0"/>
    <s v="Installation"/>
    <s v="Access Management"/>
    <s v="Delhi"/>
    <s v="Phone"/>
    <s v="In Progress"/>
    <n v="48"/>
    <n v="3.72"/>
    <n v="4.4000000000000004"/>
    <s v="No"/>
    <x v="0"/>
  </r>
  <r>
    <s v="INC102066"/>
    <d v="2025-04-03T00:00:00"/>
    <d v="2025-04-04T14:55:48"/>
    <x v="1"/>
    <x v="0"/>
    <s v="Application Error"/>
    <s v="Network Support"/>
    <s v="Delhi"/>
    <s v="Email"/>
    <s v="Resolved"/>
    <n v="24"/>
    <n v="38.93"/>
    <n v="4.2"/>
    <s v="No"/>
    <x v="1"/>
  </r>
  <r>
    <s v="INC102067"/>
    <d v="2025-05-12T00:00:00"/>
    <d v="2025-05-12T03:58:12"/>
    <x v="3"/>
    <x v="2"/>
    <s v="DNS"/>
    <s v="Application Support"/>
    <s v="Bengaluru"/>
    <s v="Phone"/>
    <s v="Resolved"/>
    <n v="8"/>
    <n v="3.97"/>
    <n v="4"/>
    <s v="No"/>
    <x v="0"/>
  </r>
  <r>
    <s v="INC102068"/>
    <d v="2025-06-14T00:00:00"/>
    <d v="2025-06-16T17:26:24"/>
    <x v="0"/>
    <x v="1"/>
    <s v="VPN Access"/>
    <s v="Service Desk"/>
    <s v="Hyderabad"/>
    <s v="Phone"/>
    <s v="Resolved"/>
    <n v="48"/>
    <n v="65.44"/>
    <n v="3.4"/>
    <s v="No"/>
    <x v="1"/>
  </r>
  <r>
    <s v="INC102069"/>
    <d v="2025-03-01T00:00:00"/>
    <d v="2025-03-01T03:21:00"/>
    <x v="1"/>
    <x v="2"/>
    <s v="Connectivity"/>
    <s v="Network Support"/>
    <s v="Delhi"/>
    <s v="Portal"/>
    <s v="Resolved"/>
    <n v="24"/>
    <n v="3.35"/>
    <n v="4"/>
    <s v="No"/>
    <x v="0"/>
  </r>
  <r>
    <s v="INC102070"/>
    <d v="2025-03-17T00:00:00"/>
    <d v="2025-03-17T05:59:24"/>
    <x v="1"/>
    <x v="0"/>
    <s v="Performance"/>
    <s v="Service Desk"/>
    <s v="Gurugram"/>
    <s v="Portal"/>
    <s v="Resolved"/>
    <n v="24"/>
    <n v="5.99"/>
    <n v="5"/>
    <s v="No"/>
    <x v="0"/>
  </r>
  <r>
    <s v="INC102071"/>
    <d v="2025-02-04T00:00:00"/>
    <d v="2025-02-04T04:47:24"/>
    <x v="1"/>
    <x v="2"/>
    <s v="Connectivity"/>
    <s v="Desktop Support"/>
    <s v="Mumbai"/>
    <s v="Portal"/>
    <s v="Pending"/>
    <n v="24"/>
    <n v="4.79"/>
    <n v="4.5999999999999996"/>
    <s v="No"/>
    <x v="0"/>
  </r>
  <r>
    <s v="INC102072"/>
    <d v="2025-04-28T00:00:00"/>
    <d v="2025-04-28T08:13:12"/>
    <x v="3"/>
    <x v="0"/>
    <s v="Installation"/>
    <s v="Access Management"/>
    <s v="Delhi"/>
    <s v="Portal"/>
    <s v="Resolved"/>
    <n v="8"/>
    <n v="8.2200000000000006"/>
    <n v="3.5"/>
    <s v="No"/>
    <x v="1"/>
  </r>
  <r>
    <s v="INC102073"/>
    <d v="2025-03-14T00:00:00"/>
    <d v="2025-03-16T10:13:48"/>
    <x v="0"/>
    <x v="3"/>
    <s v="Laptop"/>
    <s v="Application Support"/>
    <s v="Gurugram"/>
    <s v="Email"/>
    <s v="Resolved"/>
    <n v="48"/>
    <n v="58.23"/>
    <n v="3.5"/>
    <s v="No"/>
    <x v="1"/>
  </r>
  <r>
    <s v="INC102074"/>
    <d v="2025-03-03T00:00:00"/>
    <d v="2025-03-03T18:06:36"/>
    <x v="1"/>
    <x v="0"/>
    <s v="Performance"/>
    <s v="Service Desk"/>
    <s v="Gurugram"/>
    <s v="Phone"/>
    <s v="Resolved"/>
    <n v="24"/>
    <n v="18.11"/>
    <n v="5"/>
    <s v="Yes"/>
    <x v="0"/>
  </r>
  <r>
    <s v="INC102075"/>
    <d v="2025-05-07T00:00:00"/>
    <d v="2025-05-07T05:07:12"/>
    <x v="3"/>
    <x v="2"/>
    <s v="Connectivity"/>
    <s v="Service Desk"/>
    <s v="Mumbai"/>
    <s v="Phone"/>
    <s v="Resolved"/>
    <n v="8"/>
    <n v="5.12"/>
    <n v="4.5"/>
    <s v="No"/>
    <x v="0"/>
  </r>
  <r>
    <s v="INC102076"/>
    <d v="2025-03-15T00:00:00"/>
    <d v="2025-03-15T04:08:24"/>
    <x v="0"/>
    <x v="0"/>
    <s v="License"/>
    <s v="Service Desk"/>
    <s v="Mumbai"/>
    <s v="Email"/>
    <s v="Resolved"/>
    <n v="48"/>
    <n v="4.1399999999999997"/>
    <n v="4.8"/>
    <s v="No"/>
    <x v="0"/>
  </r>
  <r>
    <s v="INC102077"/>
    <d v="2025-03-26T00:00:00"/>
    <d v="2025-03-26T02:11:24"/>
    <x v="3"/>
    <x v="2"/>
    <s v="Connectivity"/>
    <s v="Application Support"/>
    <s v="Mumbai"/>
    <s v="Phone"/>
    <s v="Resolved"/>
    <n v="8"/>
    <n v="2.19"/>
    <n v="2.8"/>
    <s v="No"/>
    <x v="0"/>
  </r>
  <r>
    <s v="INC102078"/>
    <d v="2025-03-21T00:00:00"/>
    <d v="2025-03-21T14:54:00"/>
    <x v="0"/>
    <x v="0"/>
    <s v="Installation"/>
    <s v="Desktop Support"/>
    <s v="Bengaluru"/>
    <s v="Email"/>
    <s v="Resolved"/>
    <n v="48"/>
    <n v="14.9"/>
    <n v="5"/>
    <s v="No"/>
    <x v="0"/>
  </r>
  <r>
    <s v="INC102079"/>
    <d v="2025-02-16T00:00:00"/>
    <d v="2025-02-16T02:42:00"/>
    <x v="1"/>
    <x v="2"/>
    <s v="DNS"/>
    <s v="Network Support"/>
    <s v="Delhi"/>
    <s v="Chat"/>
    <s v="Resolved"/>
    <n v="24"/>
    <n v="2.7"/>
    <n v="4.4000000000000004"/>
    <s v="No"/>
    <x v="0"/>
  </r>
  <r>
    <s v="INC102080"/>
    <d v="2025-01-23T00:00:00"/>
    <d v="2025-01-23T22:52:12"/>
    <x v="0"/>
    <x v="2"/>
    <s v="DNS"/>
    <s v="Network Support"/>
    <s v="Gurugram"/>
    <s v="Phone"/>
    <s v="Resolved"/>
    <n v="48"/>
    <n v="22.87"/>
    <n v="3.9"/>
    <s v="No"/>
    <x v="0"/>
  </r>
  <r>
    <s v="INC102081"/>
    <d v="2025-05-30T00:00:00"/>
    <d v="2025-05-30T18:26:24"/>
    <x v="1"/>
    <x v="0"/>
    <s v="Application Error"/>
    <s v="Network Support"/>
    <s v="Hyderabad"/>
    <s v="Phone"/>
    <s v="Resolved"/>
    <n v="24"/>
    <n v="18.440000000000001"/>
    <n v="3.6"/>
    <s v="No"/>
    <x v="0"/>
  </r>
  <r>
    <s v="INC102082"/>
    <d v="2025-01-17T00:00:00"/>
    <d v="2025-01-17T07:36:36"/>
    <x v="3"/>
    <x v="2"/>
    <s v="Connectivity"/>
    <s v="Access Management"/>
    <s v="Mumbai"/>
    <s v="Portal"/>
    <s v="Pending"/>
    <n v="8"/>
    <n v="7.61"/>
    <n v="4.8"/>
    <s v="No"/>
    <x v="0"/>
  </r>
  <r>
    <s v="INC102083"/>
    <d v="2025-02-28T00:00:00"/>
    <d v="2025-02-28T06:28:12"/>
    <x v="3"/>
    <x v="2"/>
    <s v="DNS"/>
    <s v="Desktop Support"/>
    <s v="Gurugram"/>
    <s v="Phone"/>
    <s v="Pending"/>
    <n v="8"/>
    <n v="6.47"/>
    <n v="4"/>
    <s v="No"/>
    <x v="0"/>
  </r>
  <r>
    <s v="INC102084"/>
    <d v="2025-05-01T00:00:00"/>
    <d v="2025-05-01T01:37:12"/>
    <x v="2"/>
    <x v="1"/>
    <s v="VPN Access"/>
    <s v="Desktop Support"/>
    <s v="Mumbai"/>
    <s v="Portal"/>
    <s v="Resolved"/>
    <n v="4"/>
    <n v="1.62"/>
    <n v="3.5"/>
    <s v="No"/>
    <x v="0"/>
  </r>
  <r>
    <s v="INC102085"/>
    <d v="2025-01-24T00:00:00"/>
    <d v="2025-01-24T07:55:48"/>
    <x v="1"/>
    <x v="1"/>
    <s v="Account Lock"/>
    <s v="Application Support"/>
    <s v="Mumbai"/>
    <s v="Portal"/>
    <s v="Resolved"/>
    <n v="24"/>
    <n v="7.93"/>
    <n v="4.5"/>
    <s v="Yes"/>
    <x v="0"/>
  </r>
  <r>
    <s v="INC102086"/>
    <d v="2025-04-29T00:00:00"/>
    <d v="2025-04-29T03:24:00"/>
    <x v="3"/>
    <x v="1"/>
    <s v="Password Reset"/>
    <s v="Network Support"/>
    <s v="Mumbai"/>
    <s v="Email"/>
    <s v="Closed"/>
    <n v="8"/>
    <n v="3.4"/>
    <n v="3.9"/>
    <s v="No"/>
    <x v="0"/>
  </r>
  <r>
    <s v="INC102087"/>
    <d v="2025-05-13T00:00:00"/>
    <d v="2025-05-13T11:11:24"/>
    <x v="1"/>
    <x v="3"/>
    <s v="Laptop"/>
    <s v="Network Support"/>
    <s v="Hyderabad"/>
    <s v="Portal"/>
    <s v="Resolved"/>
    <n v="24"/>
    <n v="11.19"/>
    <n v="4.7"/>
    <s v="No"/>
    <x v="0"/>
  </r>
  <r>
    <s v="INC102088"/>
    <d v="2025-04-30T00:00:00"/>
    <d v="2025-04-30T01:31:48"/>
    <x v="3"/>
    <x v="0"/>
    <s v="Installation"/>
    <s v="Service Desk"/>
    <s v="Bengaluru"/>
    <s v="Portal"/>
    <s v="Closed"/>
    <n v="8"/>
    <n v="1.53"/>
    <n v="4.5"/>
    <s v="No"/>
    <x v="0"/>
  </r>
  <r>
    <s v="INC102089"/>
    <d v="2025-02-25T00:00:00"/>
    <d v="2025-02-25T08:18:00"/>
    <x v="1"/>
    <x v="1"/>
    <s v="Permission"/>
    <s v="Service Desk"/>
    <s v="Delhi"/>
    <s v="Portal"/>
    <s v="Closed"/>
    <n v="24"/>
    <n v="8.3000000000000007"/>
    <n v="3.6"/>
    <s v="No"/>
    <x v="0"/>
  </r>
  <r>
    <s v="INC102090"/>
    <d v="2025-01-04T00:00:00"/>
    <d v="2025-01-04T02:22:12"/>
    <x v="3"/>
    <x v="2"/>
    <s v="Connectivity"/>
    <s v="Application Support"/>
    <s v="Mumbai"/>
    <s v="Phone"/>
    <s v="Resolved"/>
    <n v="8"/>
    <n v="2.37"/>
    <n v="4.5999999999999996"/>
    <s v="Yes"/>
    <x v="0"/>
  </r>
  <r>
    <s v="INC102091"/>
    <d v="2025-06-10T00:00:00"/>
    <d v="2025-06-12T23:33:00"/>
    <x v="0"/>
    <x v="1"/>
    <s v="Permission"/>
    <s v="Access Management"/>
    <s v="Delhi"/>
    <s v="Email"/>
    <s v="Resolved"/>
    <n v="48"/>
    <n v="71.55"/>
    <n v="3.2"/>
    <s v="No"/>
    <x v="1"/>
  </r>
  <r>
    <s v="INC102092"/>
    <d v="2025-03-01T00:00:00"/>
    <d v="2025-03-02T00:13:48"/>
    <x v="1"/>
    <x v="2"/>
    <s v="DNS"/>
    <s v="Application Support"/>
    <s v="Bengaluru"/>
    <s v="Chat"/>
    <s v="In Progress"/>
    <n v="24"/>
    <n v="24.23"/>
    <n v="3"/>
    <s v="No"/>
    <x v="1"/>
  </r>
  <r>
    <s v="INC102093"/>
    <d v="2025-05-26T00:00:00"/>
    <d v="2025-05-26T06:06:00"/>
    <x v="3"/>
    <x v="4"/>
    <s v="Mailbox"/>
    <s v="Access Management"/>
    <s v="Mumbai"/>
    <s v="Phone"/>
    <s v="Resolved"/>
    <n v="8"/>
    <n v="6.1"/>
    <n v="2.8"/>
    <s v="Yes"/>
    <x v="0"/>
  </r>
  <r>
    <s v="INC102094"/>
    <d v="2025-02-05T00:00:00"/>
    <d v="2025-02-05T10:46:12"/>
    <x v="0"/>
    <x v="0"/>
    <s v="License"/>
    <s v="Desktop Support"/>
    <s v="Delhi"/>
    <s v="Portal"/>
    <s v="Closed"/>
    <n v="48"/>
    <n v="10.77"/>
    <n v="4.9000000000000004"/>
    <s v="No"/>
    <x v="0"/>
  </r>
  <r>
    <s v="INC102095"/>
    <d v="2025-01-30T00:00:00"/>
    <d v="2025-01-31T18:06:36"/>
    <x v="0"/>
    <x v="0"/>
    <s v="License"/>
    <s v="Service Desk"/>
    <s v="Mumbai"/>
    <s v="Phone"/>
    <s v="Closed"/>
    <n v="48"/>
    <n v="42.11"/>
    <n v="3.8"/>
    <s v="No"/>
    <x v="0"/>
  </r>
  <r>
    <s v="INC102096"/>
    <d v="2025-05-21T00:00:00"/>
    <d v="2025-05-21T01:03:36"/>
    <x v="2"/>
    <x v="0"/>
    <s v="Installation"/>
    <s v="Service Desk"/>
    <s v="Mumbai"/>
    <s v="Email"/>
    <s v="Resolved"/>
    <n v="4"/>
    <n v="1.06"/>
    <n v="4.5"/>
    <s v="Yes"/>
    <x v="0"/>
  </r>
  <r>
    <s v="INC102097"/>
    <d v="2025-06-20T00:00:00"/>
    <d v="2025-06-20T21:13:12"/>
    <x v="1"/>
    <x v="2"/>
    <s v="Connectivity"/>
    <s v="Network Support"/>
    <s v="Bengaluru"/>
    <s v="Portal"/>
    <s v="Resolved"/>
    <n v="24"/>
    <n v="21.22"/>
    <n v="4.4000000000000004"/>
    <s v="No"/>
    <x v="0"/>
  </r>
  <r>
    <s v="INC102098"/>
    <d v="2025-06-05T00:00:00"/>
    <d v="2025-06-05T19:52:48"/>
    <x v="0"/>
    <x v="3"/>
    <s v="Monitor"/>
    <s v="Access Management"/>
    <s v="Gurugram"/>
    <s v="Chat"/>
    <s v="Resolved"/>
    <n v="48"/>
    <n v="19.88"/>
    <n v="3.2"/>
    <s v="No"/>
    <x v="0"/>
  </r>
  <r>
    <s v="INC102099"/>
    <d v="2025-05-16T00:00:00"/>
    <d v="2025-05-17T03:14:24"/>
    <x v="1"/>
    <x v="1"/>
    <s v="Account Lock"/>
    <s v="Application Support"/>
    <s v="Gurugram"/>
    <s v="Chat"/>
    <s v="Resolved"/>
    <n v="24"/>
    <n v="27.24"/>
    <n v="3.7"/>
    <s v="No"/>
    <x v="1"/>
  </r>
  <r>
    <s v="INC102100"/>
    <d v="2025-02-14T00:00:00"/>
    <d v="2025-02-14T03:13:12"/>
    <x v="1"/>
    <x v="0"/>
    <s v="Installation"/>
    <s v="Application Support"/>
    <s v="Mumbai"/>
    <s v="Portal"/>
    <s v="Resolved"/>
    <n v="24"/>
    <n v="3.22"/>
    <n v="5"/>
    <s v="Yes"/>
    <x v="0"/>
  </r>
  <r>
    <s v="INC102101"/>
    <d v="2025-06-15T00:00:00"/>
    <d v="2025-06-15T20:29:24"/>
    <x v="1"/>
    <x v="0"/>
    <s v="License"/>
    <s v="Service Desk"/>
    <s v="Delhi"/>
    <s v="Phone"/>
    <s v="Resolved"/>
    <n v="24"/>
    <n v="20.49"/>
    <n v="3.9"/>
    <s v="No"/>
    <x v="0"/>
  </r>
  <r>
    <s v="INC102102"/>
    <d v="2025-05-01T00:00:00"/>
    <d v="2025-05-01T09:38:24"/>
    <x v="3"/>
    <x v="2"/>
    <s v="Connectivity"/>
    <s v="Application Support"/>
    <s v="Mumbai"/>
    <s v="Portal"/>
    <s v="In Progress"/>
    <n v="8"/>
    <n v="9.64"/>
    <n v="2.6"/>
    <s v="No"/>
    <x v="1"/>
  </r>
  <r>
    <s v="INC102103"/>
    <d v="2025-02-01T00:00:00"/>
    <d v="2025-02-01T01:43:48"/>
    <x v="2"/>
    <x v="0"/>
    <s v="Installation"/>
    <s v="Service Desk"/>
    <s v="Gurugram"/>
    <s v="Chat"/>
    <s v="Closed"/>
    <n v="4"/>
    <n v="1.73"/>
    <n v="4.0999999999999996"/>
    <s v="No"/>
    <x v="0"/>
  </r>
  <r>
    <s v="INC102104"/>
    <d v="2025-01-24T00:00:00"/>
    <d v="2025-01-24T09:48:00"/>
    <x v="1"/>
    <x v="3"/>
    <s v="Peripheral"/>
    <s v="Desktop Support"/>
    <s v="Noida"/>
    <s v="Email"/>
    <s v="Resolved"/>
    <n v="24"/>
    <n v="9.8000000000000007"/>
    <n v="4.2"/>
    <s v="No"/>
    <x v="0"/>
  </r>
  <r>
    <s v="INC102105"/>
    <d v="2025-06-07T00:00:00"/>
    <d v="2025-06-07T12:18:00"/>
    <x v="1"/>
    <x v="2"/>
    <s v="Connectivity"/>
    <s v="Application Support"/>
    <s v="Bengaluru"/>
    <s v="Portal"/>
    <s v="Closed"/>
    <n v="24"/>
    <n v="12.3"/>
    <n v="3.4"/>
    <s v="No"/>
    <x v="0"/>
  </r>
  <r>
    <s v="INC102106"/>
    <d v="2025-02-19T00:00:00"/>
    <d v="2025-02-19T18:09:36"/>
    <x v="1"/>
    <x v="4"/>
    <s v="Mailbox"/>
    <s v="Access Management"/>
    <s v="Delhi"/>
    <s v="Phone"/>
    <s v="Closed"/>
    <n v="24"/>
    <n v="18.16"/>
    <n v="4.3"/>
    <s v="No"/>
    <x v="0"/>
  </r>
  <r>
    <s v="INC102107"/>
    <d v="2025-05-19T00:00:00"/>
    <d v="2025-05-19T02:33:00"/>
    <x v="3"/>
    <x v="0"/>
    <s v="Installation"/>
    <s v="Desktop Support"/>
    <s v="Mumbai"/>
    <s v="Email"/>
    <s v="Closed"/>
    <n v="8"/>
    <n v="2.5499999999999998"/>
    <n v="4.5999999999999996"/>
    <s v="No"/>
    <x v="0"/>
  </r>
  <r>
    <s v="INC102108"/>
    <d v="2025-01-26T00:00:00"/>
    <d v="2025-01-26T13:21:36"/>
    <x v="0"/>
    <x v="0"/>
    <s v="License"/>
    <s v="Application Support"/>
    <s v="Mumbai"/>
    <s v="Portal"/>
    <s v="Resolved"/>
    <n v="48"/>
    <n v="13.36"/>
    <n v="4.2"/>
    <s v="No"/>
    <x v="0"/>
  </r>
  <r>
    <s v="INC102109"/>
    <d v="2025-02-20T00:00:00"/>
    <d v="2025-02-23T06:54:00"/>
    <x v="0"/>
    <x v="4"/>
    <s v="Configuration"/>
    <s v="Desktop Support"/>
    <s v="Delhi"/>
    <s v="Phone"/>
    <s v="Resolved"/>
    <n v="48"/>
    <n v="78.900000000000006"/>
    <n v="3.7"/>
    <s v="No"/>
    <x v="1"/>
  </r>
  <r>
    <s v="INC102110"/>
    <d v="2025-02-21T00:00:00"/>
    <d v="2025-02-21T01:34:11"/>
    <x v="2"/>
    <x v="3"/>
    <s v="Peripheral"/>
    <s v="Desktop Support"/>
    <s v="Hyderabad"/>
    <s v="Phone"/>
    <s v="Resolved"/>
    <n v="4"/>
    <n v="1.57"/>
    <n v="4.2"/>
    <s v="No"/>
    <x v="0"/>
  </r>
  <r>
    <s v="INC102111"/>
    <d v="2025-02-20T00:00:00"/>
    <d v="2025-02-20T03:54:36"/>
    <x v="3"/>
    <x v="4"/>
    <s v="Configuration"/>
    <s v="Access Management"/>
    <s v="Mumbai"/>
    <s v="Email"/>
    <s v="Resolved"/>
    <n v="8"/>
    <n v="3.91"/>
    <n v="5"/>
    <s v="No"/>
    <x v="0"/>
  </r>
  <r>
    <s v="INC102112"/>
    <d v="2025-05-03T00:00:00"/>
    <d v="2025-05-03T08:31:12"/>
    <x v="1"/>
    <x v="0"/>
    <s v="Application Error"/>
    <s v="Access Management"/>
    <s v="Hyderabad"/>
    <s v="Phone"/>
    <s v="Resolved"/>
    <n v="24"/>
    <n v="8.52"/>
    <n v="4.4000000000000004"/>
    <s v="No"/>
    <x v="0"/>
  </r>
  <r>
    <s v="INC102113"/>
    <d v="2025-06-15T00:00:00"/>
    <d v="2025-06-15T19:13:48"/>
    <x v="1"/>
    <x v="0"/>
    <s v="Installation"/>
    <s v="Service Desk"/>
    <s v="Bengaluru"/>
    <s v="Portal"/>
    <s v="Resolved"/>
    <n v="24"/>
    <n v="19.23"/>
    <n v="3.4"/>
    <s v="No"/>
    <x v="0"/>
  </r>
  <r>
    <s v="INC102114"/>
    <d v="2025-06-14T00:00:00"/>
    <d v="2025-06-14T07:06:00"/>
    <x v="1"/>
    <x v="2"/>
    <s v="Packet Loss"/>
    <s v="Access Management"/>
    <s v="Bengaluru"/>
    <s v="Portal"/>
    <s v="In Progress"/>
    <n v="24"/>
    <n v="7.1"/>
    <n v="4"/>
    <s v="No"/>
    <x v="0"/>
  </r>
  <r>
    <s v="INC102115"/>
    <d v="2025-05-15T00:00:00"/>
    <d v="2025-05-15T11:00:00"/>
    <x v="1"/>
    <x v="2"/>
    <s v="Connectivity"/>
    <s v="Desktop Support"/>
    <s v="Noida"/>
    <s v="Email"/>
    <s v="Pending"/>
    <n v="24"/>
    <n v="11"/>
    <n v="4.5"/>
    <s v="No"/>
    <x v="0"/>
  </r>
  <r>
    <s v="INC102116"/>
    <d v="2025-02-06T00:00:00"/>
    <d v="2025-02-08T02:26:24"/>
    <x v="0"/>
    <x v="3"/>
    <s v="Peripheral"/>
    <s v="Application Support"/>
    <s v="Gurugram"/>
    <s v="Portal"/>
    <s v="Resolved"/>
    <n v="48"/>
    <n v="50.44"/>
    <n v="3"/>
    <s v="No"/>
    <x v="1"/>
  </r>
  <r>
    <s v="INC102117"/>
    <d v="2025-06-23T00:00:00"/>
    <d v="2025-06-24T21:52:12"/>
    <x v="0"/>
    <x v="2"/>
    <s v="Packet Loss"/>
    <s v="Desktop Support"/>
    <s v="Gurugram"/>
    <s v="Email"/>
    <s v="Resolved"/>
    <n v="48"/>
    <n v="45.87"/>
    <n v="3.9"/>
    <s v="No"/>
    <x v="0"/>
  </r>
  <r>
    <s v="INC102118"/>
    <d v="2025-04-09T00:00:00"/>
    <d v="2025-04-09T09:15:36"/>
    <x v="1"/>
    <x v="2"/>
    <s v="DNS"/>
    <s v="Application Support"/>
    <s v="Gurugram"/>
    <s v="Chat"/>
    <s v="Resolved"/>
    <n v="24"/>
    <n v="9.26"/>
    <n v="4.3"/>
    <s v="No"/>
    <x v="0"/>
  </r>
  <r>
    <s v="INC102119"/>
    <d v="2025-04-09T00:00:00"/>
    <d v="2025-04-09T12:33:00"/>
    <x v="1"/>
    <x v="0"/>
    <s v="Installation"/>
    <s v="Access Management"/>
    <s v="Gurugram"/>
    <s v="Phone"/>
    <s v="In Progress"/>
    <n v="24"/>
    <n v="12.55"/>
    <n v="4.0999999999999996"/>
    <s v="Yes"/>
    <x v="0"/>
  </r>
  <r>
    <s v="INC102120"/>
    <d v="2025-05-07T00:00:00"/>
    <d v="2025-05-07T05:38:24"/>
    <x v="1"/>
    <x v="1"/>
    <s v="Permission"/>
    <s v="Desktop Support"/>
    <s v="Mumbai"/>
    <s v="Email"/>
    <s v="Resolved"/>
    <n v="24"/>
    <n v="5.64"/>
    <n v="4.7"/>
    <s v="No"/>
    <x v="0"/>
  </r>
  <r>
    <s v="INC102121"/>
    <d v="2025-05-20T00:00:00"/>
    <d v="2025-05-21T01:04:12"/>
    <x v="0"/>
    <x v="2"/>
    <s v="Connectivity"/>
    <s v="Application Support"/>
    <s v="Bengaluru"/>
    <s v="Email"/>
    <s v="Closed"/>
    <n v="48"/>
    <n v="25.07"/>
    <n v="5"/>
    <s v="Yes"/>
    <x v="0"/>
  </r>
  <r>
    <s v="INC102122"/>
    <d v="2025-06-22T00:00:00"/>
    <d v="2025-06-22T14:49:12"/>
    <x v="3"/>
    <x v="1"/>
    <s v="Password Reset"/>
    <s v="Desktop Support"/>
    <s v="Noida"/>
    <s v="Phone"/>
    <s v="Closed"/>
    <n v="8"/>
    <n v="14.82"/>
    <n v="2.4"/>
    <s v="No"/>
    <x v="1"/>
  </r>
  <r>
    <s v="INC102123"/>
    <d v="2025-04-16T00:00:00"/>
    <d v="2025-04-16T21:50:24"/>
    <x v="1"/>
    <x v="4"/>
    <s v="Delivery"/>
    <s v="Application Support"/>
    <s v="Mumbai"/>
    <s v="Phone"/>
    <s v="Resolved"/>
    <n v="24"/>
    <n v="21.84"/>
    <n v="4"/>
    <s v="No"/>
    <x v="0"/>
  </r>
  <r>
    <s v="INC102124"/>
    <d v="2025-04-21T00:00:00"/>
    <d v="2025-04-21T01:52:12"/>
    <x v="3"/>
    <x v="1"/>
    <s v="Password Reset"/>
    <s v="Network Support"/>
    <s v="Mumbai"/>
    <s v="Portal"/>
    <s v="Closed"/>
    <n v="8"/>
    <n v="1.87"/>
    <n v="5"/>
    <s v="No"/>
    <x v="0"/>
  </r>
  <r>
    <s v="INC102125"/>
    <d v="2025-05-15T00:00:00"/>
    <d v="2025-05-15T05:31:12"/>
    <x v="0"/>
    <x v="1"/>
    <s v="Account Lock"/>
    <s v="Application Support"/>
    <s v="Hyderabad"/>
    <s v="Email"/>
    <s v="Resolved"/>
    <n v="48"/>
    <n v="5.52"/>
    <n v="4.0999999999999996"/>
    <s v="Yes"/>
    <x v="0"/>
  </r>
  <r>
    <s v="INC102126"/>
    <d v="2025-02-16T00:00:00"/>
    <d v="2025-02-16T05:43:48"/>
    <x v="1"/>
    <x v="0"/>
    <s v="License"/>
    <s v="Desktop Support"/>
    <s v="Gurugram"/>
    <s v="Portal"/>
    <s v="Resolved"/>
    <n v="24"/>
    <n v="5.73"/>
    <n v="5"/>
    <s v="No"/>
    <x v="0"/>
  </r>
  <r>
    <s v="INC102127"/>
    <d v="2025-02-25T00:00:00"/>
    <d v="2025-02-25T01:19:48"/>
    <x v="3"/>
    <x v="2"/>
    <s v="Link Down"/>
    <s v="Desktop Support"/>
    <s v="Gurugram"/>
    <s v="Portal"/>
    <s v="In Progress"/>
    <n v="8"/>
    <n v="1.33"/>
    <n v="5"/>
    <s v="No"/>
    <x v="0"/>
  </r>
  <r>
    <s v="INC102128"/>
    <d v="2025-04-24T00:00:00"/>
    <d v="2025-04-24T11:04:12"/>
    <x v="1"/>
    <x v="3"/>
    <s v="Monitor"/>
    <s v="Service Desk"/>
    <s v="Delhi"/>
    <s v="Portal"/>
    <s v="Resolved"/>
    <n v="24"/>
    <n v="11.07"/>
    <n v="5"/>
    <s v="No"/>
    <x v="0"/>
  </r>
  <r>
    <s v="INC102129"/>
    <d v="2025-01-12T00:00:00"/>
    <d v="2025-01-14T05:28:48"/>
    <x v="0"/>
    <x v="4"/>
    <s v="Spam"/>
    <s v="Application Support"/>
    <s v="Delhi"/>
    <s v="Email"/>
    <s v="Resolved"/>
    <n v="48"/>
    <n v="53.48"/>
    <n v="2.9"/>
    <s v="No"/>
    <x v="1"/>
  </r>
  <r>
    <s v="INC102130"/>
    <d v="2025-02-28T00:00:00"/>
    <d v="2025-02-28T22:21:00"/>
    <x v="0"/>
    <x v="0"/>
    <s v="Performance"/>
    <s v="Service Desk"/>
    <s v="Bengaluru"/>
    <s v="Phone"/>
    <s v="Closed"/>
    <n v="48"/>
    <n v="22.35"/>
    <n v="3.8"/>
    <s v="No"/>
    <x v="0"/>
  </r>
  <r>
    <s v="INC102131"/>
    <d v="2025-05-10T00:00:00"/>
    <d v="2025-05-10T14:21:00"/>
    <x v="0"/>
    <x v="1"/>
    <s v="VPN Access"/>
    <s v="Network Support"/>
    <s v="Mumbai"/>
    <s v="Chat"/>
    <s v="Closed"/>
    <n v="48"/>
    <n v="14.35"/>
    <n v="4.5999999999999996"/>
    <s v="No"/>
    <x v="0"/>
  </r>
  <r>
    <s v="INC102132"/>
    <d v="2025-06-26T00:00:00"/>
    <d v="2025-06-26T09:25:48"/>
    <x v="1"/>
    <x v="4"/>
    <s v="Delivery"/>
    <s v="Access Management"/>
    <s v="Bengaluru"/>
    <s v="Portal"/>
    <s v="Closed"/>
    <n v="24"/>
    <n v="9.43"/>
    <n v="4.5"/>
    <s v="No"/>
    <x v="0"/>
  </r>
  <r>
    <s v="INC102133"/>
    <d v="2025-04-05T00:00:00"/>
    <d v="2025-04-05T17:50:24"/>
    <x v="1"/>
    <x v="2"/>
    <s v="Link Down"/>
    <s v="Desktop Support"/>
    <s v="Hyderabad"/>
    <s v="Portal"/>
    <s v="Resolved"/>
    <n v="24"/>
    <n v="17.84"/>
    <n v="4.0999999999999996"/>
    <s v="Yes"/>
    <x v="0"/>
  </r>
  <r>
    <s v="INC102134"/>
    <d v="2025-03-14T00:00:00"/>
    <d v="2025-03-15T04:01:48"/>
    <x v="0"/>
    <x v="3"/>
    <s v="Monitor"/>
    <s v="Network Support"/>
    <s v="Bengaluru"/>
    <s v="Portal"/>
    <s v="Closed"/>
    <n v="48"/>
    <n v="28.03"/>
    <n v="4.0999999999999996"/>
    <s v="No"/>
    <x v="0"/>
  </r>
  <r>
    <s v="INC102135"/>
    <d v="2025-03-21T00:00:00"/>
    <d v="2025-03-21T05:51:00"/>
    <x v="1"/>
    <x v="0"/>
    <s v="Application Error"/>
    <s v="Service Desk"/>
    <s v="Hyderabad"/>
    <s v="Portal"/>
    <s v="Resolved"/>
    <n v="24"/>
    <n v="5.85"/>
    <n v="4.8"/>
    <s v="No"/>
    <x v="0"/>
  </r>
  <r>
    <s v="INC102136"/>
    <d v="2025-05-05T00:00:00"/>
    <d v="2025-05-06T19:52:12"/>
    <x v="0"/>
    <x v="2"/>
    <s v="Connectivity"/>
    <s v="Access Management"/>
    <s v="Gurugram"/>
    <s v="Portal"/>
    <s v="Resolved"/>
    <n v="48"/>
    <n v="43.87"/>
    <n v="2.2000000000000002"/>
    <s v="No"/>
    <x v="0"/>
  </r>
  <r>
    <s v="INC102137"/>
    <d v="2025-04-09T00:00:00"/>
    <d v="2025-04-09T04:51:00"/>
    <x v="1"/>
    <x v="0"/>
    <s v="Installation"/>
    <s v="Service Desk"/>
    <s v="Gurugram"/>
    <s v="Chat"/>
    <s v="Resolved"/>
    <n v="24"/>
    <n v="4.8499999999999996"/>
    <n v="5"/>
    <s v="No"/>
    <x v="0"/>
  </r>
  <r>
    <s v="INC102138"/>
    <d v="2025-01-05T00:00:00"/>
    <d v="2025-01-05T13:17:23"/>
    <x v="1"/>
    <x v="1"/>
    <s v="Account Lock"/>
    <s v="Service Desk"/>
    <s v="Mumbai"/>
    <s v="Portal"/>
    <s v="Closed"/>
    <n v="24"/>
    <n v="13.29"/>
    <n v="5"/>
    <s v="No"/>
    <x v="0"/>
  </r>
  <r>
    <s v="INC102139"/>
    <d v="2025-04-08T00:00:00"/>
    <d v="2025-04-08T16:46:48"/>
    <x v="0"/>
    <x v="0"/>
    <s v="License"/>
    <s v="Desktop Support"/>
    <s v="Bengaluru"/>
    <s v="Phone"/>
    <s v="Closed"/>
    <n v="48"/>
    <n v="16.78"/>
    <n v="4.2"/>
    <s v="No"/>
    <x v="0"/>
  </r>
  <r>
    <s v="INC102140"/>
    <d v="2025-03-14T00:00:00"/>
    <d v="2025-03-14T20:51:00"/>
    <x v="0"/>
    <x v="3"/>
    <s v="Peripheral"/>
    <s v="Network Support"/>
    <s v="Noida"/>
    <s v="Portal"/>
    <s v="Resolved"/>
    <n v="48"/>
    <n v="20.85"/>
    <n v="4.5999999999999996"/>
    <s v="No"/>
    <x v="0"/>
  </r>
  <r>
    <s v="INC102141"/>
    <d v="2025-05-07T00:00:00"/>
    <d v="2025-05-07T10:06:36"/>
    <x v="0"/>
    <x v="1"/>
    <s v="Password Reset"/>
    <s v="Desktop Support"/>
    <s v="Hyderabad"/>
    <s v="Email"/>
    <s v="Resolved"/>
    <n v="48"/>
    <n v="10.11"/>
    <n v="5"/>
    <s v="No"/>
    <x v="0"/>
  </r>
  <r>
    <s v="INC102142"/>
    <d v="2025-06-08T00:00:00"/>
    <d v="2025-06-09T01:19:12"/>
    <x v="0"/>
    <x v="2"/>
    <s v="Link Down"/>
    <s v="Network Support"/>
    <s v="Mumbai"/>
    <s v="Phone"/>
    <s v="Closed"/>
    <n v="48"/>
    <n v="25.32"/>
    <n v="4.4000000000000004"/>
    <s v="No"/>
    <x v="0"/>
  </r>
  <r>
    <s v="INC102143"/>
    <d v="2025-06-24T00:00:00"/>
    <d v="2025-06-24T04:33:00"/>
    <x v="1"/>
    <x v="4"/>
    <s v="Mailbox"/>
    <s v="Access Management"/>
    <s v="Gurugram"/>
    <s v="Chat"/>
    <s v="Resolved"/>
    <n v="24"/>
    <n v="4.55"/>
    <n v="5"/>
    <s v="No"/>
    <x v="0"/>
  </r>
  <r>
    <s v="INC102144"/>
    <d v="2025-04-21T00:00:00"/>
    <d v="2025-04-21T15:47:24"/>
    <x v="0"/>
    <x v="2"/>
    <s v="Connectivity"/>
    <s v="Desktop Support"/>
    <s v="Bengaluru"/>
    <s v="Portal"/>
    <s v="Resolved"/>
    <n v="48"/>
    <n v="15.79"/>
    <n v="5"/>
    <s v="No"/>
    <x v="0"/>
  </r>
  <r>
    <s v="INC102145"/>
    <d v="2025-03-07T00:00:00"/>
    <d v="2025-03-07T19:51:00"/>
    <x v="0"/>
    <x v="1"/>
    <s v="Account Lock"/>
    <s v="Service Desk"/>
    <s v="Noida"/>
    <s v="Chat"/>
    <s v="Resolved"/>
    <n v="48"/>
    <n v="19.850000000000001"/>
    <n v="5"/>
    <s v="No"/>
    <x v="0"/>
  </r>
  <r>
    <s v="INC102146"/>
    <d v="2025-03-22T00:00:00"/>
    <d v="2025-03-22T00:59:24"/>
    <x v="2"/>
    <x v="0"/>
    <s v="License"/>
    <s v="Desktop Support"/>
    <s v="Noida"/>
    <s v="Portal"/>
    <s v="Resolved"/>
    <n v="4"/>
    <n v="0.99"/>
    <n v="4"/>
    <s v="No"/>
    <x v="0"/>
  </r>
  <r>
    <s v="INC102147"/>
    <d v="2025-02-01T00:00:00"/>
    <d v="2025-02-01T10:01:12"/>
    <x v="3"/>
    <x v="3"/>
    <s v="Laptop"/>
    <s v="Network Support"/>
    <s v="Mumbai"/>
    <s v="Phone"/>
    <s v="Resolved"/>
    <n v="8"/>
    <n v="10.02"/>
    <n v="3.2"/>
    <s v="No"/>
    <x v="1"/>
  </r>
  <r>
    <s v="INC102148"/>
    <d v="2025-06-19T00:00:00"/>
    <d v="2025-06-19T15:45:00"/>
    <x v="0"/>
    <x v="0"/>
    <s v="Performance"/>
    <s v="Service Desk"/>
    <s v="Mumbai"/>
    <s v="Portal"/>
    <s v="Closed"/>
    <n v="48"/>
    <n v="15.75"/>
    <n v="5"/>
    <s v="No"/>
    <x v="0"/>
  </r>
  <r>
    <s v="INC102149"/>
    <d v="2025-06-03T00:00:00"/>
    <d v="2025-06-03T09:23:24"/>
    <x v="1"/>
    <x v="2"/>
    <s v="Link Down"/>
    <s v="Network Support"/>
    <s v="Delhi"/>
    <s v="Email"/>
    <s v="Resolved"/>
    <n v="24"/>
    <n v="9.39"/>
    <n v="4.9000000000000004"/>
    <s v="No"/>
    <x v="0"/>
  </r>
  <r>
    <s v="INC102150"/>
    <d v="2025-06-04T00:00:00"/>
    <d v="2025-06-04T12:19:12"/>
    <x v="1"/>
    <x v="3"/>
    <s v="Printer"/>
    <s v="Application Support"/>
    <s v="Bengaluru"/>
    <s v="Phone"/>
    <s v="Closed"/>
    <n v="24"/>
    <n v="12.32"/>
    <n v="4.8"/>
    <s v="No"/>
    <x v="0"/>
  </r>
  <r>
    <s v="INC102151"/>
    <d v="2025-03-01T00:00:00"/>
    <d v="2025-03-01T01:07:48"/>
    <x v="3"/>
    <x v="1"/>
    <s v="VPN Access"/>
    <s v="Access Management"/>
    <s v="Bengaluru"/>
    <s v="Phone"/>
    <s v="Closed"/>
    <n v="8"/>
    <n v="1.1299999999999999"/>
    <n v="3.1"/>
    <s v="No"/>
    <x v="0"/>
  </r>
  <r>
    <s v="INC102152"/>
    <d v="2025-02-28T00:00:00"/>
    <d v="2025-02-28T00:43:12"/>
    <x v="3"/>
    <x v="1"/>
    <s v="VPN Access"/>
    <s v="Desktop Support"/>
    <s v="Bengaluru"/>
    <s v="Phone"/>
    <s v="Resolved"/>
    <n v="8"/>
    <n v="0.72"/>
    <n v="3.6"/>
    <s v="No"/>
    <x v="0"/>
  </r>
  <r>
    <s v="INC102153"/>
    <d v="2025-06-05T00:00:00"/>
    <d v="2025-06-05T19:52:12"/>
    <x v="0"/>
    <x v="2"/>
    <s v="DNS"/>
    <s v="Network Support"/>
    <s v="Gurugram"/>
    <s v="Portal"/>
    <s v="Closed"/>
    <n v="48"/>
    <n v="19.87"/>
    <n v="5"/>
    <s v="No"/>
    <x v="0"/>
  </r>
  <r>
    <s v="INC102154"/>
    <d v="2025-04-09T00:00:00"/>
    <d v="2025-04-09T05:11:24"/>
    <x v="0"/>
    <x v="0"/>
    <s v="Installation"/>
    <s v="Network Support"/>
    <s v="Bengaluru"/>
    <s v="Phone"/>
    <s v="Closed"/>
    <n v="48"/>
    <n v="5.19"/>
    <n v="5"/>
    <s v="No"/>
    <x v="0"/>
  </r>
  <r>
    <s v="INC102155"/>
    <d v="2025-05-08T00:00:00"/>
    <d v="2025-05-08T15:31:48"/>
    <x v="1"/>
    <x v="1"/>
    <s v="Password Reset"/>
    <s v="Access Management"/>
    <s v="Hyderabad"/>
    <s v="Portal"/>
    <s v="Pending"/>
    <n v="24"/>
    <n v="15.53"/>
    <n v="4.5"/>
    <s v="No"/>
    <x v="0"/>
  </r>
  <r>
    <s v="INC102156"/>
    <d v="2025-03-30T00:00:00"/>
    <d v="2025-03-30T05:21:36"/>
    <x v="3"/>
    <x v="1"/>
    <s v="VPN Access"/>
    <s v="Service Desk"/>
    <s v="Delhi"/>
    <s v="Portal"/>
    <s v="Closed"/>
    <n v="8"/>
    <n v="5.36"/>
    <n v="3.4"/>
    <s v="No"/>
    <x v="0"/>
  </r>
  <r>
    <s v="INC102157"/>
    <d v="2025-03-22T00:00:00"/>
    <d v="2025-03-22T05:10:12"/>
    <x v="3"/>
    <x v="3"/>
    <s v="Peripheral"/>
    <s v="Service Desk"/>
    <s v="Bengaluru"/>
    <s v="Portal"/>
    <s v="Resolved"/>
    <n v="8"/>
    <n v="5.17"/>
    <n v="4"/>
    <s v="No"/>
    <x v="0"/>
  </r>
  <r>
    <s v="INC102158"/>
    <d v="2025-04-25T00:00:00"/>
    <d v="2025-04-26T17:31:48"/>
    <x v="0"/>
    <x v="2"/>
    <s v="DNS"/>
    <s v="Network Support"/>
    <s v="Hyderabad"/>
    <s v="Portal"/>
    <s v="Closed"/>
    <n v="48"/>
    <n v="41.53"/>
    <n v="4.3"/>
    <s v="No"/>
    <x v="0"/>
  </r>
  <r>
    <s v="INC102159"/>
    <d v="2025-05-28T00:00:00"/>
    <d v="2025-05-28T09:54:00"/>
    <x v="1"/>
    <x v="4"/>
    <s v="Spam"/>
    <s v="Application Support"/>
    <s v="Noida"/>
    <s v="Portal"/>
    <s v="Closed"/>
    <n v="24"/>
    <n v="9.9"/>
    <n v="3.6"/>
    <s v="No"/>
    <x v="0"/>
  </r>
  <r>
    <s v="INC102160"/>
    <d v="2025-03-02T00:00:00"/>
    <d v="2025-03-04T13:17:23"/>
    <x v="0"/>
    <x v="3"/>
    <s v="Monitor"/>
    <s v="Network Support"/>
    <s v="Noida"/>
    <s v="Email"/>
    <s v="Closed"/>
    <n v="48"/>
    <n v="61.29"/>
    <n v="3"/>
    <s v="No"/>
    <x v="1"/>
  </r>
  <r>
    <s v="INC102161"/>
    <d v="2025-05-27T00:00:00"/>
    <d v="2025-05-27T14:24:36"/>
    <x v="1"/>
    <x v="3"/>
    <s v="Laptop"/>
    <s v="Access Management"/>
    <s v="Gurugram"/>
    <s v="Portal"/>
    <s v="Resolved"/>
    <n v="24"/>
    <n v="14.41"/>
    <n v="4.5"/>
    <s v="No"/>
    <x v="0"/>
  </r>
  <r>
    <s v="INC102162"/>
    <d v="2025-02-14T00:00:00"/>
    <d v="2025-02-14T09:39:36"/>
    <x v="3"/>
    <x v="1"/>
    <s v="Account Lock"/>
    <s v="Service Desk"/>
    <s v="Gurugram"/>
    <s v="Email"/>
    <s v="Closed"/>
    <n v="8"/>
    <n v="9.66"/>
    <n v="3.9"/>
    <s v="No"/>
    <x v="1"/>
  </r>
  <r>
    <s v="INC102163"/>
    <d v="2025-03-14T00:00:00"/>
    <d v="2025-03-14T20:06:00"/>
    <x v="1"/>
    <x v="2"/>
    <s v="Link Down"/>
    <s v="Network Support"/>
    <s v="Noida"/>
    <s v="Portal"/>
    <s v="Resolved"/>
    <n v="24"/>
    <n v="20.100000000000001"/>
    <n v="3.7"/>
    <s v="No"/>
    <x v="0"/>
  </r>
  <r>
    <s v="INC102164"/>
    <d v="2025-06-15T00:00:00"/>
    <d v="2025-06-15T20:21:36"/>
    <x v="0"/>
    <x v="1"/>
    <s v="Account Lock"/>
    <s v="Application Support"/>
    <s v="Mumbai"/>
    <s v="Phone"/>
    <s v="Pending"/>
    <n v="48"/>
    <n v="20.36"/>
    <n v="5"/>
    <s v="No"/>
    <x v="0"/>
  </r>
  <r>
    <s v="INC102165"/>
    <d v="2025-06-22T00:00:00"/>
    <d v="2025-06-22T14:19:48"/>
    <x v="1"/>
    <x v="2"/>
    <s v="DNS"/>
    <s v="Service Desk"/>
    <s v="Gurugram"/>
    <s v="Portal"/>
    <s v="Resolved"/>
    <n v="24"/>
    <n v="14.33"/>
    <n v="4.9000000000000004"/>
    <s v="No"/>
    <x v="0"/>
  </r>
  <r>
    <s v="INC102166"/>
    <d v="2025-06-17T00:00:00"/>
    <d v="2025-06-17T17:45:00"/>
    <x v="1"/>
    <x v="1"/>
    <s v="Permission"/>
    <s v="Application Support"/>
    <s v="Gurugram"/>
    <s v="Portal"/>
    <s v="Resolved"/>
    <n v="24"/>
    <n v="17.75"/>
    <n v="2.9"/>
    <s v="No"/>
    <x v="0"/>
  </r>
  <r>
    <s v="INC102167"/>
    <d v="2025-02-27T00:00:00"/>
    <d v="2025-02-27T00:40:12"/>
    <x v="3"/>
    <x v="4"/>
    <s v="Mailbox"/>
    <s v="Network Support"/>
    <s v="Hyderabad"/>
    <s v="Email"/>
    <s v="Resolved"/>
    <n v="8"/>
    <n v="0.67"/>
    <n v="5"/>
    <s v="No"/>
    <x v="0"/>
  </r>
  <r>
    <s v="INC102168"/>
    <d v="2025-06-02T00:00:00"/>
    <d v="2025-06-02T03:27:00"/>
    <x v="1"/>
    <x v="4"/>
    <s v="Delivery"/>
    <s v="Access Management"/>
    <s v="Hyderabad"/>
    <s v="Chat"/>
    <s v="In Progress"/>
    <n v="24"/>
    <n v="3.45"/>
    <n v="5"/>
    <s v="Yes"/>
    <x v="0"/>
  </r>
  <r>
    <s v="INC102169"/>
    <d v="2025-06-19T00:00:00"/>
    <d v="2025-06-19T11:33:36"/>
    <x v="3"/>
    <x v="4"/>
    <s v="Delivery"/>
    <s v="Service Desk"/>
    <s v="Gurugram"/>
    <s v="Chat"/>
    <s v="Closed"/>
    <n v="8"/>
    <n v="11.56"/>
    <n v="3.4"/>
    <s v="No"/>
    <x v="1"/>
  </r>
  <r>
    <s v="INC102170"/>
    <d v="2025-06-27T00:00:00"/>
    <d v="2025-06-28T11:14:24"/>
    <x v="0"/>
    <x v="1"/>
    <s v="Permission"/>
    <s v="Application Support"/>
    <s v="Noida"/>
    <s v="Portal"/>
    <s v="Resolved"/>
    <n v="48"/>
    <n v="35.24"/>
    <n v="4"/>
    <s v="No"/>
    <x v="0"/>
  </r>
  <r>
    <s v="INC102171"/>
    <d v="2025-01-04T00:00:00"/>
    <d v="2025-01-06T01:24:36"/>
    <x v="0"/>
    <x v="2"/>
    <s v="DNS"/>
    <s v="Access Management"/>
    <s v="Noida"/>
    <s v="Chat"/>
    <s v="In Progress"/>
    <n v="48"/>
    <n v="49.41"/>
    <n v="4.3"/>
    <s v="Yes"/>
    <x v="1"/>
  </r>
  <r>
    <s v="INC102172"/>
    <d v="2025-05-15T00:00:00"/>
    <d v="2025-05-15T09:48:00"/>
    <x v="1"/>
    <x v="4"/>
    <s v="Configuration"/>
    <s v="Desktop Support"/>
    <s v="Gurugram"/>
    <s v="Email"/>
    <s v="Resolved"/>
    <n v="24"/>
    <n v="9.8000000000000007"/>
    <n v="4.9000000000000004"/>
    <s v="No"/>
    <x v="0"/>
  </r>
  <r>
    <s v="INC102173"/>
    <d v="2025-06-30T00:00:00"/>
    <d v="2025-07-02T10:44:24"/>
    <x v="0"/>
    <x v="4"/>
    <s v="Spam"/>
    <s v="Service Desk"/>
    <s v="Delhi"/>
    <s v="Chat"/>
    <s v="Resolved"/>
    <n v="48"/>
    <n v="58.74"/>
    <n v="3.4"/>
    <s v="No"/>
    <x v="1"/>
  </r>
  <r>
    <s v="INC102174"/>
    <d v="2025-05-19T00:00:00"/>
    <d v="2025-05-19T20:33:00"/>
    <x v="0"/>
    <x v="0"/>
    <s v="Installation"/>
    <s v="Service Desk"/>
    <s v="Delhi"/>
    <s v="Portal"/>
    <s v="Resolved"/>
    <n v="48"/>
    <n v="20.55"/>
    <n v="5"/>
    <s v="No"/>
    <x v="0"/>
  </r>
  <r>
    <s v="INC102175"/>
    <d v="2025-02-12T00:00:00"/>
    <d v="2025-02-12T17:31:12"/>
    <x v="1"/>
    <x v="3"/>
    <s v="Laptop"/>
    <s v="Application Support"/>
    <s v="Bengaluru"/>
    <s v="Portal"/>
    <s v="Resolved"/>
    <n v="24"/>
    <n v="17.52"/>
    <n v="2.8"/>
    <s v="No"/>
    <x v="0"/>
  </r>
  <r>
    <s v="INC102176"/>
    <d v="2025-05-19T00:00:00"/>
    <d v="2025-05-21T16:25:12"/>
    <x v="0"/>
    <x v="2"/>
    <s v="DNS"/>
    <s v="Network Support"/>
    <s v="Delhi"/>
    <s v="Portal"/>
    <s v="Resolved"/>
    <n v="48"/>
    <n v="64.42"/>
    <n v="3"/>
    <s v="No"/>
    <x v="1"/>
  </r>
  <r>
    <s v="INC102177"/>
    <d v="2025-01-20T00:00:00"/>
    <d v="2025-01-21T14:15:00"/>
    <x v="0"/>
    <x v="0"/>
    <s v="License"/>
    <s v="Network Support"/>
    <s v="Bengaluru"/>
    <s v="Phone"/>
    <s v="Resolved"/>
    <n v="48"/>
    <n v="38.25"/>
    <n v="4.3"/>
    <s v="No"/>
    <x v="0"/>
  </r>
  <r>
    <s v="INC102178"/>
    <d v="2025-03-28T00:00:00"/>
    <d v="2025-03-28T09:46:48"/>
    <x v="0"/>
    <x v="0"/>
    <s v="Performance"/>
    <s v="Application Support"/>
    <s v="Delhi"/>
    <s v="Portal"/>
    <s v="Resolved"/>
    <n v="48"/>
    <n v="9.7799999999999994"/>
    <n v="4.7"/>
    <s v="No"/>
    <x v="0"/>
  </r>
  <r>
    <s v="INC102179"/>
    <d v="2025-04-24T00:00:00"/>
    <d v="2025-04-24T21:43:12"/>
    <x v="0"/>
    <x v="3"/>
    <s v="Laptop"/>
    <s v="Network Support"/>
    <s v="Delhi"/>
    <s v="Portal"/>
    <s v="Resolved"/>
    <n v="48"/>
    <n v="21.72"/>
    <n v="4.9000000000000004"/>
    <s v="No"/>
    <x v="0"/>
  </r>
  <r>
    <s v="INC102180"/>
    <d v="2025-03-24T00:00:00"/>
    <d v="2025-03-24T04:55:12"/>
    <x v="3"/>
    <x v="3"/>
    <s v="Printer"/>
    <s v="Service Desk"/>
    <s v="Delhi"/>
    <s v="Email"/>
    <s v="Resolved"/>
    <n v="8"/>
    <n v="4.92"/>
    <n v="3.4"/>
    <s v="No"/>
    <x v="0"/>
  </r>
  <r>
    <s v="INC102181"/>
    <d v="2025-05-07T00:00:00"/>
    <d v="2025-05-07T06:07:48"/>
    <x v="3"/>
    <x v="0"/>
    <s v="License"/>
    <s v="Application Support"/>
    <s v="Noida"/>
    <s v="Chat"/>
    <s v="Resolved"/>
    <n v="8"/>
    <n v="6.13"/>
    <n v="3.9"/>
    <s v="No"/>
    <x v="0"/>
  </r>
  <r>
    <s v="INC102182"/>
    <d v="2025-02-13T00:00:00"/>
    <d v="2025-02-15T06:04:12"/>
    <x v="0"/>
    <x v="2"/>
    <s v="Connectivity"/>
    <s v="Service Desk"/>
    <s v="Gurugram"/>
    <s v="Email"/>
    <s v="Resolved"/>
    <n v="48"/>
    <n v="54.07"/>
    <n v="4.4000000000000004"/>
    <s v="No"/>
    <x v="1"/>
  </r>
  <r>
    <s v="INC102183"/>
    <d v="2025-04-20T00:00:00"/>
    <d v="2025-04-20T06:09:36"/>
    <x v="3"/>
    <x v="4"/>
    <s v="Delivery"/>
    <s v="Access Management"/>
    <s v="Gurugram"/>
    <s v="Phone"/>
    <s v="Resolved"/>
    <n v="8"/>
    <n v="6.16"/>
    <n v="3.1"/>
    <s v="No"/>
    <x v="0"/>
  </r>
  <r>
    <s v="INC102184"/>
    <d v="2025-04-27T00:00:00"/>
    <d v="2025-04-27T03:45:00"/>
    <x v="3"/>
    <x v="3"/>
    <s v="Printer"/>
    <s v="Access Management"/>
    <s v="Gurugram"/>
    <s v="Portal"/>
    <s v="Resolved"/>
    <n v="8"/>
    <n v="3.75"/>
    <n v="4.3"/>
    <s v="No"/>
    <x v="0"/>
  </r>
  <r>
    <s v="INC102185"/>
    <d v="2025-04-25T00:00:00"/>
    <d v="2025-04-25T01:34:47"/>
    <x v="2"/>
    <x v="2"/>
    <s v="Packet Loss"/>
    <s v="Network Support"/>
    <s v="Hyderabad"/>
    <s v="Chat"/>
    <s v="Closed"/>
    <n v="4"/>
    <n v="1.58"/>
    <n v="4.2"/>
    <s v="No"/>
    <x v="0"/>
  </r>
  <r>
    <s v="INC102186"/>
    <d v="2025-02-22T00:00:00"/>
    <d v="2025-02-22T09:52:12"/>
    <x v="1"/>
    <x v="2"/>
    <s v="Packet Loss"/>
    <s v="Network Support"/>
    <s v="Noida"/>
    <s v="Portal"/>
    <s v="Closed"/>
    <n v="24"/>
    <n v="9.8699999999999992"/>
    <n v="4.7"/>
    <s v="No"/>
    <x v="0"/>
  </r>
  <r>
    <s v="INC102187"/>
    <d v="2025-02-25T00:00:00"/>
    <d v="2025-02-25T15:59:24"/>
    <x v="0"/>
    <x v="1"/>
    <s v="VPN Access"/>
    <s v="Access Management"/>
    <s v="Mumbai"/>
    <s v="Portal"/>
    <s v="Resolved"/>
    <n v="48"/>
    <n v="15.99"/>
    <n v="4.9000000000000004"/>
    <s v="No"/>
    <x v="0"/>
  </r>
  <r>
    <s v="INC102188"/>
    <d v="2025-02-16T00:00:00"/>
    <d v="2025-02-16T07:40:48"/>
    <x v="1"/>
    <x v="1"/>
    <s v="Password Reset"/>
    <s v="Network Support"/>
    <s v="Gurugram"/>
    <s v="Email"/>
    <s v="Resolved"/>
    <n v="24"/>
    <n v="7.68"/>
    <n v="4.7"/>
    <s v="No"/>
    <x v="0"/>
  </r>
  <r>
    <s v="INC102189"/>
    <d v="2025-03-25T00:00:00"/>
    <d v="2025-03-25T08:06:36"/>
    <x v="3"/>
    <x v="2"/>
    <s v="Packet Loss"/>
    <s v="Desktop Support"/>
    <s v="Noida"/>
    <s v="Portal"/>
    <s v="Pending"/>
    <n v="8"/>
    <n v="8.11"/>
    <n v="3.6"/>
    <s v="Yes"/>
    <x v="1"/>
  </r>
  <r>
    <s v="INC102190"/>
    <d v="2025-04-17T00:00:00"/>
    <d v="2025-04-17T04:25:12"/>
    <x v="3"/>
    <x v="2"/>
    <s v="DNS"/>
    <s v="Access Management"/>
    <s v="Delhi"/>
    <s v="Email"/>
    <s v="Closed"/>
    <n v="8"/>
    <n v="4.42"/>
    <n v="4.4000000000000004"/>
    <s v="Yes"/>
    <x v="0"/>
  </r>
  <r>
    <s v="INC102191"/>
    <d v="2025-03-07T00:00:00"/>
    <d v="2025-03-07T08:07:48"/>
    <x v="1"/>
    <x v="3"/>
    <s v="Peripheral"/>
    <s v="Desktop Support"/>
    <s v="Gurugram"/>
    <s v="Email"/>
    <s v="Resolved"/>
    <n v="24"/>
    <n v="8.1300000000000008"/>
    <n v="4.5"/>
    <s v="No"/>
    <x v="0"/>
  </r>
  <r>
    <s v="INC102192"/>
    <d v="2025-03-16T00:00:00"/>
    <d v="2025-03-17T00:08:24"/>
    <x v="0"/>
    <x v="2"/>
    <s v="Link Down"/>
    <s v="Service Desk"/>
    <s v="Delhi"/>
    <s v="Portal"/>
    <s v="In Progress"/>
    <n v="48"/>
    <n v="24.14"/>
    <n v="4.4000000000000004"/>
    <s v="No"/>
    <x v="0"/>
  </r>
  <r>
    <s v="INC102193"/>
    <d v="2025-02-21T00:00:00"/>
    <d v="2025-02-21T02:51:36"/>
    <x v="3"/>
    <x v="1"/>
    <s v="VPN Access"/>
    <s v="Network Support"/>
    <s v="Delhi"/>
    <s v="Portal"/>
    <s v="Resolved"/>
    <n v="8"/>
    <n v="2.86"/>
    <n v="5"/>
    <s v="No"/>
    <x v="0"/>
  </r>
  <r>
    <s v="INC102194"/>
    <d v="2025-02-09T00:00:00"/>
    <d v="2025-02-09T00:46:12"/>
    <x v="3"/>
    <x v="2"/>
    <s v="Link Down"/>
    <s v="Service Desk"/>
    <s v="Gurugram"/>
    <s v="Portal"/>
    <s v="Resolved"/>
    <n v="8"/>
    <n v="0.77"/>
    <n v="4.0999999999999996"/>
    <s v="Yes"/>
    <x v="0"/>
  </r>
  <r>
    <s v="INC102195"/>
    <d v="2025-04-29T00:00:00"/>
    <d v="2025-04-29T18:39:36"/>
    <x v="1"/>
    <x v="0"/>
    <s v="Installation"/>
    <s v="Desktop Support"/>
    <s v="Delhi"/>
    <s v="Portal"/>
    <s v="Closed"/>
    <n v="24"/>
    <n v="18.66"/>
    <n v="4.3"/>
    <s v="Yes"/>
    <x v="0"/>
  </r>
  <r>
    <s v="INC102196"/>
    <d v="2025-05-28T00:00:00"/>
    <d v="2025-05-29T01:24:36"/>
    <x v="1"/>
    <x v="3"/>
    <s v="Peripheral"/>
    <s v="Network Support"/>
    <s v="Gurugram"/>
    <s v="Chat"/>
    <s v="Resolved"/>
    <n v="24"/>
    <n v="25.41"/>
    <n v="3.1"/>
    <s v="No"/>
    <x v="1"/>
  </r>
  <r>
    <s v="INC102197"/>
    <d v="2025-02-22T00:00:00"/>
    <d v="2025-02-22T22:24:00"/>
    <x v="1"/>
    <x v="3"/>
    <s v="Monitor"/>
    <s v="Desktop Support"/>
    <s v="Mumbai"/>
    <s v="Email"/>
    <s v="In Progress"/>
    <n v="24"/>
    <n v="22.4"/>
    <n v="5"/>
    <s v="No"/>
    <x v="0"/>
  </r>
  <r>
    <s v="INC102198"/>
    <d v="2025-06-05T00:00:00"/>
    <d v="2025-06-05T21:27:00"/>
    <x v="1"/>
    <x v="3"/>
    <s v="Monitor"/>
    <s v="Desktop Support"/>
    <s v="Delhi"/>
    <s v="Portal"/>
    <s v="Resolved"/>
    <n v="24"/>
    <n v="21.45"/>
    <n v="4"/>
    <s v="No"/>
    <x v="0"/>
  </r>
  <r>
    <s v="INC102199"/>
    <d v="2025-04-14T00:00:00"/>
    <d v="2025-04-14T04:35:24"/>
    <x v="1"/>
    <x v="2"/>
    <s v="Packet Loss"/>
    <s v="Service Desk"/>
    <s v="Bengaluru"/>
    <s v="Portal"/>
    <s v="Resolved"/>
    <n v="24"/>
    <n v="4.59"/>
    <n v="3.9"/>
    <s v="No"/>
    <x v="0"/>
  </r>
  <r>
    <s v="INC102200"/>
    <d v="2025-01-31T00:00:00"/>
    <d v="2025-01-31T09:45:36"/>
    <x v="3"/>
    <x v="2"/>
    <s v="Packet Loss"/>
    <s v="Access Management"/>
    <s v="Noida"/>
    <s v="Phone"/>
    <s v="Resolved"/>
    <n v="8"/>
    <n v="9.76"/>
    <n v="3.4"/>
    <s v="No"/>
    <x v="1"/>
  </r>
  <r>
    <s v="INC102201"/>
    <d v="2025-03-08T00:00:00"/>
    <d v="2025-03-08T01:13:48"/>
    <x v="2"/>
    <x v="2"/>
    <s v="DNS"/>
    <s v="Access Management"/>
    <s v="Noida"/>
    <s v="Phone"/>
    <s v="Closed"/>
    <n v="4"/>
    <n v="1.23"/>
    <n v="3.7"/>
    <s v="Yes"/>
    <x v="0"/>
  </r>
  <r>
    <s v="INC102202"/>
    <d v="2025-01-02T00:00:00"/>
    <d v="2025-01-02T03:54:36"/>
    <x v="1"/>
    <x v="2"/>
    <s v="Packet Loss"/>
    <s v="Application Support"/>
    <s v="Hyderabad"/>
    <s v="Chat"/>
    <s v="Resolved"/>
    <n v="24"/>
    <n v="3.91"/>
    <n v="4.4000000000000004"/>
    <s v="No"/>
    <x v="0"/>
  </r>
  <r>
    <s v="INC102203"/>
    <d v="2025-01-08T00:00:00"/>
    <d v="2025-01-08T01:08:24"/>
    <x v="1"/>
    <x v="4"/>
    <s v="Mailbox"/>
    <s v="Desktop Support"/>
    <s v="Noida"/>
    <s v="Portal"/>
    <s v="Resolved"/>
    <n v="24"/>
    <n v="1.1399999999999999"/>
    <n v="5"/>
    <s v="Yes"/>
    <x v="0"/>
  </r>
  <r>
    <s v="INC102204"/>
    <d v="2025-03-02T00:00:00"/>
    <d v="2025-03-02T14:31:48"/>
    <x v="1"/>
    <x v="2"/>
    <s v="Connectivity"/>
    <s v="Desktop Support"/>
    <s v="Gurugram"/>
    <s v="Email"/>
    <s v="In Progress"/>
    <n v="24"/>
    <n v="14.53"/>
    <n v="5"/>
    <s v="No"/>
    <x v="0"/>
  </r>
  <r>
    <s v="INC102205"/>
    <d v="2025-03-24T00:00:00"/>
    <d v="2025-03-26T11:32:24"/>
    <x v="0"/>
    <x v="3"/>
    <s v="Peripheral"/>
    <s v="Network Support"/>
    <s v="Gurugram"/>
    <s v="Portal"/>
    <s v="Resolved"/>
    <n v="48"/>
    <n v="59.54"/>
    <n v="4.2"/>
    <s v="No"/>
    <x v="1"/>
  </r>
  <r>
    <s v="INC102206"/>
    <d v="2025-05-25T00:00:00"/>
    <d v="2025-05-27T05:57:00"/>
    <x v="0"/>
    <x v="2"/>
    <s v="Link Down"/>
    <s v="Service Desk"/>
    <s v="Gurugram"/>
    <s v="Phone"/>
    <s v="Resolved"/>
    <n v="48"/>
    <n v="53.95"/>
    <n v="3.6"/>
    <s v="No"/>
    <x v="1"/>
  </r>
  <r>
    <s v="INC102207"/>
    <d v="2025-01-25T00:00:00"/>
    <d v="2025-01-26T00:46:12"/>
    <x v="0"/>
    <x v="1"/>
    <s v="Password Reset"/>
    <s v="Network Support"/>
    <s v="Mumbai"/>
    <s v="Portal"/>
    <s v="Resolved"/>
    <n v="48"/>
    <n v="24.77"/>
    <n v="4.8"/>
    <s v="No"/>
    <x v="0"/>
  </r>
  <r>
    <s v="INC102208"/>
    <d v="2025-06-01T00:00:00"/>
    <d v="2025-06-01T23:49:48"/>
    <x v="1"/>
    <x v="4"/>
    <s v="Mailbox"/>
    <s v="Service Desk"/>
    <s v="Bengaluru"/>
    <s v="Email"/>
    <s v="Resolved"/>
    <n v="24"/>
    <n v="23.83"/>
    <n v="4.3"/>
    <s v="No"/>
    <x v="0"/>
  </r>
  <r>
    <s v="INC102209"/>
    <d v="2025-02-12T00:00:00"/>
    <d v="2025-02-15T19:00:00"/>
    <x v="0"/>
    <x v="1"/>
    <s v="Password Reset"/>
    <s v="Desktop Support"/>
    <s v="Gurugram"/>
    <s v="Portal"/>
    <s v="Resolved"/>
    <n v="48"/>
    <n v="91"/>
    <n v="4.2"/>
    <s v="No"/>
    <x v="1"/>
  </r>
  <r>
    <s v="INC102210"/>
    <d v="2025-01-26T00:00:00"/>
    <d v="2025-01-26T09:01:48"/>
    <x v="1"/>
    <x v="0"/>
    <s v="Application Error"/>
    <s v="Application Support"/>
    <s v="Noida"/>
    <s v="Phone"/>
    <s v="Resolved"/>
    <n v="24"/>
    <n v="9.0299999999999994"/>
    <n v="4.2"/>
    <s v="No"/>
    <x v="0"/>
  </r>
  <r>
    <s v="INC102211"/>
    <d v="2025-05-07T00:00:00"/>
    <d v="2025-05-07T05:40:48"/>
    <x v="3"/>
    <x v="1"/>
    <s v="VPN Access"/>
    <s v="Service Desk"/>
    <s v="Bengaluru"/>
    <s v="Portal"/>
    <s v="Resolved"/>
    <n v="8"/>
    <n v="5.68"/>
    <n v="5"/>
    <s v="Yes"/>
    <x v="0"/>
  </r>
  <r>
    <s v="INC102212"/>
    <d v="2025-05-21T00:00:00"/>
    <d v="2025-05-23T12:19:48"/>
    <x v="0"/>
    <x v="3"/>
    <s v="Printer"/>
    <s v="Service Desk"/>
    <s v="Delhi"/>
    <s v="Phone"/>
    <s v="Resolved"/>
    <n v="48"/>
    <n v="60.33"/>
    <n v="2.8"/>
    <s v="No"/>
    <x v="1"/>
  </r>
  <r>
    <s v="INC102213"/>
    <d v="2025-04-20T00:00:00"/>
    <d v="2025-04-20T04:02:24"/>
    <x v="1"/>
    <x v="1"/>
    <s v="Permission"/>
    <s v="Application Support"/>
    <s v="Hyderabad"/>
    <s v="Portal"/>
    <s v="Closed"/>
    <n v="24"/>
    <n v="4.04"/>
    <n v="5"/>
    <s v="No"/>
    <x v="0"/>
  </r>
  <r>
    <s v="INC102214"/>
    <d v="2025-01-21T00:00:00"/>
    <d v="2025-01-21T01:27:36"/>
    <x v="3"/>
    <x v="1"/>
    <s v="Password Reset"/>
    <s v="Network Support"/>
    <s v="Mumbai"/>
    <s v="Phone"/>
    <s v="Resolved"/>
    <n v="8"/>
    <n v="1.46"/>
    <n v="4.4000000000000004"/>
    <s v="No"/>
    <x v="0"/>
  </r>
  <r>
    <s v="INC102215"/>
    <d v="2025-01-21T00:00:00"/>
    <d v="2025-01-22T09:27:36"/>
    <x v="1"/>
    <x v="2"/>
    <s v="Packet Loss"/>
    <s v="Network Support"/>
    <s v="Bengaluru"/>
    <s v="Portal"/>
    <s v="Resolved"/>
    <n v="24"/>
    <n v="33.46"/>
    <n v="2.9"/>
    <s v="No"/>
    <x v="1"/>
  </r>
  <r>
    <s v="INC102216"/>
    <d v="2025-03-12T00:00:00"/>
    <d v="2025-03-14T00:34:47"/>
    <x v="0"/>
    <x v="0"/>
    <s v="License"/>
    <s v="Application Support"/>
    <s v="Mumbai"/>
    <s v="Email"/>
    <s v="Resolved"/>
    <n v="48"/>
    <n v="48.58"/>
    <n v="3.6"/>
    <s v="No"/>
    <x v="1"/>
  </r>
  <r>
    <s v="INC102217"/>
    <d v="2025-03-23T00:00:00"/>
    <d v="2025-03-23T06:49:48"/>
    <x v="1"/>
    <x v="2"/>
    <s v="DNS"/>
    <s v="Desktop Support"/>
    <s v="Delhi"/>
    <s v="Phone"/>
    <s v="Pending"/>
    <n v="24"/>
    <n v="6.83"/>
    <n v="4.2"/>
    <s v="No"/>
    <x v="0"/>
  </r>
  <r>
    <s v="INC102218"/>
    <d v="2025-06-30T00:00:00"/>
    <d v="2025-06-30T05:04:12"/>
    <x v="1"/>
    <x v="2"/>
    <s v="Link Down"/>
    <s v="Access Management"/>
    <s v="Hyderabad"/>
    <s v="Portal"/>
    <s v="Closed"/>
    <n v="24"/>
    <n v="5.07"/>
    <n v="5"/>
    <s v="No"/>
    <x v="0"/>
  </r>
  <r>
    <s v="INC102219"/>
    <d v="2025-02-21T00:00:00"/>
    <d v="2025-02-21T04:31:12"/>
    <x v="1"/>
    <x v="1"/>
    <s v="Permission"/>
    <s v="Application Support"/>
    <s v="Bengaluru"/>
    <s v="Portal"/>
    <s v="Resolved"/>
    <n v="24"/>
    <n v="4.5199999999999996"/>
    <n v="5"/>
    <s v="No"/>
    <x v="0"/>
  </r>
  <r>
    <s v="INC102220"/>
    <d v="2025-02-04T00:00:00"/>
    <d v="2025-02-05T04:22:12"/>
    <x v="0"/>
    <x v="2"/>
    <s v="Link Down"/>
    <s v="Access Management"/>
    <s v="Hyderabad"/>
    <s v="Portal"/>
    <s v="Closed"/>
    <n v="48"/>
    <n v="28.37"/>
    <n v="2.9"/>
    <s v="No"/>
    <x v="0"/>
  </r>
  <r>
    <s v="INC102221"/>
    <d v="2025-06-21T00:00:00"/>
    <d v="2025-06-21T06:56:24"/>
    <x v="1"/>
    <x v="1"/>
    <s v="VPN Access"/>
    <s v="Application Support"/>
    <s v="Hyderabad"/>
    <s v="Portal"/>
    <s v="Resolved"/>
    <n v="24"/>
    <n v="6.94"/>
    <n v="4.5"/>
    <s v="No"/>
    <x v="0"/>
  </r>
  <r>
    <s v="INC102222"/>
    <d v="2025-01-28T00:00:00"/>
    <d v="2025-01-28T07:04:12"/>
    <x v="1"/>
    <x v="4"/>
    <s v="Configuration"/>
    <s v="Access Management"/>
    <s v="Bengaluru"/>
    <s v="Email"/>
    <s v="Resolved"/>
    <n v="24"/>
    <n v="7.07"/>
    <n v="3.9"/>
    <s v="No"/>
    <x v="0"/>
  </r>
  <r>
    <s v="INC102223"/>
    <d v="2025-01-05T00:00:00"/>
    <d v="2025-01-05T09:04:48"/>
    <x v="0"/>
    <x v="0"/>
    <s v="Application Error"/>
    <s v="Network Support"/>
    <s v="Gurugram"/>
    <s v="Portal"/>
    <s v="Resolved"/>
    <n v="48"/>
    <n v="9.08"/>
    <n v="5"/>
    <s v="No"/>
    <x v="0"/>
  </r>
  <r>
    <s v="INC102224"/>
    <d v="2025-03-18T00:00:00"/>
    <d v="2025-03-18T12:42:00"/>
    <x v="1"/>
    <x v="3"/>
    <s v="Monitor"/>
    <s v="Desktop Support"/>
    <s v="Mumbai"/>
    <s v="Portal"/>
    <s v="Resolved"/>
    <n v="24"/>
    <n v="12.7"/>
    <n v="5"/>
    <s v="Yes"/>
    <x v="0"/>
  </r>
  <r>
    <s v="INC102225"/>
    <d v="2025-03-14T00:00:00"/>
    <d v="2025-03-14T08:04:12"/>
    <x v="0"/>
    <x v="0"/>
    <s v="Application Error"/>
    <s v="Access Management"/>
    <s v="Bengaluru"/>
    <s v="Portal"/>
    <s v="Resolved"/>
    <n v="48"/>
    <n v="8.07"/>
    <n v="4.7"/>
    <s v="No"/>
    <x v="0"/>
  </r>
  <r>
    <s v="INC102226"/>
    <d v="2025-04-23T00:00:00"/>
    <d v="2025-04-23T18:54:00"/>
    <x v="1"/>
    <x v="1"/>
    <s v="Permission"/>
    <s v="Application Support"/>
    <s v="Noida"/>
    <s v="Portal"/>
    <s v="Resolved"/>
    <n v="24"/>
    <n v="18.899999999999999"/>
    <n v="3.6"/>
    <s v="No"/>
    <x v="0"/>
  </r>
  <r>
    <s v="INC102227"/>
    <d v="2025-06-08T00:00:00"/>
    <d v="2025-06-08T09:11:24"/>
    <x v="3"/>
    <x v="2"/>
    <s v="Link Down"/>
    <s v="Desktop Support"/>
    <s v="Mumbai"/>
    <s v="Portal"/>
    <s v="Closed"/>
    <n v="8"/>
    <n v="9.19"/>
    <n v="2.6"/>
    <s v="No"/>
    <x v="1"/>
  </r>
  <r>
    <s v="INC102228"/>
    <d v="2025-06-18T00:00:00"/>
    <d v="2025-06-19T05:18:36"/>
    <x v="0"/>
    <x v="2"/>
    <s v="Packet Loss"/>
    <s v="Access Management"/>
    <s v="Hyderabad"/>
    <s v="Phone"/>
    <s v="In Progress"/>
    <n v="48"/>
    <n v="29.31"/>
    <n v="5"/>
    <s v="No"/>
    <x v="0"/>
  </r>
  <r>
    <s v="INC102229"/>
    <d v="2025-02-22T00:00:00"/>
    <d v="2025-02-23T00:12:36"/>
    <x v="1"/>
    <x v="0"/>
    <s v="License"/>
    <s v="Service Desk"/>
    <s v="Gurugram"/>
    <s v="Portal"/>
    <s v="In Progress"/>
    <n v="24"/>
    <n v="24.21"/>
    <n v="4.5999999999999996"/>
    <s v="No"/>
    <x v="1"/>
  </r>
  <r>
    <s v="INC102230"/>
    <d v="2025-06-27T00:00:00"/>
    <d v="2025-06-27T10:51:00"/>
    <x v="1"/>
    <x v="4"/>
    <s v="Configuration"/>
    <s v="Network Support"/>
    <s v="Bengaluru"/>
    <s v="Chat"/>
    <s v="Resolved"/>
    <n v="24"/>
    <n v="10.85"/>
    <n v="3.2"/>
    <s v="No"/>
    <x v="0"/>
  </r>
  <r>
    <s v="INC102231"/>
    <d v="2025-04-25T00:00:00"/>
    <d v="2025-04-25T06:08:24"/>
    <x v="1"/>
    <x v="3"/>
    <s v="Laptop"/>
    <s v="Application Support"/>
    <s v="Mumbai"/>
    <s v="Phone"/>
    <s v="Closed"/>
    <n v="24"/>
    <n v="6.14"/>
    <n v="5"/>
    <s v="No"/>
    <x v="0"/>
  </r>
  <r>
    <s v="INC102232"/>
    <d v="2025-01-13T00:00:00"/>
    <d v="2025-01-13T03:02:24"/>
    <x v="3"/>
    <x v="3"/>
    <s v="Laptop"/>
    <s v="Desktop Support"/>
    <s v="Gurugram"/>
    <s v="Portal"/>
    <s v="Resolved"/>
    <n v="8"/>
    <n v="3.04"/>
    <n v="3.8"/>
    <s v="No"/>
    <x v="0"/>
  </r>
  <r>
    <s v="INC102233"/>
    <d v="2025-06-19T00:00:00"/>
    <d v="2025-06-19T02:44:24"/>
    <x v="1"/>
    <x v="4"/>
    <s v="Configuration"/>
    <s v="Network Support"/>
    <s v="Noida"/>
    <s v="Phone"/>
    <s v="Resolved"/>
    <n v="24"/>
    <n v="2.74"/>
    <n v="4.5"/>
    <s v="No"/>
    <x v="0"/>
  </r>
  <r>
    <s v="INC102234"/>
    <d v="2025-01-25T00:00:00"/>
    <d v="2025-01-25T14:46:12"/>
    <x v="0"/>
    <x v="2"/>
    <s v="Connectivity"/>
    <s v="Service Desk"/>
    <s v="Delhi"/>
    <s v="Email"/>
    <s v="Closed"/>
    <n v="48"/>
    <n v="14.77"/>
    <n v="3.8"/>
    <s v="No"/>
    <x v="0"/>
  </r>
  <r>
    <s v="INC102235"/>
    <d v="2025-04-17T00:00:00"/>
    <d v="2025-04-17T03:28:48"/>
    <x v="3"/>
    <x v="2"/>
    <s v="Link Down"/>
    <s v="Network Support"/>
    <s v="Gurugram"/>
    <s v="Email"/>
    <s v="Resolved"/>
    <n v="8"/>
    <n v="3.48"/>
    <n v="3.2"/>
    <s v="No"/>
    <x v="0"/>
  </r>
  <r>
    <s v="INC102236"/>
    <d v="2025-05-24T00:00:00"/>
    <d v="2025-05-24T04:06:00"/>
    <x v="3"/>
    <x v="0"/>
    <s v="License"/>
    <s v="Access Management"/>
    <s v="Bengaluru"/>
    <s v="Portal"/>
    <s v="In Progress"/>
    <n v="8"/>
    <n v="4.0999999999999996"/>
    <n v="4.4000000000000004"/>
    <s v="No"/>
    <x v="0"/>
  </r>
  <r>
    <s v="INC102237"/>
    <d v="2025-02-15T00:00:00"/>
    <d v="2025-02-16T00:44:24"/>
    <x v="1"/>
    <x v="2"/>
    <s v="Link Down"/>
    <s v="Access Management"/>
    <s v="Hyderabad"/>
    <s v="Email"/>
    <s v="Resolved"/>
    <n v="24"/>
    <n v="24.74"/>
    <n v="5"/>
    <s v="Yes"/>
    <x v="1"/>
  </r>
  <r>
    <s v="INC102238"/>
    <d v="2025-02-18T00:00:00"/>
    <d v="2025-02-20T13:51:00"/>
    <x v="0"/>
    <x v="2"/>
    <s v="Connectivity"/>
    <s v="Access Management"/>
    <s v="Bengaluru"/>
    <s v="Portal"/>
    <s v="Resolved"/>
    <n v="48"/>
    <n v="61.85"/>
    <n v="2.9"/>
    <s v="Yes"/>
    <x v="1"/>
  </r>
  <r>
    <s v="INC102239"/>
    <d v="2025-03-28T00:00:00"/>
    <d v="2025-03-29T04:26:24"/>
    <x v="0"/>
    <x v="0"/>
    <s v="License"/>
    <s v="Network Support"/>
    <s v="Gurugram"/>
    <s v="Email"/>
    <s v="Resolved"/>
    <n v="48"/>
    <n v="28.44"/>
    <n v="4.9000000000000004"/>
    <s v="No"/>
    <x v="0"/>
  </r>
  <r>
    <s v="INC102240"/>
    <d v="2025-06-10T00:00:00"/>
    <d v="2025-06-10T04:53:24"/>
    <x v="1"/>
    <x v="0"/>
    <s v="Performance"/>
    <s v="Access Management"/>
    <s v="Mumbai"/>
    <s v="Portal"/>
    <s v="Closed"/>
    <n v="24"/>
    <n v="4.8899999999999997"/>
    <n v="5"/>
    <s v="Yes"/>
    <x v="0"/>
  </r>
  <r>
    <s v="INC102241"/>
    <d v="2025-02-10T00:00:00"/>
    <d v="2025-02-10T09:40:48"/>
    <x v="0"/>
    <x v="0"/>
    <s v="Installation"/>
    <s v="Desktop Support"/>
    <s v="Gurugram"/>
    <s v="Portal"/>
    <s v="Resolved"/>
    <n v="48"/>
    <n v="9.68"/>
    <n v="5"/>
    <s v="No"/>
    <x v="0"/>
  </r>
  <r>
    <s v="INC102242"/>
    <d v="2025-05-01T00:00:00"/>
    <d v="2025-05-01T15:00:00"/>
    <x v="0"/>
    <x v="3"/>
    <s v="Printer"/>
    <s v="Service Desk"/>
    <s v="Gurugram"/>
    <s v="Email"/>
    <s v="Closed"/>
    <n v="48"/>
    <n v="15"/>
    <n v="5"/>
    <s v="Yes"/>
    <x v="0"/>
  </r>
  <r>
    <s v="INC102243"/>
    <d v="2025-03-23T00:00:00"/>
    <d v="2025-03-23T02:09:00"/>
    <x v="3"/>
    <x v="0"/>
    <s v="Performance"/>
    <s v="Application Support"/>
    <s v="Bengaluru"/>
    <s v="Portal"/>
    <s v="Resolved"/>
    <n v="8"/>
    <n v="2.15"/>
    <n v="5"/>
    <s v="No"/>
    <x v="0"/>
  </r>
  <r>
    <s v="INC102244"/>
    <d v="2025-01-21T00:00:00"/>
    <d v="2025-01-22T04:54:00"/>
    <x v="0"/>
    <x v="0"/>
    <s v="Performance"/>
    <s v="Access Management"/>
    <s v="Mumbai"/>
    <s v="Portal"/>
    <s v="Closed"/>
    <n v="48"/>
    <n v="28.9"/>
    <n v="5"/>
    <s v="No"/>
    <x v="0"/>
  </r>
  <r>
    <s v="INC102245"/>
    <d v="2025-05-09T00:00:00"/>
    <d v="2025-05-09T10:15:36"/>
    <x v="0"/>
    <x v="1"/>
    <s v="VPN Access"/>
    <s v="Desktop Support"/>
    <s v="Gurugram"/>
    <s v="Phone"/>
    <s v="Resolved"/>
    <n v="48"/>
    <n v="10.26"/>
    <n v="4"/>
    <s v="No"/>
    <x v="0"/>
  </r>
  <r>
    <s v="INC102246"/>
    <d v="2025-05-31T00:00:00"/>
    <d v="2025-06-02T14:53:24"/>
    <x v="0"/>
    <x v="1"/>
    <s v="VPN Access"/>
    <s v="Network Support"/>
    <s v="Delhi"/>
    <s v="Portal"/>
    <s v="Pending"/>
    <n v="48"/>
    <n v="62.89"/>
    <n v="3.9"/>
    <s v="No"/>
    <x v="1"/>
  </r>
  <r>
    <s v="INC102247"/>
    <d v="2025-04-15T00:00:00"/>
    <d v="2025-04-15T22:05:24"/>
    <x v="1"/>
    <x v="0"/>
    <s v="Installation"/>
    <s v="Access Management"/>
    <s v="Mumbai"/>
    <s v="Portal"/>
    <s v="Resolved"/>
    <n v="24"/>
    <n v="22.09"/>
    <n v="4.9000000000000004"/>
    <s v="No"/>
    <x v="0"/>
  </r>
  <r>
    <s v="INC102248"/>
    <d v="2025-02-01T00:00:00"/>
    <d v="2025-02-02T01:21:36"/>
    <x v="1"/>
    <x v="4"/>
    <s v="Configuration"/>
    <s v="Network Support"/>
    <s v="Bengaluru"/>
    <s v="Portal"/>
    <s v="Resolved"/>
    <n v="24"/>
    <n v="25.36"/>
    <n v="3.2"/>
    <s v="No"/>
    <x v="1"/>
  </r>
  <r>
    <s v="INC102249"/>
    <d v="2025-01-29T00:00:00"/>
    <d v="2025-01-29T02:24:00"/>
    <x v="3"/>
    <x v="1"/>
    <s v="VPN Access"/>
    <s v="Network Support"/>
    <s v="Mumbai"/>
    <s v="Chat"/>
    <s v="Resolved"/>
    <n v="8"/>
    <n v="2.4"/>
    <n v="2.4"/>
    <s v="Yes"/>
    <x v="0"/>
  </r>
  <r>
    <s v="INC102250"/>
    <d v="2025-03-18T00:00:00"/>
    <d v="2025-03-18T10:15:36"/>
    <x v="0"/>
    <x v="2"/>
    <s v="Connectivity"/>
    <s v="Application Support"/>
    <s v="Noida"/>
    <s v="Email"/>
    <s v="Resolved"/>
    <n v="48"/>
    <n v="10.26"/>
    <n v="3.9"/>
    <s v="No"/>
    <x v="0"/>
  </r>
  <r>
    <s v="INC102251"/>
    <d v="2025-04-02T00:00:00"/>
    <d v="2025-04-02T13:43:48"/>
    <x v="0"/>
    <x v="4"/>
    <s v="Spam"/>
    <s v="Application Support"/>
    <s v="Delhi"/>
    <s v="Email"/>
    <s v="Closed"/>
    <n v="48"/>
    <n v="13.73"/>
    <n v="4.2"/>
    <s v="No"/>
    <x v="0"/>
  </r>
  <r>
    <s v="INC102252"/>
    <d v="2025-04-10T00:00:00"/>
    <d v="2025-04-10T12:59:24"/>
    <x v="1"/>
    <x v="4"/>
    <s v="Delivery"/>
    <s v="Application Support"/>
    <s v="Gurugram"/>
    <s v="Phone"/>
    <s v="Resolved"/>
    <n v="24"/>
    <n v="12.99"/>
    <n v="4.7"/>
    <s v="No"/>
    <x v="0"/>
  </r>
  <r>
    <s v="INC102253"/>
    <d v="2025-02-14T00:00:00"/>
    <d v="2025-02-14T11:58:12"/>
    <x v="1"/>
    <x v="3"/>
    <s v="Peripheral"/>
    <s v="Access Management"/>
    <s v="Noida"/>
    <s v="Email"/>
    <s v="Pending"/>
    <n v="24"/>
    <n v="11.97"/>
    <n v="4"/>
    <s v="No"/>
    <x v="0"/>
  </r>
  <r>
    <s v="INC102254"/>
    <d v="2025-04-01T00:00:00"/>
    <d v="2025-04-02T05:18:36"/>
    <x v="1"/>
    <x v="2"/>
    <s v="Packet Loss"/>
    <s v="Access Management"/>
    <s v="Noida"/>
    <s v="Phone"/>
    <s v="Resolved"/>
    <n v="24"/>
    <n v="29.31"/>
    <n v="3.5"/>
    <s v="No"/>
    <x v="1"/>
  </r>
  <r>
    <s v="INC102255"/>
    <d v="2025-02-23T00:00:00"/>
    <d v="2025-02-23T11:00:00"/>
    <x v="3"/>
    <x v="0"/>
    <s v="Performance"/>
    <s v="Network Support"/>
    <s v="Hyderabad"/>
    <s v="Email"/>
    <s v="Closed"/>
    <n v="8"/>
    <n v="11"/>
    <n v="3"/>
    <s v="No"/>
    <x v="1"/>
  </r>
  <r>
    <s v="INC102256"/>
    <d v="2025-05-05T00:00:00"/>
    <d v="2025-05-05T13:31:48"/>
    <x v="1"/>
    <x v="3"/>
    <s v="Monitor"/>
    <s v="Service Desk"/>
    <s v="Gurugram"/>
    <s v="Phone"/>
    <s v="Closed"/>
    <n v="24"/>
    <n v="13.53"/>
    <n v="4.2"/>
    <s v="No"/>
    <x v="0"/>
  </r>
  <r>
    <s v="INC102257"/>
    <d v="2025-05-25T00:00:00"/>
    <d v="2025-05-25T03:27:00"/>
    <x v="1"/>
    <x v="1"/>
    <s v="Password Reset"/>
    <s v="Application Support"/>
    <s v="Gurugram"/>
    <s v="Email"/>
    <s v="In Progress"/>
    <n v="24"/>
    <n v="3.45"/>
    <n v="4.8"/>
    <s v="No"/>
    <x v="0"/>
  </r>
  <r>
    <s v="INC102258"/>
    <d v="2025-04-29T00:00:00"/>
    <d v="2025-04-29T01:36:00"/>
    <x v="2"/>
    <x v="0"/>
    <s v="License"/>
    <s v="Service Desk"/>
    <s v="Gurugram"/>
    <s v="Portal"/>
    <s v="Resolved"/>
    <n v="4"/>
    <n v="1.6"/>
    <n v="4.0999999999999996"/>
    <s v="No"/>
    <x v="0"/>
  </r>
  <r>
    <s v="INC102259"/>
    <d v="2025-01-01T00:00:00"/>
    <d v="2025-01-05T23:00:00"/>
    <x v="0"/>
    <x v="2"/>
    <s v="Packet Loss"/>
    <s v="Application Support"/>
    <s v="Bengaluru"/>
    <s v="Portal"/>
    <s v="Closed"/>
    <n v="48"/>
    <n v="119"/>
    <n v="2.6"/>
    <s v="Yes"/>
    <x v="1"/>
  </r>
  <r>
    <s v="INC102260"/>
    <d v="2025-06-29T00:00:00"/>
    <d v="2025-06-29T01:13:12"/>
    <x v="3"/>
    <x v="2"/>
    <s v="Link Down"/>
    <s v="Desktop Support"/>
    <s v="Mumbai"/>
    <s v="Portal"/>
    <s v="Resolved"/>
    <n v="8"/>
    <n v="1.22"/>
    <n v="5"/>
    <s v="Yes"/>
    <x v="0"/>
  </r>
  <r>
    <s v="INC102261"/>
    <d v="2025-01-05T00:00:00"/>
    <d v="2025-01-05T14:53:24"/>
    <x v="1"/>
    <x v="4"/>
    <s v="Configuration"/>
    <s v="Desktop Support"/>
    <s v="Hyderabad"/>
    <s v="Email"/>
    <s v="Resolved"/>
    <n v="24"/>
    <n v="14.89"/>
    <n v="3.5"/>
    <s v="No"/>
    <x v="0"/>
  </r>
  <r>
    <s v="INC102262"/>
    <d v="2025-06-30T00:00:00"/>
    <d v="2025-06-30T06:49:48"/>
    <x v="1"/>
    <x v="2"/>
    <s v="Connectivity"/>
    <s v="Network Support"/>
    <s v="Gurugram"/>
    <s v="Chat"/>
    <s v="Closed"/>
    <n v="24"/>
    <n v="6.83"/>
    <n v="4.8"/>
    <s v="No"/>
    <x v="0"/>
  </r>
  <r>
    <s v="INC102263"/>
    <d v="2025-01-06T00:00:00"/>
    <d v="2025-01-06T14:07:48"/>
    <x v="3"/>
    <x v="1"/>
    <s v="Account Lock"/>
    <s v="Application Support"/>
    <s v="Noida"/>
    <s v="Phone"/>
    <s v="Resolved"/>
    <n v="8"/>
    <n v="14.13"/>
    <n v="2"/>
    <s v="No"/>
    <x v="1"/>
  </r>
  <r>
    <s v="INC102264"/>
    <d v="2025-04-04T00:00:00"/>
    <d v="2025-04-04T15:52:12"/>
    <x v="1"/>
    <x v="3"/>
    <s v="Peripheral"/>
    <s v="Access Management"/>
    <s v="Mumbai"/>
    <s v="Phone"/>
    <s v="Closed"/>
    <n v="24"/>
    <n v="15.87"/>
    <n v="3.1"/>
    <s v="No"/>
    <x v="0"/>
  </r>
  <r>
    <s v="INC102265"/>
    <d v="2025-01-20T00:00:00"/>
    <d v="2025-01-20T06:53:24"/>
    <x v="1"/>
    <x v="3"/>
    <s v="Monitor"/>
    <s v="Access Management"/>
    <s v="Delhi"/>
    <s v="Email"/>
    <s v="Resolved"/>
    <n v="24"/>
    <n v="6.89"/>
    <n v="5"/>
    <s v="No"/>
    <x v="0"/>
  </r>
  <r>
    <s v="INC102266"/>
    <d v="2025-01-18T00:00:00"/>
    <d v="2025-01-18T16:57:36"/>
    <x v="0"/>
    <x v="0"/>
    <s v="License"/>
    <s v="Service Desk"/>
    <s v="Mumbai"/>
    <s v="Chat"/>
    <s v="Resolved"/>
    <n v="48"/>
    <n v="16.96"/>
    <n v="5"/>
    <s v="No"/>
    <x v="0"/>
  </r>
  <r>
    <s v="INC102267"/>
    <d v="2025-05-04T00:00:00"/>
    <d v="2025-05-04T01:51:36"/>
    <x v="1"/>
    <x v="2"/>
    <s v="DNS"/>
    <s v="Application Support"/>
    <s v="Delhi"/>
    <s v="Phone"/>
    <s v="Closed"/>
    <n v="24"/>
    <n v="1.86"/>
    <n v="4.7"/>
    <s v="No"/>
    <x v="0"/>
  </r>
  <r>
    <s v="INC102268"/>
    <d v="2025-05-12T00:00:00"/>
    <d v="2025-05-12T14:43:12"/>
    <x v="1"/>
    <x v="0"/>
    <s v="Application Error"/>
    <s v="Network Support"/>
    <s v="Delhi"/>
    <s v="Portal"/>
    <s v="Resolved"/>
    <n v="24"/>
    <n v="14.72"/>
    <n v="5"/>
    <s v="No"/>
    <x v="0"/>
  </r>
  <r>
    <s v="INC102269"/>
    <d v="2025-01-22T00:00:00"/>
    <d v="2025-01-23T06:06:00"/>
    <x v="0"/>
    <x v="0"/>
    <s v="Installation"/>
    <s v="Application Support"/>
    <s v="Delhi"/>
    <s v="Email"/>
    <s v="Closed"/>
    <n v="48"/>
    <n v="30.1"/>
    <n v="3.8"/>
    <s v="No"/>
    <x v="0"/>
  </r>
  <r>
    <s v="INC102270"/>
    <d v="2025-06-26T00:00:00"/>
    <d v="2025-06-26T03:36:00"/>
    <x v="1"/>
    <x v="2"/>
    <s v="DNS"/>
    <s v="Desktop Support"/>
    <s v="Hyderabad"/>
    <s v="Portal"/>
    <s v="In Progress"/>
    <n v="24"/>
    <n v="3.6"/>
    <n v="4.7"/>
    <s v="No"/>
    <x v="0"/>
  </r>
  <r>
    <s v="INC102271"/>
    <d v="2025-02-28T00:00:00"/>
    <d v="2025-02-28T18:43:48"/>
    <x v="1"/>
    <x v="3"/>
    <s v="Monitor"/>
    <s v="Access Management"/>
    <s v="Mumbai"/>
    <s v="Portal"/>
    <s v="Resolved"/>
    <n v="24"/>
    <n v="18.73"/>
    <n v="5"/>
    <s v="No"/>
    <x v="0"/>
  </r>
  <r>
    <s v="INC102272"/>
    <d v="2025-02-27T00:00:00"/>
    <d v="2025-02-28T08:41:24"/>
    <x v="1"/>
    <x v="1"/>
    <s v="Password Reset"/>
    <s v="Application Support"/>
    <s v="Mumbai"/>
    <s v="Portal"/>
    <s v="Resolved"/>
    <n v="24"/>
    <n v="32.69"/>
    <n v="2.8"/>
    <s v="No"/>
    <x v="1"/>
  </r>
  <r>
    <s v="INC102273"/>
    <d v="2025-02-23T00:00:00"/>
    <d v="2025-02-23T08:48:00"/>
    <x v="0"/>
    <x v="1"/>
    <s v="Password Reset"/>
    <s v="Network Support"/>
    <s v="Mumbai"/>
    <s v="Portal"/>
    <s v="Resolved"/>
    <n v="48"/>
    <n v="8.8000000000000007"/>
    <n v="5"/>
    <s v="No"/>
    <x v="0"/>
  </r>
  <r>
    <s v="INC102274"/>
    <d v="2025-03-25T00:00:00"/>
    <d v="2025-03-25T18:25:12"/>
    <x v="1"/>
    <x v="0"/>
    <s v="Application Error"/>
    <s v="Access Management"/>
    <s v="Mumbai"/>
    <s v="Portal"/>
    <s v="Resolved"/>
    <n v="24"/>
    <n v="18.420000000000002"/>
    <n v="3.9"/>
    <s v="No"/>
    <x v="0"/>
  </r>
  <r>
    <s v="INC102275"/>
    <d v="2025-02-02T00:00:00"/>
    <d v="2025-02-03T13:30:36"/>
    <x v="0"/>
    <x v="1"/>
    <s v="Password Reset"/>
    <s v="Application Support"/>
    <s v="Noida"/>
    <s v="Portal"/>
    <s v="Closed"/>
    <n v="48"/>
    <n v="37.51"/>
    <n v="3.6"/>
    <s v="Yes"/>
    <x v="0"/>
  </r>
  <r>
    <s v="INC102276"/>
    <d v="2025-03-18T00:00:00"/>
    <d v="2025-03-19T03:09:36"/>
    <x v="0"/>
    <x v="2"/>
    <s v="Link Down"/>
    <s v="Service Desk"/>
    <s v="Mumbai"/>
    <s v="Chat"/>
    <s v="In Progress"/>
    <n v="48"/>
    <n v="27.16"/>
    <n v="4"/>
    <s v="No"/>
    <x v="0"/>
  </r>
  <r>
    <s v="INC102277"/>
    <d v="2025-02-08T00:00:00"/>
    <d v="2025-02-08T14:15:36"/>
    <x v="1"/>
    <x v="2"/>
    <s v="Link Down"/>
    <s v="Service Desk"/>
    <s v="Delhi"/>
    <s v="Portal"/>
    <s v="Resolved"/>
    <n v="24"/>
    <n v="14.26"/>
    <n v="2.9"/>
    <s v="No"/>
    <x v="0"/>
  </r>
  <r>
    <s v="INC102278"/>
    <d v="2025-01-10T00:00:00"/>
    <d v="2025-01-10T16:26:24"/>
    <x v="0"/>
    <x v="0"/>
    <s v="License"/>
    <s v="Network Support"/>
    <s v="Bengaluru"/>
    <s v="Phone"/>
    <s v="Resolved"/>
    <n v="48"/>
    <n v="16.440000000000001"/>
    <n v="5"/>
    <s v="No"/>
    <x v="0"/>
  </r>
  <r>
    <s v="INC102279"/>
    <d v="2025-03-08T00:00:00"/>
    <d v="2025-03-08T03:33:00"/>
    <x v="0"/>
    <x v="0"/>
    <s v="Performance"/>
    <s v="Service Desk"/>
    <s v="Mumbai"/>
    <s v="Portal"/>
    <s v="Resolved"/>
    <n v="48"/>
    <n v="3.55"/>
    <n v="5"/>
    <s v="No"/>
    <x v="0"/>
  </r>
  <r>
    <s v="INC102280"/>
    <d v="2025-05-02T00:00:00"/>
    <d v="2025-05-02T15:36:36"/>
    <x v="1"/>
    <x v="1"/>
    <s v="Password Reset"/>
    <s v="Access Management"/>
    <s v="Hyderabad"/>
    <s v="Chat"/>
    <s v="Resolved"/>
    <n v="24"/>
    <n v="15.61"/>
    <n v="4.0999999999999996"/>
    <s v="No"/>
    <x v="0"/>
  </r>
  <r>
    <s v="INC102281"/>
    <d v="2025-05-19T00:00:00"/>
    <d v="2025-05-19T21:51:36"/>
    <x v="1"/>
    <x v="2"/>
    <s v="Connectivity"/>
    <s v="Access Management"/>
    <s v="Noida"/>
    <s v="Phone"/>
    <s v="Resolved"/>
    <n v="24"/>
    <n v="21.86"/>
    <n v="3.5"/>
    <s v="No"/>
    <x v="0"/>
  </r>
  <r>
    <s v="INC102282"/>
    <d v="2025-03-05T00:00:00"/>
    <d v="2025-03-05T00:54:36"/>
    <x v="2"/>
    <x v="0"/>
    <s v="Application Error"/>
    <s v="Desktop Support"/>
    <s v="Gurugram"/>
    <s v="Chat"/>
    <s v="In Progress"/>
    <n v="4"/>
    <n v="0.91"/>
    <n v="4.9000000000000004"/>
    <s v="No"/>
    <x v="0"/>
  </r>
  <r>
    <s v="INC102283"/>
    <d v="2025-02-28T00:00:00"/>
    <d v="2025-02-28T02:19:12"/>
    <x v="3"/>
    <x v="0"/>
    <s v="Installation"/>
    <s v="Service Desk"/>
    <s v="Mumbai"/>
    <s v="Email"/>
    <s v="Resolved"/>
    <n v="8"/>
    <n v="2.3199999999999998"/>
    <n v="5"/>
    <s v="No"/>
    <x v="0"/>
  </r>
  <r>
    <s v="INC102284"/>
    <d v="2025-05-23T00:00:00"/>
    <d v="2025-05-23T06:15:36"/>
    <x v="1"/>
    <x v="2"/>
    <s v="Packet Loss"/>
    <s v="Service Desk"/>
    <s v="Delhi"/>
    <s v="Email"/>
    <s v="Closed"/>
    <n v="24"/>
    <n v="6.26"/>
    <n v="4.5"/>
    <s v="No"/>
    <x v="0"/>
  </r>
  <r>
    <s v="INC102285"/>
    <d v="2025-05-04T00:00:00"/>
    <d v="2025-05-04T02:44:24"/>
    <x v="2"/>
    <x v="0"/>
    <s v="Application Error"/>
    <s v="Access Management"/>
    <s v="Mumbai"/>
    <s v="Portal"/>
    <s v="Resolved"/>
    <n v="4"/>
    <n v="2.74"/>
    <n v="4.8"/>
    <s v="No"/>
    <x v="0"/>
  </r>
  <r>
    <s v="INC102286"/>
    <d v="2025-05-31T00:00:00"/>
    <d v="2025-05-31T04:56:24"/>
    <x v="3"/>
    <x v="0"/>
    <s v="Installation"/>
    <s v="Network Support"/>
    <s v="Mumbai"/>
    <s v="Portal"/>
    <s v="In Progress"/>
    <n v="8"/>
    <n v="4.9400000000000004"/>
    <n v="4.4000000000000004"/>
    <s v="No"/>
    <x v="0"/>
  </r>
  <r>
    <s v="INC102287"/>
    <d v="2025-06-14T00:00:00"/>
    <d v="2025-06-14T05:45:36"/>
    <x v="1"/>
    <x v="2"/>
    <s v="Link Down"/>
    <s v="Application Support"/>
    <s v="Mumbai"/>
    <s v="Phone"/>
    <s v="In Progress"/>
    <n v="24"/>
    <n v="5.76"/>
    <n v="4.7"/>
    <s v="No"/>
    <x v="0"/>
  </r>
  <r>
    <s v="INC102288"/>
    <d v="2025-05-29T00:00:00"/>
    <d v="2025-05-29T03:54:36"/>
    <x v="3"/>
    <x v="3"/>
    <s v="Laptop"/>
    <s v="Access Management"/>
    <s v="Gurugram"/>
    <s v="Portal"/>
    <s v="In Progress"/>
    <n v="8"/>
    <n v="3.91"/>
    <n v="5"/>
    <s v="No"/>
    <x v="0"/>
  </r>
  <r>
    <s v="INC102289"/>
    <d v="2025-06-19T00:00:00"/>
    <d v="2025-06-20T00:03:00"/>
    <x v="0"/>
    <x v="2"/>
    <s v="Connectivity"/>
    <s v="Access Management"/>
    <s v="Delhi"/>
    <s v="Portal"/>
    <s v="Resolved"/>
    <n v="48"/>
    <n v="24.05"/>
    <n v="4.0999999999999996"/>
    <s v="No"/>
    <x v="0"/>
  </r>
  <r>
    <s v="INC102290"/>
    <d v="2025-03-17T00:00:00"/>
    <d v="2025-03-17T15:48:36"/>
    <x v="1"/>
    <x v="4"/>
    <s v="Mailbox"/>
    <s v="Application Support"/>
    <s v="Bengaluru"/>
    <s v="Phone"/>
    <s v="Resolved"/>
    <n v="24"/>
    <n v="15.81"/>
    <n v="3.4"/>
    <s v="No"/>
    <x v="0"/>
  </r>
  <r>
    <s v="INC102291"/>
    <d v="2025-03-13T00:00:00"/>
    <d v="2025-03-13T08:58:12"/>
    <x v="1"/>
    <x v="2"/>
    <s v="Connectivity"/>
    <s v="Access Management"/>
    <s v="Noida"/>
    <s v="Portal"/>
    <s v="Resolved"/>
    <n v="24"/>
    <n v="8.9700000000000006"/>
    <n v="4.5"/>
    <s v="No"/>
    <x v="0"/>
  </r>
  <r>
    <s v="INC102292"/>
    <d v="2025-02-28T00:00:00"/>
    <d v="2025-03-02T04:21:36"/>
    <x v="0"/>
    <x v="2"/>
    <s v="DNS"/>
    <s v="Service Desk"/>
    <s v="Noida"/>
    <s v="Phone"/>
    <s v="Resolved"/>
    <n v="48"/>
    <n v="52.36"/>
    <n v="3.7"/>
    <s v="No"/>
    <x v="1"/>
  </r>
  <r>
    <s v="INC102293"/>
    <d v="2025-02-12T00:00:00"/>
    <d v="2025-02-13T07:55:48"/>
    <x v="0"/>
    <x v="2"/>
    <s v="DNS"/>
    <s v="Access Management"/>
    <s v="Gurugram"/>
    <s v="Portal"/>
    <s v="Closed"/>
    <n v="48"/>
    <n v="31.93"/>
    <n v="4.0999999999999996"/>
    <s v="No"/>
    <x v="0"/>
  </r>
  <r>
    <s v="INC102294"/>
    <d v="2025-05-16T00:00:00"/>
    <d v="2025-05-16T04:18:36"/>
    <x v="2"/>
    <x v="2"/>
    <s v="Packet Loss"/>
    <s v="Network Support"/>
    <s v="Noida"/>
    <s v="Portal"/>
    <s v="Pending"/>
    <n v="4"/>
    <n v="4.3099999999999996"/>
    <n v="4.5"/>
    <s v="No"/>
    <x v="1"/>
  </r>
  <r>
    <s v="INC102295"/>
    <d v="2025-05-10T00:00:00"/>
    <d v="2025-05-10T15:40:12"/>
    <x v="1"/>
    <x v="2"/>
    <s v="DNS"/>
    <s v="Network Support"/>
    <s v="Mumbai"/>
    <s v="Portal"/>
    <s v="Closed"/>
    <n v="24"/>
    <n v="15.67"/>
    <n v="4.5"/>
    <s v="No"/>
    <x v="0"/>
  </r>
  <r>
    <s v="INC102296"/>
    <d v="2025-05-26T00:00:00"/>
    <d v="2025-05-27T09:21:00"/>
    <x v="0"/>
    <x v="0"/>
    <s v="License"/>
    <s v="Network Support"/>
    <s v="Hyderabad"/>
    <s v="Email"/>
    <s v="Resolved"/>
    <n v="48"/>
    <n v="33.35"/>
    <n v="4.0999999999999996"/>
    <s v="No"/>
    <x v="0"/>
  </r>
  <r>
    <s v="INC102297"/>
    <d v="2025-01-31T00:00:00"/>
    <d v="2025-01-31T05:54:36"/>
    <x v="0"/>
    <x v="2"/>
    <s v="DNS"/>
    <s v="Application Support"/>
    <s v="Noida"/>
    <s v="Phone"/>
    <s v="Resolved"/>
    <n v="48"/>
    <n v="5.91"/>
    <n v="4.8"/>
    <s v="Yes"/>
    <x v="0"/>
  </r>
  <r>
    <s v="INC102298"/>
    <d v="2025-03-30T00:00:00"/>
    <d v="2025-03-30T14:48:00"/>
    <x v="1"/>
    <x v="3"/>
    <s v="Laptop"/>
    <s v="Service Desk"/>
    <s v="Delhi"/>
    <s v="Phone"/>
    <s v="Closed"/>
    <n v="24"/>
    <n v="14.8"/>
    <n v="4.3"/>
    <s v="No"/>
    <x v="0"/>
  </r>
  <r>
    <s v="INC102299"/>
    <d v="2025-02-10T00:00:00"/>
    <d v="2025-02-10T03:50:24"/>
    <x v="3"/>
    <x v="2"/>
    <s v="DNS"/>
    <s v="Application Support"/>
    <s v="Delhi"/>
    <s v="Portal"/>
    <s v="Resolved"/>
    <n v="8"/>
    <n v="3.84"/>
    <n v="4.8"/>
    <s v="No"/>
    <x v="0"/>
  </r>
  <r>
    <s v="INC102300"/>
    <d v="2025-06-11T00:00:00"/>
    <d v="2025-06-11T09:14:24"/>
    <x v="3"/>
    <x v="3"/>
    <s v="Monitor"/>
    <s v="Network Support"/>
    <s v="Gurugram"/>
    <s v="Portal"/>
    <s v="Resolved"/>
    <n v="8"/>
    <n v="9.24"/>
    <n v="3.6"/>
    <s v="No"/>
    <x v="1"/>
  </r>
  <r>
    <s v="INC102301"/>
    <d v="2025-02-18T00:00:00"/>
    <d v="2025-02-19T01:06:00"/>
    <x v="1"/>
    <x v="2"/>
    <s v="Packet Loss"/>
    <s v="Application Support"/>
    <s v="Delhi"/>
    <s v="Phone"/>
    <s v="Resolved"/>
    <n v="24"/>
    <n v="25.1"/>
    <n v="3.6"/>
    <s v="No"/>
    <x v="1"/>
  </r>
  <r>
    <s v="INC102302"/>
    <d v="2025-01-27T00:00:00"/>
    <d v="2025-01-29T11:25:12"/>
    <x v="0"/>
    <x v="0"/>
    <s v="License"/>
    <s v="Service Desk"/>
    <s v="Mumbai"/>
    <s v="Portal"/>
    <s v="In Progress"/>
    <n v="48"/>
    <n v="59.42"/>
    <n v="2.6"/>
    <s v="No"/>
    <x v="1"/>
  </r>
  <r>
    <s v="INC102303"/>
    <d v="2025-04-14T00:00:00"/>
    <d v="2025-04-14T14:11:24"/>
    <x v="0"/>
    <x v="0"/>
    <s v="Installation"/>
    <s v="Desktop Support"/>
    <s v="Bengaluru"/>
    <s v="Portal"/>
    <s v="Resolved"/>
    <n v="48"/>
    <n v="14.19"/>
    <n v="4.2"/>
    <s v="No"/>
    <x v="0"/>
  </r>
  <r>
    <s v="INC102304"/>
    <d v="2025-06-09T00:00:00"/>
    <d v="2025-06-09T12:10:48"/>
    <x v="1"/>
    <x v="1"/>
    <s v="Account Lock"/>
    <s v="Network Support"/>
    <s v="Mumbai"/>
    <s v="Email"/>
    <s v="Pending"/>
    <n v="24"/>
    <n v="12.18"/>
    <n v="4.5999999999999996"/>
    <s v="No"/>
    <x v="0"/>
  </r>
  <r>
    <s v="INC102305"/>
    <d v="2025-06-15T00:00:00"/>
    <d v="2025-06-15T10:32:24"/>
    <x v="3"/>
    <x v="2"/>
    <s v="Connectivity"/>
    <s v="Access Management"/>
    <s v="Gurugram"/>
    <s v="Phone"/>
    <s v="Resolved"/>
    <n v="8"/>
    <n v="10.54"/>
    <n v="3.5"/>
    <s v="No"/>
    <x v="1"/>
  </r>
  <r>
    <s v="INC102306"/>
    <d v="2025-01-18T00:00:00"/>
    <d v="2025-01-18T02:18:36"/>
    <x v="3"/>
    <x v="1"/>
    <s v="Password Reset"/>
    <s v="Service Desk"/>
    <s v="Mumbai"/>
    <s v="Portal"/>
    <s v="Closed"/>
    <n v="8"/>
    <n v="2.31"/>
    <n v="3.7"/>
    <s v="No"/>
    <x v="0"/>
  </r>
  <r>
    <s v="INC102307"/>
    <d v="2025-02-28T00:00:00"/>
    <d v="2025-03-01T03:51:36"/>
    <x v="1"/>
    <x v="0"/>
    <s v="Application Error"/>
    <s v="Application Support"/>
    <s v="Gurugram"/>
    <s v="Portal"/>
    <s v="Closed"/>
    <n v="24"/>
    <n v="27.86"/>
    <n v="3.2"/>
    <s v="No"/>
    <x v="1"/>
  </r>
  <r>
    <s v="INC102308"/>
    <d v="2025-01-28T00:00:00"/>
    <d v="2025-01-29T01:48:36"/>
    <x v="1"/>
    <x v="2"/>
    <s v="Link Down"/>
    <s v="Desktop Support"/>
    <s v="Gurugram"/>
    <s v="Chat"/>
    <s v="In Progress"/>
    <n v="24"/>
    <n v="25.81"/>
    <n v="3.1"/>
    <s v="No"/>
    <x v="1"/>
  </r>
  <r>
    <s v="INC102309"/>
    <d v="2025-02-25T00:00:00"/>
    <d v="2025-02-25T11:52:12"/>
    <x v="1"/>
    <x v="3"/>
    <s v="Peripheral"/>
    <s v="Desktop Support"/>
    <s v="Hyderabad"/>
    <s v="Chat"/>
    <s v="Resolved"/>
    <n v="24"/>
    <n v="11.87"/>
    <n v="5"/>
    <s v="No"/>
    <x v="0"/>
  </r>
  <r>
    <s v="INC102310"/>
    <d v="2025-04-07T00:00:00"/>
    <d v="2025-04-08T13:03:00"/>
    <x v="1"/>
    <x v="1"/>
    <s v="Account Lock"/>
    <s v="Desktop Support"/>
    <s v="Hyderabad"/>
    <s v="Email"/>
    <s v="Resolved"/>
    <n v="24"/>
    <n v="37.049999999999997"/>
    <n v="3.3"/>
    <s v="No"/>
    <x v="1"/>
  </r>
  <r>
    <s v="INC102311"/>
    <d v="2025-02-20T00:00:00"/>
    <d v="2025-02-21T02:34:11"/>
    <x v="1"/>
    <x v="3"/>
    <s v="Printer"/>
    <s v="Network Support"/>
    <s v="Bengaluru"/>
    <s v="Email"/>
    <s v="Resolved"/>
    <n v="24"/>
    <n v="26.57"/>
    <n v="4"/>
    <s v="No"/>
    <x v="1"/>
  </r>
  <r>
    <s v="INC102312"/>
    <d v="2025-01-13T00:00:00"/>
    <d v="2025-01-13T04:04:48"/>
    <x v="1"/>
    <x v="3"/>
    <s v="Laptop"/>
    <s v="Access Management"/>
    <s v="Bengaluru"/>
    <s v="Chat"/>
    <s v="Resolved"/>
    <n v="24"/>
    <n v="4.08"/>
    <n v="4.8"/>
    <s v="No"/>
    <x v="0"/>
  </r>
  <r>
    <s v="INC102313"/>
    <d v="2025-04-03T00:00:00"/>
    <d v="2025-04-04T09:18:36"/>
    <x v="1"/>
    <x v="0"/>
    <s v="Performance"/>
    <s v="Application Support"/>
    <s v="Mumbai"/>
    <s v="Email"/>
    <s v="Resolved"/>
    <n v="24"/>
    <n v="33.31"/>
    <n v="2.9"/>
    <s v="No"/>
    <x v="1"/>
  </r>
  <r>
    <s v="INC102314"/>
    <d v="2025-01-10T00:00:00"/>
    <d v="2025-01-10T03:57:36"/>
    <x v="3"/>
    <x v="2"/>
    <s v="DNS"/>
    <s v="Service Desk"/>
    <s v="Mumbai"/>
    <s v="Phone"/>
    <s v="Closed"/>
    <n v="8"/>
    <n v="3.96"/>
    <n v="4.0999999999999996"/>
    <s v="No"/>
    <x v="0"/>
  </r>
  <r>
    <s v="INC102315"/>
    <d v="2025-02-11T00:00:00"/>
    <d v="2025-02-11T16:25:48"/>
    <x v="1"/>
    <x v="4"/>
    <s v="Spam"/>
    <s v="Network Support"/>
    <s v="Gurugram"/>
    <s v="Email"/>
    <s v="Resolved"/>
    <n v="24"/>
    <n v="16.43"/>
    <n v="4.5"/>
    <s v="No"/>
    <x v="0"/>
  </r>
  <r>
    <s v="INC102316"/>
    <d v="2025-01-01T00:00:00"/>
    <d v="2025-01-02T08:58:48"/>
    <x v="0"/>
    <x v="2"/>
    <s v="Link Down"/>
    <s v="Access Management"/>
    <s v="Delhi"/>
    <s v="Portal"/>
    <s v="Pending"/>
    <n v="48"/>
    <n v="32.979999999999997"/>
    <n v="4"/>
    <s v="No"/>
    <x v="0"/>
  </r>
  <r>
    <s v="INC102317"/>
    <d v="2025-01-16T00:00:00"/>
    <d v="2025-01-17T14:50:24"/>
    <x v="0"/>
    <x v="2"/>
    <s v="DNS"/>
    <s v="Service Desk"/>
    <s v="Gurugram"/>
    <s v="Phone"/>
    <s v="Closed"/>
    <n v="48"/>
    <n v="38.840000000000003"/>
    <n v="4.4000000000000004"/>
    <s v="No"/>
    <x v="0"/>
  </r>
  <r>
    <s v="INC102318"/>
    <d v="2025-03-20T00:00:00"/>
    <d v="2025-03-21T08:05:24"/>
    <x v="1"/>
    <x v="2"/>
    <s v="Packet Loss"/>
    <s v="Access Management"/>
    <s v="Noida"/>
    <s v="Email"/>
    <s v="Closed"/>
    <n v="24"/>
    <n v="32.090000000000003"/>
    <n v="3.5"/>
    <s v="No"/>
    <x v="1"/>
  </r>
  <r>
    <s v="INC102319"/>
    <d v="2025-06-03T00:00:00"/>
    <d v="2025-06-03T16:16:12"/>
    <x v="1"/>
    <x v="3"/>
    <s v="Monitor"/>
    <s v="Application Support"/>
    <s v="Gurugram"/>
    <s v="Portal"/>
    <s v="Closed"/>
    <n v="24"/>
    <n v="16.27"/>
    <n v="4.4000000000000004"/>
    <s v="No"/>
    <x v="0"/>
  </r>
  <r>
    <s v="INC102320"/>
    <d v="2025-05-21T00:00:00"/>
    <d v="2025-05-21T11:16:12"/>
    <x v="1"/>
    <x v="4"/>
    <s v="Mailbox"/>
    <s v="Access Management"/>
    <s v="Bengaluru"/>
    <s v="Email"/>
    <s v="Resolved"/>
    <n v="24"/>
    <n v="11.27"/>
    <n v="4.7"/>
    <s v="No"/>
    <x v="0"/>
  </r>
  <r>
    <s v="INC102321"/>
    <d v="2025-01-18T00:00:00"/>
    <d v="2025-01-18T05:36:00"/>
    <x v="1"/>
    <x v="1"/>
    <s v="VPN Access"/>
    <s v="Application Support"/>
    <s v="Delhi"/>
    <s v="Phone"/>
    <s v="Resolved"/>
    <n v="24"/>
    <n v="5.6"/>
    <n v="4.4000000000000004"/>
    <s v="No"/>
    <x v="0"/>
  </r>
  <r>
    <s v="INC102322"/>
    <d v="2025-01-07T00:00:00"/>
    <d v="2025-01-07T17:08:24"/>
    <x v="0"/>
    <x v="4"/>
    <s v="Delivery"/>
    <s v="Network Support"/>
    <s v="Bengaluru"/>
    <s v="Portal"/>
    <s v="Resolved"/>
    <n v="48"/>
    <n v="17.14"/>
    <n v="4.4000000000000004"/>
    <s v="No"/>
    <x v="0"/>
  </r>
  <r>
    <s v="INC102323"/>
    <d v="2025-03-03T00:00:00"/>
    <d v="2025-03-04T01:21:00"/>
    <x v="1"/>
    <x v="0"/>
    <s v="Application Error"/>
    <s v="Network Support"/>
    <s v="Mumbai"/>
    <s v="Phone"/>
    <s v="In Progress"/>
    <n v="24"/>
    <n v="25.35"/>
    <n v="4.3"/>
    <s v="Yes"/>
    <x v="1"/>
  </r>
  <r>
    <s v="INC102324"/>
    <d v="2025-04-29T00:00:00"/>
    <d v="2025-04-30T05:07:12"/>
    <x v="1"/>
    <x v="3"/>
    <s v="Printer"/>
    <s v="Service Desk"/>
    <s v="Delhi"/>
    <s v="Portal"/>
    <s v="Resolved"/>
    <n v="24"/>
    <n v="29.12"/>
    <n v="4.7"/>
    <s v="No"/>
    <x v="1"/>
  </r>
  <r>
    <s v="INC102325"/>
    <d v="2025-05-16T00:00:00"/>
    <d v="2025-05-16T09:22:48"/>
    <x v="1"/>
    <x v="3"/>
    <s v="Peripheral"/>
    <s v="Desktop Support"/>
    <s v="Gurugram"/>
    <s v="Email"/>
    <s v="Resolved"/>
    <n v="24"/>
    <n v="9.3800000000000008"/>
    <n v="5"/>
    <s v="No"/>
    <x v="0"/>
  </r>
  <r>
    <s v="INC102326"/>
    <d v="2025-05-29T00:00:00"/>
    <d v="2025-05-29T22:06:36"/>
    <x v="1"/>
    <x v="2"/>
    <s v="DNS"/>
    <s v="Application Support"/>
    <s v="Bengaluru"/>
    <s v="Chat"/>
    <s v="Closed"/>
    <n v="24"/>
    <n v="22.11"/>
    <n v="2.1"/>
    <s v="No"/>
    <x v="0"/>
  </r>
  <r>
    <s v="INC102327"/>
    <d v="2025-03-03T00:00:00"/>
    <d v="2025-03-03T15:57:36"/>
    <x v="0"/>
    <x v="4"/>
    <s v="Mailbox"/>
    <s v="Access Management"/>
    <s v="Delhi"/>
    <s v="Phone"/>
    <s v="Resolved"/>
    <n v="48"/>
    <n v="15.96"/>
    <n v="4.0999999999999996"/>
    <s v="No"/>
    <x v="0"/>
  </r>
  <r>
    <s v="INC102328"/>
    <d v="2025-01-31T00:00:00"/>
    <d v="2025-01-31T02:15:36"/>
    <x v="1"/>
    <x v="0"/>
    <s v="Installation"/>
    <s v="Network Support"/>
    <s v="Bengaluru"/>
    <s v="Phone"/>
    <s v="In Progress"/>
    <n v="24"/>
    <n v="2.2599999999999998"/>
    <n v="5"/>
    <s v="No"/>
    <x v="0"/>
  </r>
  <r>
    <s v="INC102329"/>
    <d v="2025-01-05T00:00:00"/>
    <d v="2025-01-05T01:09:36"/>
    <x v="3"/>
    <x v="3"/>
    <s v="Peripheral"/>
    <s v="Application Support"/>
    <s v="Mumbai"/>
    <s v="Email"/>
    <s v="Pending"/>
    <n v="8"/>
    <n v="1.1599999999999999"/>
    <n v="4.0999999999999996"/>
    <s v="No"/>
    <x v="0"/>
  </r>
  <r>
    <s v="INC102330"/>
    <d v="2025-01-27T00:00:00"/>
    <d v="2025-01-27T08:58:48"/>
    <x v="3"/>
    <x v="0"/>
    <s v="License"/>
    <s v="Network Support"/>
    <s v="Noida"/>
    <s v="Email"/>
    <s v="Resolved"/>
    <n v="8"/>
    <n v="8.98"/>
    <n v="2.9"/>
    <s v="No"/>
    <x v="1"/>
  </r>
  <r>
    <s v="INC102331"/>
    <d v="2025-01-12T00:00:00"/>
    <d v="2025-01-12T02:24:00"/>
    <x v="1"/>
    <x v="1"/>
    <s v="Permission"/>
    <s v="Desktop Support"/>
    <s v="Delhi"/>
    <s v="Email"/>
    <s v="Closed"/>
    <n v="24"/>
    <n v="2.4"/>
    <n v="4.5999999999999996"/>
    <s v="Yes"/>
    <x v="0"/>
  </r>
  <r>
    <s v="INC102332"/>
    <d v="2025-06-05T00:00:00"/>
    <d v="2025-06-06T17:36:36"/>
    <x v="0"/>
    <x v="2"/>
    <s v="Link Down"/>
    <s v="Network Support"/>
    <s v="Bengaluru"/>
    <s v="Portal"/>
    <s v="Resolved"/>
    <n v="48"/>
    <n v="41.61"/>
    <n v="4.2"/>
    <s v="Yes"/>
    <x v="0"/>
  </r>
  <r>
    <s v="INC102333"/>
    <d v="2025-02-18T00:00:00"/>
    <d v="2025-02-18T15:22:12"/>
    <x v="1"/>
    <x v="0"/>
    <s v="License"/>
    <s v="Service Desk"/>
    <s v="Hyderabad"/>
    <s v="Email"/>
    <s v="Resolved"/>
    <n v="24"/>
    <n v="15.37"/>
    <n v="4.5999999999999996"/>
    <s v="No"/>
    <x v="0"/>
  </r>
  <r>
    <s v="INC102334"/>
    <d v="2025-05-29T00:00:00"/>
    <d v="2025-05-29T09:21:00"/>
    <x v="3"/>
    <x v="0"/>
    <s v="Performance"/>
    <s v="Application Support"/>
    <s v="Gurugram"/>
    <s v="Email"/>
    <s v="In Progress"/>
    <n v="8"/>
    <n v="9.35"/>
    <n v="3.4"/>
    <s v="No"/>
    <x v="1"/>
  </r>
  <r>
    <s v="INC102335"/>
    <d v="2025-04-11T00:00:00"/>
    <d v="2025-04-11T14:09:00"/>
    <x v="1"/>
    <x v="1"/>
    <s v="Permission"/>
    <s v="Application Support"/>
    <s v="Hyderabad"/>
    <s v="Email"/>
    <s v="Resolved"/>
    <n v="24"/>
    <n v="14.15"/>
    <n v="4"/>
    <s v="No"/>
    <x v="0"/>
  </r>
  <r>
    <s v="INC102336"/>
    <d v="2025-04-08T00:00:00"/>
    <d v="2025-04-08T06:00:36"/>
    <x v="3"/>
    <x v="2"/>
    <s v="DNS"/>
    <s v="Access Management"/>
    <s v="Hyderabad"/>
    <s v="Portal"/>
    <s v="Pending"/>
    <n v="8"/>
    <n v="6.01"/>
    <n v="3.6"/>
    <s v="Yes"/>
    <x v="0"/>
  </r>
  <r>
    <s v="INC102337"/>
    <d v="2025-03-24T00:00:00"/>
    <d v="2025-03-25T06:10:12"/>
    <x v="0"/>
    <x v="2"/>
    <s v="Link Down"/>
    <s v="Desktop Support"/>
    <s v="Gurugram"/>
    <s v="Portal"/>
    <s v="Pending"/>
    <n v="48"/>
    <n v="30.17"/>
    <n v="4.5999999999999996"/>
    <s v="No"/>
    <x v="0"/>
  </r>
  <r>
    <s v="INC102338"/>
    <d v="2025-05-29T00:00:00"/>
    <d v="2025-05-30T09:08:24"/>
    <x v="0"/>
    <x v="3"/>
    <s v="Printer"/>
    <s v="Service Desk"/>
    <s v="Bengaluru"/>
    <s v="Portal"/>
    <s v="Closed"/>
    <n v="48"/>
    <n v="33.14"/>
    <n v="4.5"/>
    <s v="Yes"/>
    <x v="0"/>
  </r>
  <r>
    <s v="INC102339"/>
    <d v="2025-01-08T00:00:00"/>
    <d v="2025-01-09T01:00:00"/>
    <x v="0"/>
    <x v="1"/>
    <s v="Password Reset"/>
    <s v="Access Management"/>
    <s v="Delhi"/>
    <s v="Portal"/>
    <s v="Resolved"/>
    <n v="48"/>
    <n v="25"/>
    <n v="5"/>
    <s v="No"/>
    <x v="0"/>
  </r>
  <r>
    <s v="INC102340"/>
    <d v="2025-01-17T00:00:00"/>
    <d v="2025-01-18T12:33:00"/>
    <x v="0"/>
    <x v="4"/>
    <s v="Delivery"/>
    <s v="Access Management"/>
    <s v="Bengaluru"/>
    <s v="Portal"/>
    <s v="Resolved"/>
    <n v="48"/>
    <n v="36.549999999999997"/>
    <n v="4.2"/>
    <s v="No"/>
    <x v="0"/>
  </r>
  <r>
    <s v="INC102341"/>
    <d v="2025-03-18T00:00:00"/>
    <d v="2025-03-18T03:24:36"/>
    <x v="3"/>
    <x v="0"/>
    <s v="Performance"/>
    <s v="Access Management"/>
    <s v="Hyderabad"/>
    <s v="Portal"/>
    <s v="Resolved"/>
    <n v="8"/>
    <n v="3.41"/>
    <n v="3.6"/>
    <s v="No"/>
    <x v="0"/>
  </r>
  <r>
    <s v="INC102342"/>
    <d v="2025-03-13T00:00:00"/>
    <d v="2025-03-14T00:09:00"/>
    <x v="1"/>
    <x v="2"/>
    <s v="DNS"/>
    <s v="Application Support"/>
    <s v="Hyderabad"/>
    <s v="Chat"/>
    <s v="Resolved"/>
    <n v="24"/>
    <n v="24.15"/>
    <n v="3.6"/>
    <s v="No"/>
    <x v="1"/>
  </r>
  <r>
    <s v="INC102343"/>
    <d v="2025-04-09T00:00:00"/>
    <d v="2025-04-10T03:55:48"/>
    <x v="0"/>
    <x v="2"/>
    <s v="Link Down"/>
    <s v="Application Support"/>
    <s v="Gurugram"/>
    <s v="Portal"/>
    <s v="Resolved"/>
    <n v="48"/>
    <n v="27.93"/>
    <n v="4.9000000000000004"/>
    <s v="No"/>
    <x v="0"/>
  </r>
  <r>
    <s v="INC102344"/>
    <d v="2025-05-14T00:00:00"/>
    <d v="2025-05-14T22:55:12"/>
    <x v="1"/>
    <x v="0"/>
    <s v="License"/>
    <s v="Network Support"/>
    <s v="Bengaluru"/>
    <s v="Phone"/>
    <s v="Resolved"/>
    <n v="24"/>
    <n v="22.92"/>
    <n v="2.7"/>
    <s v="No"/>
    <x v="0"/>
  </r>
  <r>
    <s v="INC102345"/>
    <d v="2025-04-17T00:00:00"/>
    <d v="2025-04-17T07:03:00"/>
    <x v="1"/>
    <x v="2"/>
    <s v="Packet Loss"/>
    <s v="Desktop Support"/>
    <s v="Delhi"/>
    <s v="Portal"/>
    <s v="Closed"/>
    <n v="24"/>
    <n v="7.05"/>
    <n v="4.5999999999999996"/>
    <s v="No"/>
    <x v="0"/>
  </r>
  <r>
    <s v="INC102346"/>
    <d v="2025-02-16T00:00:00"/>
    <d v="2025-02-16T09:33:00"/>
    <x v="1"/>
    <x v="0"/>
    <s v="Application Error"/>
    <s v="Desktop Support"/>
    <s v="Gurugram"/>
    <s v="Phone"/>
    <s v="Resolved"/>
    <n v="24"/>
    <n v="9.5500000000000007"/>
    <n v="4.7"/>
    <s v="No"/>
    <x v="0"/>
  </r>
  <r>
    <s v="INC102347"/>
    <d v="2025-03-01T00:00:00"/>
    <d v="2025-03-01T07:09:00"/>
    <x v="0"/>
    <x v="1"/>
    <s v="Password Reset"/>
    <s v="Service Desk"/>
    <s v="Hyderabad"/>
    <s v="Phone"/>
    <s v="Resolved"/>
    <n v="48"/>
    <n v="7.15"/>
    <n v="5"/>
    <s v="No"/>
    <x v="0"/>
  </r>
  <r>
    <s v="INC102348"/>
    <d v="2025-05-17T00:00:00"/>
    <d v="2025-05-17T16:47:24"/>
    <x v="1"/>
    <x v="3"/>
    <s v="Laptop"/>
    <s v="Network Support"/>
    <s v="Bengaluru"/>
    <s v="Chat"/>
    <s v="Closed"/>
    <n v="24"/>
    <n v="16.79"/>
    <n v="3.8"/>
    <s v="No"/>
    <x v="0"/>
  </r>
  <r>
    <s v="INC102349"/>
    <d v="2025-02-06T00:00:00"/>
    <d v="2025-02-07T08:29:24"/>
    <x v="0"/>
    <x v="3"/>
    <s v="Monitor"/>
    <s v="Service Desk"/>
    <s v="Noida"/>
    <s v="Phone"/>
    <s v="Resolved"/>
    <n v="48"/>
    <n v="32.49"/>
    <n v="4.0999999999999996"/>
    <s v="No"/>
    <x v="0"/>
  </r>
  <r>
    <s v="INC102350"/>
    <d v="2025-04-02T00:00:00"/>
    <d v="2025-04-02T02:48:00"/>
    <x v="3"/>
    <x v="2"/>
    <s v="Packet Loss"/>
    <s v="Access Management"/>
    <s v="Hyderabad"/>
    <s v="Phone"/>
    <s v="Resolved"/>
    <n v="8"/>
    <n v="2.8"/>
    <n v="5"/>
    <s v="No"/>
    <x v="0"/>
  </r>
  <r>
    <s v="INC102351"/>
    <d v="2025-04-08T00:00:00"/>
    <d v="2025-04-09T01:57:00"/>
    <x v="0"/>
    <x v="2"/>
    <s v="DNS"/>
    <s v="Access Management"/>
    <s v="Mumbai"/>
    <s v="Portal"/>
    <s v="Resolved"/>
    <n v="48"/>
    <n v="25.95"/>
    <n v="4"/>
    <s v="No"/>
    <x v="0"/>
  </r>
  <r>
    <s v="INC102352"/>
    <d v="2025-05-16T00:00:00"/>
    <d v="2025-05-16T01:49:48"/>
    <x v="3"/>
    <x v="0"/>
    <s v="License"/>
    <s v="Application Support"/>
    <s v="Delhi"/>
    <s v="Email"/>
    <s v="Resolved"/>
    <n v="8"/>
    <n v="1.83"/>
    <n v="5"/>
    <s v="No"/>
    <x v="0"/>
  </r>
  <r>
    <s v="INC102353"/>
    <d v="2025-05-10T00:00:00"/>
    <d v="2025-05-10T08:36:00"/>
    <x v="3"/>
    <x v="3"/>
    <s v="Printer"/>
    <s v="Network Support"/>
    <s v="Delhi"/>
    <s v="Portal"/>
    <s v="Resolved"/>
    <n v="8"/>
    <n v="8.6"/>
    <n v="4"/>
    <s v="Yes"/>
    <x v="1"/>
  </r>
  <r>
    <s v="INC102354"/>
    <d v="2025-03-26T00:00:00"/>
    <d v="2025-03-28T02:27:36"/>
    <x v="0"/>
    <x v="2"/>
    <s v="Link Down"/>
    <s v="Application Support"/>
    <s v="Bengaluru"/>
    <s v="Phone"/>
    <s v="Resolved"/>
    <n v="48"/>
    <n v="50.46"/>
    <n v="3.6"/>
    <s v="No"/>
    <x v="1"/>
  </r>
  <r>
    <s v="INC102355"/>
    <d v="2025-02-25T00:00:00"/>
    <d v="2025-02-26T01:01:12"/>
    <x v="0"/>
    <x v="2"/>
    <s v="Packet Loss"/>
    <s v="Network Support"/>
    <s v="Hyderabad"/>
    <s v="Phone"/>
    <s v="Resolved"/>
    <n v="48"/>
    <n v="25.02"/>
    <n v="4.7"/>
    <s v="Yes"/>
    <x v="0"/>
  </r>
  <r>
    <s v="INC102356"/>
    <d v="2025-03-08T00:00:00"/>
    <d v="2025-03-08T03:37:12"/>
    <x v="3"/>
    <x v="2"/>
    <s v="Link Down"/>
    <s v="Application Support"/>
    <s v="Delhi"/>
    <s v="Portal"/>
    <s v="Resolved"/>
    <n v="8"/>
    <n v="3.62"/>
    <n v="4.4000000000000004"/>
    <s v="No"/>
    <x v="0"/>
  </r>
  <r>
    <s v="INC102357"/>
    <d v="2025-03-16T00:00:00"/>
    <d v="2025-03-16T02:54:36"/>
    <x v="1"/>
    <x v="0"/>
    <s v="Application Error"/>
    <s v="Network Support"/>
    <s v="Bengaluru"/>
    <s v="Email"/>
    <s v="Resolved"/>
    <n v="24"/>
    <n v="2.91"/>
    <n v="5"/>
    <s v="No"/>
    <x v="0"/>
  </r>
  <r>
    <s v="INC102358"/>
    <d v="2025-02-09T00:00:00"/>
    <d v="2025-02-09T22:28:12"/>
    <x v="1"/>
    <x v="0"/>
    <s v="Performance"/>
    <s v="Service Desk"/>
    <s v="Mumbai"/>
    <s v="Portal"/>
    <s v="Closed"/>
    <n v="24"/>
    <n v="22.47"/>
    <n v="2.5"/>
    <s v="No"/>
    <x v="0"/>
  </r>
  <r>
    <s v="INC102359"/>
    <d v="2025-04-24T00:00:00"/>
    <d v="2025-04-24T12:49:12"/>
    <x v="0"/>
    <x v="0"/>
    <s v="License"/>
    <s v="Network Support"/>
    <s v="Hyderabad"/>
    <s v="Email"/>
    <s v="Closed"/>
    <n v="48"/>
    <n v="12.82"/>
    <n v="4.5"/>
    <s v="No"/>
    <x v="0"/>
  </r>
  <r>
    <s v="INC102360"/>
    <d v="2025-02-07T00:00:00"/>
    <d v="2025-02-08T23:34:47"/>
    <x v="0"/>
    <x v="0"/>
    <s v="Application Error"/>
    <s v="Access Management"/>
    <s v="Bengaluru"/>
    <s v="Email"/>
    <s v="Resolved"/>
    <n v="48"/>
    <n v="47.58"/>
    <n v="3.6"/>
    <s v="No"/>
    <x v="0"/>
  </r>
  <r>
    <s v="INC102361"/>
    <d v="2025-04-28T00:00:00"/>
    <d v="2025-04-28T03:28:12"/>
    <x v="1"/>
    <x v="2"/>
    <s v="Connectivity"/>
    <s v="Desktop Support"/>
    <s v="Hyderabad"/>
    <s v="Email"/>
    <s v="Pending"/>
    <n v="24"/>
    <n v="3.47"/>
    <n v="4.7"/>
    <s v="No"/>
    <x v="0"/>
  </r>
  <r>
    <s v="INC102362"/>
    <d v="2025-05-17T00:00:00"/>
    <d v="2025-05-17T01:46:12"/>
    <x v="3"/>
    <x v="0"/>
    <s v="Application Error"/>
    <s v="Access Management"/>
    <s v="Hyderabad"/>
    <s v="Phone"/>
    <s v="Closed"/>
    <n v="8"/>
    <n v="1.77"/>
    <n v="5"/>
    <s v="No"/>
    <x v="0"/>
  </r>
  <r>
    <s v="INC102363"/>
    <d v="2025-06-24T00:00:00"/>
    <d v="2025-06-24T08:40:12"/>
    <x v="0"/>
    <x v="2"/>
    <s v="Connectivity"/>
    <s v="Network Support"/>
    <s v="Hyderabad"/>
    <s v="Portal"/>
    <s v="Closed"/>
    <n v="48"/>
    <n v="8.67"/>
    <n v="4.5"/>
    <s v="No"/>
    <x v="0"/>
  </r>
  <r>
    <s v="INC102364"/>
    <d v="2025-01-22T00:00:00"/>
    <d v="2025-01-22T02:03:36"/>
    <x v="3"/>
    <x v="4"/>
    <s v="Mailbox"/>
    <s v="Application Support"/>
    <s v="Mumbai"/>
    <s v="Phone"/>
    <s v="Resolved"/>
    <n v="8"/>
    <n v="2.06"/>
    <n v="5"/>
    <s v="No"/>
    <x v="0"/>
  </r>
  <r>
    <s v="INC102365"/>
    <d v="2025-05-18T00:00:00"/>
    <d v="2025-05-20T04:26:24"/>
    <x v="1"/>
    <x v="2"/>
    <s v="Connectivity"/>
    <s v="Desktop Support"/>
    <s v="Hyderabad"/>
    <s v="Email"/>
    <s v="Resolved"/>
    <n v="24"/>
    <n v="52.44"/>
    <n v="2.5"/>
    <s v="No"/>
    <x v="1"/>
  </r>
  <r>
    <s v="INC102366"/>
    <d v="2025-01-16T00:00:00"/>
    <d v="2025-01-16T22:49:48"/>
    <x v="0"/>
    <x v="3"/>
    <s v="Laptop"/>
    <s v="Desktop Support"/>
    <s v="Delhi"/>
    <s v="Portal"/>
    <s v="Resolved"/>
    <n v="48"/>
    <n v="22.83"/>
    <n v="5"/>
    <s v="No"/>
    <x v="0"/>
  </r>
  <r>
    <s v="INC102367"/>
    <d v="2025-03-03T00:00:00"/>
    <d v="2025-03-04T16:19:12"/>
    <x v="0"/>
    <x v="2"/>
    <s v="Link Down"/>
    <s v="Access Management"/>
    <s v="Delhi"/>
    <s v="Portal"/>
    <s v="Resolved"/>
    <n v="48"/>
    <n v="40.32"/>
    <n v="3.9"/>
    <s v="No"/>
    <x v="0"/>
  </r>
  <r>
    <s v="INC102368"/>
    <d v="2025-02-01T00:00:00"/>
    <d v="2025-02-01T10:10:12"/>
    <x v="0"/>
    <x v="1"/>
    <s v="Permission"/>
    <s v="Network Support"/>
    <s v="Bengaluru"/>
    <s v="Portal"/>
    <s v="Pending"/>
    <n v="48"/>
    <n v="10.17"/>
    <n v="5"/>
    <s v="Yes"/>
    <x v="0"/>
  </r>
  <r>
    <s v="INC102369"/>
    <d v="2025-01-30T00:00:00"/>
    <d v="2025-01-30T07:05:24"/>
    <x v="1"/>
    <x v="2"/>
    <s v="Connectivity"/>
    <s v="Access Management"/>
    <s v="Mumbai"/>
    <s v="Email"/>
    <s v="Pending"/>
    <n v="24"/>
    <n v="7.09"/>
    <n v="4.5999999999999996"/>
    <s v="No"/>
    <x v="0"/>
  </r>
  <r>
    <s v="INC102370"/>
    <d v="2025-02-01T00:00:00"/>
    <d v="2025-02-02T15:50:24"/>
    <x v="1"/>
    <x v="4"/>
    <s v="Spam"/>
    <s v="Network Support"/>
    <s v="Hyderabad"/>
    <s v="Phone"/>
    <s v="Resolved"/>
    <n v="24"/>
    <n v="39.840000000000003"/>
    <n v="2.4"/>
    <s v="No"/>
    <x v="1"/>
  </r>
  <r>
    <s v="INC102371"/>
    <d v="2025-01-08T00:00:00"/>
    <d v="2025-01-08T11:44:24"/>
    <x v="1"/>
    <x v="2"/>
    <s v="DNS"/>
    <s v="Service Desk"/>
    <s v="Mumbai"/>
    <s v="Portal"/>
    <s v="Pending"/>
    <n v="24"/>
    <n v="11.74"/>
    <n v="5"/>
    <s v="No"/>
    <x v="0"/>
  </r>
  <r>
    <s v="INC102372"/>
    <d v="2025-05-29T00:00:00"/>
    <d v="2025-05-30T04:49:48"/>
    <x v="0"/>
    <x v="1"/>
    <s v="Password Reset"/>
    <s v="Network Support"/>
    <s v="Gurugram"/>
    <s v="Portal"/>
    <s v="Closed"/>
    <n v="48"/>
    <n v="28.83"/>
    <n v="3.8"/>
    <s v="No"/>
    <x v="0"/>
  </r>
  <r>
    <s v="INC102373"/>
    <d v="2025-01-12T00:00:00"/>
    <d v="2025-01-12T17:34:11"/>
    <x v="1"/>
    <x v="0"/>
    <s v="License"/>
    <s v="Desktop Support"/>
    <s v="Hyderabad"/>
    <s v="Email"/>
    <s v="Closed"/>
    <n v="24"/>
    <n v="17.57"/>
    <n v="3.8"/>
    <s v="No"/>
    <x v="0"/>
  </r>
  <r>
    <s v="INC102374"/>
    <d v="2025-03-14T00:00:00"/>
    <d v="2025-03-15T12:31:12"/>
    <x v="1"/>
    <x v="2"/>
    <s v="Packet Loss"/>
    <s v="Desktop Support"/>
    <s v="Delhi"/>
    <s v="Portal"/>
    <s v="In Progress"/>
    <n v="24"/>
    <n v="36.520000000000003"/>
    <n v="2.6"/>
    <s v="No"/>
    <x v="1"/>
  </r>
  <r>
    <s v="INC102375"/>
    <d v="2025-05-07T00:00:00"/>
    <d v="2025-05-07T00:54:36"/>
    <x v="1"/>
    <x v="2"/>
    <s v="Packet Loss"/>
    <s v="Application Support"/>
    <s v="Delhi"/>
    <s v="Portal"/>
    <s v="Resolved"/>
    <n v="24"/>
    <n v="0.91"/>
    <n v="5"/>
    <s v="No"/>
    <x v="0"/>
  </r>
  <r>
    <s v="INC102376"/>
    <d v="2025-06-29T00:00:00"/>
    <d v="2025-06-30T02:54:36"/>
    <x v="1"/>
    <x v="3"/>
    <s v="Monitor"/>
    <s v="Application Support"/>
    <s v="Mumbai"/>
    <s v="Email"/>
    <s v="Resolved"/>
    <n v="24"/>
    <n v="26.91"/>
    <n v="3.3"/>
    <s v="No"/>
    <x v="1"/>
  </r>
  <r>
    <s v="INC102377"/>
    <d v="2025-06-04T00:00:00"/>
    <d v="2025-06-06T13:17:23"/>
    <x v="0"/>
    <x v="1"/>
    <s v="Account Lock"/>
    <s v="Application Support"/>
    <s v="Hyderabad"/>
    <s v="Portal"/>
    <s v="In Progress"/>
    <n v="48"/>
    <n v="61.29"/>
    <n v="4.5"/>
    <s v="No"/>
    <x v="1"/>
  </r>
  <r>
    <s v="INC102378"/>
    <d v="2025-01-25T00:00:00"/>
    <d v="2025-01-25T18:52:12"/>
    <x v="1"/>
    <x v="1"/>
    <s v="Account Lock"/>
    <s v="Access Management"/>
    <s v="Bengaluru"/>
    <s v="Phone"/>
    <s v="Resolved"/>
    <n v="24"/>
    <n v="18.87"/>
    <n v="4.4000000000000004"/>
    <s v="No"/>
    <x v="0"/>
  </r>
  <r>
    <s v="INC102379"/>
    <d v="2025-06-28T00:00:00"/>
    <d v="2025-06-28T10:10:12"/>
    <x v="1"/>
    <x v="2"/>
    <s v="Connectivity"/>
    <s v="Desktop Support"/>
    <s v="Delhi"/>
    <s v="Portal"/>
    <s v="Closed"/>
    <n v="24"/>
    <n v="10.17"/>
    <n v="4.3"/>
    <s v="No"/>
    <x v="0"/>
  </r>
  <r>
    <s v="INC102380"/>
    <d v="2025-04-29T00:00:00"/>
    <d v="2025-04-29T15:49:12"/>
    <x v="1"/>
    <x v="3"/>
    <s v="Monitor"/>
    <s v="Network Support"/>
    <s v="Delhi"/>
    <s v="Email"/>
    <s v="Closed"/>
    <n v="24"/>
    <n v="15.82"/>
    <n v="3.6"/>
    <s v="No"/>
    <x v="0"/>
  </r>
  <r>
    <s v="INC102381"/>
    <d v="2025-02-02T00:00:00"/>
    <d v="2025-02-02T09:31:12"/>
    <x v="0"/>
    <x v="2"/>
    <s v="DNS"/>
    <s v="Network Support"/>
    <s v="Hyderabad"/>
    <s v="Portal"/>
    <s v="In Progress"/>
    <n v="48"/>
    <n v="9.52"/>
    <n v="4.7"/>
    <s v="No"/>
    <x v="0"/>
  </r>
  <r>
    <s v="INC102382"/>
    <d v="2025-03-23T00:00:00"/>
    <d v="2025-03-23T01:52:12"/>
    <x v="1"/>
    <x v="2"/>
    <s v="Connectivity"/>
    <s v="Service Desk"/>
    <s v="Gurugram"/>
    <s v="Portal"/>
    <s v="Resolved"/>
    <n v="24"/>
    <n v="1.87"/>
    <n v="5"/>
    <s v="No"/>
    <x v="0"/>
  </r>
  <r>
    <s v="INC102383"/>
    <d v="2025-06-16T00:00:00"/>
    <d v="2025-06-16T14:30:36"/>
    <x v="1"/>
    <x v="0"/>
    <s v="Performance"/>
    <s v="Application Support"/>
    <s v="Bengaluru"/>
    <s v="Email"/>
    <s v="Closed"/>
    <n v="24"/>
    <n v="14.51"/>
    <n v="4.2"/>
    <s v="No"/>
    <x v="0"/>
  </r>
  <r>
    <s v="INC102384"/>
    <d v="2025-03-13T00:00:00"/>
    <d v="2025-03-13T00:30:00"/>
    <x v="1"/>
    <x v="3"/>
    <s v="Printer"/>
    <s v="Network Support"/>
    <s v="Gurugram"/>
    <s v="Phone"/>
    <s v="Resolved"/>
    <n v="24"/>
    <n v="0.5"/>
    <n v="4.9000000000000004"/>
    <s v="Yes"/>
    <x v="0"/>
  </r>
  <r>
    <s v="INC102385"/>
    <d v="2025-02-03T00:00:00"/>
    <d v="2025-02-03T02:44:24"/>
    <x v="3"/>
    <x v="2"/>
    <s v="Connectivity"/>
    <s v="Access Management"/>
    <s v="Gurugram"/>
    <s v="Chat"/>
    <s v="In Progress"/>
    <n v="8"/>
    <n v="2.74"/>
    <n v="3.9"/>
    <s v="No"/>
    <x v="0"/>
  </r>
  <r>
    <s v="INC102386"/>
    <d v="2025-06-08T00:00:00"/>
    <d v="2025-06-08T01:48:00"/>
    <x v="3"/>
    <x v="1"/>
    <s v="Password Reset"/>
    <s v="Access Management"/>
    <s v="Mumbai"/>
    <s v="Portal"/>
    <s v="Resolved"/>
    <n v="8"/>
    <n v="1.8"/>
    <n v="5"/>
    <s v="No"/>
    <x v="0"/>
  </r>
  <r>
    <s v="INC102387"/>
    <d v="2025-06-22T00:00:00"/>
    <d v="2025-06-22T20:14:24"/>
    <x v="0"/>
    <x v="1"/>
    <s v="Permission"/>
    <s v="Network Support"/>
    <s v="Mumbai"/>
    <s v="Email"/>
    <s v="Closed"/>
    <n v="48"/>
    <n v="20.239999999999998"/>
    <n v="4.4000000000000004"/>
    <s v="No"/>
    <x v="0"/>
  </r>
  <r>
    <s v="INC102388"/>
    <d v="2025-06-26T00:00:00"/>
    <d v="2025-06-26T10:46:48"/>
    <x v="1"/>
    <x v="1"/>
    <s v="Password Reset"/>
    <s v="Application Support"/>
    <s v="Noida"/>
    <s v="Email"/>
    <s v="In Progress"/>
    <n v="24"/>
    <n v="10.78"/>
    <n v="3.6"/>
    <s v="No"/>
    <x v="0"/>
  </r>
  <r>
    <s v="INC102389"/>
    <d v="2025-06-22T00:00:00"/>
    <d v="2025-06-22T04:10:48"/>
    <x v="1"/>
    <x v="2"/>
    <s v="DNS"/>
    <s v="Desktop Support"/>
    <s v="Bengaluru"/>
    <s v="Portal"/>
    <s v="Resolved"/>
    <n v="24"/>
    <n v="4.18"/>
    <n v="4.0999999999999996"/>
    <s v="No"/>
    <x v="0"/>
  </r>
  <r>
    <s v="INC102390"/>
    <d v="2025-06-07T00:00:00"/>
    <d v="2025-06-07T03:01:48"/>
    <x v="2"/>
    <x v="4"/>
    <s v="Mailbox"/>
    <s v="Desktop Support"/>
    <s v="Noida"/>
    <s v="Phone"/>
    <s v="Resolved"/>
    <n v="4"/>
    <n v="3.03"/>
    <n v="3.9"/>
    <s v="No"/>
    <x v="0"/>
  </r>
  <r>
    <s v="INC102391"/>
    <d v="2025-03-24T00:00:00"/>
    <d v="2025-03-26T10:46:12"/>
    <x v="0"/>
    <x v="0"/>
    <s v="Application Error"/>
    <s v="Application Support"/>
    <s v="Bengaluru"/>
    <s v="Portal"/>
    <s v="Resolved"/>
    <n v="48"/>
    <n v="58.77"/>
    <n v="4.8"/>
    <s v="No"/>
    <x v="1"/>
  </r>
  <r>
    <s v="INC102392"/>
    <d v="2025-02-04T00:00:00"/>
    <d v="2025-02-04T09:30:00"/>
    <x v="0"/>
    <x v="0"/>
    <s v="Installation"/>
    <s v="Desktop Support"/>
    <s v="Mumbai"/>
    <s v="Phone"/>
    <s v="Closed"/>
    <n v="48"/>
    <n v="9.5"/>
    <n v="4.7"/>
    <s v="No"/>
    <x v="0"/>
  </r>
  <r>
    <s v="INC102393"/>
    <d v="2025-04-22T00:00:00"/>
    <d v="2025-04-22T04:27:36"/>
    <x v="1"/>
    <x v="2"/>
    <s v="Link Down"/>
    <s v="Service Desk"/>
    <s v="Mumbai"/>
    <s v="Email"/>
    <s v="Closed"/>
    <n v="24"/>
    <n v="4.46"/>
    <n v="4.5"/>
    <s v="No"/>
    <x v="0"/>
  </r>
  <r>
    <s v="INC102394"/>
    <d v="2025-02-09T00:00:00"/>
    <d v="2025-02-10T00:07:48"/>
    <x v="0"/>
    <x v="4"/>
    <s v="Mailbox"/>
    <s v="Desktop Support"/>
    <s v="Gurugram"/>
    <s v="Portal"/>
    <s v="Closed"/>
    <n v="48"/>
    <n v="24.13"/>
    <n v="4.9000000000000004"/>
    <s v="No"/>
    <x v="0"/>
  </r>
  <r>
    <s v="INC102395"/>
    <d v="2025-03-27T00:00:00"/>
    <d v="2025-03-27T01:56:24"/>
    <x v="1"/>
    <x v="0"/>
    <s v="Performance"/>
    <s v="Network Support"/>
    <s v="Gurugram"/>
    <s v="Phone"/>
    <s v="Resolved"/>
    <n v="24"/>
    <n v="1.94"/>
    <n v="5"/>
    <s v="No"/>
    <x v="0"/>
  </r>
  <r>
    <s v="INC102396"/>
    <d v="2025-04-29T00:00:00"/>
    <d v="2025-04-29T12:16:48"/>
    <x v="1"/>
    <x v="1"/>
    <s v="Account Lock"/>
    <s v="Service Desk"/>
    <s v="Mumbai"/>
    <s v="Portal"/>
    <s v="Resolved"/>
    <n v="24"/>
    <n v="12.28"/>
    <n v="4.8"/>
    <s v="No"/>
    <x v="0"/>
  </r>
  <r>
    <s v="INC102397"/>
    <d v="2025-06-21T00:00:00"/>
    <d v="2025-06-23T05:46:12"/>
    <x v="0"/>
    <x v="0"/>
    <s v="Performance"/>
    <s v="Access Management"/>
    <s v="Bengaluru"/>
    <s v="Phone"/>
    <s v="Resolved"/>
    <n v="48"/>
    <n v="53.77"/>
    <n v="3.8"/>
    <s v="No"/>
    <x v="1"/>
  </r>
  <r>
    <s v="INC102398"/>
    <d v="2025-02-22T00:00:00"/>
    <d v="2025-02-22T04:29:24"/>
    <x v="1"/>
    <x v="1"/>
    <s v="Password Reset"/>
    <s v="Network Support"/>
    <s v="Noida"/>
    <s v="Phone"/>
    <s v="Resolved"/>
    <n v="24"/>
    <n v="4.49"/>
    <n v="4.0999999999999996"/>
    <s v="Yes"/>
    <x v="0"/>
  </r>
  <r>
    <s v="INC102399"/>
    <d v="2025-02-15T00:00:00"/>
    <d v="2025-02-15T11:39:00"/>
    <x v="3"/>
    <x v="0"/>
    <s v="Application Error"/>
    <s v="Desktop Support"/>
    <s v="Hyderabad"/>
    <s v="Email"/>
    <s v="Closed"/>
    <n v="8"/>
    <n v="11.65"/>
    <n v="2.8"/>
    <s v="No"/>
    <x v="1"/>
  </r>
  <r>
    <s v="INC102400"/>
    <d v="2025-05-13T00:00:00"/>
    <d v="2025-05-13T02:59:24"/>
    <x v="3"/>
    <x v="4"/>
    <s v="Mailbox"/>
    <s v="Service Desk"/>
    <s v="Noida"/>
    <s v="Portal"/>
    <s v="Resolved"/>
    <n v="8"/>
    <n v="2.99"/>
    <n v="3.5"/>
    <s v="No"/>
    <x v="0"/>
  </r>
  <r>
    <s v="INC102401"/>
    <d v="2025-01-02T00:00:00"/>
    <d v="2025-01-02T10:01:48"/>
    <x v="1"/>
    <x v="2"/>
    <s v="Connectivity"/>
    <s v="Desktop Support"/>
    <s v="Noida"/>
    <s v="Portal"/>
    <s v="Resolved"/>
    <n v="24"/>
    <n v="10.029999999999999"/>
    <n v="4.4000000000000004"/>
    <s v="No"/>
    <x v="0"/>
  </r>
  <r>
    <s v="INC102402"/>
    <d v="2025-04-13T00:00:00"/>
    <d v="2025-04-13T15:09:36"/>
    <x v="0"/>
    <x v="2"/>
    <s v="DNS"/>
    <s v="Service Desk"/>
    <s v="Bengaluru"/>
    <s v="Email"/>
    <s v="Closed"/>
    <n v="48"/>
    <n v="15.16"/>
    <n v="4.3"/>
    <s v="No"/>
    <x v="0"/>
  </r>
  <r>
    <s v="INC102403"/>
    <d v="2025-05-16T00:00:00"/>
    <d v="2025-05-17T19:38:24"/>
    <x v="0"/>
    <x v="0"/>
    <s v="Installation"/>
    <s v="Desktop Support"/>
    <s v="Gurugram"/>
    <s v="Email"/>
    <s v="Resolved"/>
    <n v="48"/>
    <n v="43.64"/>
    <n v="3.6"/>
    <s v="No"/>
    <x v="0"/>
  </r>
  <r>
    <s v="INC102404"/>
    <d v="2025-04-10T00:00:00"/>
    <d v="2025-04-10T04:31:48"/>
    <x v="3"/>
    <x v="0"/>
    <s v="Installation"/>
    <s v="Desktop Support"/>
    <s v="Mumbai"/>
    <s v="Email"/>
    <s v="Closed"/>
    <n v="8"/>
    <n v="4.53"/>
    <n v="4.5"/>
    <s v="No"/>
    <x v="0"/>
  </r>
  <r>
    <s v="INC102405"/>
    <d v="2025-03-11T00:00:00"/>
    <d v="2025-03-11T09:22:48"/>
    <x v="1"/>
    <x v="0"/>
    <s v="Performance"/>
    <s v="Application Support"/>
    <s v="Hyderabad"/>
    <s v="Portal"/>
    <s v="Resolved"/>
    <n v="24"/>
    <n v="9.3800000000000008"/>
    <n v="4.0999999999999996"/>
    <s v="No"/>
    <x v="0"/>
  </r>
  <r>
    <s v="INC102406"/>
    <d v="2025-05-30T00:00:00"/>
    <d v="2025-05-30T06:20:24"/>
    <x v="1"/>
    <x v="0"/>
    <s v="Application Error"/>
    <s v="Service Desk"/>
    <s v="Hyderabad"/>
    <s v="Phone"/>
    <s v="Resolved"/>
    <n v="24"/>
    <n v="6.34"/>
    <n v="4.5"/>
    <s v="No"/>
    <x v="0"/>
  </r>
  <r>
    <s v="INC102407"/>
    <d v="2025-03-09T00:00:00"/>
    <d v="2025-03-09T05:05:24"/>
    <x v="3"/>
    <x v="0"/>
    <s v="Performance"/>
    <s v="Desktop Support"/>
    <s v="Noida"/>
    <s v="Phone"/>
    <s v="Resolved"/>
    <n v="8"/>
    <n v="5.09"/>
    <n v="3.9"/>
    <s v="No"/>
    <x v="0"/>
  </r>
  <r>
    <s v="INC102408"/>
    <d v="2025-05-09T00:00:00"/>
    <d v="2025-05-11T13:35:24"/>
    <x v="0"/>
    <x v="1"/>
    <s v="Permission"/>
    <s v="Application Support"/>
    <s v="Gurugram"/>
    <s v="Email"/>
    <s v="Resolved"/>
    <n v="48"/>
    <n v="61.59"/>
    <n v="3.4"/>
    <s v="No"/>
    <x v="1"/>
  </r>
  <r>
    <s v="INC102409"/>
    <d v="2025-03-26T00:00:00"/>
    <d v="2025-03-26T10:03:36"/>
    <x v="1"/>
    <x v="3"/>
    <s v="Peripheral"/>
    <s v="Application Support"/>
    <s v="Noida"/>
    <s v="Portal"/>
    <s v="Closed"/>
    <n v="24"/>
    <n v="10.06"/>
    <n v="4.7"/>
    <s v="No"/>
    <x v="0"/>
  </r>
  <r>
    <s v="INC102410"/>
    <d v="2025-01-05T00:00:00"/>
    <d v="2025-01-06T02:35:24"/>
    <x v="0"/>
    <x v="1"/>
    <s v="Password Reset"/>
    <s v="Desktop Support"/>
    <s v="Delhi"/>
    <s v="Email"/>
    <s v="Closed"/>
    <n v="48"/>
    <n v="26.59"/>
    <n v="3.5"/>
    <s v="No"/>
    <x v="0"/>
  </r>
  <r>
    <s v="INC102411"/>
    <d v="2025-04-07T00:00:00"/>
    <d v="2025-04-07T05:57:00"/>
    <x v="0"/>
    <x v="2"/>
    <s v="Connectivity"/>
    <s v="Service Desk"/>
    <s v="Mumbai"/>
    <s v="Portal"/>
    <s v="Resolved"/>
    <n v="48"/>
    <n v="5.95"/>
    <n v="5"/>
    <s v="No"/>
    <x v="0"/>
  </r>
  <r>
    <s v="INC102412"/>
    <d v="2025-01-09T00:00:00"/>
    <d v="2025-01-09T13:10:12"/>
    <x v="1"/>
    <x v="0"/>
    <s v="License"/>
    <s v="Desktop Support"/>
    <s v="Noida"/>
    <s v="Phone"/>
    <s v="Resolved"/>
    <n v="24"/>
    <n v="13.17"/>
    <n v="4.5"/>
    <s v="No"/>
    <x v="0"/>
  </r>
  <r>
    <s v="INC102413"/>
    <d v="2025-06-18T00:00:00"/>
    <d v="2025-06-20T04:54:36"/>
    <x v="1"/>
    <x v="4"/>
    <s v="Spam"/>
    <s v="Desktop Support"/>
    <s v="Delhi"/>
    <s v="Phone"/>
    <s v="Resolved"/>
    <n v="24"/>
    <n v="52.91"/>
    <n v="2.6"/>
    <s v="No"/>
    <x v="1"/>
  </r>
  <r>
    <s v="INC102414"/>
    <d v="2025-04-19T00:00:00"/>
    <d v="2025-04-19T01:19:48"/>
    <x v="3"/>
    <x v="2"/>
    <s v="Connectivity"/>
    <s v="Access Management"/>
    <s v="Bengaluru"/>
    <s v="Phone"/>
    <s v="Closed"/>
    <n v="8"/>
    <n v="1.33"/>
    <n v="4.9000000000000004"/>
    <s v="No"/>
    <x v="0"/>
  </r>
  <r>
    <s v="INC102415"/>
    <d v="2025-03-09T00:00:00"/>
    <d v="2025-03-09T16:13:48"/>
    <x v="1"/>
    <x v="3"/>
    <s v="Printer"/>
    <s v="Service Desk"/>
    <s v="Mumbai"/>
    <s v="Portal"/>
    <s v="Resolved"/>
    <n v="24"/>
    <n v="16.23"/>
    <n v="4.4000000000000004"/>
    <s v="No"/>
    <x v="0"/>
  </r>
  <r>
    <s v="INC102416"/>
    <d v="2025-03-30T00:00:00"/>
    <d v="2025-03-30T02:39:36"/>
    <x v="3"/>
    <x v="3"/>
    <s v="Monitor"/>
    <s v="Service Desk"/>
    <s v="Gurugram"/>
    <s v="Phone"/>
    <s v="Closed"/>
    <n v="8"/>
    <n v="2.66"/>
    <n v="4.3"/>
    <s v="No"/>
    <x v="0"/>
  </r>
  <r>
    <s v="INC102417"/>
    <d v="2025-04-23T00:00:00"/>
    <d v="2025-04-23T00:55:12"/>
    <x v="3"/>
    <x v="0"/>
    <s v="License"/>
    <s v="Application Support"/>
    <s v="Noida"/>
    <s v="Phone"/>
    <s v="Closed"/>
    <n v="8"/>
    <n v="0.92"/>
    <n v="5"/>
    <s v="No"/>
    <x v="0"/>
  </r>
  <r>
    <s v="INC102418"/>
    <d v="2025-02-17T00:00:00"/>
    <d v="2025-02-17T08:53:24"/>
    <x v="1"/>
    <x v="3"/>
    <s v="Peripheral"/>
    <s v="Application Support"/>
    <s v="Hyderabad"/>
    <s v="Portal"/>
    <s v="Closed"/>
    <n v="24"/>
    <n v="8.89"/>
    <n v="5"/>
    <s v="Yes"/>
    <x v="0"/>
  </r>
  <r>
    <s v="INC102419"/>
    <d v="2025-02-22T00:00:00"/>
    <d v="2025-02-22T15:01:12"/>
    <x v="3"/>
    <x v="2"/>
    <s v="Packet Loss"/>
    <s v="Desktop Support"/>
    <s v="Mumbai"/>
    <s v="Portal"/>
    <s v="Resolved"/>
    <n v="8"/>
    <n v="15.02"/>
    <n v="2.4"/>
    <s v="No"/>
    <x v="1"/>
  </r>
  <r>
    <s v="INC102420"/>
    <d v="2025-03-17T00:00:00"/>
    <d v="2025-03-17T16:02:24"/>
    <x v="1"/>
    <x v="4"/>
    <s v="Mailbox"/>
    <s v="Network Support"/>
    <s v="Mumbai"/>
    <s v="Portal"/>
    <s v="Resolved"/>
    <n v="24"/>
    <n v="16.04"/>
    <n v="3.9"/>
    <s v="No"/>
    <x v="0"/>
  </r>
  <r>
    <s v="INC102421"/>
    <d v="2025-02-16T00:00:00"/>
    <d v="2025-02-16T14:46:48"/>
    <x v="1"/>
    <x v="2"/>
    <s v="Packet Loss"/>
    <s v="Application Support"/>
    <s v="Noida"/>
    <s v="Email"/>
    <s v="Resolved"/>
    <n v="24"/>
    <n v="14.78"/>
    <n v="4.7"/>
    <s v="No"/>
    <x v="0"/>
  </r>
  <r>
    <s v="INC102422"/>
    <d v="2025-05-18T00:00:00"/>
    <d v="2025-05-18T08:46:12"/>
    <x v="0"/>
    <x v="0"/>
    <s v="Application Error"/>
    <s v="Application Support"/>
    <s v="Noida"/>
    <s v="Portal"/>
    <s v="Closed"/>
    <n v="48"/>
    <n v="8.77"/>
    <n v="4.4000000000000004"/>
    <s v="Yes"/>
    <x v="0"/>
  </r>
  <r>
    <s v="INC102423"/>
    <d v="2025-01-19T00:00:00"/>
    <d v="2025-01-21T02:42:00"/>
    <x v="0"/>
    <x v="0"/>
    <s v="License"/>
    <s v="Access Management"/>
    <s v="Noida"/>
    <s v="Portal"/>
    <s v="Closed"/>
    <n v="48"/>
    <n v="50.7"/>
    <n v="3.3"/>
    <s v="No"/>
    <x v="1"/>
  </r>
  <r>
    <s v="INC102424"/>
    <d v="2025-05-30T00:00:00"/>
    <d v="2025-05-30T10:45:00"/>
    <x v="3"/>
    <x v="2"/>
    <s v="Packet Loss"/>
    <s v="Desktop Support"/>
    <s v="Noida"/>
    <s v="Email"/>
    <s v="Resolved"/>
    <n v="8"/>
    <n v="10.75"/>
    <n v="3.7"/>
    <s v="No"/>
    <x v="1"/>
  </r>
  <r>
    <s v="INC102425"/>
    <d v="2025-03-05T00:00:00"/>
    <d v="2025-03-06T07:24:36"/>
    <x v="1"/>
    <x v="2"/>
    <s v="Link Down"/>
    <s v="Desktop Support"/>
    <s v="Delhi"/>
    <s v="Phone"/>
    <s v="Resolved"/>
    <n v="24"/>
    <n v="31.41"/>
    <n v="3.1"/>
    <s v="No"/>
    <x v="1"/>
  </r>
  <r>
    <s v="INC102426"/>
    <d v="2025-04-12T00:00:00"/>
    <d v="2025-04-13T00:10:12"/>
    <x v="1"/>
    <x v="4"/>
    <s v="Configuration"/>
    <s v="Service Desk"/>
    <s v="Delhi"/>
    <s v="Phone"/>
    <s v="Resolved"/>
    <n v="24"/>
    <n v="24.17"/>
    <n v="4.5999999999999996"/>
    <s v="Yes"/>
    <x v="1"/>
  </r>
  <r>
    <s v="INC102427"/>
    <d v="2025-01-29T00:00:00"/>
    <d v="2025-01-29T11:39:36"/>
    <x v="0"/>
    <x v="0"/>
    <s v="Performance"/>
    <s v="Desktop Support"/>
    <s v="Mumbai"/>
    <s v="Phone"/>
    <s v="Resolved"/>
    <n v="48"/>
    <n v="11.66"/>
    <n v="4.4000000000000004"/>
    <s v="No"/>
    <x v="0"/>
  </r>
  <r>
    <s v="INC102428"/>
    <d v="2025-03-11T00:00:00"/>
    <d v="2025-03-11T04:39:36"/>
    <x v="1"/>
    <x v="2"/>
    <s v="Link Down"/>
    <s v="Network Support"/>
    <s v="Bengaluru"/>
    <s v="Phone"/>
    <s v="Closed"/>
    <n v="24"/>
    <n v="4.66"/>
    <n v="4.2"/>
    <s v="No"/>
    <x v="0"/>
  </r>
  <r>
    <s v="INC102429"/>
    <d v="2025-05-17T00:00:00"/>
    <d v="2025-05-17T01:39:36"/>
    <x v="1"/>
    <x v="1"/>
    <s v="Password Reset"/>
    <s v="Desktop Support"/>
    <s v="Bengaluru"/>
    <s v="Email"/>
    <s v="Resolved"/>
    <n v="24"/>
    <n v="1.66"/>
    <n v="4.9000000000000004"/>
    <s v="No"/>
    <x v="0"/>
  </r>
  <r>
    <s v="INC102430"/>
    <d v="2025-02-18T00:00:00"/>
    <d v="2025-02-18T10:16:12"/>
    <x v="0"/>
    <x v="0"/>
    <s v="Performance"/>
    <s v="Application Support"/>
    <s v="Bengaluru"/>
    <s v="Phone"/>
    <s v="In Progress"/>
    <n v="48"/>
    <n v="10.27"/>
    <n v="5"/>
    <s v="No"/>
    <x v="0"/>
  </r>
  <r>
    <s v="INC102431"/>
    <d v="2025-01-24T00:00:00"/>
    <d v="2025-01-24T05:12:36"/>
    <x v="3"/>
    <x v="2"/>
    <s v="Link Down"/>
    <s v="Application Support"/>
    <s v="Noida"/>
    <s v="Portal"/>
    <s v="Resolved"/>
    <n v="8"/>
    <n v="5.21"/>
    <n v="4.4000000000000004"/>
    <s v="No"/>
    <x v="0"/>
  </r>
  <r>
    <s v="INC102432"/>
    <d v="2025-04-05T00:00:00"/>
    <d v="2025-04-05T05:04:12"/>
    <x v="1"/>
    <x v="0"/>
    <s v="Application Error"/>
    <s v="Application Support"/>
    <s v="Hyderabad"/>
    <s v="Phone"/>
    <s v="Closed"/>
    <n v="24"/>
    <n v="5.07"/>
    <n v="5"/>
    <s v="No"/>
    <x v="0"/>
  </r>
  <r>
    <s v="INC102433"/>
    <d v="2025-01-30T00:00:00"/>
    <d v="2025-01-30T08:43:48"/>
    <x v="3"/>
    <x v="0"/>
    <s v="Application Error"/>
    <s v="Access Management"/>
    <s v="Noida"/>
    <s v="Phone"/>
    <s v="Resolved"/>
    <n v="8"/>
    <n v="8.73"/>
    <n v="3.3"/>
    <s v="No"/>
    <x v="1"/>
  </r>
  <r>
    <s v="INC102434"/>
    <d v="2025-02-26T00:00:00"/>
    <d v="2025-02-28T10:03:36"/>
    <x v="0"/>
    <x v="2"/>
    <s v="Packet Loss"/>
    <s v="Application Support"/>
    <s v="Bengaluru"/>
    <s v="Email"/>
    <s v="In Progress"/>
    <n v="48"/>
    <n v="58.06"/>
    <n v="4.3"/>
    <s v="No"/>
    <x v="1"/>
  </r>
  <r>
    <s v="INC102435"/>
    <d v="2025-03-23T00:00:00"/>
    <d v="2025-03-24T03:55:12"/>
    <x v="1"/>
    <x v="1"/>
    <s v="VPN Access"/>
    <s v="Application Support"/>
    <s v="Bengaluru"/>
    <s v="Portal"/>
    <s v="Closed"/>
    <n v="24"/>
    <n v="27.92"/>
    <n v="2.5"/>
    <s v="No"/>
    <x v="1"/>
  </r>
  <r>
    <s v="INC102436"/>
    <d v="2025-04-13T00:00:00"/>
    <d v="2025-04-13T04:26:24"/>
    <x v="0"/>
    <x v="3"/>
    <s v="Monitor"/>
    <s v="Desktop Support"/>
    <s v="Delhi"/>
    <s v="Portal"/>
    <s v="Resolved"/>
    <n v="48"/>
    <n v="4.4400000000000004"/>
    <n v="4.4000000000000004"/>
    <s v="No"/>
    <x v="0"/>
  </r>
  <r>
    <s v="INC102437"/>
    <d v="2025-04-26T00:00:00"/>
    <d v="2025-04-26T14:48:36"/>
    <x v="1"/>
    <x v="3"/>
    <s v="Laptop"/>
    <s v="Application Support"/>
    <s v="Gurugram"/>
    <s v="Portal"/>
    <s v="Resolved"/>
    <n v="24"/>
    <n v="14.81"/>
    <n v="4.3"/>
    <s v="No"/>
    <x v="0"/>
  </r>
  <r>
    <s v="INC102438"/>
    <d v="2025-05-03T00:00:00"/>
    <d v="2025-05-03T04:31:12"/>
    <x v="3"/>
    <x v="2"/>
    <s v="Packet Loss"/>
    <s v="Application Support"/>
    <s v="Gurugram"/>
    <s v="Portal"/>
    <s v="Pending"/>
    <n v="8"/>
    <n v="4.5199999999999996"/>
    <n v="3.9"/>
    <s v="No"/>
    <x v="0"/>
  </r>
  <r>
    <s v="INC102439"/>
    <d v="2025-06-02T00:00:00"/>
    <d v="2025-06-03T03:23:24"/>
    <x v="1"/>
    <x v="1"/>
    <s v="Password Reset"/>
    <s v="Desktop Support"/>
    <s v="Gurugram"/>
    <s v="Portal"/>
    <s v="Closed"/>
    <n v="24"/>
    <n v="27.39"/>
    <n v="3.4"/>
    <s v="No"/>
    <x v="1"/>
  </r>
  <r>
    <s v="INC102440"/>
    <d v="2025-01-12T00:00:00"/>
    <d v="2025-01-12T05:42:00"/>
    <x v="0"/>
    <x v="0"/>
    <s v="Application Error"/>
    <s v="Desktop Support"/>
    <s v="Delhi"/>
    <s v="Portal"/>
    <s v="Resolved"/>
    <n v="48"/>
    <n v="5.7"/>
    <n v="4.2"/>
    <s v="No"/>
    <x v="0"/>
  </r>
  <r>
    <s v="INC102441"/>
    <d v="2025-03-07T00:00:00"/>
    <d v="2025-03-07T04:28:48"/>
    <x v="3"/>
    <x v="4"/>
    <s v="Delivery"/>
    <s v="Application Support"/>
    <s v="Gurugram"/>
    <s v="Portal"/>
    <s v="Closed"/>
    <n v="8"/>
    <n v="4.4800000000000004"/>
    <n v="4.2"/>
    <s v="No"/>
    <x v="0"/>
  </r>
  <r>
    <s v="INC102442"/>
    <d v="2025-01-01T00:00:00"/>
    <d v="2025-01-01T05:33:00"/>
    <x v="0"/>
    <x v="2"/>
    <s v="Packet Loss"/>
    <s v="Service Desk"/>
    <s v="Hyderabad"/>
    <s v="Phone"/>
    <s v="Resolved"/>
    <n v="48"/>
    <n v="5.55"/>
    <n v="5"/>
    <s v="No"/>
    <x v="0"/>
  </r>
  <r>
    <s v="INC102443"/>
    <d v="2025-01-02T00:00:00"/>
    <d v="2025-01-03T00:40:48"/>
    <x v="1"/>
    <x v="1"/>
    <s v="Password Reset"/>
    <s v="Service Desk"/>
    <s v="Noida"/>
    <s v="Email"/>
    <s v="Resolved"/>
    <n v="24"/>
    <n v="24.68"/>
    <n v="3.4"/>
    <s v="No"/>
    <x v="1"/>
  </r>
  <r>
    <s v="INC102444"/>
    <d v="2025-02-08T00:00:00"/>
    <d v="2025-02-08T00:30:00"/>
    <x v="2"/>
    <x v="0"/>
    <s v="Application Error"/>
    <s v="Desktop Support"/>
    <s v="Mumbai"/>
    <s v="Phone"/>
    <s v="Closed"/>
    <n v="4"/>
    <n v="0.5"/>
    <n v="4.3"/>
    <s v="No"/>
    <x v="0"/>
  </r>
  <r>
    <s v="INC102445"/>
    <d v="2025-04-19T00:00:00"/>
    <d v="2025-04-20T20:23:24"/>
    <x v="1"/>
    <x v="3"/>
    <s v="Laptop"/>
    <s v="Application Support"/>
    <s v="Noida"/>
    <s v="Portal"/>
    <s v="Pending"/>
    <n v="24"/>
    <n v="44.39"/>
    <n v="2.5"/>
    <s v="No"/>
    <x v="1"/>
  </r>
  <r>
    <s v="INC102446"/>
    <d v="2025-06-11T00:00:00"/>
    <d v="2025-06-11T06:07:48"/>
    <x v="3"/>
    <x v="2"/>
    <s v="Packet Loss"/>
    <s v="Desktop Support"/>
    <s v="Mumbai"/>
    <s v="Portal"/>
    <s v="Resolved"/>
    <n v="8"/>
    <n v="6.13"/>
    <n v="4.8"/>
    <s v="No"/>
    <x v="0"/>
  </r>
  <r>
    <s v="INC102447"/>
    <d v="2025-05-21T00:00:00"/>
    <d v="2025-05-21T12:01:48"/>
    <x v="1"/>
    <x v="1"/>
    <s v="Permission"/>
    <s v="Network Support"/>
    <s v="Mumbai"/>
    <s v="Portal"/>
    <s v="Resolved"/>
    <n v="24"/>
    <n v="12.03"/>
    <n v="5"/>
    <s v="No"/>
    <x v="0"/>
  </r>
  <r>
    <s v="INC102448"/>
    <d v="2025-04-27T00:00:00"/>
    <d v="2025-04-27T02:22:48"/>
    <x v="3"/>
    <x v="2"/>
    <s v="Packet Loss"/>
    <s v="Access Management"/>
    <s v="Hyderabad"/>
    <s v="Phone"/>
    <s v="Resolved"/>
    <n v="8"/>
    <n v="2.38"/>
    <n v="4.3"/>
    <s v="No"/>
    <x v="0"/>
  </r>
  <r>
    <s v="INC102449"/>
    <d v="2025-05-21T00:00:00"/>
    <d v="2025-05-22T04:15:36"/>
    <x v="1"/>
    <x v="0"/>
    <s v="Application Error"/>
    <s v="Desktop Support"/>
    <s v="Gurugram"/>
    <s v="Portal"/>
    <s v="In Progress"/>
    <n v="24"/>
    <n v="28.26"/>
    <n v="3.9"/>
    <s v="No"/>
    <x v="1"/>
  </r>
  <r>
    <s v="INC102450"/>
    <d v="2025-02-01T00:00:00"/>
    <d v="2025-02-01T02:55:12"/>
    <x v="1"/>
    <x v="0"/>
    <s v="License"/>
    <s v="Desktop Support"/>
    <s v="Delhi"/>
    <s v="Email"/>
    <s v="In Progress"/>
    <n v="24"/>
    <n v="2.92"/>
    <n v="4.8"/>
    <s v="No"/>
    <x v="0"/>
  </r>
  <r>
    <s v="INC102451"/>
    <d v="2025-06-02T00:00:00"/>
    <d v="2025-06-02T01:32:24"/>
    <x v="0"/>
    <x v="2"/>
    <s v="Connectivity"/>
    <s v="Access Management"/>
    <s v="Gurugram"/>
    <s v="Portal"/>
    <s v="In Progress"/>
    <n v="48"/>
    <n v="1.54"/>
    <n v="5"/>
    <s v="No"/>
    <x v="0"/>
  </r>
  <r>
    <s v="INC102452"/>
    <d v="2025-06-11T00:00:00"/>
    <d v="2025-06-11T05:53:24"/>
    <x v="3"/>
    <x v="4"/>
    <s v="Configuration"/>
    <s v="Desktop Support"/>
    <s v="Mumbai"/>
    <s v="Portal"/>
    <s v="Resolved"/>
    <n v="8"/>
    <n v="5.89"/>
    <n v="4.2"/>
    <s v="No"/>
    <x v="0"/>
  </r>
  <r>
    <s v="INC102453"/>
    <d v="2025-01-18T00:00:00"/>
    <d v="2025-01-18T22:42:00"/>
    <x v="0"/>
    <x v="1"/>
    <s v="VPN Access"/>
    <s v="Network Support"/>
    <s v="Bengaluru"/>
    <s v="Portal"/>
    <s v="Resolved"/>
    <n v="48"/>
    <n v="22.7"/>
    <n v="4.3"/>
    <s v="No"/>
    <x v="0"/>
  </r>
  <r>
    <s v="INC102454"/>
    <d v="2025-03-27T00:00:00"/>
    <d v="2025-03-27T02:36:00"/>
    <x v="2"/>
    <x v="0"/>
    <s v="Installation"/>
    <s v="Access Management"/>
    <s v="Mumbai"/>
    <s v="Email"/>
    <s v="Resolved"/>
    <n v="4"/>
    <n v="2.6"/>
    <n v="5"/>
    <s v="No"/>
    <x v="0"/>
  </r>
  <r>
    <s v="INC102455"/>
    <d v="2025-05-31T00:00:00"/>
    <d v="2025-06-01T03:57:36"/>
    <x v="0"/>
    <x v="0"/>
    <s v="License"/>
    <s v="Service Desk"/>
    <s v="Hyderabad"/>
    <s v="Portal"/>
    <s v="Resolved"/>
    <n v="48"/>
    <n v="27.96"/>
    <n v="3.7"/>
    <s v="No"/>
    <x v="0"/>
  </r>
  <r>
    <s v="INC102456"/>
    <d v="2025-03-28T00:00:00"/>
    <d v="2025-03-29T15:05:24"/>
    <x v="0"/>
    <x v="3"/>
    <s v="Printer"/>
    <s v="Access Management"/>
    <s v="Gurugram"/>
    <s v="Phone"/>
    <s v="Resolved"/>
    <n v="48"/>
    <n v="39.090000000000003"/>
    <n v="4.2"/>
    <s v="No"/>
    <x v="0"/>
  </r>
  <r>
    <s v="INC102457"/>
    <d v="2025-06-02T00:00:00"/>
    <d v="2025-06-02T04:01:12"/>
    <x v="3"/>
    <x v="1"/>
    <s v="VPN Access"/>
    <s v="Desktop Support"/>
    <s v="Noida"/>
    <s v="Portal"/>
    <s v="Resolved"/>
    <n v="8"/>
    <n v="4.0199999999999996"/>
    <n v="5"/>
    <s v="No"/>
    <x v="0"/>
  </r>
  <r>
    <s v="INC102458"/>
    <d v="2025-06-19T00:00:00"/>
    <d v="2025-06-19T17:42:00"/>
    <x v="0"/>
    <x v="2"/>
    <s v="Connectivity"/>
    <s v="Service Desk"/>
    <s v="Noida"/>
    <s v="Portal"/>
    <s v="Closed"/>
    <n v="48"/>
    <n v="17.7"/>
    <n v="5"/>
    <s v="Yes"/>
    <x v="0"/>
  </r>
  <r>
    <s v="INC102459"/>
    <d v="2025-03-27T00:00:00"/>
    <d v="2025-03-27T12:23:24"/>
    <x v="1"/>
    <x v="3"/>
    <s v="Laptop"/>
    <s v="Service Desk"/>
    <s v="Delhi"/>
    <s v="Portal"/>
    <s v="Closed"/>
    <n v="24"/>
    <n v="12.39"/>
    <n v="3.9"/>
    <s v="No"/>
    <x v="0"/>
  </r>
  <r>
    <s v="INC102460"/>
    <d v="2025-01-11T00:00:00"/>
    <d v="2025-01-11T21:49:48"/>
    <x v="1"/>
    <x v="3"/>
    <s v="Peripheral"/>
    <s v="Access Management"/>
    <s v="Bengaluru"/>
    <s v="Chat"/>
    <s v="Closed"/>
    <n v="24"/>
    <n v="21.83"/>
    <n v="3.4"/>
    <s v="No"/>
    <x v="0"/>
  </r>
  <r>
    <s v="INC102461"/>
    <d v="2025-03-03T00:00:00"/>
    <d v="2025-03-04T21:53:24"/>
    <x v="0"/>
    <x v="3"/>
    <s v="Peripheral"/>
    <s v="Access Management"/>
    <s v="Delhi"/>
    <s v="Email"/>
    <s v="Resolved"/>
    <n v="48"/>
    <n v="45.89"/>
    <n v="2.9"/>
    <s v="No"/>
    <x v="0"/>
  </r>
  <r>
    <s v="INC102462"/>
    <d v="2025-02-08T00:00:00"/>
    <d v="2025-02-09T08:16:48"/>
    <x v="0"/>
    <x v="3"/>
    <s v="Printer"/>
    <s v="Network Support"/>
    <s v="Hyderabad"/>
    <s v="Email"/>
    <s v="Closed"/>
    <n v="48"/>
    <n v="32.28"/>
    <n v="5"/>
    <s v="No"/>
    <x v="0"/>
  </r>
  <r>
    <s v="INC102463"/>
    <d v="2025-03-27T00:00:00"/>
    <d v="2025-03-27T01:10:48"/>
    <x v="1"/>
    <x v="2"/>
    <s v="Link Down"/>
    <s v="Access Management"/>
    <s v="Delhi"/>
    <s v="Email"/>
    <s v="Resolved"/>
    <n v="24"/>
    <n v="1.18"/>
    <n v="4.2"/>
    <s v="No"/>
    <x v="0"/>
  </r>
  <r>
    <s v="INC102464"/>
    <d v="2025-04-17T00:00:00"/>
    <d v="2025-04-18T05:39:00"/>
    <x v="0"/>
    <x v="4"/>
    <s v="Spam"/>
    <s v="Access Management"/>
    <s v="Delhi"/>
    <s v="Phone"/>
    <s v="Resolved"/>
    <n v="48"/>
    <n v="29.65"/>
    <n v="4.7"/>
    <s v="No"/>
    <x v="0"/>
  </r>
  <r>
    <s v="INC102465"/>
    <d v="2025-03-25T00:00:00"/>
    <d v="2025-03-25T04:48:00"/>
    <x v="0"/>
    <x v="2"/>
    <s v="Link Down"/>
    <s v="Application Support"/>
    <s v="Gurugram"/>
    <s v="Portal"/>
    <s v="Closed"/>
    <n v="48"/>
    <n v="4.8"/>
    <n v="4"/>
    <s v="No"/>
    <x v="0"/>
  </r>
  <r>
    <s v="INC102466"/>
    <d v="2025-02-05T00:00:00"/>
    <d v="2025-02-06T23:31:12"/>
    <x v="0"/>
    <x v="2"/>
    <s v="Link Down"/>
    <s v="Network Support"/>
    <s v="Hyderabad"/>
    <s v="Phone"/>
    <s v="Closed"/>
    <n v="48"/>
    <n v="47.52"/>
    <n v="5"/>
    <s v="No"/>
    <x v="0"/>
  </r>
  <r>
    <s v="INC102467"/>
    <d v="2025-02-24T00:00:00"/>
    <d v="2025-02-24T21:33:36"/>
    <x v="1"/>
    <x v="3"/>
    <s v="Printer"/>
    <s v="Desktop Support"/>
    <s v="Hyderabad"/>
    <s v="Phone"/>
    <s v="Resolved"/>
    <n v="24"/>
    <n v="21.56"/>
    <n v="3"/>
    <s v="No"/>
    <x v="0"/>
  </r>
  <r>
    <s v="INC102468"/>
    <d v="2025-05-03T00:00:00"/>
    <d v="2025-05-03T05:33:00"/>
    <x v="1"/>
    <x v="0"/>
    <s v="License"/>
    <s v="Desktop Support"/>
    <s v="Hyderabad"/>
    <s v="Portal"/>
    <s v="Closed"/>
    <n v="24"/>
    <n v="5.55"/>
    <n v="4.8"/>
    <s v="No"/>
    <x v="0"/>
  </r>
  <r>
    <s v="INC102469"/>
    <d v="2025-01-05T00:00:00"/>
    <d v="2025-01-06T14:08:24"/>
    <x v="0"/>
    <x v="2"/>
    <s v="Link Down"/>
    <s v="Network Support"/>
    <s v="Mumbai"/>
    <s v="Portal"/>
    <s v="Resolved"/>
    <n v="48"/>
    <n v="38.14"/>
    <n v="4.8"/>
    <s v="No"/>
    <x v="0"/>
  </r>
  <r>
    <s v="INC102470"/>
    <d v="2025-02-08T00:00:00"/>
    <d v="2025-02-08T13:04:48"/>
    <x v="1"/>
    <x v="0"/>
    <s v="License"/>
    <s v="Access Management"/>
    <s v="Hyderabad"/>
    <s v="Email"/>
    <s v="Closed"/>
    <n v="24"/>
    <n v="13.08"/>
    <n v="3.9"/>
    <s v="No"/>
    <x v="0"/>
  </r>
  <r>
    <s v="INC102471"/>
    <d v="2025-06-11T00:00:00"/>
    <d v="2025-06-11T06:33:36"/>
    <x v="1"/>
    <x v="1"/>
    <s v="Password Reset"/>
    <s v="Application Support"/>
    <s v="Noida"/>
    <s v="Portal"/>
    <s v="In Progress"/>
    <n v="24"/>
    <n v="6.56"/>
    <n v="5"/>
    <s v="No"/>
    <x v="0"/>
  </r>
  <r>
    <s v="INC102472"/>
    <d v="2025-01-18T00:00:00"/>
    <d v="2025-01-19T13:37:12"/>
    <x v="0"/>
    <x v="2"/>
    <s v="DNS"/>
    <s v="Network Support"/>
    <s v="Delhi"/>
    <s v="Portal"/>
    <s v="Closed"/>
    <n v="48"/>
    <n v="37.619999999999997"/>
    <n v="3.9"/>
    <s v="No"/>
    <x v="0"/>
  </r>
  <r>
    <s v="INC102473"/>
    <d v="2025-03-17T00:00:00"/>
    <d v="2025-03-18T09:57:36"/>
    <x v="1"/>
    <x v="4"/>
    <s v="Delivery"/>
    <s v="Service Desk"/>
    <s v="Noida"/>
    <s v="Portal"/>
    <s v="Resolved"/>
    <n v="24"/>
    <n v="33.96"/>
    <n v="3.6"/>
    <s v="No"/>
    <x v="1"/>
  </r>
  <r>
    <s v="INC102474"/>
    <d v="2025-02-07T00:00:00"/>
    <d v="2025-02-07T02:51:00"/>
    <x v="3"/>
    <x v="3"/>
    <s v="Printer"/>
    <s v="Access Management"/>
    <s v="Gurugram"/>
    <s v="Portal"/>
    <s v="Resolved"/>
    <n v="8"/>
    <n v="2.85"/>
    <n v="5"/>
    <s v="No"/>
    <x v="0"/>
  </r>
  <r>
    <s v="INC102475"/>
    <d v="2025-01-19T00:00:00"/>
    <d v="2025-01-19T16:18:00"/>
    <x v="1"/>
    <x v="0"/>
    <s v="Installation"/>
    <s v="Desktop Support"/>
    <s v="Gurugram"/>
    <s v="Phone"/>
    <s v="Resolved"/>
    <n v="24"/>
    <n v="16.3"/>
    <n v="3.9"/>
    <s v="No"/>
    <x v="0"/>
  </r>
  <r>
    <s v="INC102476"/>
    <d v="2025-03-18T00:00:00"/>
    <d v="2025-03-18T05:11:24"/>
    <x v="1"/>
    <x v="2"/>
    <s v="Link Down"/>
    <s v="Desktop Support"/>
    <s v="Mumbai"/>
    <s v="Email"/>
    <s v="Closed"/>
    <n v="24"/>
    <n v="5.19"/>
    <n v="5"/>
    <s v="No"/>
    <x v="0"/>
  </r>
  <r>
    <s v="INC102477"/>
    <d v="2025-04-05T00:00:00"/>
    <d v="2025-04-05T07:07:12"/>
    <x v="1"/>
    <x v="0"/>
    <s v="Installation"/>
    <s v="Network Support"/>
    <s v="Gurugram"/>
    <s v="Email"/>
    <s v="Pending"/>
    <n v="24"/>
    <n v="7.12"/>
    <n v="4.9000000000000004"/>
    <s v="Yes"/>
    <x v="0"/>
  </r>
  <r>
    <s v="INC102478"/>
    <d v="2025-02-01T00:00:00"/>
    <d v="2025-02-02T01:03:00"/>
    <x v="0"/>
    <x v="1"/>
    <s v="VPN Access"/>
    <s v="Network Support"/>
    <s v="Gurugram"/>
    <s v="Email"/>
    <s v="Closed"/>
    <n v="48"/>
    <n v="25.05"/>
    <n v="5"/>
    <s v="No"/>
    <x v="0"/>
  </r>
  <r>
    <s v="INC102479"/>
    <d v="2025-01-15T00:00:00"/>
    <d v="2025-01-15T02:06:00"/>
    <x v="3"/>
    <x v="2"/>
    <s v="Connectivity"/>
    <s v="Access Management"/>
    <s v="Noida"/>
    <s v="Portal"/>
    <s v="Closed"/>
    <n v="8"/>
    <n v="2.1"/>
    <n v="4.0999999999999996"/>
    <s v="No"/>
    <x v="0"/>
  </r>
  <r>
    <s v="INC102480"/>
    <d v="2025-01-25T00:00:00"/>
    <d v="2025-01-25T01:58:12"/>
    <x v="3"/>
    <x v="2"/>
    <s v="Packet Loss"/>
    <s v="Access Management"/>
    <s v="Delhi"/>
    <s v="Email"/>
    <s v="Closed"/>
    <n v="8"/>
    <n v="1.97"/>
    <n v="4.3"/>
    <s v="No"/>
    <x v="0"/>
  </r>
  <r>
    <s v="INC102481"/>
    <d v="2025-04-28T00:00:00"/>
    <d v="2025-04-28T01:29:24"/>
    <x v="3"/>
    <x v="3"/>
    <s v="Peripheral"/>
    <s v="Network Support"/>
    <s v="Mumbai"/>
    <s v="Phone"/>
    <s v="Closed"/>
    <n v="8"/>
    <n v="1.49"/>
    <n v="4.5999999999999996"/>
    <s v="No"/>
    <x v="0"/>
  </r>
  <r>
    <s v="INC102482"/>
    <d v="2025-06-05T00:00:00"/>
    <d v="2025-06-07T09:52:48"/>
    <x v="0"/>
    <x v="2"/>
    <s v="Packet Loss"/>
    <s v="Desktop Support"/>
    <s v="Mumbai"/>
    <s v="Portal"/>
    <s v="Resolved"/>
    <n v="48"/>
    <n v="57.88"/>
    <n v="2.8"/>
    <s v="Yes"/>
    <x v="1"/>
  </r>
  <r>
    <s v="INC102483"/>
    <d v="2025-02-02T00:00:00"/>
    <d v="2025-02-02T22:09:00"/>
    <x v="1"/>
    <x v="4"/>
    <s v="Delivery"/>
    <s v="Application Support"/>
    <s v="Bengaluru"/>
    <s v="Email"/>
    <s v="Resolved"/>
    <n v="24"/>
    <n v="22.15"/>
    <n v="4.5"/>
    <s v="No"/>
    <x v="0"/>
  </r>
  <r>
    <s v="INC102484"/>
    <d v="2025-02-27T00:00:00"/>
    <d v="2025-02-28T00:28:48"/>
    <x v="0"/>
    <x v="0"/>
    <s v="Performance"/>
    <s v="Access Management"/>
    <s v="Delhi"/>
    <s v="Phone"/>
    <s v="Resolved"/>
    <n v="48"/>
    <n v="24.48"/>
    <n v="4.3"/>
    <s v="No"/>
    <x v="0"/>
  </r>
  <r>
    <s v="INC102485"/>
    <d v="2025-03-04T00:00:00"/>
    <d v="2025-03-04T23:15:36"/>
    <x v="1"/>
    <x v="0"/>
    <s v="Performance"/>
    <s v="Desktop Support"/>
    <s v="Mumbai"/>
    <s v="Email"/>
    <s v="Resolved"/>
    <n v="24"/>
    <n v="23.26"/>
    <n v="3.1"/>
    <s v="No"/>
    <x v="0"/>
  </r>
  <r>
    <s v="INC102486"/>
    <d v="2025-03-07T00:00:00"/>
    <d v="2025-03-08T00:35:24"/>
    <x v="1"/>
    <x v="4"/>
    <s v="Delivery"/>
    <s v="Access Management"/>
    <s v="Noida"/>
    <s v="Portal"/>
    <s v="Resolved"/>
    <n v="24"/>
    <n v="24.59"/>
    <n v="3.2"/>
    <s v="No"/>
    <x v="1"/>
  </r>
  <r>
    <s v="INC102487"/>
    <d v="2025-02-14T00:00:00"/>
    <d v="2025-02-14T10:44:24"/>
    <x v="1"/>
    <x v="1"/>
    <s v="VPN Access"/>
    <s v="Network Support"/>
    <s v="Gurugram"/>
    <s v="Portal"/>
    <s v="Pending"/>
    <n v="24"/>
    <n v="10.74"/>
    <n v="3.9"/>
    <s v="Yes"/>
    <x v="0"/>
  </r>
  <r>
    <s v="INC102488"/>
    <d v="2025-01-11T00:00:00"/>
    <d v="2025-01-11T09:52:48"/>
    <x v="0"/>
    <x v="1"/>
    <s v="Permission"/>
    <s v="Network Support"/>
    <s v="Hyderabad"/>
    <s v="Email"/>
    <s v="In Progress"/>
    <n v="48"/>
    <n v="9.8800000000000008"/>
    <n v="5"/>
    <s v="No"/>
    <x v="0"/>
  </r>
  <r>
    <s v="INC102489"/>
    <d v="2025-04-06T00:00:00"/>
    <d v="2025-04-06T05:28:12"/>
    <x v="3"/>
    <x v="3"/>
    <s v="Peripheral"/>
    <s v="Desktop Support"/>
    <s v="Hyderabad"/>
    <s v="Phone"/>
    <s v="Closed"/>
    <n v="8"/>
    <n v="5.47"/>
    <n v="4.5"/>
    <s v="No"/>
    <x v="0"/>
  </r>
  <r>
    <s v="INC102490"/>
    <d v="2025-03-06T00:00:00"/>
    <d v="2025-03-08T10:16:12"/>
    <x v="0"/>
    <x v="3"/>
    <s v="Printer"/>
    <s v="Service Desk"/>
    <s v="Noida"/>
    <s v="Phone"/>
    <s v="Closed"/>
    <n v="48"/>
    <n v="58.27"/>
    <n v="3.5"/>
    <s v="No"/>
    <x v="1"/>
  </r>
  <r>
    <s v="INC102491"/>
    <d v="2025-03-03T00:00:00"/>
    <d v="2025-03-04T17:42:00"/>
    <x v="0"/>
    <x v="3"/>
    <s v="Peripheral"/>
    <s v="Application Support"/>
    <s v="Noida"/>
    <s v="Email"/>
    <s v="Closed"/>
    <n v="48"/>
    <n v="41.7"/>
    <n v="3.7"/>
    <s v="No"/>
    <x v="0"/>
  </r>
  <r>
    <s v="INC102492"/>
    <d v="2025-02-17T00:00:00"/>
    <d v="2025-02-17T10:59:24"/>
    <x v="3"/>
    <x v="3"/>
    <s v="Peripheral"/>
    <s v="Service Desk"/>
    <s v="Hyderabad"/>
    <s v="Portal"/>
    <s v="Closed"/>
    <n v="8"/>
    <n v="10.99"/>
    <n v="3.2"/>
    <s v="No"/>
    <x v="1"/>
  </r>
  <r>
    <s v="INC102493"/>
    <d v="2025-06-18T00:00:00"/>
    <d v="2025-06-19T00:21:36"/>
    <x v="1"/>
    <x v="3"/>
    <s v="Laptop"/>
    <s v="Desktop Support"/>
    <s v="Gurugram"/>
    <s v="Phone"/>
    <s v="Resolved"/>
    <n v="24"/>
    <n v="24.36"/>
    <n v="4.9000000000000004"/>
    <s v="No"/>
    <x v="1"/>
  </r>
  <r>
    <s v="INC102494"/>
    <d v="2025-04-21T00:00:00"/>
    <d v="2025-04-22T23:46:12"/>
    <x v="1"/>
    <x v="2"/>
    <s v="DNS"/>
    <s v="Desktop Support"/>
    <s v="Noida"/>
    <s v="Email"/>
    <s v="In Progress"/>
    <n v="24"/>
    <n v="47.77"/>
    <n v="2.5"/>
    <s v="No"/>
    <x v="1"/>
  </r>
  <r>
    <s v="INC102495"/>
    <d v="2025-03-17T00:00:00"/>
    <d v="2025-03-17T17:09:00"/>
    <x v="1"/>
    <x v="3"/>
    <s v="Printer"/>
    <s v="Access Management"/>
    <s v="Bengaluru"/>
    <s v="Chat"/>
    <s v="Resolved"/>
    <n v="24"/>
    <n v="17.149999999999999"/>
    <n v="4.7"/>
    <s v="No"/>
    <x v="0"/>
  </r>
  <r>
    <s v="INC102496"/>
    <d v="2025-02-07T00:00:00"/>
    <d v="2025-02-07T19:36:00"/>
    <x v="0"/>
    <x v="3"/>
    <s v="Monitor"/>
    <s v="Network Support"/>
    <s v="Noida"/>
    <s v="Phone"/>
    <s v="Closed"/>
    <n v="48"/>
    <n v="19.600000000000001"/>
    <n v="4.3"/>
    <s v="No"/>
    <x v="0"/>
  </r>
  <r>
    <s v="INC102497"/>
    <d v="2025-05-26T00:00:00"/>
    <d v="2025-05-27T19:47:24"/>
    <x v="0"/>
    <x v="3"/>
    <s v="Peripheral"/>
    <s v="Desktop Support"/>
    <s v="Gurugram"/>
    <s v="Portal"/>
    <s v="Resolved"/>
    <n v="48"/>
    <n v="43.79"/>
    <n v="5"/>
    <s v="No"/>
    <x v="0"/>
  </r>
  <r>
    <s v="INC102498"/>
    <d v="2025-06-10T00:00:00"/>
    <d v="2025-06-11T05:57:36"/>
    <x v="1"/>
    <x v="2"/>
    <s v="Connectivity"/>
    <s v="Service Desk"/>
    <s v="Delhi"/>
    <s v="Email"/>
    <s v="Resolved"/>
    <n v="24"/>
    <n v="29.96"/>
    <n v="2.7"/>
    <s v="No"/>
    <x v="1"/>
  </r>
  <r>
    <s v="INC102499"/>
    <d v="2025-01-06T00:00:00"/>
    <d v="2025-01-06T14:55:12"/>
    <x v="1"/>
    <x v="3"/>
    <s v="Printer"/>
    <s v="Network Support"/>
    <s v="Gurugram"/>
    <s v="Email"/>
    <s v="Resolved"/>
    <n v="24"/>
    <n v="14.92"/>
    <n v="4.8"/>
    <s v="No"/>
    <x v="0"/>
  </r>
  <r>
    <s v="INC102500"/>
    <d v="2025-06-18T00:00:00"/>
    <d v="2025-06-19T00:43:48"/>
    <x v="1"/>
    <x v="0"/>
    <s v="Performance"/>
    <s v="Access Management"/>
    <s v="Noida"/>
    <s v="Portal"/>
    <s v="Closed"/>
    <n v="24"/>
    <n v="24.73"/>
    <n v="3.3"/>
    <s v="No"/>
    <x v="1"/>
  </r>
  <r>
    <s v="INC102501"/>
    <d v="2025-05-07T00:00:00"/>
    <d v="2025-05-07T17:57:36"/>
    <x v="0"/>
    <x v="1"/>
    <s v="VPN Access"/>
    <s v="Access Management"/>
    <s v="Hyderabad"/>
    <s v="Email"/>
    <s v="In Progress"/>
    <n v="48"/>
    <n v="17.96"/>
    <n v="5"/>
    <s v="No"/>
    <x v="0"/>
  </r>
  <r>
    <s v="INC102502"/>
    <d v="2025-01-19T00:00:00"/>
    <d v="2025-01-20T00:16:12"/>
    <x v="1"/>
    <x v="0"/>
    <s v="Performance"/>
    <s v="Network Support"/>
    <s v="Noida"/>
    <s v="Portal"/>
    <s v="Resolved"/>
    <n v="24"/>
    <n v="24.27"/>
    <n v="4.2"/>
    <s v="No"/>
    <x v="1"/>
  </r>
  <r>
    <s v="INC102503"/>
    <d v="2025-05-17T00:00:00"/>
    <d v="2025-05-17T20:53:24"/>
    <x v="3"/>
    <x v="2"/>
    <s v="Packet Loss"/>
    <s v="Application Support"/>
    <s v="Delhi"/>
    <s v="Portal"/>
    <s v="Resolved"/>
    <n v="8"/>
    <n v="20.89"/>
    <n v="1"/>
    <s v="No"/>
    <x v="1"/>
  </r>
  <r>
    <s v="INC102504"/>
    <d v="2025-01-20T00:00:00"/>
    <d v="2025-01-20T18:06:00"/>
    <x v="0"/>
    <x v="2"/>
    <s v="Packet Loss"/>
    <s v="Application Support"/>
    <s v="Hyderabad"/>
    <s v="Phone"/>
    <s v="In Progress"/>
    <n v="48"/>
    <n v="18.100000000000001"/>
    <n v="3.9"/>
    <s v="No"/>
    <x v="0"/>
  </r>
  <r>
    <s v="INC102505"/>
    <d v="2025-01-10T00:00:00"/>
    <d v="2025-01-11T07:19:12"/>
    <x v="0"/>
    <x v="3"/>
    <s v="Printer"/>
    <s v="Application Support"/>
    <s v="Noida"/>
    <s v="Portal"/>
    <s v="Resolved"/>
    <n v="48"/>
    <n v="31.32"/>
    <n v="4.7"/>
    <s v="No"/>
    <x v="0"/>
  </r>
  <r>
    <s v="INC102506"/>
    <d v="2025-01-21T00:00:00"/>
    <d v="2025-01-21T19:55:12"/>
    <x v="1"/>
    <x v="2"/>
    <s v="DNS"/>
    <s v="Desktop Support"/>
    <s v="Hyderabad"/>
    <s v="Phone"/>
    <s v="Closed"/>
    <n v="24"/>
    <n v="19.920000000000002"/>
    <n v="4.4000000000000004"/>
    <s v="No"/>
    <x v="0"/>
  </r>
  <r>
    <s v="INC102507"/>
    <d v="2025-03-25T00:00:00"/>
    <d v="2025-03-25T03:55:12"/>
    <x v="3"/>
    <x v="3"/>
    <s v="Peripheral"/>
    <s v="Service Desk"/>
    <s v="Delhi"/>
    <s v="Email"/>
    <s v="Closed"/>
    <n v="8"/>
    <n v="3.92"/>
    <n v="4.8"/>
    <s v="No"/>
    <x v="0"/>
  </r>
  <r>
    <s v="INC102508"/>
    <d v="2025-04-23T00:00:00"/>
    <d v="2025-04-23T09:33:00"/>
    <x v="1"/>
    <x v="4"/>
    <s v="Mailbox"/>
    <s v="Network Support"/>
    <s v="Delhi"/>
    <s v="Phone"/>
    <s v="Closed"/>
    <n v="24"/>
    <n v="9.5500000000000007"/>
    <n v="4.5999999999999996"/>
    <s v="No"/>
    <x v="0"/>
  </r>
  <r>
    <s v="INC102509"/>
    <d v="2025-03-15T00:00:00"/>
    <d v="2025-03-15T13:27:36"/>
    <x v="1"/>
    <x v="2"/>
    <s v="Packet Loss"/>
    <s v="Network Support"/>
    <s v="Hyderabad"/>
    <s v="Phone"/>
    <s v="Resolved"/>
    <n v="24"/>
    <n v="13.46"/>
    <n v="4.0999999999999996"/>
    <s v="No"/>
    <x v="0"/>
  </r>
  <r>
    <s v="INC102510"/>
    <d v="2025-01-23T00:00:00"/>
    <d v="2025-01-24T03:17:23"/>
    <x v="1"/>
    <x v="3"/>
    <s v="Monitor"/>
    <s v="Network Support"/>
    <s v="Delhi"/>
    <s v="Phone"/>
    <s v="Closed"/>
    <n v="24"/>
    <n v="27.29"/>
    <n v="4.3"/>
    <s v="No"/>
    <x v="1"/>
  </r>
  <r>
    <s v="INC102511"/>
    <d v="2025-02-06T00:00:00"/>
    <d v="2025-02-06T06:06:36"/>
    <x v="0"/>
    <x v="1"/>
    <s v="Password Reset"/>
    <s v="Desktop Support"/>
    <s v="Delhi"/>
    <s v="Portal"/>
    <s v="Pending"/>
    <n v="48"/>
    <n v="6.11"/>
    <n v="4.3"/>
    <s v="Yes"/>
    <x v="0"/>
  </r>
  <r>
    <s v="INC102512"/>
    <d v="2025-06-04T00:00:00"/>
    <d v="2025-06-04T06:05:24"/>
    <x v="1"/>
    <x v="0"/>
    <s v="License"/>
    <s v="Network Support"/>
    <s v="Bengaluru"/>
    <s v="Chat"/>
    <s v="Resolved"/>
    <n v="24"/>
    <n v="6.09"/>
    <n v="4.7"/>
    <s v="No"/>
    <x v="0"/>
  </r>
  <r>
    <s v="INC102513"/>
    <d v="2025-06-24T00:00:00"/>
    <d v="2025-06-24T22:59:24"/>
    <x v="0"/>
    <x v="2"/>
    <s v="DNS"/>
    <s v="Application Support"/>
    <s v="Gurugram"/>
    <s v="Portal"/>
    <s v="Closed"/>
    <n v="48"/>
    <n v="22.99"/>
    <n v="4"/>
    <s v="No"/>
    <x v="0"/>
  </r>
  <r>
    <s v="INC102514"/>
    <d v="2025-05-17T00:00:00"/>
    <d v="2025-05-17T08:24:36"/>
    <x v="3"/>
    <x v="2"/>
    <s v="DNS"/>
    <s v="Application Support"/>
    <s v="Noida"/>
    <s v="Phone"/>
    <s v="Resolved"/>
    <n v="8"/>
    <n v="8.41"/>
    <n v="3.3"/>
    <s v="No"/>
    <x v="1"/>
  </r>
  <r>
    <s v="INC102515"/>
    <d v="2025-01-19T00:00:00"/>
    <d v="2025-01-20T02:45:00"/>
    <x v="0"/>
    <x v="4"/>
    <s v="Spam"/>
    <s v="Service Desk"/>
    <s v="Noida"/>
    <s v="Email"/>
    <s v="Pending"/>
    <n v="48"/>
    <n v="26.75"/>
    <n v="4"/>
    <s v="No"/>
    <x v="0"/>
  </r>
  <r>
    <s v="INC102516"/>
    <d v="2025-05-29T00:00:00"/>
    <d v="2025-05-29T15:26:24"/>
    <x v="0"/>
    <x v="2"/>
    <s v="Link Down"/>
    <s v="Network Support"/>
    <s v="Gurugram"/>
    <s v="Portal"/>
    <s v="Resolved"/>
    <n v="48"/>
    <n v="15.44"/>
    <n v="4.0999999999999996"/>
    <s v="No"/>
    <x v="0"/>
  </r>
  <r>
    <s v="INC102517"/>
    <d v="2025-05-06T00:00:00"/>
    <d v="2025-05-07T11:13:48"/>
    <x v="1"/>
    <x v="0"/>
    <s v="License"/>
    <s v="Desktop Support"/>
    <s v="Noida"/>
    <s v="Email"/>
    <s v="Resolved"/>
    <n v="24"/>
    <n v="35.229999999999997"/>
    <n v="3.6"/>
    <s v="Yes"/>
    <x v="1"/>
  </r>
  <r>
    <s v="INC102518"/>
    <d v="2025-04-06T00:00:00"/>
    <d v="2025-04-06T15:19:48"/>
    <x v="1"/>
    <x v="1"/>
    <s v="Password Reset"/>
    <s v="Access Management"/>
    <s v="Gurugram"/>
    <s v="Email"/>
    <s v="Resolved"/>
    <n v="24"/>
    <n v="15.33"/>
    <n v="3.3"/>
    <s v="Yes"/>
    <x v="0"/>
  </r>
  <r>
    <s v="INC102519"/>
    <d v="2025-01-26T00:00:00"/>
    <d v="2025-01-26T09:24:00"/>
    <x v="1"/>
    <x v="2"/>
    <s v="Connectivity"/>
    <s v="Service Desk"/>
    <s v="Gurugram"/>
    <s v="Portal"/>
    <s v="Pending"/>
    <n v="24"/>
    <n v="9.4"/>
    <n v="4.8"/>
    <s v="No"/>
    <x v="0"/>
  </r>
  <r>
    <s v="INC102520"/>
    <d v="2025-06-30T00:00:00"/>
    <d v="2025-06-30T19:42:00"/>
    <x v="1"/>
    <x v="1"/>
    <s v="Account Lock"/>
    <s v="Access Management"/>
    <s v="Gurugram"/>
    <s v="Portal"/>
    <s v="Resolved"/>
    <n v="24"/>
    <n v="19.7"/>
    <n v="3.6"/>
    <s v="No"/>
    <x v="0"/>
  </r>
  <r>
    <s v="INC102521"/>
    <d v="2025-03-22T00:00:00"/>
    <d v="2025-03-22T06:20:24"/>
    <x v="3"/>
    <x v="2"/>
    <s v="Packet Loss"/>
    <s v="Service Desk"/>
    <s v="Delhi"/>
    <s v="Portal"/>
    <s v="Resolved"/>
    <n v="8"/>
    <n v="6.34"/>
    <n v="4.0999999999999996"/>
    <s v="No"/>
    <x v="0"/>
  </r>
  <r>
    <s v="INC102522"/>
    <d v="2025-01-08T00:00:00"/>
    <d v="2025-01-08T05:12:36"/>
    <x v="3"/>
    <x v="3"/>
    <s v="Monitor"/>
    <s v="Network Support"/>
    <s v="Bengaluru"/>
    <s v="Chat"/>
    <s v="Resolved"/>
    <n v="8"/>
    <n v="5.21"/>
    <n v="4.0999999999999996"/>
    <s v="No"/>
    <x v="0"/>
  </r>
  <r>
    <s v="INC102523"/>
    <d v="2025-02-08T00:00:00"/>
    <d v="2025-02-08T02:26:24"/>
    <x v="3"/>
    <x v="3"/>
    <s v="Laptop"/>
    <s v="Application Support"/>
    <s v="Bengaluru"/>
    <s v="Email"/>
    <s v="In Progress"/>
    <n v="8"/>
    <n v="2.44"/>
    <n v="4.3"/>
    <s v="No"/>
    <x v="0"/>
  </r>
  <r>
    <s v="INC102524"/>
    <d v="2025-03-14T00:00:00"/>
    <d v="2025-03-15T00:52:48"/>
    <x v="1"/>
    <x v="4"/>
    <s v="Delivery"/>
    <s v="Access Management"/>
    <s v="Delhi"/>
    <s v="Portal"/>
    <s v="Resolved"/>
    <n v="24"/>
    <n v="24.88"/>
    <n v="4.5"/>
    <s v="No"/>
    <x v="1"/>
  </r>
  <r>
    <s v="INC102525"/>
    <d v="2025-01-12T00:00:00"/>
    <d v="2025-01-13T15:22:12"/>
    <x v="1"/>
    <x v="2"/>
    <s v="DNS"/>
    <s v="Access Management"/>
    <s v="Noida"/>
    <s v="Phone"/>
    <s v="Closed"/>
    <n v="24"/>
    <n v="39.369999999999997"/>
    <n v="2.8"/>
    <s v="No"/>
    <x v="1"/>
  </r>
  <r>
    <s v="INC102526"/>
    <d v="2025-02-28T00:00:00"/>
    <d v="2025-02-28T17:31:48"/>
    <x v="1"/>
    <x v="2"/>
    <s v="Link Down"/>
    <s v="Access Management"/>
    <s v="Mumbai"/>
    <s v="Email"/>
    <s v="Closed"/>
    <n v="24"/>
    <n v="17.53"/>
    <n v="4.5999999999999996"/>
    <s v="No"/>
    <x v="0"/>
  </r>
  <r>
    <s v="INC102527"/>
    <d v="2025-03-26T00:00:00"/>
    <d v="2025-03-26T03:32:24"/>
    <x v="1"/>
    <x v="4"/>
    <s v="Spam"/>
    <s v="Network Support"/>
    <s v="Delhi"/>
    <s v="Phone"/>
    <s v="Closed"/>
    <n v="24"/>
    <n v="3.54"/>
    <n v="5"/>
    <s v="No"/>
    <x v="0"/>
  </r>
  <r>
    <s v="INC102528"/>
    <d v="2025-06-21T00:00:00"/>
    <d v="2025-06-23T04:36:36"/>
    <x v="1"/>
    <x v="2"/>
    <s v="Link Down"/>
    <s v="Network Support"/>
    <s v="Gurugram"/>
    <s v="Email"/>
    <s v="Closed"/>
    <n v="24"/>
    <n v="52.61"/>
    <n v="2.2000000000000002"/>
    <s v="No"/>
    <x v="1"/>
  </r>
  <r>
    <s v="INC102529"/>
    <d v="2025-01-16T00:00:00"/>
    <d v="2025-01-16T19:34:47"/>
    <x v="1"/>
    <x v="1"/>
    <s v="Account Lock"/>
    <s v="Desktop Support"/>
    <s v="Hyderabad"/>
    <s v="Portal"/>
    <s v="Closed"/>
    <n v="24"/>
    <n v="19.579999999999998"/>
    <n v="3.2"/>
    <s v="No"/>
    <x v="0"/>
  </r>
  <r>
    <s v="INC102530"/>
    <d v="2025-04-15T00:00:00"/>
    <d v="2025-04-15T10:56:24"/>
    <x v="0"/>
    <x v="0"/>
    <s v="Performance"/>
    <s v="Access Management"/>
    <s v="Noida"/>
    <s v="Portal"/>
    <s v="Resolved"/>
    <n v="48"/>
    <n v="10.94"/>
    <n v="4.2"/>
    <s v="No"/>
    <x v="0"/>
  </r>
  <r>
    <s v="INC102531"/>
    <d v="2025-06-15T00:00:00"/>
    <d v="2025-06-17T00:00:36"/>
    <x v="0"/>
    <x v="0"/>
    <s v="Installation"/>
    <s v="Access Management"/>
    <s v="Delhi"/>
    <s v="Phone"/>
    <s v="Resolved"/>
    <n v="48"/>
    <n v="48.01"/>
    <n v="4.5999999999999996"/>
    <s v="No"/>
    <x v="1"/>
  </r>
  <r>
    <s v="INC102532"/>
    <d v="2025-05-26T00:00:00"/>
    <d v="2025-05-26T09:44:24"/>
    <x v="3"/>
    <x v="1"/>
    <s v="Permission"/>
    <s v="Service Desk"/>
    <s v="Bengaluru"/>
    <s v="Phone"/>
    <s v="Resolved"/>
    <n v="8"/>
    <n v="9.74"/>
    <n v="3.9"/>
    <s v="No"/>
    <x v="1"/>
  </r>
  <r>
    <s v="INC102533"/>
    <d v="2025-06-17T00:00:00"/>
    <d v="2025-06-18T03:33:36"/>
    <x v="0"/>
    <x v="1"/>
    <s v="Password Reset"/>
    <s v="Service Desk"/>
    <s v="Noida"/>
    <s v="Phone"/>
    <s v="Resolved"/>
    <n v="48"/>
    <n v="27.56"/>
    <n v="4.4000000000000004"/>
    <s v="No"/>
    <x v="0"/>
  </r>
  <r>
    <s v="INC102534"/>
    <d v="2025-01-31T00:00:00"/>
    <d v="2025-01-31T02:28:12"/>
    <x v="1"/>
    <x v="2"/>
    <s v="Packet Loss"/>
    <s v="Application Support"/>
    <s v="Gurugram"/>
    <s v="Portal"/>
    <s v="Resolved"/>
    <n v="24"/>
    <n v="2.4700000000000002"/>
    <n v="4.5"/>
    <s v="No"/>
    <x v="0"/>
  </r>
  <r>
    <s v="INC102535"/>
    <d v="2025-05-26T00:00:00"/>
    <d v="2025-05-26T16:12:00"/>
    <x v="1"/>
    <x v="4"/>
    <s v="Mailbox"/>
    <s v="Access Management"/>
    <s v="Delhi"/>
    <s v="Phone"/>
    <s v="Resolved"/>
    <n v="24"/>
    <n v="16.2"/>
    <n v="5"/>
    <s v="No"/>
    <x v="0"/>
  </r>
  <r>
    <s v="INC102536"/>
    <d v="2025-06-27T00:00:00"/>
    <d v="2025-06-27T10:38:24"/>
    <x v="0"/>
    <x v="4"/>
    <s v="Spam"/>
    <s v="Network Support"/>
    <s v="Hyderabad"/>
    <s v="Portal"/>
    <s v="In Progress"/>
    <n v="48"/>
    <n v="10.64"/>
    <n v="4.2"/>
    <s v="No"/>
    <x v="0"/>
  </r>
  <r>
    <s v="INC102537"/>
    <d v="2025-03-01T00:00:00"/>
    <d v="2025-03-01T06:40:48"/>
    <x v="3"/>
    <x v="4"/>
    <s v="Configuration"/>
    <s v="Access Management"/>
    <s v="Mumbai"/>
    <s v="Email"/>
    <s v="In Progress"/>
    <n v="8"/>
    <n v="6.68"/>
    <n v="4.0999999999999996"/>
    <s v="No"/>
    <x v="0"/>
  </r>
  <r>
    <s v="INC102538"/>
    <d v="2025-04-01T00:00:00"/>
    <d v="2025-04-01T15:11:24"/>
    <x v="0"/>
    <x v="0"/>
    <s v="Installation"/>
    <s v="Access Management"/>
    <s v="Mumbai"/>
    <s v="Portal"/>
    <s v="Resolved"/>
    <n v="48"/>
    <n v="15.19"/>
    <n v="4.9000000000000004"/>
    <s v="No"/>
    <x v="0"/>
  </r>
  <r>
    <s v="INC102539"/>
    <d v="2025-04-07T00:00:00"/>
    <d v="2025-04-07T06:09:00"/>
    <x v="3"/>
    <x v="0"/>
    <s v="Performance"/>
    <s v="Network Support"/>
    <s v="Delhi"/>
    <s v="Phone"/>
    <s v="Closed"/>
    <n v="8"/>
    <n v="6.15"/>
    <n v="3.2"/>
    <s v="No"/>
    <x v="0"/>
  </r>
  <r>
    <s v="INC102540"/>
    <d v="2025-03-31T00:00:00"/>
    <d v="2025-03-31T03:13:48"/>
    <x v="3"/>
    <x v="0"/>
    <s v="Installation"/>
    <s v="Access Management"/>
    <s v="Hyderabad"/>
    <s v="Chat"/>
    <s v="Closed"/>
    <n v="8"/>
    <n v="3.23"/>
    <n v="4"/>
    <s v="No"/>
    <x v="0"/>
  </r>
  <r>
    <s v="INC102541"/>
    <d v="2025-02-22T00:00:00"/>
    <d v="2025-02-23T09:31:12"/>
    <x v="0"/>
    <x v="2"/>
    <s v="DNS"/>
    <s v="Application Support"/>
    <s v="Noida"/>
    <s v="Portal"/>
    <s v="Pending"/>
    <n v="48"/>
    <n v="33.520000000000003"/>
    <n v="3.9"/>
    <s v="No"/>
    <x v="0"/>
  </r>
  <r>
    <s v="INC102542"/>
    <d v="2025-06-25T00:00:00"/>
    <d v="2025-06-27T00:58:12"/>
    <x v="0"/>
    <x v="0"/>
    <s v="License"/>
    <s v="Access Management"/>
    <s v="Noida"/>
    <s v="Phone"/>
    <s v="Resolved"/>
    <n v="48"/>
    <n v="48.97"/>
    <n v="4.3"/>
    <s v="No"/>
    <x v="1"/>
  </r>
  <r>
    <s v="INC102543"/>
    <d v="2025-06-23T00:00:00"/>
    <d v="2025-06-24T00:57:36"/>
    <x v="1"/>
    <x v="0"/>
    <s v="License"/>
    <s v="Service Desk"/>
    <s v="Hyderabad"/>
    <s v="Email"/>
    <s v="Closed"/>
    <n v="24"/>
    <n v="24.96"/>
    <n v="3.5"/>
    <s v="No"/>
    <x v="1"/>
  </r>
  <r>
    <s v="INC102544"/>
    <d v="2025-03-10T00:00:00"/>
    <d v="2025-03-10T06:45:00"/>
    <x v="1"/>
    <x v="0"/>
    <s v="Installation"/>
    <s v="Access Management"/>
    <s v="Noida"/>
    <s v="Portal"/>
    <s v="Resolved"/>
    <n v="24"/>
    <n v="6.75"/>
    <n v="3.7"/>
    <s v="Yes"/>
    <x v="0"/>
  </r>
  <r>
    <s v="INC102545"/>
    <d v="2025-05-26T00:00:00"/>
    <d v="2025-05-26T21:16:48"/>
    <x v="0"/>
    <x v="3"/>
    <s v="Monitor"/>
    <s v="Network Support"/>
    <s v="Gurugram"/>
    <s v="Portal"/>
    <s v="Resolved"/>
    <n v="48"/>
    <n v="21.28"/>
    <n v="3.5"/>
    <s v="No"/>
    <x v="0"/>
  </r>
  <r>
    <s v="INC102546"/>
    <d v="2025-03-13T00:00:00"/>
    <d v="2025-03-13T01:50:24"/>
    <x v="2"/>
    <x v="3"/>
    <s v="Printer"/>
    <s v="Network Support"/>
    <s v="Gurugram"/>
    <s v="Phone"/>
    <s v="Closed"/>
    <n v="4"/>
    <n v="1.84"/>
    <n v="3.9"/>
    <s v="No"/>
    <x v="0"/>
  </r>
  <r>
    <s v="INC102547"/>
    <d v="2025-05-24T00:00:00"/>
    <d v="2025-05-25T08:00:36"/>
    <x v="0"/>
    <x v="0"/>
    <s v="License"/>
    <s v="Desktop Support"/>
    <s v="Hyderabad"/>
    <s v="Portal"/>
    <s v="Resolved"/>
    <n v="48"/>
    <n v="32.01"/>
    <n v="3.2"/>
    <s v="Yes"/>
    <x v="0"/>
  </r>
  <r>
    <s v="INC102548"/>
    <d v="2025-04-16T00:00:00"/>
    <d v="2025-04-16T10:12:36"/>
    <x v="3"/>
    <x v="3"/>
    <s v="Printer"/>
    <s v="Application Support"/>
    <s v="Bengaluru"/>
    <s v="Portal"/>
    <s v="Resolved"/>
    <n v="8"/>
    <n v="10.210000000000001"/>
    <n v="4"/>
    <s v="No"/>
    <x v="1"/>
  </r>
  <r>
    <s v="INC102549"/>
    <d v="2025-03-27T00:00:00"/>
    <d v="2025-03-28T00:10:12"/>
    <x v="0"/>
    <x v="4"/>
    <s v="Delivery"/>
    <s v="Network Support"/>
    <s v="Bengaluru"/>
    <s v="Phone"/>
    <s v="Closed"/>
    <n v="48"/>
    <n v="24.17"/>
    <n v="4.9000000000000004"/>
    <s v="No"/>
    <x v="0"/>
  </r>
  <r>
    <s v="INC102550"/>
    <d v="2025-01-24T00:00:00"/>
    <d v="2025-01-24T03:06:36"/>
    <x v="2"/>
    <x v="0"/>
    <s v="License"/>
    <s v="Service Desk"/>
    <s v="Bengaluru"/>
    <s v="Email"/>
    <s v="Resolved"/>
    <n v="4"/>
    <n v="3.11"/>
    <n v="4.0999999999999996"/>
    <s v="No"/>
    <x v="0"/>
  </r>
  <r>
    <s v="INC102551"/>
    <d v="2025-04-29T00:00:00"/>
    <d v="2025-04-29T23:15:36"/>
    <x v="0"/>
    <x v="2"/>
    <s v="DNS"/>
    <s v="Service Desk"/>
    <s v="Gurugram"/>
    <s v="Phone"/>
    <s v="Resolved"/>
    <n v="48"/>
    <n v="23.26"/>
    <n v="4.2"/>
    <s v="No"/>
    <x v="0"/>
  </r>
  <r>
    <s v="INC102552"/>
    <d v="2025-02-28T00:00:00"/>
    <d v="2025-02-28T07:38:24"/>
    <x v="1"/>
    <x v="2"/>
    <s v="Link Down"/>
    <s v="Network Support"/>
    <s v="Noida"/>
    <s v="Email"/>
    <s v="Resolved"/>
    <n v="24"/>
    <n v="7.64"/>
    <n v="5"/>
    <s v="No"/>
    <x v="0"/>
  </r>
  <r>
    <s v="INC102553"/>
    <d v="2025-02-09T00:00:00"/>
    <d v="2025-02-09T03:17:23"/>
    <x v="1"/>
    <x v="0"/>
    <s v="Application Error"/>
    <s v="Network Support"/>
    <s v="Hyderabad"/>
    <s v="Email"/>
    <s v="Closed"/>
    <n v="24"/>
    <n v="3.29"/>
    <n v="5"/>
    <s v="No"/>
    <x v="0"/>
  </r>
  <r>
    <s v="INC102554"/>
    <d v="2025-02-04T00:00:00"/>
    <d v="2025-02-04T18:25:48"/>
    <x v="0"/>
    <x v="3"/>
    <s v="Monitor"/>
    <s v="Network Support"/>
    <s v="Delhi"/>
    <s v="Phone"/>
    <s v="Closed"/>
    <n v="48"/>
    <n v="18.43"/>
    <n v="3.9"/>
    <s v="No"/>
    <x v="0"/>
  </r>
  <r>
    <s v="INC102555"/>
    <d v="2025-06-27T00:00:00"/>
    <d v="2025-06-27T01:32:24"/>
    <x v="3"/>
    <x v="1"/>
    <s v="Permission"/>
    <s v="Access Management"/>
    <s v="Hyderabad"/>
    <s v="Portal"/>
    <s v="Pending"/>
    <n v="8"/>
    <n v="1.54"/>
    <n v="4.2"/>
    <s v="No"/>
    <x v="0"/>
  </r>
  <r>
    <s v="INC102556"/>
    <d v="2025-01-19T00:00:00"/>
    <d v="2025-01-19T09:43:12"/>
    <x v="0"/>
    <x v="2"/>
    <s v="DNS"/>
    <s v="Access Management"/>
    <s v="Gurugram"/>
    <s v="Portal"/>
    <s v="Resolved"/>
    <n v="48"/>
    <n v="9.7200000000000006"/>
    <n v="5"/>
    <s v="No"/>
    <x v="0"/>
  </r>
  <r>
    <s v="INC102557"/>
    <d v="2025-05-25T00:00:00"/>
    <d v="2025-05-25T17:00:36"/>
    <x v="1"/>
    <x v="2"/>
    <s v="Link Down"/>
    <s v="Application Support"/>
    <s v="Gurugram"/>
    <s v="Email"/>
    <s v="Resolved"/>
    <n v="24"/>
    <n v="17.010000000000002"/>
    <n v="4.3"/>
    <s v="No"/>
    <x v="0"/>
  </r>
  <r>
    <s v="INC102558"/>
    <d v="2025-06-06T00:00:00"/>
    <d v="2025-06-06T18:29:24"/>
    <x v="1"/>
    <x v="3"/>
    <s v="Laptop"/>
    <s v="Application Support"/>
    <s v="Delhi"/>
    <s v="Chat"/>
    <s v="Resolved"/>
    <n v="24"/>
    <n v="18.489999999999998"/>
    <n v="4.5"/>
    <s v="No"/>
    <x v="0"/>
  </r>
  <r>
    <s v="INC102559"/>
    <d v="2025-01-06T00:00:00"/>
    <d v="2025-01-07T01:44:24"/>
    <x v="1"/>
    <x v="1"/>
    <s v="Account Lock"/>
    <s v="Network Support"/>
    <s v="Bengaluru"/>
    <s v="Portal"/>
    <s v="Resolved"/>
    <n v="24"/>
    <n v="25.74"/>
    <n v="3.1"/>
    <s v="No"/>
    <x v="1"/>
  </r>
  <r>
    <s v="INC102560"/>
    <d v="2025-04-17T00:00:00"/>
    <d v="2025-04-17T03:59:24"/>
    <x v="0"/>
    <x v="4"/>
    <s v="Delivery"/>
    <s v="Network Support"/>
    <s v="Gurugram"/>
    <s v="Chat"/>
    <s v="Resolved"/>
    <n v="48"/>
    <n v="3.99"/>
    <n v="4.4000000000000004"/>
    <s v="No"/>
    <x v="0"/>
  </r>
  <r>
    <s v="INC102561"/>
    <d v="2025-04-15T00:00:00"/>
    <d v="2025-04-16T21:37:48"/>
    <x v="0"/>
    <x v="4"/>
    <s v="Mailbox"/>
    <s v="Service Desk"/>
    <s v="Noida"/>
    <s v="Phone"/>
    <s v="In Progress"/>
    <n v="48"/>
    <n v="45.63"/>
    <n v="4.2"/>
    <s v="No"/>
    <x v="0"/>
  </r>
  <r>
    <s v="INC102562"/>
    <d v="2025-03-06T00:00:00"/>
    <d v="2025-03-06T01:18:36"/>
    <x v="0"/>
    <x v="0"/>
    <s v="Installation"/>
    <s v="Access Management"/>
    <s v="Bengaluru"/>
    <s v="Email"/>
    <s v="Resolved"/>
    <n v="48"/>
    <n v="1.31"/>
    <n v="4.5"/>
    <s v="No"/>
    <x v="0"/>
  </r>
  <r>
    <s v="INC102563"/>
    <d v="2025-05-01T00:00:00"/>
    <d v="2025-05-01T07:40:48"/>
    <x v="1"/>
    <x v="1"/>
    <s v="Account Lock"/>
    <s v="Desktop Support"/>
    <s v="Bengaluru"/>
    <s v="Portal"/>
    <s v="Resolved"/>
    <n v="24"/>
    <n v="7.68"/>
    <n v="3.6"/>
    <s v="No"/>
    <x v="0"/>
  </r>
  <r>
    <s v="INC102564"/>
    <d v="2025-03-15T00:00:00"/>
    <d v="2025-03-15T23:19:12"/>
    <x v="0"/>
    <x v="2"/>
    <s v="DNS"/>
    <s v="Access Management"/>
    <s v="Hyderabad"/>
    <s v="Portal"/>
    <s v="In Progress"/>
    <n v="48"/>
    <n v="23.32"/>
    <n v="4"/>
    <s v="No"/>
    <x v="0"/>
  </r>
  <r>
    <s v="INC102565"/>
    <d v="2025-03-21T00:00:00"/>
    <d v="2025-03-21T02:33:00"/>
    <x v="3"/>
    <x v="0"/>
    <s v="Performance"/>
    <s v="Service Desk"/>
    <s v="Bengaluru"/>
    <s v="Email"/>
    <s v="Closed"/>
    <n v="8"/>
    <n v="2.5499999999999998"/>
    <n v="4.5"/>
    <s v="No"/>
    <x v="0"/>
  </r>
  <r>
    <s v="INC102566"/>
    <d v="2025-03-20T00:00:00"/>
    <d v="2025-03-20T13:03:36"/>
    <x v="1"/>
    <x v="4"/>
    <s v="Delivery"/>
    <s v="Service Desk"/>
    <s v="Gurugram"/>
    <s v="Portal"/>
    <s v="Closed"/>
    <n v="24"/>
    <n v="13.06"/>
    <n v="5"/>
    <s v="Yes"/>
    <x v="0"/>
  </r>
  <r>
    <s v="INC102567"/>
    <d v="2025-05-25T00:00:00"/>
    <d v="2025-05-25T15:13:48"/>
    <x v="1"/>
    <x v="3"/>
    <s v="Printer"/>
    <s v="Access Management"/>
    <s v="Mumbai"/>
    <s v="Portal"/>
    <s v="Resolved"/>
    <n v="24"/>
    <n v="15.23"/>
    <n v="3.7"/>
    <s v="No"/>
    <x v="0"/>
  </r>
  <r>
    <s v="INC102568"/>
    <d v="2025-04-25T00:00:00"/>
    <d v="2025-04-25T00:30:00"/>
    <x v="1"/>
    <x v="4"/>
    <s v="Mailbox"/>
    <s v="Desktop Support"/>
    <s v="Delhi"/>
    <s v="Portal"/>
    <s v="Resolved"/>
    <n v="24"/>
    <n v="0.5"/>
    <n v="4.9000000000000004"/>
    <s v="No"/>
    <x v="0"/>
  </r>
  <r>
    <s v="INC102569"/>
    <d v="2025-03-10T00:00:00"/>
    <d v="2025-03-11T13:49:12"/>
    <x v="0"/>
    <x v="2"/>
    <s v="Link Down"/>
    <s v="Application Support"/>
    <s v="Hyderabad"/>
    <s v="Chat"/>
    <s v="Resolved"/>
    <n v="48"/>
    <n v="37.82"/>
    <n v="5"/>
    <s v="No"/>
    <x v="0"/>
  </r>
  <r>
    <s v="INC102570"/>
    <d v="2025-06-17T00:00:00"/>
    <d v="2025-06-17T08:41:24"/>
    <x v="1"/>
    <x v="2"/>
    <s v="DNS"/>
    <s v="Application Support"/>
    <s v="Gurugram"/>
    <s v="Portal"/>
    <s v="Resolved"/>
    <n v="24"/>
    <n v="8.69"/>
    <n v="3.9"/>
    <s v="No"/>
    <x v="0"/>
  </r>
  <r>
    <s v="INC102571"/>
    <d v="2025-05-26T00:00:00"/>
    <d v="2025-05-27T20:27:36"/>
    <x v="0"/>
    <x v="0"/>
    <s v="Performance"/>
    <s v="Application Support"/>
    <s v="Mumbai"/>
    <s v="Email"/>
    <s v="Resolved"/>
    <n v="48"/>
    <n v="44.46"/>
    <n v="4.3"/>
    <s v="No"/>
    <x v="0"/>
  </r>
  <r>
    <s v="INC102572"/>
    <d v="2025-06-18T00:00:00"/>
    <d v="2025-06-18T22:48:36"/>
    <x v="1"/>
    <x v="4"/>
    <s v="Delivery"/>
    <s v="Application Support"/>
    <s v="Delhi"/>
    <s v="Portal"/>
    <s v="In Progress"/>
    <n v="24"/>
    <n v="22.81"/>
    <n v="3.4"/>
    <s v="No"/>
    <x v="0"/>
  </r>
  <r>
    <s v="INC102573"/>
    <d v="2025-05-13T00:00:00"/>
    <d v="2025-05-13T14:12:00"/>
    <x v="1"/>
    <x v="3"/>
    <s v="Peripheral"/>
    <s v="Access Management"/>
    <s v="Noida"/>
    <s v="Portal"/>
    <s v="Resolved"/>
    <n v="24"/>
    <n v="14.2"/>
    <n v="4.5999999999999996"/>
    <s v="No"/>
    <x v="0"/>
  </r>
  <r>
    <s v="INC102574"/>
    <d v="2025-03-12T00:00:00"/>
    <d v="2025-03-13T00:56:24"/>
    <x v="1"/>
    <x v="1"/>
    <s v="Permission"/>
    <s v="Desktop Support"/>
    <s v="Mumbai"/>
    <s v="Portal"/>
    <s v="Resolved"/>
    <n v="24"/>
    <n v="24.94"/>
    <n v="5"/>
    <s v="No"/>
    <x v="1"/>
  </r>
  <r>
    <s v="INC102575"/>
    <d v="2025-05-20T00:00:00"/>
    <d v="2025-05-20T01:01:48"/>
    <x v="2"/>
    <x v="2"/>
    <s v="Packet Loss"/>
    <s v="Service Desk"/>
    <s v="Bengaluru"/>
    <s v="Phone"/>
    <s v="Resolved"/>
    <n v="4"/>
    <n v="1.03"/>
    <n v="5"/>
    <s v="No"/>
    <x v="0"/>
  </r>
  <r>
    <s v="INC102576"/>
    <d v="2025-03-01T00:00:00"/>
    <d v="2025-03-01T15:33:00"/>
    <x v="0"/>
    <x v="1"/>
    <s v="Password Reset"/>
    <s v="Desktop Support"/>
    <s v="Delhi"/>
    <s v="Email"/>
    <s v="In Progress"/>
    <n v="48"/>
    <n v="15.55"/>
    <n v="4.7"/>
    <s v="No"/>
    <x v="0"/>
  </r>
  <r>
    <s v="INC102577"/>
    <d v="2025-02-19T00:00:00"/>
    <d v="2025-02-19T01:55:12"/>
    <x v="1"/>
    <x v="0"/>
    <s v="Application Error"/>
    <s v="Service Desk"/>
    <s v="Delhi"/>
    <s v="Portal"/>
    <s v="Resolved"/>
    <n v="24"/>
    <n v="1.92"/>
    <n v="4.3"/>
    <s v="Yes"/>
    <x v="0"/>
  </r>
  <r>
    <s v="INC102578"/>
    <d v="2025-03-23T00:00:00"/>
    <d v="2025-03-24T14:47:24"/>
    <x v="0"/>
    <x v="2"/>
    <s v="Connectivity"/>
    <s v="Network Support"/>
    <s v="Hyderabad"/>
    <s v="Phone"/>
    <s v="Resolved"/>
    <n v="48"/>
    <n v="38.79"/>
    <n v="3.9"/>
    <s v="No"/>
    <x v="0"/>
  </r>
  <r>
    <s v="INC102579"/>
    <d v="2025-06-25T00:00:00"/>
    <d v="2025-06-25T13:14:24"/>
    <x v="1"/>
    <x v="0"/>
    <s v="Installation"/>
    <s v="Service Desk"/>
    <s v="Bengaluru"/>
    <s v="Portal"/>
    <s v="Closed"/>
    <n v="24"/>
    <n v="13.24"/>
    <n v="4"/>
    <s v="No"/>
    <x v="0"/>
  </r>
  <r>
    <s v="INC102580"/>
    <d v="2025-04-13T00:00:00"/>
    <d v="2025-04-13T11:33:36"/>
    <x v="1"/>
    <x v="0"/>
    <s v="Performance"/>
    <s v="Desktop Support"/>
    <s v="Hyderabad"/>
    <s v="Phone"/>
    <s v="Resolved"/>
    <n v="24"/>
    <n v="11.56"/>
    <n v="3.5"/>
    <s v="No"/>
    <x v="0"/>
  </r>
  <r>
    <s v="INC102581"/>
    <d v="2025-03-11T00:00:00"/>
    <d v="2025-03-11T21:57:36"/>
    <x v="0"/>
    <x v="0"/>
    <s v="License"/>
    <s v="Desktop Support"/>
    <s v="Delhi"/>
    <s v="Portal"/>
    <s v="Closed"/>
    <n v="48"/>
    <n v="21.96"/>
    <n v="3.1"/>
    <s v="No"/>
    <x v="0"/>
  </r>
  <r>
    <s v="INC102582"/>
    <d v="2025-03-25T00:00:00"/>
    <d v="2025-03-25T09:44:24"/>
    <x v="1"/>
    <x v="2"/>
    <s v="Link Down"/>
    <s v="Service Desk"/>
    <s v="Noida"/>
    <s v="Phone"/>
    <s v="Resolved"/>
    <n v="24"/>
    <n v="9.74"/>
    <n v="4"/>
    <s v="No"/>
    <x v="0"/>
  </r>
  <r>
    <s v="INC102583"/>
    <d v="2025-02-22T00:00:00"/>
    <d v="2025-02-22T04:53:24"/>
    <x v="1"/>
    <x v="2"/>
    <s v="Packet Loss"/>
    <s v="Application Support"/>
    <s v="Bengaluru"/>
    <s v="Chat"/>
    <s v="Closed"/>
    <n v="24"/>
    <n v="4.8899999999999997"/>
    <n v="4.7"/>
    <s v="No"/>
    <x v="0"/>
  </r>
  <r>
    <s v="INC102584"/>
    <d v="2025-04-30T00:00:00"/>
    <d v="2025-04-30T07:58:48"/>
    <x v="0"/>
    <x v="4"/>
    <s v="Configuration"/>
    <s v="Service Desk"/>
    <s v="Hyderabad"/>
    <s v="Phone"/>
    <s v="Resolved"/>
    <n v="48"/>
    <n v="7.98"/>
    <n v="5"/>
    <s v="No"/>
    <x v="0"/>
  </r>
  <r>
    <s v="INC102585"/>
    <d v="2025-03-05T00:00:00"/>
    <d v="2025-03-05T13:11:24"/>
    <x v="3"/>
    <x v="0"/>
    <s v="Performance"/>
    <s v="Application Support"/>
    <s v="Mumbai"/>
    <s v="Portal"/>
    <s v="Resolved"/>
    <n v="8"/>
    <n v="13.19"/>
    <n v="2.5"/>
    <s v="No"/>
    <x v="1"/>
  </r>
  <r>
    <s v="INC102586"/>
    <d v="2025-04-11T00:00:00"/>
    <d v="2025-04-11T18:06:36"/>
    <x v="1"/>
    <x v="1"/>
    <s v="Account Lock"/>
    <s v="Service Desk"/>
    <s v="Bengaluru"/>
    <s v="Email"/>
    <s v="Resolved"/>
    <n v="24"/>
    <n v="18.11"/>
    <n v="4.2"/>
    <s v="No"/>
    <x v="0"/>
  </r>
  <r>
    <s v="INC102587"/>
    <d v="2025-03-08T00:00:00"/>
    <d v="2025-03-08T03:46:12"/>
    <x v="3"/>
    <x v="0"/>
    <s v="Installation"/>
    <s v="Access Management"/>
    <s v="Gurugram"/>
    <s v="Phone"/>
    <s v="In Progress"/>
    <n v="8"/>
    <n v="3.77"/>
    <n v="3.3"/>
    <s v="No"/>
    <x v="0"/>
  </r>
  <r>
    <s v="INC102588"/>
    <d v="2025-02-28T00:00:00"/>
    <d v="2025-02-28T10:12:00"/>
    <x v="1"/>
    <x v="1"/>
    <s v="Permission"/>
    <s v="Application Support"/>
    <s v="Hyderabad"/>
    <s v="Email"/>
    <s v="Resolved"/>
    <n v="24"/>
    <n v="10.199999999999999"/>
    <n v="4"/>
    <s v="No"/>
    <x v="0"/>
  </r>
  <r>
    <s v="INC102589"/>
    <d v="2025-06-25T00:00:00"/>
    <d v="2025-06-25T05:33:36"/>
    <x v="3"/>
    <x v="2"/>
    <s v="Link Down"/>
    <s v="Desktop Support"/>
    <s v="Gurugram"/>
    <s v="Portal"/>
    <s v="Closed"/>
    <n v="8"/>
    <n v="5.56"/>
    <n v="2.6"/>
    <s v="No"/>
    <x v="0"/>
  </r>
  <r>
    <s v="INC102590"/>
    <d v="2025-03-04T00:00:00"/>
    <d v="2025-03-06T08:50:24"/>
    <x v="0"/>
    <x v="0"/>
    <s v="Application Error"/>
    <s v="Desktop Support"/>
    <s v="Gurugram"/>
    <s v="Email"/>
    <s v="Resolved"/>
    <n v="48"/>
    <n v="56.84"/>
    <n v="5"/>
    <s v="Yes"/>
    <x v="1"/>
  </r>
  <r>
    <s v="INC102591"/>
    <d v="2025-01-13T00:00:00"/>
    <d v="2025-01-13T14:27:00"/>
    <x v="1"/>
    <x v="0"/>
    <s v="Performance"/>
    <s v="Application Support"/>
    <s v="Mumbai"/>
    <s v="Portal"/>
    <s v="Closed"/>
    <n v="24"/>
    <n v="14.45"/>
    <n v="4.4000000000000004"/>
    <s v="No"/>
    <x v="0"/>
  </r>
  <r>
    <s v="INC102592"/>
    <d v="2025-03-10T00:00:00"/>
    <d v="2025-03-10T16:30:36"/>
    <x v="3"/>
    <x v="2"/>
    <s v="Packet Loss"/>
    <s v="Desktop Support"/>
    <s v="Hyderabad"/>
    <s v="Email"/>
    <s v="Resolved"/>
    <n v="8"/>
    <n v="16.510000000000002"/>
    <n v="2.6"/>
    <s v="No"/>
    <x v="1"/>
  </r>
  <r>
    <s v="INC102593"/>
    <d v="2025-04-07T00:00:00"/>
    <d v="2025-04-07T19:55:48"/>
    <x v="1"/>
    <x v="2"/>
    <s v="Link Down"/>
    <s v="Access Management"/>
    <s v="Hyderabad"/>
    <s v="Portal"/>
    <s v="Resolved"/>
    <n v="24"/>
    <n v="19.93"/>
    <n v="4.4000000000000004"/>
    <s v="Yes"/>
    <x v="0"/>
  </r>
  <r>
    <s v="INC102594"/>
    <d v="2025-01-18T00:00:00"/>
    <d v="2025-01-18T08:43:12"/>
    <x v="1"/>
    <x v="0"/>
    <s v="Application Error"/>
    <s v="Network Support"/>
    <s v="Gurugram"/>
    <s v="Email"/>
    <s v="Closed"/>
    <n v="24"/>
    <n v="8.7200000000000006"/>
    <n v="5"/>
    <s v="No"/>
    <x v="0"/>
  </r>
  <r>
    <s v="INC102595"/>
    <d v="2025-02-25T00:00:00"/>
    <d v="2025-02-25T00:39:00"/>
    <x v="2"/>
    <x v="1"/>
    <s v="VPN Access"/>
    <s v="Access Management"/>
    <s v="Mumbai"/>
    <s v="Portal"/>
    <s v="Resolved"/>
    <n v="4"/>
    <n v="0.65"/>
    <n v="4.5"/>
    <s v="No"/>
    <x v="0"/>
  </r>
  <r>
    <s v="INC102596"/>
    <d v="2025-01-31T00:00:00"/>
    <d v="2025-02-01T03:25:48"/>
    <x v="1"/>
    <x v="0"/>
    <s v="Installation"/>
    <s v="Access Management"/>
    <s v="Noida"/>
    <s v="Portal"/>
    <s v="In Progress"/>
    <n v="24"/>
    <n v="27.43"/>
    <n v="3"/>
    <s v="No"/>
    <x v="1"/>
  </r>
  <r>
    <s v="INC102597"/>
    <d v="2025-04-01T00:00:00"/>
    <d v="2025-04-01T05:33:36"/>
    <x v="1"/>
    <x v="2"/>
    <s v="Packet Loss"/>
    <s v="Service Desk"/>
    <s v="Gurugram"/>
    <s v="Portal"/>
    <s v="In Progress"/>
    <n v="24"/>
    <n v="5.56"/>
    <n v="5"/>
    <s v="Yes"/>
    <x v="0"/>
  </r>
  <r>
    <s v="INC102598"/>
    <d v="2025-05-11T00:00:00"/>
    <d v="2025-05-11T22:18:00"/>
    <x v="1"/>
    <x v="4"/>
    <s v="Mailbox"/>
    <s v="Service Desk"/>
    <s v="Hyderabad"/>
    <s v="Chat"/>
    <s v="Resolved"/>
    <n v="24"/>
    <n v="22.3"/>
    <n v="3.1"/>
    <s v="Yes"/>
    <x v="0"/>
  </r>
  <r>
    <s v="INC102599"/>
    <d v="2025-06-25T00:00:00"/>
    <d v="2025-06-25T05:38:24"/>
    <x v="3"/>
    <x v="2"/>
    <s v="Link Down"/>
    <s v="Access Management"/>
    <s v="Hyderabad"/>
    <s v="Email"/>
    <s v="In Progress"/>
    <n v="8"/>
    <n v="5.64"/>
    <n v="5"/>
    <s v="No"/>
    <x v="0"/>
  </r>
  <r>
    <s v="INC102600"/>
    <d v="2025-03-12T00:00:00"/>
    <d v="2025-03-12T01:02:24"/>
    <x v="3"/>
    <x v="2"/>
    <s v="Packet Loss"/>
    <s v="Desktop Support"/>
    <s v="Noida"/>
    <s v="Email"/>
    <s v="Resolved"/>
    <n v="8"/>
    <n v="1.04"/>
    <n v="4.8"/>
    <s v="No"/>
    <x v="0"/>
  </r>
  <r>
    <s v="INC102601"/>
    <d v="2025-06-06T00:00:00"/>
    <d v="2025-06-06T16:22:12"/>
    <x v="1"/>
    <x v="4"/>
    <s v="Mailbox"/>
    <s v="Application Support"/>
    <s v="Delhi"/>
    <s v="Phone"/>
    <s v="Closed"/>
    <n v="24"/>
    <n v="16.37"/>
    <n v="4.5"/>
    <s v="Yes"/>
    <x v="0"/>
  </r>
  <r>
    <s v="INC102602"/>
    <d v="2025-02-08T00:00:00"/>
    <d v="2025-02-09T13:24:36"/>
    <x v="0"/>
    <x v="1"/>
    <s v="Account Lock"/>
    <s v="Network Support"/>
    <s v="Gurugram"/>
    <s v="Email"/>
    <s v="Closed"/>
    <n v="48"/>
    <n v="37.409999999999997"/>
    <n v="3.1"/>
    <s v="Yes"/>
    <x v="0"/>
  </r>
  <r>
    <s v="INC102603"/>
    <d v="2025-05-22T00:00:00"/>
    <d v="2025-05-22T19:42:36"/>
    <x v="0"/>
    <x v="4"/>
    <s v="Delivery"/>
    <s v="Desktop Support"/>
    <s v="Bengaluru"/>
    <s v="Portal"/>
    <s v="Resolved"/>
    <n v="48"/>
    <n v="19.71"/>
    <n v="5"/>
    <s v="No"/>
    <x v="0"/>
  </r>
  <r>
    <s v="INC102604"/>
    <d v="2025-04-12T00:00:00"/>
    <d v="2025-04-12T09:22:12"/>
    <x v="1"/>
    <x v="1"/>
    <s v="VPN Access"/>
    <s v="Application Support"/>
    <s v="Delhi"/>
    <s v="Email"/>
    <s v="Resolved"/>
    <n v="24"/>
    <n v="9.3699999999999992"/>
    <n v="4.3"/>
    <s v="No"/>
    <x v="0"/>
  </r>
  <r>
    <s v="INC102605"/>
    <d v="2025-05-18T00:00:00"/>
    <d v="2025-05-18T03:26:24"/>
    <x v="3"/>
    <x v="0"/>
    <s v="Installation"/>
    <s v="Access Management"/>
    <s v="Gurugram"/>
    <s v="Portal"/>
    <s v="Closed"/>
    <n v="8"/>
    <n v="3.44"/>
    <n v="4"/>
    <s v="No"/>
    <x v="0"/>
  </r>
  <r>
    <s v="INC102606"/>
    <d v="2025-05-17T00:00:00"/>
    <d v="2025-05-18T02:57:00"/>
    <x v="1"/>
    <x v="3"/>
    <s v="Laptop"/>
    <s v="Desktop Support"/>
    <s v="Delhi"/>
    <s v="Email"/>
    <s v="Resolved"/>
    <n v="24"/>
    <n v="26.95"/>
    <n v="4"/>
    <s v="No"/>
    <x v="1"/>
  </r>
  <r>
    <s v="INC102607"/>
    <d v="2025-04-07T00:00:00"/>
    <d v="2025-04-07T17:55:12"/>
    <x v="0"/>
    <x v="3"/>
    <s v="Laptop"/>
    <s v="Network Support"/>
    <s v="Hyderabad"/>
    <s v="Portal"/>
    <s v="Resolved"/>
    <n v="48"/>
    <n v="17.920000000000002"/>
    <n v="4.0999999999999996"/>
    <s v="No"/>
    <x v="0"/>
  </r>
  <r>
    <s v="INC102608"/>
    <d v="2025-02-16T00:00:00"/>
    <d v="2025-02-16T04:15:00"/>
    <x v="0"/>
    <x v="4"/>
    <s v="Delivery"/>
    <s v="Desktop Support"/>
    <s v="Noida"/>
    <s v="Chat"/>
    <s v="Closed"/>
    <n v="48"/>
    <n v="4.25"/>
    <n v="5"/>
    <s v="No"/>
    <x v="0"/>
  </r>
  <r>
    <s v="INC102609"/>
    <d v="2025-04-06T00:00:00"/>
    <d v="2025-04-06T13:17:23"/>
    <x v="1"/>
    <x v="1"/>
    <s v="Permission"/>
    <s v="Application Support"/>
    <s v="Noida"/>
    <s v="Email"/>
    <s v="Resolved"/>
    <n v="24"/>
    <n v="13.29"/>
    <n v="3.5"/>
    <s v="No"/>
    <x v="0"/>
  </r>
  <r>
    <s v="INC102610"/>
    <d v="2025-05-30T00:00:00"/>
    <d v="2025-05-30T00:36:36"/>
    <x v="3"/>
    <x v="3"/>
    <s v="Printer"/>
    <s v="Access Management"/>
    <s v="Noida"/>
    <s v="Portal"/>
    <s v="Resolved"/>
    <n v="8"/>
    <n v="0.61"/>
    <n v="5"/>
    <s v="No"/>
    <x v="0"/>
  </r>
  <r>
    <s v="INC102611"/>
    <d v="2025-06-25T00:00:00"/>
    <d v="2025-06-26T08:00:36"/>
    <x v="0"/>
    <x v="3"/>
    <s v="Monitor"/>
    <s v="Access Management"/>
    <s v="Delhi"/>
    <s v="Email"/>
    <s v="Pending"/>
    <n v="48"/>
    <n v="32.01"/>
    <n v="3.8"/>
    <s v="No"/>
    <x v="0"/>
  </r>
  <r>
    <s v="INC102612"/>
    <d v="2025-06-17T00:00:00"/>
    <d v="2025-06-17T05:09:36"/>
    <x v="1"/>
    <x v="3"/>
    <s v="Laptop"/>
    <s v="Application Support"/>
    <s v="Bengaluru"/>
    <s v="Portal"/>
    <s v="Closed"/>
    <n v="24"/>
    <n v="5.16"/>
    <n v="4.2"/>
    <s v="No"/>
    <x v="0"/>
  </r>
  <r>
    <s v="INC102613"/>
    <d v="2025-02-02T00:00:00"/>
    <d v="2025-02-02T03:37:12"/>
    <x v="3"/>
    <x v="3"/>
    <s v="Laptop"/>
    <s v="Network Support"/>
    <s v="Hyderabad"/>
    <s v="Portal"/>
    <s v="Closed"/>
    <n v="8"/>
    <n v="3.62"/>
    <n v="3.8"/>
    <s v="No"/>
    <x v="0"/>
  </r>
  <r>
    <s v="INC102614"/>
    <d v="2025-04-19T00:00:00"/>
    <d v="2025-04-19T01:45:00"/>
    <x v="3"/>
    <x v="1"/>
    <s v="Password Reset"/>
    <s v="Desktop Support"/>
    <s v="Mumbai"/>
    <s v="Phone"/>
    <s v="Resolved"/>
    <n v="8"/>
    <n v="1.75"/>
    <n v="5"/>
    <s v="No"/>
    <x v="0"/>
  </r>
  <r>
    <s v="INC102615"/>
    <d v="2025-01-19T00:00:00"/>
    <d v="2025-01-21T19:07:12"/>
    <x v="0"/>
    <x v="2"/>
    <s v="Link Down"/>
    <s v="Desktop Support"/>
    <s v="Gurugram"/>
    <s v="Phone"/>
    <s v="Pending"/>
    <n v="48"/>
    <n v="67.12"/>
    <n v="3.1"/>
    <s v="No"/>
    <x v="1"/>
  </r>
  <r>
    <s v="INC102616"/>
    <d v="2025-05-02T00:00:00"/>
    <d v="2025-05-02T05:36:36"/>
    <x v="3"/>
    <x v="3"/>
    <s v="Monitor"/>
    <s v="Desktop Support"/>
    <s v="Delhi"/>
    <s v="Phone"/>
    <s v="Resolved"/>
    <n v="8"/>
    <n v="5.61"/>
    <n v="4"/>
    <s v="No"/>
    <x v="0"/>
  </r>
  <r>
    <s v="INC102617"/>
    <d v="2025-06-29T00:00:00"/>
    <d v="2025-06-29T04:58:12"/>
    <x v="1"/>
    <x v="4"/>
    <s v="Mailbox"/>
    <s v="Access Management"/>
    <s v="Mumbai"/>
    <s v="Email"/>
    <s v="Resolved"/>
    <n v="24"/>
    <n v="4.97"/>
    <n v="5"/>
    <s v="No"/>
    <x v="0"/>
  </r>
  <r>
    <s v="INC102618"/>
    <d v="2025-01-10T00:00:00"/>
    <d v="2025-01-10T04:47:24"/>
    <x v="3"/>
    <x v="0"/>
    <s v="Performance"/>
    <s v="Access Management"/>
    <s v="Hyderabad"/>
    <s v="Portal"/>
    <s v="Resolved"/>
    <n v="8"/>
    <n v="4.79"/>
    <n v="5"/>
    <s v="Yes"/>
    <x v="0"/>
  </r>
  <r>
    <s v="INC102619"/>
    <d v="2025-04-29T00:00:00"/>
    <d v="2025-04-29T08:15:00"/>
    <x v="0"/>
    <x v="3"/>
    <s v="Monitor"/>
    <s v="Service Desk"/>
    <s v="Hyderabad"/>
    <s v="Portal"/>
    <s v="Closed"/>
    <n v="48"/>
    <n v="8.25"/>
    <n v="4.2"/>
    <s v="No"/>
    <x v="0"/>
  </r>
  <r>
    <s v="INC102620"/>
    <d v="2025-06-21T00:00:00"/>
    <d v="2025-06-21T10:43:12"/>
    <x v="1"/>
    <x v="3"/>
    <s v="Peripheral"/>
    <s v="Access Management"/>
    <s v="Bengaluru"/>
    <s v="Email"/>
    <s v="Resolved"/>
    <n v="24"/>
    <n v="10.72"/>
    <n v="4.5999999999999996"/>
    <s v="No"/>
    <x v="0"/>
  </r>
  <r>
    <s v="INC102621"/>
    <d v="2025-06-03T00:00:00"/>
    <d v="2025-06-04T04:23:24"/>
    <x v="1"/>
    <x v="2"/>
    <s v="Link Down"/>
    <s v="Access Management"/>
    <s v="Noida"/>
    <s v="Email"/>
    <s v="Resolved"/>
    <n v="24"/>
    <n v="28.39"/>
    <n v="3"/>
    <s v="No"/>
    <x v="1"/>
  </r>
  <r>
    <s v="INC102622"/>
    <d v="2025-03-13T00:00:00"/>
    <d v="2025-03-13T17:03:36"/>
    <x v="1"/>
    <x v="2"/>
    <s v="Connectivity"/>
    <s v="Application Support"/>
    <s v="Mumbai"/>
    <s v="Portal"/>
    <s v="Resolved"/>
    <n v="24"/>
    <n v="17.059999999999999"/>
    <n v="4"/>
    <s v="No"/>
    <x v="0"/>
  </r>
  <r>
    <s v="INC102623"/>
    <d v="2025-01-19T00:00:00"/>
    <d v="2025-01-19T05:32:24"/>
    <x v="1"/>
    <x v="2"/>
    <s v="Packet Loss"/>
    <s v="Service Desk"/>
    <s v="Mumbai"/>
    <s v="Portal"/>
    <s v="Closed"/>
    <n v="24"/>
    <n v="5.54"/>
    <n v="5"/>
    <s v="No"/>
    <x v="0"/>
  </r>
  <r>
    <s v="INC102624"/>
    <d v="2025-06-17T00:00:00"/>
    <d v="2025-06-17T03:27:00"/>
    <x v="1"/>
    <x v="2"/>
    <s v="Packet Loss"/>
    <s v="Application Support"/>
    <s v="Mumbai"/>
    <s v="Portal"/>
    <s v="Resolved"/>
    <n v="24"/>
    <n v="3.45"/>
    <n v="3.3"/>
    <s v="No"/>
    <x v="0"/>
  </r>
  <r>
    <s v="INC102625"/>
    <d v="2025-06-16T00:00:00"/>
    <d v="2025-06-16T18:48:36"/>
    <x v="1"/>
    <x v="2"/>
    <s v="DNS"/>
    <s v="Desktop Support"/>
    <s v="Gurugram"/>
    <s v="Portal"/>
    <s v="Closed"/>
    <n v="24"/>
    <n v="18.809999999999999"/>
    <n v="3.5"/>
    <s v="No"/>
    <x v="0"/>
  </r>
  <r>
    <s v="INC102626"/>
    <d v="2025-04-15T00:00:00"/>
    <d v="2025-04-18T03:34:47"/>
    <x v="0"/>
    <x v="3"/>
    <s v="Printer"/>
    <s v="Access Management"/>
    <s v="Hyderabad"/>
    <s v="Portal"/>
    <s v="Resolved"/>
    <n v="48"/>
    <n v="75.58"/>
    <n v="3"/>
    <s v="No"/>
    <x v="1"/>
  </r>
  <r>
    <s v="INC102627"/>
    <d v="2025-06-27T00:00:00"/>
    <d v="2025-06-27T11:13:12"/>
    <x v="1"/>
    <x v="2"/>
    <s v="Link Down"/>
    <s v="Application Support"/>
    <s v="Delhi"/>
    <s v="Portal"/>
    <s v="Resolved"/>
    <n v="24"/>
    <n v="11.22"/>
    <n v="4.7"/>
    <s v="No"/>
    <x v="0"/>
  </r>
  <r>
    <s v="INC102628"/>
    <d v="2025-01-01T00:00:00"/>
    <d v="2025-01-03T06:51:36"/>
    <x v="0"/>
    <x v="4"/>
    <s v="Delivery"/>
    <s v="Access Management"/>
    <s v="Delhi"/>
    <s v="Email"/>
    <s v="Resolved"/>
    <n v="48"/>
    <n v="54.86"/>
    <n v="4.4000000000000004"/>
    <s v="No"/>
    <x v="1"/>
  </r>
  <r>
    <s v="INC102629"/>
    <d v="2025-04-22T00:00:00"/>
    <d v="2025-04-22T05:45:36"/>
    <x v="3"/>
    <x v="2"/>
    <s v="DNS"/>
    <s v="Desktop Support"/>
    <s v="Bengaluru"/>
    <s v="Portal"/>
    <s v="Pending"/>
    <n v="8"/>
    <n v="5.76"/>
    <n v="3"/>
    <s v="No"/>
    <x v="0"/>
  </r>
  <r>
    <s v="INC102630"/>
    <d v="2025-01-07T00:00:00"/>
    <d v="2025-01-07T03:06:00"/>
    <x v="2"/>
    <x v="3"/>
    <s v="Printer"/>
    <s v="Network Support"/>
    <s v="Bengaluru"/>
    <s v="Portal"/>
    <s v="Closed"/>
    <n v="4"/>
    <n v="3.1"/>
    <n v="5"/>
    <s v="No"/>
    <x v="0"/>
  </r>
  <r>
    <s v="INC102631"/>
    <d v="2025-06-19T00:00:00"/>
    <d v="2025-06-19T08:03:00"/>
    <x v="0"/>
    <x v="1"/>
    <s v="VPN Access"/>
    <s v="Desktop Support"/>
    <s v="Bengaluru"/>
    <s v="Email"/>
    <s v="Resolved"/>
    <n v="48"/>
    <n v="8.0500000000000007"/>
    <n v="5"/>
    <s v="No"/>
    <x v="0"/>
  </r>
  <r>
    <s v="INC102632"/>
    <d v="2025-05-04T00:00:00"/>
    <d v="2025-05-04T21:18:36"/>
    <x v="0"/>
    <x v="2"/>
    <s v="DNS"/>
    <s v="Access Management"/>
    <s v="Hyderabad"/>
    <s v="Phone"/>
    <s v="Resolved"/>
    <n v="48"/>
    <n v="21.31"/>
    <n v="4.3"/>
    <s v="No"/>
    <x v="0"/>
  </r>
  <r>
    <s v="INC102633"/>
    <d v="2025-06-15T00:00:00"/>
    <d v="2025-06-15T22:32:24"/>
    <x v="0"/>
    <x v="0"/>
    <s v="License"/>
    <s v="Application Support"/>
    <s v="Hyderabad"/>
    <s v="Portal"/>
    <s v="Resolved"/>
    <n v="48"/>
    <n v="22.54"/>
    <n v="3.5"/>
    <s v="No"/>
    <x v="0"/>
  </r>
  <r>
    <s v="INC102634"/>
    <d v="2025-04-12T00:00:00"/>
    <d v="2025-04-12T01:10:12"/>
    <x v="1"/>
    <x v="1"/>
    <s v="Permission"/>
    <s v="Application Support"/>
    <s v="Mumbai"/>
    <s v="Portal"/>
    <s v="Resolved"/>
    <n v="24"/>
    <n v="1.17"/>
    <n v="4.5999999999999996"/>
    <s v="No"/>
    <x v="0"/>
  </r>
  <r>
    <s v="INC102635"/>
    <d v="2025-01-16T00:00:00"/>
    <d v="2025-01-16T02:22:12"/>
    <x v="3"/>
    <x v="0"/>
    <s v="Installation"/>
    <s v="Application Support"/>
    <s v="Delhi"/>
    <s v="Email"/>
    <s v="Closed"/>
    <n v="8"/>
    <n v="2.37"/>
    <n v="5"/>
    <s v="No"/>
    <x v="0"/>
  </r>
  <r>
    <s v="INC102636"/>
    <d v="2025-01-05T00:00:00"/>
    <d v="2025-01-05T07:50:24"/>
    <x v="1"/>
    <x v="2"/>
    <s v="DNS"/>
    <s v="Desktop Support"/>
    <s v="Delhi"/>
    <s v="Portal"/>
    <s v="Resolved"/>
    <n v="24"/>
    <n v="7.84"/>
    <n v="4.5999999999999996"/>
    <s v="No"/>
    <x v="0"/>
  </r>
  <r>
    <s v="INC102637"/>
    <d v="2025-03-02T00:00:00"/>
    <d v="2025-03-02T10:51:36"/>
    <x v="0"/>
    <x v="1"/>
    <s v="VPN Access"/>
    <s v="Network Support"/>
    <s v="Delhi"/>
    <s v="Portal"/>
    <s v="In Progress"/>
    <n v="48"/>
    <n v="10.86"/>
    <n v="4.5999999999999996"/>
    <s v="No"/>
    <x v="0"/>
  </r>
  <r>
    <s v="INC102638"/>
    <d v="2025-05-15T00:00:00"/>
    <d v="2025-05-15T20:39:00"/>
    <x v="0"/>
    <x v="0"/>
    <s v="Installation"/>
    <s v="Desktop Support"/>
    <s v="Bengaluru"/>
    <s v="Email"/>
    <s v="Resolved"/>
    <n v="48"/>
    <n v="20.65"/>
    <n v="3.9"/>
    <s v="No"/>
    <x v="0"/>
  </r>
  <r>
    <s v="INC102639"/>
    <d v="2025-01-28T00:00:00"/>
    <d v="2025-01-29T19:03:00"/>
    <x v="0"/>
    <x v="3"/>
    <s v="Laptop"/>
    <s v="Network Support"/>
    <s v="Mumbai"/>
    <s v="Portal"/>
    <s v="Resolved"/>
    <n v="48"/>
    <n v="43.05"/>
    <n v="4.4000000000000004"/>
    <s v="No"/>
    <x v="0"/>
  </r>
  <r>
    <s v="INC102640"/>
    <d v="2025-06-04T00:00:00"/>
    <d v="2025-06-04T07:19:48"/>
    <x v="3"/>
    <x v="2"/>
    <s v="DNS"/>
    <s v="Service Desk"/>
    <s v="Mumbai"/>
    <s v="Phone"/>
    <s v="Resolved"/>
    <n v="8"/>
    <n v="7.33"/>
    <n v="3.8"/>
    <s v="No"/>
    <x v="0"/>
  </r>
  <r>
    <s v="INC102641"/>
    <d v="2025-02-13T00:00:00"/>
    <d v="2025-02-14T06:54:00"/>
    <x v="1"/>
    <x v="2"/>
    <s v="Connectivity"/>
    <s v="Application Support"/>
    <s v="Delhi"/>
    <s v="Phone"/>
    <s v="Resolved"/>
    <n v="24"/>
    <n v="30.9"/>
    <n v="3.3"/>
    <s v="No"/>
    <x v="1"/>
  </r>
  <r>
    <s v="INC102642"/>
    <d v="2025-03-31T00:00:00"/>
    <d v="2025-04-01T00:14:24"/>
    <x v="1"/>
    <x v="1"/>
    <s v="VPN Access"/>
    <s v="Access Management"/>
    <s v="Gurugram"/>
    <s v="Portal"/>
    <s v="Closed"/>
    <n v="24"/>
    <n v="24.24"/>
    <n v="3.7"/>
    <s v="No"/>
    <x v="1"/>
  </r>
  <r>
    <s v="INC102643"/>
    <d v="2025-02-06T00:00:00"/>
    <d v="2025-02-06T15:13:48"/>
    <x v="1"/>
    <x v="3"/>
    <s v="Laptop"/>
    <s v="Service Desk"/>
    <s v="Noida"/>
    <s v="Portal"/>
    <s v="Resolved"/>
    <n v="24"/>
    <n v="15.23"/>
    <n v="3.8"/>
    <s v="No"/>
    <x v="0"/>
  </r>
  <r>
    <s v="INC102644"/>
    <d v="2025-03-26T00:00:00"/>
    <d v="2025-03-26T10:31:12"/>
    <x v="3"/>
    <x v="2"/>
    <s v="DNS"/>
    <s v="Application Support"/>
    <s v="Bengaluru"/>
    <s v="Chat"/>
    <s v="Closed"/>
    <n v="8"/>
    <n v="10.52"/>
    <n v="2.9"/>
    <s v="No"/>
    <x v="1"/>
  </r>
  <r>
    <s v="INC102645"/>
    <d v="2025-03-23T00:00:00"/>
    <d v="2025-03-23T08:22:12"/>
    <x v="1"/>
    <x v="0"/>
    <s v="Performance"/>
    <s v="Service Desk"/>
    <s v="Delhi"/>
    <s v="Email"/>
    <s v="Resolved"/>
    <n v="24"/>
    <n v="8.3699999999999992"/>
    <n v="3.6"/>
    <s v="No"/>
    <x v="0"/>
  </r>
  <r>
    <s v="INC102646"/>
    <d v="2025-01-01T00:00:00"/>
    <d v="2025-01-01T04:03:00"/>
    <x v="3"/>
    <x v="4"/>
    <s v="Spam"/>
    <s v="Service Desk"/>
    <s v="Hyderabad"/>
    <s v="Chat"/>
    <s v="Resolved"/>
    <n v="8"/>
    <n v="4.05"/>
    <n v="4"/>
    <s v="No"/>
    <x v="0"/>
  </r>
  <r>
    <s v="INC102647"/>
    <d v="2025-04-13T00:00:00"/>
    <d v="2025-04-13T13:15:00"/>
    <x v="3"/>
    <x v="2"/>
    <s v="Connectivity"/>
    <s v="Access Management"/>
    <s v="Delhi"/>
    <s v="Phone"/>
    <s v="Resolved"/>
    <n v="8"/>
    <n v="13.25"/>
    <n v="1.8"/>
    <s v="No"/>
    <x v="1"/>
  </r>
  <r>
    <s v="INC102648"/>
    <d v="2025-05-23T00:00:00"/>
    <d v="2025-05-23T08:09:00"/>
    <x v="1"/>
    <x v="2"/>
    <s v="DNS"/>
    <s v="Application Support"/>
    <s v="Bengaluru"/>
    <s v="Portal"/>
    <s v="Resolved"/>
    <n v="24"/>
    <n v="8.15"/>
    <n v="4.9000000000000004"/>
    <s v="No"/>
    <x v="0"/>
  </r>
  <r>
    <s v="INC102649"/>
    <d v="2025-06-19T00:00:00"/>
    <d v="2025-06-19T00:30:00"/>
    <x v="3"/>
    <x v="3"/>
    <s v="Laptop"/>
    <s v="Network Support"/>
    <s v="Hyderabad"/>
    <s v="Portal"/>
    <s v="Resolved"/>
    <n v="8"/>
    <n v="0.5"/>
    <n v="4.5"/>
    <s v="No"/>
    <x v="0"/>
  </r>
  <r>
    <s v="INC102650"/>
    <d v="2025-03-01T00:00:00"/>
    <d v="2025-03-01T07:04:12"/>
    <x v="0"/>
    <x v="0"/>
    <s v="Application Error"/>
    <s v="Network Support"/>
    <s v="Gurugram"/>
    <s v="Portal"/>
    <s v="Resolved"/>
    <n v="48"/>
    <n v="7.07"/>
    <n v="4.5999999999999996"/>
    <s v="No"/>
    <x v="0"/>
  </r>
  <r>
    <s v="INC102651"/>
    <d v="2025-06-09T00:00:00"/>
    <d v="2025-06-09T11:09:00"/>
    <x v="1"/>
    <x v="3"/>
    <s v="Peripheral"/>
    <s v="Network Support"/>
    <s v="Mumbai"/>
    <s v="Phone"/>
    <s v="Pending"/>
    <n v="24"/>
    <n v="11.15"/>
    <n v="4.4000000000000004"/>
    <s v="No"/>
    <x v="0"/>
  </r>
  <r>
    <s v="INC102652"/>
    <d v="2025-06-09T00:00:00"/>
    <d v="2025-06-09T10:45:36"/>
    <x v="0"/>
    <x v="4"/>
    <s v="Delivery"/>
    <s v="Desktop Support"/>
    <s v="Bengaluru"/>
    <s v="Portal"/>
    <s v="Closed"/>
    <n v="48"/>
    <n v="10.76"/>
    <n v="4.2"/>
    <s v="No"/>
    <x v="0"/>
  </r>
  <r>
    <s v="INC102653"/>
    <d v="2025-06-28T00:00:00"/>
    <d v="2025-06-28T03:10:12"/>
    <x v="1"/>
    <x v="2"/>
    <s v="Connectivity"/>
    <s v="Network Support"/>
    <s v="Mumbai"/>
    <s v="Email"/>
    <s v="Resolved"/>
    <n v="24"/>
    <n v="3.17"/>
    <n v="4.0999999999999996"/>
    <s v="Yes"/>
    <x v="0"/>
  </r>
  <r>
    <s v="INC102654"/>
    <d v="2025-03-09T00:00:00"/>
    <d v="2025-03-10T20:46:12"/>
    <x v="0"/>
    <x v="3"/>
    <s v="Monitor"/>
    <s v="Desktop Support"/>
    <s v="Bengaluru"/>
    <s v="Email"/>
    <s v="Closed"/>
    <n v="48"/>
    <n v="44.77"/>
    <n v="4"/>
    <s v="No"/>
    <x v="0"/>
  </r>
  <r>
    <s v="INC102655"/>
    <d v="2025-06-04T00:00:00"/>
    <d v="2025-06-05T10:36:36"/>
    <x v="0"/>
    <x v="3"/>
    <s v="Printer"/>
    <s v="Desktop Support"/>
    <s v="Hyderabad"/>
    <s v="Phone"/>
    <s v="Resolved"/>
    <n v="48"/>
    <n v="34.61"/>
    <n v="5"/>
    <s v="No"/>
    <x v="0"/>
  </r>
  <r>
    <s v="INC102656"/>
    <d v="2025-04-13T00:00:00"/>
    <d v="2025-04-13T02:34:47"/>
    <x v="0"/>
    <x v="3"/>
    <s v="Printer"/>
    <s v="Application Support"/>
    <s v="Noida"/>
    <s v="Phone"/>
    <s v="Closed"/>
    <n v="48"/>
    <n v="2.58"/>
    <n v="5"/>
    <s v="No"/>
    <x v="0"/>
  </r>
  <r>
    <s v="INC102657"/>
    <d v="2025-01-11T00:00:00"/>
    <d v="2025-01-12T01:37:48"/>
    <x v="1"/>
    <x v="0"/>
    <s v="Installation"/>
    <s v="Service Desk"/>
    <s v="Delhi"/>
    <s v="Portal"/>
    <s v="Pending"/>
    <n v="24"/>
    <n v="25.63"/>
    <n v="4.5999999999999996"/>
    <s v="No"/>
    <x v="1"/>
  </r>
  <r>
    <s v="INC102658"/>
    <d v="2025-02-18T00:00:00"/>
    <d v="2025-02-19T22:54:00"/>
    <x v="1"/>
    <x v="1"/>
    <s v="Account Lock"/>
    <s v="Network Support"/>
    <s v="Mumbai"/>
    <s v="Portal"/>
    <s v="Resolved"/>
    <n v="24"/>
    <n v="46.9"/>
    <n v="1.8"/>
    <s v="No"/>
    <x v="1"/>
  </r>
  <r>
    <s v="INC102659"/>
    <d v="2025-05-02T00:00:00"/>
    <d v="2025-05-02T07:00:00"/>
    <x v="1"/>
    <x v="3"/>
    <s v="Laptop"/>
    <s v="Network Support"/>
    <s v="Hyderabad"/>
    <s v="Email"/>
    <s v="Pending"/>
    <n v="24"/>
    <n v="7"/>
    <n v="4.5"/>
    <s v="No"/>
    <x v="0"/>
  </r>
  <r>
    <s v="INC102660"/>
    <d v="2025-01-30T00:00:00"/>
    <d v="2025-01-30T17:33:36"/>
    <x v="1"/>
    <x v="1"/>
    <s v="Password Reset"/>
    <s v="Network Support"/>
    <s v="Noida"/>
    <s v="Phone"/>
    <s v="Resolved"/>
    <n v="24"/>
    <n v="17.559999999999999"/>
    <n v="4"/>
    <s v="No"/>
    <x v="0"/>
  </r>
  <r>
    <s v="INC102661"/>
    <d v="2025-03-20T00:00:00"/>
    <d v="2025-03-20T00:48:00"/>
    <x v="2"/>
    <x v="2"/>
    <s v="DNS"/>
    <s v="Network Support"/>
    <s v="Mumbai"/>
    <s v="Phone"/>
    <s v="Resolved"/>
    <n v="4"/>
    <n v="0.8"/>
    <n v="5"/>
    <s v="No"/>
    <x v="0"/>
  </r>
  <r>
    <s v="INC102662"/>
    <d v="2025-05-21T00:00:00"/>
    <d v="2025-05-21T04:36:36"/>
    <x v="3"/>
    <x v="0"/>
    <s v="Application Error"/>
    <s v="Service Desk"/>
    <s v="Hyderabad"/>
    <s v="Email"/>
    <s v="Closed"/>
    <n v="8"/>
    <n v="4.6100000000000003"/>
    <n v="4.9000000000000004"/>
    <s v="No"/>
    <x v="0"/>
  </r>
  <r>
    <s v="INC102663"/>
    <d v="2025-01-28T00:00:00"/>
    <d v="2025-01-29T11:57:36"/>
    <x v="0"/>
    <x v="3"/>
    <s v="Peripheral"/>
    <s v="Access Management"/>
    <s v="Bengaluru"/>
    <s v="Phone"/>
    <s v="Closed"/>
    <n v="48"/>
    <n v="35.96"/>
    <n v="4"/>
    <s v="No"/>
    <x v="0"/>
  </r>
  <r>
    <s v="INC102664"/>
    <d v="2025-03-31T00:00:00"/>
    <d v="2025-03-31T11:12:00"/>
    <x v="1"/>
    <x v="0"/>
    <s v="Application Error"/>
    <s v="Application Support"/>
    <s v="Mumbai"/>
    <s v="Portal"/>
    <s v="Resolved"/>
    <n v="24"/>
    <n v="11.2"/>
    <n v="3"/>
    <s v="No"/>
    <x v="0"/>
  </r>
  <r>
    <s v="INC102665"/>
    <d v="2025-02-08T00:00:00"/>
    <d v="2025-02-08T06:07:12"/>
    <x v="1"/>
    <x v="2"/>
    <s v="DNS"/>
    <s v="Service Desk"/>
    <s v="Bengaluru"/>
    <s v="Portal"/>
    <s v="Resolved"/>
    <n v="24"/>
    <n v="6.12"/>
    <n v="3.9"/>
    <s v="No"/>
    <x v="0"/>
  </r>
  <r>
    <s v="INC102666"/>
    <d v="2025-04-08T00:00:00"/>
    <d v="2025-04-08T02:41:24"/>
    <x v="3"/>
    <x v="4"/>
    <s v="Spam"/>
    <s v="Access Management"/>
    <s v="Mumbai"/>
    <s v="Phone"/>
    <s v="Resolved"/>
    <n v="8"/>
    <n v="2.69"/>
    <n v="5"/>
    <s v="No"/>
    <x v="0"/>
  </r>
  <r>
    <s v="INC102667"/>
    <d v="2025-02-13T00:00:00"/>
    <d v="2025-02-13T01:43:48"/>
    <x v="1"/>
    <x v="4"/>
    <s v="Configuration"/>
    <s v="Application Support"/>
    <s v="Noida"/>
    <s v="Email"/>
    <s v="Resolved"/>
    <n v="24"/>
    <n v="1.73"/>
    <n v="4.7"/>
    <s v="No"/>
    <x v="0"/>
  </r>
  <r>
    <s v="INC102668"/>
    <d v="2025-06-24T00:00:00"/>
    <d v="2025-06-24T04:13:48"/>
    <x v="3"/>
    <x v="1"/>
    <s v="VPN Access"/>
    <s v="Application Support"/>
    <s v="Bengaluru"/>
    <s v="Phone"/>
    <s v="Resolved"/>
    <n v="8"/>
    <n v="4.2300000000000004"/>
    <n v="4.3"/>
    <s v="No"/>
    <x v="0"/>
  </r>
  <r>
    <s v="INC102669"/>
    <d v="2025-01-14T00:00:00"/>
    <d v="2025-01-16T23:11:24"/>
    <x v="0"/>
    <x v="4"/>
    <s v="Spam"/>
    <s v="Access Management"/>
    <s v="Delhi"/>
    <s v="Portal"/>
    <s v="Resolved"/>
    <n v="48"/>
    <n v="71.19"/>
    <n v="3.6"/>
    <s v="Yes"/>
    <x v="1"/>
  </r>
  <r>
    <s v="INC102670"/>
    <d v="2025-06-24T00:00:00"/>
    <d v="2025-06-24T03:31:12"/>
    <x v="1"/>
    <x v="2"/>
    <s v="Packet Loss"/>
    <s v="Application Support"/>
    <s v="Gurugram"/>
    <s v="Email"/>
    <s v="Pending"/>
    <n v="24"/>
    <n v="3.52"/>
    <n v="5"/>
    <s v="No"/>
    <x v="0"/>
  </r>
  <r>
    <s v="INC102671"/>
    <d v="2025-05-24T00:00:00"/>
    <d v="2025-05-25T06:44:24"/>
    <x v="1"/>
    <x v="0"/>
    <s v="Installation"/>
    <s v="Access Management"/>
    <s v="Bengaluru"/>
    <s v="Portal"/>
    <s v="Closed"/>
    <n v="24"/>
    <n v="30.74"/>
    <n v="3"/>
    <s v="No"/>
    <x v="1"/>
  </r>
  <r>
    <s v="INC102672"/>
    <d v="2025-06-04T00:00:00"/>
    <d v="2025-06-04T09:37:48"/>
    <x v="1"/>
    <x v="3"/>
    <s v="Peripheral"/>
    <s v="Service Desk"/>
    <s v="Mumbai"/>
    <s v="Portal"/>
    <s v="Pending"/>
    <n v="24"/>
    <n v="9.6300000000000008"/>
    <n v="4.9000000000000004"/>
    <s v="No"/>
    <x v="0"/>
  </r>
  <r>
    <s v="INC102673"/>
    <d v="2025-06-04T00:00:00"/>
    <d v="2025-06-04T00:33:36"/>
    <x v="3"/>
    <x v="4"/>
    <s v="Configuration"/>
    <s v="Access Management"/>
    <s v="Delhi"/>
    <s v="Portal"/>
    <s v="Resolved"/>
    <n v="8"/>
    <n v="0.56000000000000005"/>
    <n v="5"/>
    <s v="No"/>
    <x v="0"/>
  </r>
  <r>
    <s v="INC102674"/>
    <d v="2025-02-03T00:00:00"/>
    <d v="2025-02-04T21:12:00"/>
    <x v="0"/>
    <x v="2"/>
    <s v="DNS"/>
    <s v="Network Support"/>
    <s v="Delhi"/>
    <s v="Phone"/>
    <s v="Resolved"/>
    <n v="48"/>
    <n v="45.2"/>
    <n v="4.8"/>
    <s v="No"/>
    <x v="0"/>
  </r>
  <r>
    <s v="INC102675"/>
    <d v="2025-06-18T00:00:00"/>
    <d v="2025-06-19T01:38:24"/>
    <x v="0"/>
    <x v="2"/>
    <s v="Packet Loss"/>
    <s v="Service Desk"/>
    <s v="Delhi"/>
    <s v="Portal"/>
    <s v="Resolved"/>
    <n v="48"/>
    <n v="25.64"/>
    <n v="4"/>
    <s v="No"/>
    <x v="0"/>
  </r>
  <r>
    <s v="INC102676"/>
    <d v="2025-04-18T00:00:00"/>
    <d v="2025-04-18T08:49:48"/>
    <x v="0"/>
    <x v="0"/>
    <s v="Installation"/>
    <s v="Access Management"/>
    <s v="Bengaluru"/>
    <s v="Portal"/>
    <s v="Closed"/>
    <n v="48"/>
    <n v="8.83"/>
    <n v="5"/>
    <s v="No"/>
    <x v="0"/>
  </r>
  <r>
    <s v="INC102677"/>
    <d v="2025-06-24T00:00:00"/>
    <d v="2025-06-24T12:49:48"/>
    <x v="0"/>
    <x v="2"/>
    <s v="Connectivity"/>
    <s v="Network Support"/>
    <s v="Noida"/>
    <s v="Portal"/>
    <s v="Closed"/>
    <n v="48"/>
    <n v="12.83"/>
    <n v="5"/>
    <s v="No"/>
    <x v="0"/>
  </r>
  <r>
    <s v="INC102678"/>
    <d v="2025-06-08T00:00:00"/>
    <d v="2025-06-08T15:25:48"/>
    <x v="0"/>
    <x v="1"/>
    <s v="Permission"/>
    <s v="Desktop Support"/>
    <s v="Delhi"/>
    <s v="Portal"/>
    <s v="Resolved"/>
    <n v="48"/>
    <n v="15.43"/>
    <n v="4.5999999999999996"/>
    <s v="No"/>
    <x v="0"/>
  </r>
  <r>
    <s v="INC102679"/>
    <d v="2025-04-15T00:00:00"/>
    <d v="2025-04-15T10:43:48"/>
    <x v="1"/>
    <x v="2"/>
    <s v="Connectivity"/>
    <s v="Service Desk"/>
    <s v="Mumbai"/>
    <s v="Email"/>
    <s v="Closed"/>
    <n v="24"/>
    <n v="10.73"/>
    <n v="4.3"/>
    <s v="No"/>
    <x v="0"/>
  </r>
  <r>
    <s v="INC102680"/>
    <d v="2025-03-09T00:00:00"/>
    <d v="2025-03-09T13:48:00"/>
    <x v="1"/>
    <x v="0"/>
    <s v="Performance"/>
    <s v="Network Support"/>
    <s v="Bengaluru"/>
    <s v="Email"/>
    <s v="Resolved"/>
    <n v="24"/>
    <n v="13.8"/>
    <n v="3.2"/>
    <s v="No"/>
    <x v="0"/>
  </r>
  <r>
    <s v="INC102681"/>
    <d v="2025-01-22T00:00:00"/>
    <d v="2025-01-22T14:10:48"/>
    <x v="1"/>
    <x v="1"/>
    <s v="VPN Access"/>
    <s v="Service Desk"/>
    <s v="Delhi"/>
    <s v="Email"/>
    <s v="Resolved"/>
    <n v="24"/>
    <n v="14.18"/>
    <n v="3.7"/>
    <s v="No"/>
    <x v="0"/>
  </r>
  <r>
    <s v="INC102682"/>
    <d v="2025-01-19T00:00:00"/>
    <d v="2025-01-19T21:01:12"/>
    <x v="1"/>
    <x v="0"/>
    <s v="Application Error"/>
    <s v="Desktop Support"/>
    <s v="Mumbai"/>
    <s v="Portal"/>
    <s v="Resolved"/>
    <n v="24"/>
    <n v="21.02"/>
    <n v="3.5"/>
    <s v="Yes"/>
    <x v="0"/>
  </r>
  <r>
    <s v="INC102683"/>
    <d v="2025-03-12T00:00:00"/>
    <d v="2025-03-13T00:53:24"/>
    <x v="0"/>
    <x v="2"/>
    <s v="DNS"/>
    <s v="Application Support"/>
    <s v="Hyderabad"/>
    <s v="Email"/>
    <s v="Resolved"/>
    <n v="48"/>
    <n v="24.89"/>
    <n v="3.6"/>
    <s v="No"/>
    <x v="0"/>
  </r>
  <r>
    <s v="INC102684"/>
    <d v="2025-05-27T00:00:00"/>
    <d v="2025-05-27T15:45:36"/>
    <x v="1"/>
    <x v="2"/>
    <s v="Packet Loss"/>
    <s v="Application Support"/>
    <s v="Noida"/>
    <s v="Portal"/>
    <s v="Resolved"/>
    <n v="24"/>
    <n v="15.76"/>
    <n v="4.3"/>
    <s v="No"/>
    <x v="0"/>
  </r>
  <r>
    <s v="INC102685"/>
    <d v="2025-04-02T00:00:00"/>
    <d v="2025-04-03T01:40:12"/>
    <x v="0"/>
    <x v="2"/>
    <s v="Connectivity"/>
    <s v="Network Support"/>
    <s v="Hyderabad"/>
    <s v="Email"/>
    <s v="Pending"/>
    <n v="48"/>
    <n v="25.67"/>
    <n v="4.9000000000000004"/>
    <s v="Yes"/>
    <x v="0"/>
  </r>
  <r>
    <s v="INC102686"/>
    <d v="2025-03-29T00:00:00"/>
    <d v="2025-03-29T00:30:00"/>
    <x v="3"/>
    <x v="2"/>
    <s v="Packet Loss"/>
    <s v="Service Desk"/>
    <s v="Noida"/>
    <s v="Phone"/>
    <s v="Resolved"/>
    <n v="8"/>
    <n v="0.5"/>
    <n v="4.7"/>
    <s v="Yes"/>
    <x v="0"/>
  </r>
  <r>
    <s v="INC102687"/>
    <d v="2025-02-14T00:00:00"/>
    <d v="2025-02-14T07:21:00"/>
    <x v="0"/>
    <x v="0"/>
    <s v="Application Error"/>
    <s v="Network Support"/>
    <s v="Delhi"/>
    <s v="Email"/>
    <s v="Resolved"/>
    <n v="48"/>
    <n v="7.35"/>
    <n v="3.4"/>
    <s v="No"/>
    <x v="0"/>
  </r>
  <r>
    <s v="INC102688"/>
    <d v="2025-04-13T00:00:00"/>
    <d v="2025-04-13T04:45:36"/>
    <x v="1"/>
    <x v="3"/>
    <s v="Printer"/>
    <s v="Network Support"/>
    <s v="Delhi"/>
    <s v="Chat"/>
    <s v="Resolved"/>
    <n v="24"/>
    <n v="4.76"/>
    <n v="4.7"/>
    <s v="No"/>
    <x v="0"/>
  </r>
  <r>
    <s v="INC102689"/>
    <d v="2025-04-26T00:00:00"/>
    <d v="2025-04-26T04:00:36"/>
    <x v="3"/>
    <x v="2"/>
    <s v="Packet Loss"/>
    <s v="Service Desk"/>
    <s v="Delhi"/>
    <s v="Portal"/>
    <s v="Resolved"/>
    <n v="8"/>
    <n v="4.01"/>
    <n v="4.5999999999999996"/>
    <s v="No"/>
    <x v="0"/>
  </r>
  <r>
    <s v="INC102690"/>
    <d v="2025-06-27T00:00:00"/>
    <d v="2025-06-27T12:54:00"/>
    <x v="1"/>
    <x v="2"/>
    <s v="Packet Loss"/>
    <s v="Application Support"/>
    <s v="Gurugram"/>
    <s v="Phone"/>
    <s v="In Progress"/>
    <n v="24"/>
    <n v="12.9"/>
    <n v="4.5"/>
    <s v="No"/>
    <x v="0"/>
  </r>
  <r>
    <s v="INC102691"/>
    <d v="2025-05-13T00:00:00"/>
    <d v="2025-05-13T09:48:00"/>
    <x v="1"/>
    <x v="4"/>
    <s v="Spam"/>
    <s v="Service Desk"/>
    <s v="Noida"/>
    <s v="Phone"/>
    <s v="Closed"/>
    <n v="24"/>
    <n v="9.8000000000000007"/>
    <n v="4"/>
    <s v="No"/>
    <x v="0"/>
  </r>
  <r>
    <s v="INC102692"/>
    <d v="2025-04-20T00:00:00"/>
    <d v="2025-04-20T17:38:24"/>
    <x v="1"/>
    <x v="2"/>
    <s v="Connectivity"/>
    <s v="Network Support"/>
    <s v="Noida"/>
    <s v="Email"/>
    <s v="Resolved"/>
    <n v="24"/>
    <n v="17.64"/>
    <n v="3.3"/>
    <s v="No"/>
    <x v="0"/>
  </r>
  <r>
    <s v="INC102693"/>
    <d v="2025-06-14T00:00:00"/>
    <d v="2025-06-15T15:00:36"/>
    <x v="0"/>
    <x v="3"/>
    <s v="Monitor"/>
    <s v="Service Desk"/>
    <s v="Noida"/>
    <s v="Email"/>
    <s v="Pending"/>
    <n v="48"/>
    <n v="39.01"/>
    <n v="4.5999999999999996"/>
    <s v="No"/>
    <x v="0"/>
  </r>
  <r>
    <s v="INC102694"/>
    <d v="2025-03-18T00:00:00"/>
    <d v="2025-03-18T10:38:24"/>
    <x v="1"/>
    <x v="3"/>
    <s v="Peripheral"/>
    <s v="Desktop Support"/>
    <s v="Hyderabad"/>
    <s v="Portal"/>
    <s v="Resolved"/>
    <n v="24"/>
    <n v="10.64"/>
    <n v="4.7"/>
    <s v="No"/>
    <x v="0"/>
  </r>
  <r>
    <s v="INC102695"/>
    <d v="2025-06-19T00:00:00"/>
    <d v="2025-06-19T07:05:24"/>
    <x v="3"/>
    <x v="2"/>
    <s v="DNS"/>
    <s v="Service Desk"/>
    <s v="Delhi"/>
    <s v="Phone"/>
    <s v="In Progress"/>
    <n v="8"/>
    <n v="7.09"/>
    <n v="3.5"/>
    <s v="No"/>
    <x v="0"/>
  </r>
  <r>
    <s v="INC102696"/>
    <d v="2025-03-08T00:00:00"/>
    <d v="2025-03-08T01:34:11"/>
    <x v="2"/>
    <x v="4"/>
    <s v="Mailbox"/>
    <s v="Access Management"/>
    <s v="Hyderabad"/>
    <s v="Email"/>
    <s v="Resolved"/>
    <n v="4"/>
    <n v="1.57"/>
    <n v="3.6"/>
    <s v="No"/>
    <x v="0"/>
  </r>
  <r>
    <s v="INC102697"/>
    <d v="2025-01-24T00:00:00"/>
    <d v="2025-01-24T15:03:36"/>
    <x v="1"/>
    <x v="2"/>
    <s v="Link Down"/>
    <s v="Desktop Support"/>
    <s v="Gurugram"/>
    <s v="Email"/>
    <s v="Closed"/>
    <n v="24"/>
    <n v="15.06"/>
    <n v="4.4000000000000004"/>
    <s v="No"/>
    <x v="0"/>
  </r>
  <r>
    <s v="INC102698"/>
    <d v="2025-03-17T00:00:00"/>
    <d v="2025-03-17T00:43:48"/>
    <x v="1"/>
    <x v="0"/>
    <s v="License"/>
    <s v="Access Management"/>
    <s v="Hyderabad"/>
    <s v="Portal"/>
    <s v="In Progress"/>
    <n v="24"/>
    <n v="0.73"/>
    <n v="4.4000000000000004"/>
    <s v="No"/>
    <x v="0"/>
  </r>
  <r>
    <s v="INC102699"/>
    <d v="2025-01-24T00:00:00"/>
    <d v="2025-01-24T03:35:24"/>
    <x v="3"/>
    <x v="0"/>
    <s v="Installation"/>
    <s v="Network Support"/>
    <s v="Delhi"/>
    <s v="Portal"/>
    <s v="Resolved"/>
    <n v="8"/>
    <n v="3.59"/>
    <n v="4.7"/>
    <s v="No"/>
    <x v="0"/>
  </r>
  <r>
    <s v="INC102700"/>
    <d v="2025-01-22T00:00:00"/>
    <d v="2025-01-22T21:53:24"/>
    <x v="1"/>
    <x v="1"/>
    <s v="Password Reset"/>
    <s v="Service Desk"/>
    <s v="Delhi"/>
    <s v="Chat"/>
    <s v="Resolved"/>
    <n v="24"/>
    <n v="21.89"/>
    <n v="4"/>
    <s v="No"/>
    <x v="0"/>
  </r>
  <r>
    <s v="INC102701"/>
    <d v="2025-06-09T00:00:00"/>
    <d v="2025-06-10T00:17:23"/>
    <x v="0"/>
    <x v="0"/>
    <s v="License"/>
    <s v="Network Support"/>
    <s v="Delhi"/>
    <s v="Portal"/>
    <s v="Resolved"/>
    <n v="48"/>
    <n v="24.29"/>
    <n v="5"/>
    <s v="No"/>
    <x v="0"/>
  </r>
  <r>
    <s v="INC102702"/>
    <d v="2025-05-24T00:00:00"/>
    <d v="2025-05-24T09:04:12"/>
    <x v="0"/>
    <x v="1"/>
    <s v="Account Lock"/>
    <s v="Network Support"/>
    <s v="Gurugram"/>
    <s v="Portal"/>
    <s v="Resolved"/>
    <n v="48"/>
    <n v="9.07"/>
    <n v="4.7"/>
    <s v="No"/>
    <x v="0"/>
  </r>
  <r>
    <s v="INC102703"/>
    <d v="2025-02-10T00:00:00"/>
    <d v="2025-02-11T04:36:00"/>
    <x v="0"/>
    <x v="3"/>
    <s v="Printer"/>
    <s v="Access Management"/>
    <s v="Hyderabad"/>
    <s v="Portal"/>
    <s v="Resolved"/>
    <n v="48"/>
    <n v="28.6"/>
    <n v="5"/>
    <s v="No"/>
    <x v="0"/>
  </r>
  <r>
    <s v="INC102704"/>
    <d v="2025-06-01T00:00:00"/>
    <d v="2025-06-01T09:45:36"/>
    <x v="1"/>
    <x v="0"/>
    <s v="Installation"/>
    <s v="Desktop Support"/>
    <s v="Noida"/>
    <s v="Email"/>
    <s v="Resolved"/>
    <n v="24"/>
    <n v="9.76"/>
    <n v="4.5999999999999996"/>
    <s v="No"/>
    <x v="0"/>
  </r>
  <r>
    <s v="INC102705"/>
    <d v="2025-01-13T00:00:00"/>
    <d v="2025-01-14T07:00:36"/>
    <x v="0"/>
    <x v="0"/>
    <s v="Performance"/>
    <s v="Application Support"/>
    <s v="Delhi"/>
    <s v="Phone"/>
    <s v="Resolved"/>
    <n v="48"/>
    <n v="31.01"/>
    <n v="3.8"/>
    <s v="No"/>
    <x v="0"/>
  </r>
  <r>
    <s v="INC102706"/>
    <d v="2025-02-21T00:00:00"/>
    <d v="2025-02-21T12:15:00"/>
    <x v="0"/>
    <x v="0"/>
    <s v="Installation"/>
    <s v="Service Desk"/>
    <s v="Bengaluru"/>
    <s v="Chat"/>
    <s v="Resolved"/>
    <n v="48"/>
    <n v="12.25"/>
    <n v="4"/>
    <s v="No"/>
    <x v="0"/>
  </r>
  <r>
    <s v="INC102707"/>
    <d v="2025-05-08T00:00:00"/>
    <d v="2025-05-08T20:41:24"/>
    <x v="0"/>
    <x v="0"/>
    <s v="Performance"/>
    <s v="Network Support"/>
    <s v="Bengaluru"/>
    <s v="Email"/>
    <s v="In Progress"/>
    <n v="48"/>
    <n v="20.69"/>
    <n v="3.9"/>
    <s v="No"/>
    <x v="0"/>
  </r>
  <r>
    <s v="INC102708"/>
    <d v="2025-02-24T00:00:00"/>
    <d v="2025-02-24T01:26:24"/>
    <x v="3"/>
    <x v="2"/>
    <s v="Link Down"/>
    <s v="Access Management"/>
    <s v="Mumbai"/>
    <s v="Portal"/>
    <s v="Resolved"/>
    <n v="8"/>
    <n v="1.44"/>
    <n v="5"/>
    <s v="No"/>
    <x v="0"/>
  </r>
  <r>
    <s v="INC102709"/>
    <d v="2025-05-13T00:00:00"/>
    <d v="2025-05-13T15:26:24"/>
    <x v="0"/>
    <x v="2"/>
    <s v="Packet Loss"/>
    <s v="Application Support"/>
    <s v="Mumbai"/>
    <s v="Portal"/>
    <s v="Resolved"/>
    <n v="48"/>
    <n v="15.44"/>
    <n v="4.7"/>
    <s v="No"/>
    <x v="0"/>
  </r>
  <r>
    <s v="INC102710"/>
    <d v="2025-06-08T00:00:00"/>
    <d v="2025-06-09T02:53:24"/>
    <x v="0"/>
    <x v="3"/>
    <s v="Laptop"/>
    <s v="Application Support"/>
    <s v="Mumbai"/>
    <s v="Portal"/>
    <s v="Resolved"/>
    <n v="48"/>
    <n v="26.89"/>
    <n v="3.1"/>
    <s v="No"/>
    <x v="0"/>
  </r>
  <r>
    <s v="INC102711"/>
    <d v="2025-01-12T00:00:00"/>
    <d v="2025-01-12T02:03:00"/>
    <x v="1"/>
    <x v="2"/>
    <s v="Connectivity"/>
    <s v="Desktop Support"/>
    <s v="Delhi"/>
    <s v="Email"/>
    <s v="Pending"/>
    <n v="24"/>
    <n v="2.0499999999999998"/>
    <n v="5"/>
    <s v="Yes"/>
    <x v="0"/>
  </r>
  <r>
    <s v="INC102712"/>
    <d v="2025-01-05T00:00:00"/>
    <d v="2025-01-05T21:30:36"/>
    <x v="0"/>
    <x v="3"/>
    <s v="Printer"/>
    <s v="Desktop Support"/>
    <s v="Noida"/>
    <s v="Chat"/>
    <s v="Resolved"/>
    <n v="48"/>
    <n v="21.51"/>
    <n v="5"/>
    <s v="No"/>
    <x v="0"/>
  </r>
  <r>
    <s v="INC102713"/>
    <d v="2025-06-20T00:00:00"/>
    <d v="2025-06-20T00:35:24"/>
    <x v="2"/>
    <x v="2"/>
    <s v="Connectivity"/>
    <s v="Desktop Support"/>
    <s v="Bengaluru"/>
    <s v="Portal"/>
    <s v="Resolved"/>
    <n v="4"/>
    <n v="0.59"/>
    <n v="3.6"/>
    <s v="No"/>
    <x v="0"/>
  </r>
  <r>
    <s v="INC102714"/>
    <d v="2025-04-05T00:00:00"/>
    <d v="2025-04-05T03:04:12"/>
    <x v="3"/>
    <x v="0"/>
    <s v="License"/>
    <s v="Application Support"/>
    <s v="Bengaluru"/>
    <s v="Portal"/>
    <s v="Resolved"/>
    <n v="8"/>
    <n v="3.07"/>
    <n v="5"/>
    <s v="No"/>
    <x v="0"/>
  </r>
  <r>
    <s v="INC102715"/>
    <d v="2025-04-02T00:00:00"/>
    <d v="2025-04-02T03:01:12"/>
    <x v="1"/>
    <x v="0"/>
    <s v="License"/>
    <s v="Service Desk"/>
    <s v="Hyderabad"/>
    <s v="Email"/>
    <s v="Resolved"/>
    <n v="24"/>
    <n v="3.02"/>
    <n v="5"/>
    <s v="No"/>
    <x v="0"/>
  </r>
  <r>
    <s v="INC102716"/>
    <d v="2025-03-25T00:00:00"/>
    <d v="2025-03-26T18:58:12"/>
    <x v="1"/>
    <x v="0"/>
    <s v="Installation"/>
    <s v="Service Desk"/>
    <s v="Hyderabad"/>
    <s v="Email"/>
    <s v="Pending"/>
    <n v="24"/>
    <n v="42.97"/>
    <n v="1.7"/>
    <s v="No"/>
    <x v="1"/>
  </r>
  <r>
    <s v="INC102717"/>
    <d v="2025-03-20T00:00:00"/>
    <d v="2025-03-20T21:48:36"/>
    <x v="1"/>
    <x v="0"/>
    <s v="Installation"/>
    <s v="Service Desk"/>
    <s v="Mumbai"/>
    <s v="Email"/>
    <s v="Resolved"/>
    <n v="24"/>
    <n v="21.81"/>
    <n v="3.6"/>
    <s v="Yes"/>
    <x v="0"/>
  </r>
  <r>
    <s v="INC102718"/>
    <d v="2025-05-05T00:00:00"/>
    <d v="2025-05-05T19:25:48"/>
    <x v="0"/>
    <x v="2"/>
    <s v="Packet Loss"/>
    <s v="Desktop Support"/>
    <s v="Gurugram"/>
    <s v="Email"/>
    <s v="Resolved"/>
    <n v="48"/>
    <n v="19.43"/>
    <n v="4"/>
    <s v="No"/>
    <x v="0"/>
  </r>
  <r>
    <s v="INC102719"/>
    <d v="2025-04-15T00:00:00"/>
    <d v="2025-04-17T13:09:36"/>
    <x v="0"/>
    <x v="2"/>
    <s v="Connectivity"/>
    <s v="Access Management"/>
    <s v="Bengaluru"/>
    <s v="Portal"/>
    <s v="Resolved"/>
    <n v="48"/>
    <n v="61.16"/>
    <n v="4.0999999999999996"/>
    <s v="No"/>
    <x v="1"/>
  </r>
  <r>
    <s v="INC102720"/>
    <d v="2025-01-30T00:00:00"/>
    <d v="2025-01-30T12:36:36"/>
    <x v="0"/>
    <x v="0"/>
    <s v="License"/>
    <s v="Access Management"/>
    <s v="Mumbai"/>
    <s v="Email"/>
    <s v="Resolved"/>
    <n v="48"/>
    <n v="12.61"/>
    <n v="4.4000000000000004"/>
    <s v="No"/>
    <x v="0"/>
  </r>
  <r>
    <s v="INC102721"/>
    <d v="2025-04-24T00:00:00"/>
    <d v="2025-04-26T04:09:36"/>
    <x v="0"/>
    <x v="1"/>
    <s v="Password Reset"/>
    <s v="Desktop Support"/>
    <s v="Gurugram"/>
    <s v="Portal"/>
    <s v="Resolved"/>
    <n v="48"/>
    <n v="52.16"/>
    <n v="3.4"/>
    <s v="No"/>
    <x v="1"/>
  </r>
  <r>
    <s v="INC102722"/>
    <d v="2025-05-01T00:00:00"/>
    <d v="2025-05-01T15:45:00"/>
    <x v="1"/>
    <x v="0"/>
    <s v="Installation"/>
    <s v="Service Desk"/>
    <s v="Mumbai"/>
    <s v="Phone"/>
    <s v="Resolved"/>
    <n v="24"/>
    <n v="15.75"/>
    <n v="4.5"/>
    <s v="No"/>
    <x v="0"/>
  </r>
  <r>
    <s v="INC102723"/>
    <d v="2025-01-21T00:00:00"/>
    <d v="2025-01-21T13:06:36"/>
    <x v="0"/>
    <x v="0"/>
    <s v="Application Error"/>
    <s v="Access Management"/>
    <s v="Gurugram"/>
    <s v="Portal"/>
    <s v="Closed"/>
    <n v="48"/>
    <n v="13.11"/>
    <n v="5"/>
    <s v="No"/>
    <x v="0"/>
  </r>
  <r>
    <s v="INC102724"/>
    <d v="2025-03-10T00:00:00"/>
    <d v="2025-03-11T12:02:24"/>
    <x v="0"/>
    <x v="0"/>
    <s v="License"/>
    <s v="Service Desk"/>
    <s v="Delhi"/>
    <s v="Email"/>
    <s v="Resolved"/>
    <n v="48"/>
    <n v="36.04"/>
    <n v="4.0999999999999996"/>
    <s v="No"/>
    <x v="0"/>
  </r>
  <r>
    <s v="INC102725"/>
    <d v="2025-05-24T00:00:00"/>
    <d v="2025-05-24T22:33:00"/>
    <x v="1"/>
    <x v="1"/>
    <s v="Password Reset"/>
    <s v="Service Desk"/>
    <s v="Gurugram"/>
    <s v="Chat"/>
    <s v="Resolved"/>
    <n v="24"/>
    <n v="22.55"/>
    <n v="3.6"/>
    <s v="No"/>
    <x v="0"/>
  </r>
  <r>
    <s v="INC102726"/>
    <d v="2025-04-22T00:00:00"/>
    <d v="2025-04-22T11:04:48"/>
    <x v="1"/>
    <x v="1"/>
    <s v="Account Lock"/>
    <s v="Access Management"/>
    <s v="Hyderabad"/>
    <s v="Email"/>
    <s v="Resolved"/>
    <n v="24"/>
    <n v="11.08"/>
    <n v="4.3"/>
    <s v="No"/>
    <x v="0"/>
  </r>
  <r>
    <s v="INC102727"/>
    <d v="2025-01-25T00:00:00"/>
    <d v="2025-01-26T17:21:00"/>
    <x v="0"/>
    <x v="1"/>
    <s v="VPN Access"/>
    <s v="Service Desk"/>
    <s v="Hyderabad"/>
    <s v="Portal"/>
    <s v="Closed"/>
    <n v="48"/>
    <n v="41.35"/>
    <n v="4.4000000000000004"/>
    <s v="No"/>
    <x v="0"/>
  </r>
  <r>
    <s v="INC102728"/>
    <d v="2025-01-08T00:00:00"/>
    <d v="2025-01-09T14:46:12"/>
    <x v="0"/>
    <x v="2"/>
    <s v="Link Down"/>
    <s v="Desktop Support"/>
    <s v="Hyderabad"/>
    <s v="Chat"/>
    <s v="Resolved"/>
    <n v="48"/>
    <n v="38.770000000000003"/>
    <n v="3.2"/>
    <s v="No"/>
    <x v="0"/>
  </r>
  <r>
    <s v="INC102729"/>
    <d v="2025-04-16T00:00:00"/>
    <d v="2025-04-17T04:56:24"/>
    <x v="0"/>
    <x v="2"/>
    <s v="Connectivity"/>
    <s v="Access Management"/>
    <s v="Gurugram"/>
    <s v="Portal"/>
    <s v="Closed"/>
    <n v="48"/>
    <n v="28.94"/>
    <n v="4.3"/>
    <s v="No"/>
    <x v="0"/>
  </r>
  <r>
    <s v="INC102730"/>
    <d v="2025-03-25T00:00:00"/>
    <d v="2025-03-25T06:00:00"/>
    <x v="0"/>
    <x v="3"/>
    <s v="Laptop"/>
    <s v="Service Desk"/>
    <s v="Mumbai"/>
    <s v="Phone"/>
    <s v="Closed"/>
    <n v="48"/>
    <n v="6"/>
    <n v="4.2"/>
    <s v="No"/>
    <x v="0"/>
  </r>
  <r>
    <s v="INC102731"/>
    <d v="2025-06-23T00:00:00"/>
    <d v="2025-06-23T04:40:48"/>
    <x v="3"/>
    <x v="0"/>
    <s v="Performance"/>
    <s v="Application Support"/>
    <s v="Gurugram"/>
    <s v="Portal"/>
    <s v="In Progress"/>
    <n v="8"/>
    <n v="4.68"/>
    <n v="3.5"/>
    <s v="No"/>
    <x v="0"/>
  </r>
  <r>
    <s v="INC102732"/>
    <d v="2025-04-05T00:00:00"/>
    <d v="2025-04-05T03:36:36"/>
    <x v="3"/>
    <x v="1"/>
    <s v="Password Reset"/>
    <s v="Network Support"/>
    <s v="Delhi"/>
    <s v="Phone"/>
    <s v="Resolved"/>
    <n v="8"/>
    <n v="3.61"/>
    <n v="3.2"/>
    <s v="No"/>
    <x v="0"/>
  </r>
  <r>
    <s v="INC102733"/>
    <d v="2025-06-18T00:00:00"/>
    <d v="2025-06-18T17:07:48"/>
    <x v="1"/>
    <x v="3"/>
    <s v="Monitor"/>
    <s v="Access Management"/>
    <s v="Gurugram"/>
    <s v="Portal"/>
    <s v="In Progress"/>
    <n v="24"/>
    <n v="17.13"/>
    <n v="3.8"/>
    <s v="No"/>
    <x v="0"/>
  </r>
  <r>
    <s v="INC102734"/>
    <d v="2025-02-08T00:00:00"/>
    <d v="2025-02-08T04:41:24"/>
    <x v="1"/>
    <x v="2"/>
    <s v="Packet Loss"/>
    <s v="Desktop Support"/>
    <s v="Delhi"/>
    <s v="Portal"/>
    <s v="Closed"/>
    <n v="24"/>
    <n v="4.6900000000000004"/>
    <n v="5"/>
    <s v="No"/>
    <x v="0"/>
  </r>
  <r>
    <s v="INC102735"/>
    <d v="2025-03-22T00:00:00"/>
    <d v="2025-03-22T21:06:36"/>
    <x v="1"/>
    <x v="1"/>
    <s v="Account Lock"/>
    <s v="Application Support"/>
    <s v="Bengaluru"/>
    <s v="Chat"/>
    <s v="Closed"/>
    <n v="24"/>
    <n v="21.11"/>
    <n v="2.7"/>
    <s v="No"/>
    <x v="0"/>
  </r>
  <r>
    <s v="INC102736"/>
    <d v="2025-01-26T00:00:00"/>
    <d v="2025-01-26T07:24:00"/>
    <x v="1"/>
    <x v="2"/>
    <s v="DNS"/>
    <s v="Desktop Support"/>
    <s v="Mumbai"/>
    <s v="Email"/>
    <s v="Resolved"/>
    <n v="24"/>
    <n v="7.4"/>
    <n v="5"/>
    <s v="No"/>
    <x v="0"/>
  </r>
  <r>
    <s v="INC102737"/>
    <d v="2025-04-14T00:00:00"/>
    <d v="2025-04-14T09:36:00"/>
    <x v="0"/>
    <x v="1"/>
    <s v="Permission"/>
    <s v="Desktop Support"/>
    <s v="Delhi"/>
    <s v="Portal"/>
    <s v="Resolved"/>
    <n v="48"/>
    <n v="9.6"/>
    <n v="4.3"/>
    <s v="No"/>
    <x v="0"/>
  </r>
  <r>
    <s v="INC102738"/>
    <d v="2025-02-04T00:00:00"/>
    <d v="2025-02-05T13:51:00"/>
    <x v="0"/>
    <x v="2"/>
    <s v="Connectivity"/>
    <s v="Desktop Support"/>
    <s v="Delhi"/>
    <s v="Portal"/>
    <s v="Resolved"/>
    <n v="48"/>
    <n v="37.85"/>
    <n v="3.4"/>
    <s v="No"/>
    <x v="0"/>
  </r>
  <r>
    <s v="INC102739"/>
    <d v="2025-03-31T00:00:00"/>
    <d v="2025-04-01T07:07:48"/>
    <x v="1"/>
    <x v="3"/>
    <s v="Peripheral"/>
    <s v="Network Support"/>
    <s v="Noida"/>
    <s v="Portal"/>
    <s v="Closed"/>
    <n v="24"/>
    <n v="31.13"/>
    <n v="3.7"/>
    <s v="No"/>
    <x v="1"/>
  </r>
  <r>
    <s v="INC102740"/>
    <d v="2025-03-04T00:00:00"/>
    <d v="2025-03-04T12:48:36"/>
    <x v="1"/>
    <x v="3"/>
    <s v="Peripheral"/>
    <s v="Service Desk"/>
    <s v="Delhi"/>
    <s v="Portal"/>
    <s v="Pending"/>
    <n v="24"/>
    <n v="12.81"/>
    <n v="5"/>
    <s v="No"/>
    <x v="0"/>
  </r>
  <r>
    <s v="INC102741"/>
    <d v="2025-02-03T00:00:00"/>
    <d v="2025-02-05T11:10:12"/>
    <x v="0"/>
    <x v="3"/>
    <s v="Laptop"/>
    <s v="Service Desk"/>
    <s v="Mumbai"/>
    <s v="Email"/>
    <s v="Resolved"/>
    <n v="48"/>
    <n v="59.17"/>
    <n v="4.5"/>
    <s v="Yes"/>
    <x v="1"/>
  </r>
  <r>
    <s v="INC102742"/>
    <d v="2025-01-18T00:00:00"/>
    <d v="2025-01-18T13:07:12"/>
    <x v="0"/>
    <x v="2"/>
    <s v="Link Down"/>
    <s v="Service Desk"/>
    <s v="Noida"/>
    <s v="Email"/>
    <s v="Pending"/>
    <n v="48"/>
    <n v="13.12"/>
    <n v="4.9000000000000004"/>
    <s v="No"/>
    <x v="0"/>
  </r>
  <r>
    <s v="INC102743"/>
    <d v="2025-04-03T00:00:00"/>
    <d v="2025-04-03T05:27:00"/>
    <x v="1"/>
    <x v="2"/>
    <s v="Link Down"/>
    <s v="Service Desk"/>
    <s v="Noida"/>
    <s v="Chat"/>
    <s v="Resolved"/>
    <n v="24"/>
    <n v="5.45"/>
    <n v="4.7"/>
    <s v="No"/>
    <x v="0"/>
  </r>
  <r>
    <s v="INC102744"/>
    <d v="2025-06-21T00:00:00"/>
    <d v="2025-06-23T01:34:11"/>
    <x v="0"/>
    <x v="3"/>
    <s v="Monitor"/>
    <s v="Application Support"/>
    <s v="Delhi"/>
    <s v="Phone"/>
    <s v="Pending"/>
    <n v="48"/>
    <n v="49.57"/>
    <n v="4"/>
    <s v="No"/>
    <x v="1"/>
  </r>
  <r>
    <s v="INC102745"/>
    <d v="2025-02-05T00:00:00"/>
    <d v="2025-02-05T17:12:00"/>
    <x v="1"/>
    <x v="3"/>
    <s v="Monitor"/>
    <s v="Access Management"/>
    <s v="Mumbai"/>
    <s v="Chat"/>
    <s v="Resolved"/>
    <n v="24"/>
    <n v="17.2"/>
    <n v="5"/>
    <s v="No"/>
    <x v="0"/>
  </r>
  <r>
    <s v="INC102746"/>
    <d v="2025-03-15T00:00:00"/>
    <d v="2025-03-15T03:21:00"/>
    <x v="1"/>
    <x v="1"/>
    <s v="VPN Access"/>
    <s v="Access Management"/>
    <s v="Mumbai"/>
    <s v="Email"/>
    <s v="Closed"/>
    <n v="24"/>
    <n v="3.35"/>
    <n v="4.5999999999999996"/>
    <s v="No"/>
    <x v="0"/>
  </r>
  <r>
    <s v="INC102747"/>
    <d v="2025-02-10T00:00:00"/>
    <d v="2025-02-11T09:04:12"/>
    <x v="1"/>
    <x v="2"/>
    <s v="Packet Loss"/>
    <s v="Access Management"/>
    <s v="Mumbai"/>
    <s v="Portal"/>
    <s v="Resolved"/>
    <n v="24"/>
    <n v="33.07"/>
    <n v="4.0999999999999996"/>
    <s v="Yes"/>
    <x v="1"/>
  </r>
  <r>
    <s v="INC102748"/>
    <d v="2025-05-27T00:00:00"/>
    <d v="2025-05-27T21:40:48"/>
    <x v="0"/>
    <x v="3"/>
    <s v="Peripheral"/>
    <s v="Application Support"/>
    <s v="Bengaluru"/>
    <s v="Email"/>
    <s v="Pending"/>
    <n v="48"/>
    <n v="21.68"/>
    <n v="4.0999999999999996"/>
    <s v="No"/>
    <x v="0"/>
  </r>
  <r>
    <s v="INC102749"/>
    <d v="2025-03-17T00:00:00"/>
    <d v="2025-03-17T23:12:00"/>
    <x v="0"/>
    <x v="2"/>
    <s v="Link Down"/>
    <s v="Desktop Support"/>
    <s v="Gurugram"/>
    <s v="Portal"/>
    <s v="Resolved"/>
    <n v="48"/>
    <n v="23.2"/>
    <n v="3.9"/>
    <s v="No"/>
    <x v="0"/>
  </r>
  <r>
    <s v="INC102750"/>
    <d v="2025-06-26T00:00:00"/>
    <d v="2025-06-26T12:04:48"/>
    <x v="3"/>
    <x v="4"/>
    <s v="Delivery"/>
    <s v="Application Support"/>
    <s v="Delhi"/>
    <s v="Portal"/>
    <s v="Resolved"/>
    <n v="8"/>
    <n v="12.08"/>
    <n v="4.3"/>
    <s v="No"/>
    <x v="1"/>
  </r>
  <r>
    <s v="INC102751"/>
    <d v="2025-02-14T00:00:00"/>
    <d v="2025-02-15T06:09:36"/>
    <x v="1"/>
    <x v="1"/>
    <s v="Password Reset"/>
    <s v="Network Support"/>
    <s v="Gurugram"/>
    <s v="Phone"/>
    <s v="In Progress"/>
    <n v="24"/>
    <n v="30.16"/>
    <n v="3.5"/>
    <s v="No"/>
    <x v="1"/>
  </r>
  <r>
    <s v="INC102752"/>
    <d v="2025-01-15T00:00:00"/>
    <d v="2025-01-17T09:07:12"/>
    <x v="0"/>
    <x v="4"/>
    <s v="Spam"/>
    <s v="Access Management"/>
    <s v="Bengaluru"/>
    <s v="Email"/>
    <s v="Resolved"/>
    <n v="48"/>
    <n v="57.12"/>
    <n v="3.7"/>
    <s v="No"/>
    <x v="1"/>
  </r>
  <r>
    <s v="INC102753"/>
    <d v="2025-04-16T00:00:00"/>
    <d v="2025-04-16T13:09:36"/>
    <x v="0"/>
    <x v="4"/>
    <s v="Delivery"/>
    <s v="Desktop Support"/>
    <s v="Delhi"/>
    <s v="Portal"/>
    <s v="Resolved"/>
    <n v="48"/>
    <n v="13.16"/>
    <n v="5"/>
    <s v="No"/>
    <x v="0"/>
  </r>
  <r>
    <s v="INC102754"/>
    <d v="2025-04-28T00:00:00"/>
    <d v="2025-04-28T04:48:36"/>
    <x v="3"/>
    <x v="3"/>
    <s v="Laptop"/>
    <s v="Network Support"/>
    <s v="Delhi"/>
    <s v="Portal"/>
    <s v="Resolved"/>
    <n v="8"/>
    <n v="4.8099999999999996"/>
    <n v="3.7"/>
    <s v="No"/>
    <x v="0"/>
  </r>
  <r>
    <s v="INC102755"/>
    <d v="2025-06-29T00:00:00"/>
    <d v="2025-06-29T05:31:12"/>
    <x v="3"/>
    <x v="0"/>
    <s v="License"/>
    <s v="Desktop Support"/>
    <s v="Gurugram"/>
    <s v="Portal"/>
    <s v="Closed"/>
    <n v="8"/>
    <n v="5.52"/>
    <n v="3.9"/>
    <s v="No"/>
    <x v="0"/>
  </r>
  <r>
    <s v="INC102756"/>
    <d v="2025-06-07T00:00:00"/>
    <d v="2025-06-07T01:40:48"/>
    <x v="3"/>
    <x v="3"/>
    <s v="Monitor"/>
    <s v="Service Desk"/>
    <s v="Delhi"/>
    <s v="Email"/>
    <s v="In Progress"/>
    <n v="8"/>
    <n v="1.68"/>
    <n v="4.3"/>
    <s v="No"/>
    <x v="0"/>
  </r>
  <r>
    <s v="INC102757"/>
    <d v="2025-06-10T00:00:00"/>
    <d v="2025-06-10T03:28:12"/>
    <x v="1"/>
    <x v="4"/>
    <s v="Mailbox"/>
    <s v="Service Desk"/>
    <s v="Delhi"/>
    <s v="Portal"/>
    <s v="Resolved"/>
    <n v="24"/>
    <n v="3.47"/>
    <n v="5"/>
    <s v="Yes"/>
    <x v="0"/>
  </r>
  <r>
    <s v="INC102758"/>
    <d v="2025-04-25T00:00:00"/>
    <d v="2025-04-25T10:16:48"/>
    <x v="1"/>
    <x v="3"/>
    <s v="Peripheral"/>
    <s v="Network Support"/>
    <s v="Noida"/>
    <s v="Phone"/>
    <s v="Closed"/>
    <n v="24"/>
    <n v="10.28"/>
    <n v="4.7"/>
    <s v="No"/>
    <x v="0"/>
  </r>
  <r>
    <s v="INC102759"/>
    <d v="2025-03-07T00:00:00"/>
    <d v="2025-03-07T20:56:24"/>
    <x v="1"/>
    <x v="3"/>
    <s v="Laptop"/>
    <s v="Network Support"/>
    <s v="Mumbai"/>
    <s v="Email"/>
    <s v="Resolved"/>
    <n v="24"/>
    <n v="20.94"/>
    <n v="3.6"/>
    <s v="No"/>
    <x v="0"/>
  </r>
  <r>
    <s v="INC102760"/>
    <d v="2025-03-19T00:00:00"/>
    <d v="2025-03-19T01:11:24"/>
    <x v="0"/>
    <x v="4"/>
    <s v="Spam"/>
    <s v="Service Desk"/>
    <s v="Noida"/>
    <s v="Portal"/>
    <s v="Closed"/>
    <n v="48"/>
    <n v="1.19"/>
    <n v="5"/>
    <s v="No"/>
    <x v="0"/>
  </r>
  <r>
    <s v="INC102761"/>
    <d v="2025-01-25T00:00:00"/>
    <d v="2025-01-25T12:19:48"/>
    <x v="1"/>
    <x v="1"/>
    <s v="Password Reset"/>
    <s v="Service Desk"/>
    <s v="Delhi"/>
    <s v="Phone"/>
    <s v="Resolved"/>
    <n v="24"/>
    <n v="12.33"/>
    <n v="4.4000000000000004"/>
    <s v="No"/>
    <x v="0"/>
  </r>
  <r>
    <s v="INC102762"/>
    <d v="2025-03-20T00:00:00"/>
    <d v="2025-03-20T03:56:24"/>
    <x v="1"/>
    <x v="4"/>
    <s v="Delivery"/>
    <s v="Access Management"/>
    <s v="Noida"/>
    <s v="Chat"/>
    <s v="Resolved"/>
    <n v="24"/>
    <n v="3.94"/>
    <n v="4.9000000000000004"/>
    <s v="No"/>
    <x v="0"/>
  </r>
  <r>
    <s v="INC102763"/>
    <d v="2025-03-07T00:00:00"/>
    <d v="2025-03-08T20:43:48"/>
    <x v="0"/>
    <x v="2"/>
    <s v="DNS"/>
    <s v="Service Desk"/>
    <s v="Delhi"/>
    <s v="Phone"/>
    <s v="Resolved"/>
    <n v="48"/>
    <n v="44.73"/>
    <n v="4.8"/>
    <s v="No"/>
    <x v="0"/>
  </r>
  <r>
    <s v="INC102764"/>
    <d v="2025-01-07T00:00:00"/>
    <d v="2025-01-07T04:58:12"/>
    <x v="3"/>
    <x v="2"/>
    <s v="Connectivity"/>
    <s v="Service Desk"/>
    <s v="Bengaluru"/>
    <s v="Email"/>
    <s v="Resolved"/>
    <n v="8"/>
    <n v="4.97"/>
    <n v="3.7"/>
    <s v="No"/>
    <x v="0"/>
  </r>
  <r>
    <s v="INC102765"/>
    <d v="2025-02-07T00:00:00"/>
    <d v="2025-02-07T03:52:12"/>
    <x v="1"/>
    <x v="3"/>
    <s v="Monitor"/>
    <s v="Access Management"/>
    <s v="Gurugram"/>
    <s v="Portal"/>
    <s v="Closed"/>
    <n v="24"/>
    <n v="3.87"/>
    <n v="4.5"/>
    <s v="Yes"/>
    <x v="0"/>
  </r>
  <r>
    <s v="INC102766"/>
    <d v="2025-04-07T00:00:00"/>
    <d v="2025-04-08T21:22:48"/>
    <x v="0"/>
    <x v="3"/>
    <s v="Monitor"/>
    <s v="Access Management"/>
    <s v="Noida"/>
    <s v="Email"/>
    <s v="Resolved"/>
    <n v="48"/>
    <n v="45.38"/>
    <n v="4.0999999999999996"/>
    <s v="No"/>
    <x v="0"/>
  </r>
  <r>
    <s v="INC102767"/>
    <d v="2025-03-08T00:00:00"/>
    <d v="2025-03-08T14:49:12"/>
    <x v="1"/>
    <x v="3"/>
    <s v="Printer"/>
    <s v="Network Support"/>
    <s v="Hyderabad"/>
    <s v="Phone"/>
    <s v="Pending"/>
    <n v="24"/>
    <n v="14.82"/>
    <n v="3.3"/>
    <s v="No"/>
    <x v="0"/>
  </r>
  <r>
    <s v="INC102768"/>
    <d v="2025-06-29T00:00:00"/>
    <d v="2025-06-29T03:12:36"/>
    <x v="3"/>
    <x v="3"/>
    <s v="Monitor"/>
    <s v="Network Support"/>
    <s v="Bengaluru"/>
    <s v="Chat"/>
    <s v="In Progress"/>
    <n v="8"/>
    <n v="3.21"/>
    <n v="4.4000000000000004"/>
    <s v="No"/>
    <x v="0"/>
  </r>
  <r>
    <s v="INC102769"/>
    <d v="2025-03-28T00:00:00"/>
    <d v="2025-03-28T14:27:00"/>
    <x v="3"/>
    <x v="1"/>
    <s v="Permission"/>
    <s v="Network Support"/>
    <s v="Mumbai"/>
    <s v="Email"/>
    <s v="Closed"/>
    <n v="8"/>
    <n v="14.45"/>
    <n v="4.2"/>
    <s v="Yes"/>
    <x v="1"/>
  </r>
  <r>
    <s v="INC102770"/>
    <d v="2025-06-23T00:00:00"/>
    <d v="2025-06-23T10:27:36"/>
    <x v="1"/>
    <x v="2"/>
    <s v="Packet Loss"/>
    <s v="Desktop Support"/>
    <s v="Noida"/>
    <s v="Email"/>
    <s v="In Progress"/>
    <n v="24"/>
    <n v="10.46"/>
    <n v="5"/>
    <s v="Yes"/>
    <x v="0"/>
  </r>
  <r>
    <s v="INC102771"/>
    <d v="2025-04-30T00:00:00"/>
    <d v="2025-04-30T01:14:24"/>
    <x v="2"/>
    <x v="0"/>
    <s v="Application Error"/>
    <s v="Desktop Support"/>
    <s v="Hyderabad"/>
    <s v="Portal"/>
    <s v="Pending"/>
    <n v="4"/>
    <n v="1.24"/>
    <n v="5"/>
    <s v="No"/>
    <x v="0"/>
  </r>
  <r>
    <s v="INC102772"/>
    <d v="2025-01-08T00:00:00"/>
    <d v="2025-01-08T06:01:48"/>
    <x v="3"/>
    <x v="1"/>
    <s v="Permission"/>
    <s v="Service Desk"/>
    <s v="Mumbai"/>
    <s v="Portal"/>
    <s v="Closed"/>
    <n v="8"/>
    <n v="6.03"/>
    <n v="4.9000000000000004"/>
    <s v="No"/>
    <x v="0"/>
  </r>
  <r>
    <s v="INC102773"/>
    <d v="2025-02-06T00:00:00"/>
    <d v="2025-02-06T11:26:24"/>
    <x v="3"/>
    <x v="0"/>
    <s v="Performance"/>
    <s v="Network Support"/>
    <s v="Bengaluru"/>
    <s v="Portal"/>
    <s v="Closed"/>
    <n v="8"/>
    <n v="11.44"/>
    <n v="3.6"/>
    <s v="No"/>
    <x v="1"/>
  </r>
  <r>
    <s v="INC102774"/>
    <d v="2025-05-08T00:00:00"/>
    <d v="2025-05-08T00:30:00"/>
    <x v="3"/>
    <x v="3"/>
    <s v="Peripheral"/>
    <s v="Service Desk"/>
    <s v="Bengaluru"/>
    <s v="Portal"/>
    <s v="Resolved"/>
    <n v="8"/>
    <n v="0.5"/>
    <n v="4.5999999999999996"/>
    <s v="No"/>
    <x v="0"/>
  </r>
  <r>
    <s v="INC102775"/>
    <d v="2025-04-09T00:00:00"/>
    <d v="2025-04-10T01:53:24"/>
    <x v="1"/>
    <x v="2"/>
    <s v="Packet Loss"/>
    <s v="Application Support"/>
    <s v="Bengaluru"/>
    <s v="Email"/>
    <s v="Closed"/>
    <n v="24"/>
    <n v="25.89"/>
    <n v="4.8"/>
    <s v="No"/>
    <x v="1"/>
  </r>
  <r>
    <s v="INC102776"/>
    <d v="2025-02-24T00:00:00"/>
    <d v="2025-02-24T06:13:12"/>
    <x v="3"/>
    <x v="2"/>
    <s v="DNS"/>
    <s v="Service Desk"/>
    <s v="Delhi"/>
    <s v="Portal"/>
    <s v="Closed"/>
    <n v="8"/>
    <n v="6.22"/>
    <n v="3.5"/>
    <s v="No"/>
    <x v="0"/>
  </r>
  <r>
    <s v="INC102777"/>
    <d v="2025-04-05T00:00:00"/>
    <d v="2025-04-06T06:42:00"/>
    <x v="1"/>
    <x v="1"/>
    <s v="Account Lock"/>
    <s v="Network Support"/>
    <s v="Gurugram"/>
    <s v="Email"/>
    <s v="Resolved"/>
    <n v="24"/>
    <n v="30.7"/>
    <n v="4.0999999999999996"/>
    <s v="No"/>
    <x v="1"/>
  </r>
  <r>
    <s v="INC102778"/>
    <d v="2025-06-13T00:00:00"/>
    <d v="2025-06-14T03:03:36"/>
    <x v="1"/>
    <x v="3"/>
    <s v="Printer"/>
    <s v="Application Support"/>
    <s v="Mumbai"/>
    <s v="Email"/>
    <s v="Resolved"/>
    <n v="24"/>
    <n v="27.06"/>
    <n v="3.3"/>
    <s v="No"/>
    <x v="1"/>
  </r>
  <r>
    <s v="INC102779"/>
    <d v="2025-03-12T00:00:00"/>
    <d v="2025-03-13T08:15:36"/>
    <x v="0"/>
    <x v="2"/>
    <s v="DNS"/>
    <s v="Application Support"/>
    <s v="Noida"/>
    <s v="Portal"/>
    <s v="Resolved"/>
    <n v="48"/>
    <n v="32.26"/>
    <n v="3.9"/>
    <s v="No"/>
    <x v="0"/>
  </r>
  <r>
    <s v="INC102780"/>
    <d v="2025-01-09T00:00:00"/>
    <d v="2025-01-09T06:06:36"/>
    <x v="3"/>
    <x v="4"/>
    <s v="Mailbox"/>
    <s v="Desktop Support"/>
    <s v="Mumbai"/>
    <s v="Email"/>
    <s v="Closed"/>
    <n v="8"/>
    <n v="6.11"/>
    <n v="4.4000000000000004"/>
    <s v="No"/>
    <x v="0"/>
  </r>
  <r>
    <s v="INC102781"/>
    <d v="2025-02-26T00:00:00"/>
    <d v="2025-02-26T02:08:24"/>
    <x v="2"/>
    <x v="0"/>
    <s v="Performance"/>
    <s v="Access Management"/>
    <s v="Bengaluru"/>
    <s v="Portal"/>
    <s v="In Progress"/>
    <n v="4"/>
    <n v="2.14"/>
    <n v="5"/>
    <s v="No"/>
    <x v="0"/>
  </r>
  <r>
    <s v="INC102782"/>
    <d v="2025-06-19T00:00:00"/>
    <d v="2025-06-20T07:35:24"/>
    <x v="1"/>
    <x v="1"/>
    <s v="VPN Access"/>
    <s v="Access Management"/>
    <s v="Delhi"/>
    <s v="Portal"/>
    <s v="Resolved"/>
    <n v="24"/>
    <n v="31.59"/>
    <n v="4.3"/>
    <s v="No"/>
    <x v="1"/>
  </r>
  <r>
    <s v="INC102783"/>
    <d v="2025-05-18T00:00:00"/>
    <d v="2025-05-18T01:04:12"/>
    <x v="2"/>
    <x v="3"/>
    <s v="Printer"/>
    <s v="Network Support"/>
    <s v="Bengaluru"/>
    <s v="Chat"/>
    <s v="Resolved"/>
    <n v="4"/>
    <n v="1.07"/>
    <n v="4.9000000000000004"/>
    <s v="No"/>
    <x v="0"/>
  </r>
  <r>
    <s v="INC102784"/>
    <d v="2025-06-01T00:00:00"/>
    <d v="2025-06-01T12:43:48"/>
    <x v="1"/>
    <x v="4"/>
    <s v="Configuration"/>
    <s v="Access Management"/>
    <s v="Bengaluru"/>
    <s v="Portal"/>
    <s v="Pending"/>
    <n v="24"/>
    <n v="12.73"/>
    <n v="4.4000000000000004"/>
    <s v="No"/>
    <x v="0"/>
  </r>
  <r>
    <s v="INC102785"/>
    <d v="2025-06-15T00:00:00"/>
    <d v="2025-06-16T18:00:00"/>
    <x v="0"/>
    <x v="2"/>
    <s v="Link Down"/>
    <s v="Network Support"/>
    <s v="Noida"/>
    <s v="Portal"/>
    <s v="Resolved"/>
    <n v="48"/>
    <n v="42"/>
    <n v="4.5"/>
    <s v="No"/>
    <x v="0"/>
  </r>
  <r>
    <s v="INC102786"/>
    <d v="2025-01-22T00:00:00"/>
    <d v="2025-01-23T21:26:24"/>
    <x v="0"/>
    <x v="2"/>
    <s v="DNS"/>
    <s v="Desktop Support"/>
    <s v="Mumbai"/>
    <s v="Email"/>
    <s v="Closed"/>
    <n v="48"/>
    <n v="45.44"/>
    <n v="4.8"/>
    <s v="No"/>
    <x v="0"/>
  </r>
  <r>
    <s v="INC102787"/>
    <d v="2025-02-21T00:00:00"/>
    <d v="2025-02-21T07:35:24"/>
    <x v="3"/>
    <x v="4"/>
    <s v="Delivery"/>
    <s v="Access Management"/>
    <s v="Noida"/>
    <s v="Portal"/>
    <s v="Resolved"/>
    <n v="8"/>
    <n v="7.59"/>
    <n v="2.7"/>
    <s v="No"/>
    <x v="0"/>
  </r>
  <r>
    <s v="INC102788"/>
    <d v="2025-01-11T00:00:00"/>
    <d v="2025-01-11T17:15:00"/>
    <x v="1"/>
    <x v="4"/>
    <s v="Spam"/>
    <s v="Access Management"/>
    <s v="Delhi"/>
    <s v="Portal"/>
    <s v="Resolved"/>
    <n v="24"/>
    <n v="17.25"/>
    <n v="4.0999999999999996"/>
    <s v="No"/>
    <x v="0"/>
  </r>
  <r>
    <s v="INC102789"/>
    <d v="2025-01-01T00:00:00"/>
    <d v="2025-01-01T22:53:24"/>
    <x v="1"/>
    <x v="0"/>
    <s v="Application Error"/>
    <s v="Network Support"/>
    <s v="Delhi"/>
    <s v="Phone"/>
    <s v="Resolved"/>
    <n v="24"/>
    <n v="22.89"/>
    <n v="3.2"/>
    <s v="No"/>
    <x v="0"/>
  </r>
  <r>
    <s v="INC102790"/>
    <d v="2025-06-01T00:00:00"/>
    <d v="2025-06-01T18:16:48"/>
    <x v="1"/>
    <x v="2"/>
    <s v="Connectivity"/>
    <s v="Network Support"/>
    <s v="Hyderabad"/>
    <s v="Email"/>
    <s v="Resolved"/>
    <n v="24"/>
    <n v="18.28"/>
    <n v="3.9"/>
    <s v="No"/>
    <x v="0"/>
  </r>
  <r>
    <s v="INC102791"/>
    <d v="2025-06-19T00:00:00"/>
    <d v="2025-06-20T12:23:24"/>
    <x v="1"/>
    <x v="3"/>
    <s v="Monitor"/>
    <s v="Service Desk"/>
    <s v="Noida"/>
    <s v="Email"/>
    <s v="Resolved"/>
    <n v="24"/>
    <n v="36.39"/>
    <n v="2.4"/>
    <s v="No"/>
    <x v="1"/>
  </r>
  <r>
    <s v="INC102792"/>
    <d v="2025-01-29T00:00:00"/>
    <d v="2025-01-29T06:14:24"/>
    <x v="1"/>
    <x v="1"/>
    <s v="VPN Access"/>
    <s v="Service Desk"/>
    <s v="Noida"/>
    <s v="Phone"/>
    <s v="Resolved"/>
    <n v="24"/>
    <n v="6.24"/>
    <n v="3.5"/>
    <s v="No"/>
    <x v="0"/>
  </r>
  <r>
    <s v="INC102793"/>
    <d v="2025-05-11T00:00:00"/>
    <d v="2025-05-11T07:36:36"/>
    <x v="3"/>
    <x v="1"/>
    <s v="Account Lock"/>
    <s v="Service Desk"/>
    <s v="Gurugram"/>
    <s v="Portal"/>
    <s v="Closed"/>
    <n v="8"/>
    <n v="7.61"/>
    <n v="3"/>
    <s v="No"/>
    <x v="0"/>
  </r>
  <r>
    <s v="INC102794"/>
    <d v="2025-04-07T00:00:00"/>
    <d v="2025-04-07T11:20:24"/>
    <x v="1"/>
    <x v="3"/>
    <s v="Monitor"/>
    <s v="Desktop Support"/>
    <s v="Mumbai"/>
    <s v="Email"/>
    <s v="Pending"/>
    <n v="24"/>
    <n v="11.34"/>
    <n v="4.0999999999999996"/>
    <s v="No"/>
    <x v="0"/>
  </r>
  <r>
    <s v="INC102795"/>
    <d v="2025-01-13T00:00:00"/>
    <d v="2025-01-13T04:31:12"/>
    <x v="3"/>
    <x v="2"/>
    <s v="Link Down"/>
    <s v="Service Desk"/>
    <s v="Bengaluru"/>
    <s v="Portal"/>
    <s v="Closed"/>
    <n v="8"/>
    <n v="4.5199999999999996"/>
    <n v="4.7"/>
    <s v="No"/>
    <x v="0"/>
  </r>
  <r>
    <s v="INC102796"/>
    <d v="2025-06-15T00:00:00"/>
    <d v="2025-06-16T14:13:48"/>
    <x v="1"/>
    <x v="0"/>
    <s v="Installation"/>
    <s v="Desktop Support"/>
    <s v="Hyderabad"/>
    <s v="Portal"/>
    <s v="Resolved"/>
    <n v="24"/>
    <n v="38.229999999999997"/>
    <n v="2.6"/>
    <s v="No"/>
    <x v="1"/>
  </r>
  <r>
    <s v="INC102797"/>
    <d v="2025-06-07T00:00:00"/>
    <d v="2025-06-07T06:18:36"/>
    <x v="2"/>
    <x v="1"/>
    <s v="VPN Access"/>
    <s v="Access Management"/>
    <s v="Hyderabad"/>
    <s v="Chat"/>
    <s v="Resolved"/>
    <n v="4"/>
    <n v="6.31"/>
    <n v="2.5"/>
    <s v="No"/>
    <x v="1"/>
  </r>
  <r>
    <s v="INC102798"/>
    <d v="2025-04-13T00:00:00"/>
    <d v="2025-04-15T15:10:12"/>
    <x v="0"/>
    <x v="3"/>
    <s v="Monitor"/>
    <s v="Desktop Support"/>
    <s v="Hyderabad"/>
    <s v="Phone"/>
    <s v="Resolved"/>
    <n v="48"/>
    <n v="63.17"/>
    <n v="3.7"/>
    <s v="No"/>
    <x v="1"/>
  </r>
  <r>
    <s v="INC102799"/>
    <d v="2025-05-09T00:00:00"/>
    <d v="2025-05-09T16:37:48"/>
    <x v="0"/>
    <x v="0"/>
    <s v="Installation"/>
    <s v="Service Desk"/>
    <s v="Gurugram"/>
    <s v="Portal"/>
    <s v="Closed"/>
    <n v="48"/>
    <n v="16.63"/>
    <n v="4.8"/>
    <s v="No"/>
    <x v="0"/>
  </r>
  <r>
    <s v="INC102800"/>
    <d v="2025-03-13T00:00:00"/>
    <d v="2025-03-13T15:15:36"/>
    <x v="0"/>
    <x v="4"/>
    <s v="Delivery"/>
    <s v="Desktop Support"/>
    <s v="Bengaluru"/>
    <s v="Portal"/>
    <s v="Resolved"/>
    <n v="48"/>
    <n v="15.26"/>
    <n v="5"/>
    <s v="No"/>
    <x v="0"/>
  </r>
  <r>
    <s v="INC102801"/>
    <d v="2025-05-24T00:00:00"/>
    <d v="2025-05-24T03:51:36"/>
    <x v="1"/>
    <x v="2"/>
    <s v="Packet Loss"/>
    <s v="Application Support"/>
    <s v="Noida"/>
    <s v="Portal"/>
    <s v="In Progress"/>
    <n v="24"/>
    <n v="3.86"/>
    <n v="5"/>
    <s v="No"/>
    <x v="0"/>
  </r>
  <r>
    <s v="INC102802"/>
    <d v="2025-03-22T00:00:00"/>
    <d v="2025-03-23T09:26:24"/>
    <x v="1"/>
    <x v="0"/>
    <s v="Installation"/>
    <s v="Access Management"/>
    <s v="Mumbai"/>
    <s v="Email"/>
    <s v="Closed"/>
    <n v="24"/>
    <n v="33.44"/>
    <n v="2.7"/>
    <s v="No"/>
    <x v="1"/>
  </r>
  <r>
    <s v="INC102803"/>
    <d v="2025-06-29T00:00:00"/>
    <d v="2025-06-29T01:43:48"/>
    <x v="3"/>
    <x v="0"/>
    <s v="Application Error"/>
    <s v="Access Management"/>
    <s v="Mumbai"/>
    <s v="Portal"/>
    <s v="Resolved"/>
    <n v="8"/>
    <n v="1.73"/>
    <n v="4.3"/>
    <s v="No"/>
    <x v="0"/>
  </r>
  <r>
    <s v="INC102804"/>
    <d v="2025-01-12T00:00:00"/>
    <d v="2025-01-12T09:47:24"/>
    <x v="1"/>
    <x v="0"/>
    <s v="Performance"/>
    <s v="Service Desk"/>
    <s v="Gurugram"/>
    <s v="Chat"/>
    <s v="Resolved"/>
    <n v="24"/>
    <n v="9.7899999999999991"/>
    <n v="5"/>
    <s v="No"/>
    <x v="0"/>
  </r>
  <r>
    <s v="INC102805"/>
    <d v="2025-02-01T00:00:00"/>
    <d v="2025-02-01T16:40:48"/>
    <x v="0"/>
    <x v="1"/>
    <s v="Permission"/>
    <s v="Access Management"/>
    <s v="Hyderabad"/>
    <s v="Portal"/>
    <s v="Closed"/>
    <n v="48"/>
    <n v="16.68"/>
    <n v="4"/>
    <s v="Yes"/>
    <x v="0"/>
  </r>
  <r>
    <s v="INC102806"/>
    <d v="2025-06-25T00:00:00"/>
    <d v="2025-06-25T07:30:36"/>
    <x v="1"/>
    <x v="0"/>
    <s v="Performance"/>
    <s v="Access Management"/>
    <s v="Gurugram"/>
    <s v="Portal"/>
    <s v="In Progress"/>
    <n v="24"/>
    <n v="7.51"/>
    <n v="4.4000000000000004"/>
    <s v="No"/>
    <x v="0"/>
  </r>
  <r>
    <s v="INC102807"/>
    <d v="2025-02-22T00:00:00"/>
    <d v="2025-02-22T00:30:00"/>
    <x v="2"/>
    <x v="0"/>
    <s v="Performance"/>
    <s v="Network Support"/>
    <s v="Hyderabad"/>
    <s v="Chat"/>
    <s v="Resolved"/>
    <n v="4"/>
    <n v="0.5"/>
    <n v="3.7"/>
    <s v="No"/>
    <x v="0"/>
  </r>
  <r>
    <s v="INC102808"/>
    <d v="2025-02-26T00:00:00"/>
    <d v="2025-02-26T18:09:36"/>
    <x v="0"/>
    <x v="2"/>
    <s v="Packet Loss"/>
    <s v="Desktop Support"/>
    <s v="Hyderabad"/>
    <s v="Phone"/>
    <s v="Closed"/>
    <n v="48"/>
    <n v="18.16"/>
    <n v="3.7"/>
    <s v="No"/>
    <x v="0"/>
  </r>
  <r>
    <s v="INC102809"/>
    <d v="2025-05-24T00:00:00"/>
    <d v="2025-05-25T04:49:48"/>
    <x v="0"/>
    <x v="0"/>
    <s v="License"/>
    <s v="Network Support"/>
    <s v="Delhi"/>
    <s v="Portal"/>
    <s v="Resolved"/>
    <n v="48"/>
    <n v="28.83"/>
    <n v="5"/>
    <s v="Yes"/>
    <x v="0"/>
  </r>
  <r>
    <s v="INC102810"/>
    <d v="2025-02-04T00:00:00"/>
    <d v="2025-02-04T08:51:36"/>
    <x v="0"/>
    <x v="2"/>
    <s v="Connectivity"/>
    <s v="Desktop Support"/>
    <s v="Noida"/>
    <s v="Email"/>
    <s v="In Progress"/>
    <n v="48"/>
    <n v="8.86"/>
    <n v="4.9000000000000004"/>
    <s v="No"/>
    <x v="0"/>
  </r>
  <r>
    <s v="INC102811"/>
    <d v="2025-04-03T00:00:00"/>
    <d v="2025-04-03T06:37:48"/>
    <x v="1"/>
    <x v="2"/>
    <s v="Connectivity"/>
    <s v="Network Support"/>
    <s v="Noida"/>
    <s v="Phone"/>
    <s v="Resolved"/>
    <n v="24"/>
    <n v="6.63"/>
    <n v="4.3"/>
    <s v="No"/>
    <x v="0"/>
  </r>
  <r>
    <s v="INC102812"/>
    <d v="2025-02-21T00:00:00"/>
    <d v="2025-02-23T12:28:48"/>
    <x v="0"/>
    <x v="0"/>
    <s v="License"/>
    <s v="Service Desk"/>
    <s v="Mumbai"/>
    <s v="Email"/>
    <s v="Closed"/>
    <n v="48"/>
    <n v="60.48"/>
    <n v="3.2"/>
    <s v="No"/>
    <x v="1"/>
  </r>
  <r>
    <s v="INC102813"/>
    <d v="2025-02-05T00:00:00"/>
    <d v="2025-02-05T05:39:00"/>
    <x v="1"/>
    <x v="0"/>
    <s v="License"/>
    <s v="Desktop Support"/>
    <s v="Mumbai"/>
    <s v="Email"/>
    <s v="Resolved"/>
    <n v="24"/>
    <n v="5.65"/>
    <n v="5"/>
    <s v="No"/>
    <x v="0"/>
  </r>
  <r>
    <s v="INC102814"/>
    <d v="2025-06-24T00:00:00"/>
    <d v="2025-06-24T11:44:24"/>
    <x v="1"/>
    <x v="4"/>
    <s v="Spam"/>
    <s v="Service Desk"/>
    <s v="Delhi"/>
    <s v="Email"/>
    <s v="Pending"/>
    <n v="24"/>
    <n v="11.74"/>
    <n v="4"/>
    <s v="No"/>
    <x v="0"/>
  </r>
  <r>
    <s v="INC102815"/>
    <d v="2025-02-06T00:00:00"/>
    <d v="2025-02-06T12:21:00"/>
    <x v="1"/>
    <x v="0"/>
    <s v="Performance"/>
    <s v="Network Support"/>
    <s v="Hyderabad"/>
    <s v="Chat"/>
    <s v="Closed"/>
    <n v="24"/>
    <n v="12.35"/>
    <n v="4.7"/>
    <s v="No"/>
    <x v="0"/>
  </r>
  <r>
    <s v="INC102816"/>
    <d v="2025-01-18T00:00:00"/>
    <d v="2025-01-18T06:44:24"/>
    <x v="1"/>
    <x v="1"/>
    <s v="Account Lock"/>
    <s v="Service Desk"/>
    <s v="Gurugram"/>
    <s v="Email"/>
    <s v="Resolved"/>
    <n v="24"/>
    <n v="6.74"/>
    <n v="5"/>
    <s v="No"/>
    <x v="0"/>
  </r>
  <r>
    <s v="INC102817"/>
    <d v="2025-05-02T00:00:00"/>
    <d v="2025-05-04T01:15:00"/>
    <x v="0"/>
    <x v="3"/>
    <s v="Peripheral"/>
    <s v="Desktop Support"/>
    <s v="Noida"/>
    <s v="Portal"/>
    <s v="Resolved"/>
    <n v="48"/>
    <n v="49.25"/>
    <n v="4.7"/>
    <s v="Yes"/>
    <x v="1"/>
  </r>
  <r>
    <s v="INC102818"/>
    <d v="2025-06-06T00:00:00"/>
    <d v="2025-06-06T09:48:36"/>
    <x v="3"/>
    <x v="0"/>
    <s v="Installation"/>
    <s v="Application Support"/>
    <s v="Gurugram"/>
    <s v="Email"/>
    <s v="Resolved"/>
    <n v="8"/>
    <n v="9.81"/>
    <n v="3"/>
    <s v="No"/>
    <x v="1"/>
  </r>
  <r>
    <s v="INC102819"/>
    <d v="2025-01-24T00:00:00"/>
    <d v="2025-01-24T03:24:36"/>
    <x v="1"/>
    <x v="4"/>
    <s v="Configuration"/>
    <s v="Network Support"/>
    <s v="Delhi"/>
    <s v="Phone"/>
    <s v="Closed"/>
    <n v="24"/>
    <n v="3.41"/>
    <n v="3.9"/>
    <s v="No"/>
    <x v="0"/>
  </r>
  <r>
    <s v="INC102820"/>
    <d v="2025-05-09T00:00:00"/>
    <d v="2025-05-09T08:12:00"/>
    <x v="1"/>
    <x v="3"/>
    <s v="Monitor"/>
    <s v="Desktop Support"/>
    <s v="Bengaluru"/>
    <s v="Email"/>
    <s v="Closed"/>
    <n v="24"/>
    <n v="8.1999999999999993"/>
    <n v="3.9"/>
    <s v="No"/>
    <x v="0"/>
  </r>
  <r>
    <s v="INC102821"/>
    <d v="2025-04-08T00:00:00"/>
    <d v="2025-04-08T12:37:12"/>
    <x v="0"/>
    <x v="1"/>
    <s v="Account Lock"/>
    <s v="Network Support"/>
    <s v="Delhi"/>
    <s v="Portal"/>
    <s v="Resolved"/>
    <n v="48"/>
    <n v="12.62"/>
    <n v="5"/>
    <s v="No"/>
    <x v="0"/>
  </r>
  <r>
    <s v="INC102822"/>
    <d v="2025-05-31T00:00:00"/>
    <d v="2025-05-31T09:51:36"/>
    <x v="1"/>
    <x v="0"/>
    <s v="Performance"/>
    <s v="Network Support"/>
    <s v="Delhi"/>
    <s v="Email"/>
    <s v="Resolved"/>
    <n v="24"/>
    <n v="9.86"/>
    <n v="5"/>
    <s v="No"/>
    <x v="0"/>
  </r>
  <r>
    <s v="INC102823"/>
    <d v="2025-01-23T00:00:00"/>
    <d v="2025-01-23T04:07:12"/>
    <x v="3"/>
    <x v="2"/>
    <s v="Link Down"/>
    <s v="Network Support"/>
    <s v="Mumbai"/>
    <s v="Email"/>
    <s v="In Progress"/>
    <n v="8"/>
    <n v="4.12"/>
    <n v="4.9000000000000004"/>
    <s v="Yes"/>
    <x v="0"/>
  </r>
  <r>
    <s v="INC102824"/>
    <d v="2025-06-26T00:00:00"/>
    <d v="2025-06-26T04:15:36"/>
    <x v="0"/>
    <x v="0"/>
    <s v="Application Error"/>
    <s v="Application Support"/>
    <s v="Noida"/>
    <s v="Chat"/>
    <s v="In Progress"/>
    <n v="48"/>
    <n v="4.26"/>
    <n v="4.5"/>
    <s v="No"/>
    <x v="0"/>
  </r>
  <r>
    <s v="INC102825"/>
    <d v="2025-04-23T00:00:00"/>
    <d v="2025-04-24T00:39:00"/>
    <x v="0"/>
    <x v="2"/>
    <s v="Connectivity"/>
    <s v="Access Management"/>
    <s v="Bengaluru"/>
    <s v="Portal"/>
    <s v="Resolved"/>
    <n v="48"/>
    <n v="24.65"/>
    <n v="5"/>
    <s v="No"/>
    <x v="0"/>
  </r>
  <r>
    <s v="INC102826"/>
    <d v="2025-06-02T00:00:00"/>
    <d v="2025-06-05T04:09:00"/>
    <x v="0"/>
    <x v="2"/>
    <s v="DNS"/>
    <s v="Application Support"/>
    <s v="Hyderabad"/>
    <s v="Phone"/>
    <s v="Closed"/>
    <n v="48"/>
    <n v="76.150000000000006"/>
    <n v="2.8"/>
    <s v="Yes"/>
    <x v="1"/>
  </r>
  <r>
    <s v="INC102827"/>
    <d v="2025-03-07T00:00:00"/>
    <d v="2025-03-08T03:34:11"/>
    <x v="1"/>
    <x v="2"/>
    <s v="Link Down"/>
    <s v="Service Desk"/>
    <s v="Delhi"/>
    <s v="Email"/>
    <s v="Resolved"/>
    <n v="24"/>
    <n v="27.57"/>
    <n v="3.1"/>
    <s v="No"/>
    <x v="1"/>
  </r>
  <r>
    <s v="INC102828"/>
    <d v="2025-06-20T00:00:00"/>
    <d v="2025-06-20T04:46:12"/>
    <x v="3"/>
    <x v="2"/>
    <s v="Connectivity"/>
    <s v="Access Management"/>
    <s v="Mumbai"/>
    <s v="Portal"/>
    <s v="Resolved"/>
    <n v="8"/>
    <n v="4.7699999999999996"/>
    <n v="4.0999999999999996"/>
    <s v="No"/>
    <x v="0"/>
  </r>
  <r>
    <s v="INC102829"/>
    <d v="2025-04-24T00:00:00"/>
    <d v="2025-04-24T02:35:24"/>
    <x v="1"/>
    <x v="3"/>
    <s v="Peripheral"/>
    <s v="Desktop Support"/>
    <s v="Delhi"/>
    <s v="Email"/>
    <s v="Pending"/>
    <n v="24"/>
    <n v="2.59"/>
    <n v="4.5"/>
    <s v="No"/>
    <x v="0"/>
  </r>
  <r>
    <s v="INC102830"/>
    <d v="2025-01-23T00:00:00"/>
    <d v="2025-01-23T22:17:23"/>
    <x v="1"/>
    <x v="4"/>
    <s v="Configuration"/>
    <s v="Desktop Support"/>
    <s v="Mumbai"/>
    <s v="Portal"/>
    <s v="Closed"/>
    <n v="24"/>
    <n v="22.29"/>
    <n v="3.4"/>
    <s v="No"/>
    <x v="0"/>
  </r>
  <r>
    <s v="INC102831"/>
    <d v="2025-06-17T00:00:00"/>
    <d v="2025-06-17T02:58:12"/>
    <x v="3"/>
    <x v="3"/>
    <s v="Monitor"/>
    <s v="Application Support"/>
    <s v="Gurugram"/>
    <s v="Phone"/>
    <s v="Resolved"/>
    <n v="8"/>
    <n v="2.97"/>
    <n v="5"/>
    <s v="No"/>
    <x v="0"/>
  </r>
  <r>
    <s v="INC102832"/>
    <d v="2025-05-25T00:00:00"/>
    <d v="2025-05-25T08:40:12"/>
    <x v="3"/>
    <x v="1"/>
    <s v="Permission"/>
    <s v="Application Support"/>
    <s v="Delhi"/>
    <s v="Phone"/>
    <s v="Resolved"/>
    <n v="8"/>
    <n v="8.67"/>
    <n v="3.4"/>
    <s v="No"/>
    <x v="1"/>
  </r>
  <r>
    <s v="INC102833"/>
    <d v="2025-02-24T00:00:00"/>
    <d v="2025-02-25T22:32:24"/>
    <x v="0"/>
    <x v="0"/>
    <s v="License"/>
    <s v="Desktop Support"/>
    <s v="Gurugram"/>
    <s v="Portal"/>
    <s v="Resolved"/>
    <n v="48"/>
    <n v="46.54"/>
    <n v="2.8"/>
    <s v="No"/>
    <x v="0"/>
  </r>
  <r>
    <s v="INC102834"/>
    <d v="2025-04-09T00:00:00"/>
    <d v="2025-04-09T19:33:00"/>
    <x v="0"/>
    <x v="2"/>
    <s v="Connectivity"/>
    <s v="Desktop Support"/>
    <s v="Noida"/>
    <s v="Email"/>
    <s v="Resolved"/>
    <n v="48"/>
    <n v="19.55"/>
    <n v="4.9000000000000004"/>
    <s v="No"/>
    <x v="0"/>
  </r>
  <r>
    <s v="INC102835"/>
    <d v="2025-03-12T00:00:00"/>
    <d v="2025-03-12T11:36:36"/>
    <x v="1"/>
    <x v="2"/>
    <s v="Link Down"/>
    <s v="Service Desk"/>
    <s v="Mumbai"/>
    <s v="Chat"/>
    <s v="Pending"/>
    <n v="24"/>
    <n v="11.61"/>
    <n v="3.8"/>
    <s v="No"/>
    <x v="0"/>
  </r>
  <r>
    <s v="INC102836"/>
    <d v="2025-04-09T00:00:00"/>
    <d v="2025-04-09T02:09:36"/>
    <x v="3"/>
    <x v="4"/>
    <s v="Delivery"/>
    <s v="Application Support"/>
    <s v="Mumbai"/>
    <s v="Portal"/>
    <s v="Resolved"/>
    <n v="8"/>
    <n v="2.16"/>
    <n v="4.0999999999999996"/>
    <s v="No"/>
    <x v="0"/>
  </r>
  <r>
    <s v="INC102837"/>
    <d v="2025-06-24T00:00:00"/>
    <d v="2025-06-24T02:46:12"/>
    <x v="1"/>
    <x v="0"/>
    <s v="Performance"/>
    <s v="Application Support"/>
    <s v="Mumbai"/>
    <s v="Chat"/>
    <s v="Resolved"/>
    <n v="24"/>
    <n v="2.77"/>
    <n v="5"/>
    <s v="No"/>
    <x v="0"/>
  </r>
  <r>
    <s v="INC102838"/>
    <d v="2025-06-12T00:00:00"/>
    <d v="2025-06-12T12:09:00"/>
    <x v="1"/>
    <x v="4"/>
    <s v="Spam"/>
    <s v="Desktop Support"/>
    <s v="Delhi"/>
    <s v="Portal"/>
    <s v="Closed"/>
    <n v="24"/>
    <n v="12.15"/>
    <n v="3.9"/>
    <s v="No"/>
    <x v="0"/>
  </r>
  <r>
    <s v="INC102839"/>
    <d v="2025-02-09T00:00:00"/>
    <d v="2025-02-09T06:40:12"/>
    <x v="3"/>
    <x v="3"/>
    <s v="Laptop"/>
    <s v="Application Support"/>
    <s v="Hyderabad"/>
    <s v="Portal"/>
    <s v="Resolved"/>
    <n v="8"/>
    <n v="6.67"/>
    <n v="3.7"/>
    <s v="No"/>
    <x v="0"/>
  </r>
  <r>
    <s v="INC102840"/>
    <d v="2025-06-25T00:00:00"/>
    <d v="2025-06-26T02:32:24"/>
    <x v="0"/>
    <x v="0"/>
    <s v="License"/>
    <s v="Network Support"/>
    <s v="Noida"/>
    <s v="Email"/>
    <s v="Resolved"/>
    <n v="48"/>
    <n v="26.54"/>
    <n v="4.4000000000000004"/>
    <s v="No"/>
    <x v="0"/>
  </r>
  <r>
    <s v="INC102841"/>
    <d v="2025-03-21T00:00:00"/>
    <d v="2025-03-21T11:09:00"/>
    <x v="1"/>
    <x v="1"/>
    <s v="Permission"/>
    <s v="Desktop Support"/>
    <s v="Delhi"/>
    <s v="Portal"/>
    <s v="Closed"/>
    <n v="24"/>
    <n v="11.15"/>
    <n v="4.3"/>
    <s v="No"/>
    <x v="0"/>
  </r>
  <r>
    <s v="INC102842"/>
    <d v="2025-05-08T00:00:00"/>
    <d v="2025-05-09T12:28:48"/>
    <x v="0"/>
    <x v="4"/>
    <s v="Configuration"/>
    <s v="Access Management"/>
    <s v="Hyderabad"/>
    <s v="Phone"/>
    <s v="Resolved"/>
    <n v="48"/>
    <n v="36.479999999999997"/>
    <n v="3.8"/>
    <s v="Yes"/>
    <x v="0"/>
  </r>
  <r>
    <s v="INC102843"/>
    <d v="2025-05-19T00:00:00"/>
    <d v="2025-05-19T03:37:48"/>
    <x v="3"/>
    <x v="2"/>
    <s v="Link Down"/>
    <s v="Application Support"/>
    <s v="Mumbai"/>
    <s v="Email"/>
    <s v="Resolved"/>
    <n v="8"/>
    <n v="3.63"/>
    <n v="2.9"/>
    <s v="No"/>
    <x v="0"/>
  </r>
  <r>
    <s v="INC102844"/>
    <d v="2025-03-29T00:00:00"/>
    <d v="2025-03-29T14:19:12"/>
    <x v="1"/>
    <x v="4"/>
    <s v="Delivery"/>
    <s v="Application Support"/>
    <s v="Delhi"/>
    <s v="Email"/>
    <s v="Resolved"/>
    <n v="24"/>
    <n v="14.32"/>
    <n v="4.2"/>
    <s v="No"/>
    <x v="0"/>
  </r>
  <r>
    <s v="INC102845"/>
    <d v="2025-03-24T00:00:00"/>
    <d v="2025-03-24T18:58:48"/>
    <x v="0"/>
    <x v="3"/>
    <s v="Monitor"/>
    <s v="Access Management"/>
    <s v="Noida"/>
    <s v="Email"/>
    <s v="Pending"/>
    <n v="48"/>
    <n v="18.98"/>
    <n v="5"/>
    <s v="No"/>
    <x v="0"/>
  </r>
  <r>
    <s v="INC102846"/>
    <d v="2025-03-24T00:00:00"/>
    <d v="2025-03-24T23:52:48"/>
    <x v="0"/>
    <x v="1"/>
    <s v="Account Lock"/>
    <s v="Application Support"/>
    <s v="Hyderabad"/>
    <s v="Email"/>
    <s v="In Progress"/>
    <n v="48"/>
    <n v="23.88"/>
    <n v="4.8"/>
    <s v="No"/>
    <x v="0"/>
  </r>
  <r>
    <s v="INC102847"/>
    <d v="2025-06-06T00:00:00"/>
    <d v="2025-06-06T01:23:24"/>
    <x v="3"/>
    <x v="0"/>
    <s v="Performance"/>
    <s v="Application Support"/>
    <s v="Mumbai"/>
    <s v="Phone"/>
    <s v="Resolved"/>
    <n v="8"/>
    <n v="1.39"/>
    <n v="4.5"/>
    <s v="No"/>
    <x v="0"/>
  </r>
  <r>
    <s v="INC102848"/>
    <d v="2025-03-11T00:00:00"/>
    <d v="2025-03-11T02:23:24"/>
    <x v="3"/>
    <x v="0"/>
    <s v="License"/>
    <s v="Desktop Support"/>
    <s v="Gurugram"/>
    <s v="Email"/>
    <s v="Resolved"/>
    <n v="8"/>
    <n v="2.39"/>
    <n v="4.9000000000000004"/>
    <s v="Yes"/>
    <x v="0"/>
  </r>
  <r>
    <s v="INC102849"/>
    <d v="2025-02-20T00:00:00"/>
    <d v="2025-02-21T13:20:24"/>
    <x v="1"/>
    <x v="3"/>
    <s v="Peripheral"/>
    <s v="Access Management"/>
    <s v="Mumbai"/>
    <s v="Phone"/>
    <s v="Closed"/>
    <n v="24"/>
    <n v="37.340000000000003"/>
    <n v="3.5"/>
    <s v="No"/>
    <x v="1"/>
  </r>
  <r>
    <s v="INC102850"/>
    <d v="2025-03-07T00:00:00"/>
    <d v="2025-03-07T07:27:00"/>
    <x v="0"/>
    <x v="1"/>
    <s v="Permission"/>
    <s v="Application Support"/>
    <s v="Gurugram"/>
    <s v="Email"/>
    <s v="Resolved"/>
    <n v="48"/>
    <n v="7.45"/>
    <n v="4.3"/>
    <s v="No"/>
    <x v="0"/>
  </r>
  <r>
    <s v="INC102851"/>
    <d v="2025-02-05T00:00:00"/>
    <d v="2025-02-05T13:01:12"/>
    <x v="3"/>
    <x v="2"/>
    <s v="Connectivity"/>
    <s v="Desktop Support"/>
    <s v="Noida"/>
    <s v="Portal"/>
    <s v="Resolved"/>
    <n v="8"/>
    <n v="13.02"/>
    <n v="3.9"/>
    <s v="No"/>
    <x v="1"/>
  </r>
  <r>
    <s v="INC102852"/>
    <d v="2025-03-12T00:00:00"/>
    <d v="2025-03-12T04:38:24"/>
    <x v="3"/>
    <x v="0"/>
    <s v="Performance"/>
    <s v="Network Support"/>
    <s v="Gurugram"/>
    <s v="Email"/>
    <s v="Resolved"/>
    <n v="8"/>
    <n v="4.6399999999999997"/>
    <n v="4.4000000000000004"/>
    <s v="No"/>
    <x v="0"/>
  </r>
  <r>
    <s v="INC102853"/>
    <d v="2025-01-21T00:00:00"/>
    <d v="2025-01-21T02:42:36"/>
    <x v="1"/>
    <x v="0"/>
    <s v="License"/>
    <s v="Access Management"/>
    <s v="Mumbai"/>
    <s v="Portal"/>
    <s v="Resolved"/>
    <n v="24"/>
    <n v="2.71"/>
    <n v="4.7"/>
    <s v="No"/>
    <x v="0"/>
  </r>
  <r>
    <s v="INC102854"/>
    <d v="2025-01-17T00:00:00"/>
    <d v="2025-01-17T22:43:12"/>
    <x v="1"/>
    <x v="1"/>
    <s v="Account Lock"/>
    <s v="Service Desk"/>
    <s v="Hyderabad"/>
    <s v="Portal"/>
    <s v="In Progress"/>
    <n v="24"/>
    <n v="22.72"/>
    <n v="4.9000000000000004"/>
    <s v="Yes"/>
    <x v="0"/>
  </r>
  <r>
    <s v="INC102855"/>
    <d v="2025-05-12T00:00:00"/>
    <d v="2025-05-12T01:10:48"/>
    <x v="3"/>
    <x v="3"/>
    <s v="Printer"/>
    <s v="Service Desk"/>
    <s v="Delhi"/>
    <s v="Portal"/>
    <s v="Resolved"/>
    <n v="8"/>
    <n v="1.18"/>
    <n v="3.5"/>
    <s v="No"/>
    <x v="0"/>
  </r>
  <r>
    <s v="INC102856"/>
    <d v="2025-01-15T00:00:00"/>
    <d v="2025-01-15T07:04:48"/>
    <x v="3"/>
    <x v="0"/>
    <s v="Installation"/>
    <s v="Network Support"/>
    <s v="Bengaluru"/>
    <s v="Portal"/>
    <s v="Resolved"/>
    <n v="8"/>
    <n v="7.08"/>
    <n v="3.2"/>
    <s v="No"/>
    <x v="0"/>
  </r>
  <r>
    <s v="INC102857"/>
    <d v="2025-04-13T00:00:00"/>
    <d v="2025-04-13T16:48:00"/>
    <x v="1"/>
    <x v="0"/>
    <s v="Application Error"/>
    <s v="Service Desk"/>
    <s v="Gurugram"/>
    <s v="Portal"/>
    <s v="In Progress"/>
    <n v="24"/>
    <n v="16.8"/>
    <n v="4.5999999999999996"/>
    <s v="No"/>
    <x v="0"/>
  </r>
  <r>
    <s v="INC102858"/>
    <d v="2025-05-22T00:00:00"/>
    <d v="2025-05-22T13:12:00"/>
    <x v="1"/>
    <x v="0"/>
    <s v="Performance"/>
    <s v="Network Support"/>
    <s v="Mumbai"/>
    <s v="Phone"/>
    <s v="In Progress"/>
    <n v="24"/>
    <n v="13.2"/>
    <n v="4.8"/>
    <s v="No"/>
    <x v="0"/>
  </r>
  <r>
    <s v="INC102859"/>
    <d v="2025-05-12T00:00:00"/>
    <d v="2025-05-12T15:19:48"/>
    <x v="1"/>
    <x v="0"/>
    <s v="Installation"/>
    <s v="Network Support"/>
    <s v="Delhi"/>
    <s v="Phone"/>
    <s v="Resolved"/>
    <n v="24"/>
    <n v="15.33"/>
    <n v="5"/>
    <s v="No"/>
    <x v="0"/>
  </r>
  <r>
    <s v="INC102860"/>
    <d v="2025-03-22T00:00:00"/>
    <d v="2025-03-22T05:18:36"/>
    <x v="3"/>
    <x v="0"/>
    <s v="Performance"/>
    <s v="Network Support"/>
    <s v="Noida"/>
    <s v="Portal"/>
    <s v="Closed"/>
    <n v="8"/>
    <n v="5.31"/>
    <n v="2.7"/>
    <s v="Yes"/>
    <x v="0"/>
  </r>
  <r>
    <s v="INC102861"/>
    <d v="2025-02-05T00:00:00"/>
    <d v="2025-02-05T10:34:47"/>
    <x v="1"/>
    <x v="1"/>
    <s v="Permission"/>
    <s v="Service Desk"/>
    <s v="Gurugram"/>
    <s v="Chat"/>
    <s v="Closed"/>
    <n v="24"/>
    <n v="10.58"/>
    <n v="5"/>
    <s v="No"/>
    <x v="0"/>
  </r>
  <r>
    <s v="INC102862"/>
    <d v="2025-06-18T00:00:00"/>
    <d v="2025-06-21T09:57:36"/>
    <x v="0"/>
    <x v="0"/>
    <s v="License"/>
    <s v="Application Support"/>
    <s v="Hyderabad"/>
    <s v="Chat"/>
    <s v="Resolved"/>
    <n v="48"/>
    <n v="81.96"/>
    <n v="2.1"/>
    <s v="No"/>
    <x v="1"/>
  </r>
  <r>
    <s v="INC102863"/>
    <d v="2025-06-01T00:00:00"/>
    <d v="2025-06-03T13:54:36"/>
    <x v="0"/>
    <x v="2"/>
    <s v="DNS"/>
    <s v="Access Management"/>
    <s v="Delhi"/>
    <s v="Phone"/>
    <s v="Closed"/>
    <n v="48"/>
    <n v="61.91"/>
    <n v="3.7"/>
    <s v="No"/>
    <x v="1"/>
  </r>
  <r>
    <s v="INC102864"/>
    <d v="2025-04-21T00:00:00"/>
    <d v="2025-04-21T07:22:12"/>
    <x v="3"/>
    <x v="0"/>
    <s v="Performance"/>
    <s v="Service Desk"/>
    <s v="Bengaluru"/>
    <s v="Portal"/>
    <s v="Closed"/>
    <n v="8"/>
    <n v="7.37"/>
    <n v="3.9"/>
    <s v="No"/>
    <x v="0"/>
  </r>
  <r>
    <s v="INC102865"/>
    <d v="2025-01-16T00:00:00"/>
    <d v="2025-01-16T03:10:12"/>
    <x v="3"/>
    <x v="2"/>
    <s v="Connectivity"/>
    <s v="Desktop Support"/>
    <s v="Delhi"/>
    <s v="Portal"/>
    <s v="Resolved"/>
    <n v="8"/>
    <n v="3.17"/>
    <n v="5"/>
    <s v="No"/>
    <x v="0"/>
  </r>
  <r>
    <s v="INC102866"/>
    <d v="2025-01-07T00:00:00"/>
    <d v="2025-01-07T01:27:36"/>
    <x v="2"/>
    <x v="2"/>
    <s v="Packet Loss"/>
    <s v="Access Management"/>
    <s v="Bengaluru"/>
    <s v="Email"/>
    <s v="Pending"/>
    <n v="4"/>
    <n v="1.46"/>
    <n v="4.4000000000000004"/>
    <s v="No"/>
    <x v="0"/>
  </r>
  <r>
    <s v="INC102867"/>
    <d v="2025-02-27T00:00:00"/>
    <d v="2025-02-27T15:52:48"/>
    <x v="1"/>
    <x v="1"/>
    <s v="VPN Access"/>
    <s v="Application Support"/>
    <s v="Mumbai"/>
    <s v="Phone"/>
    <s v="Pending"/>
    <n v="24"/>
    <n v="15.88"/>
    <n v="4.9000000000000004"/>
    <s v="No"/>
    <x v="0"/>
  </r>
  <r>
    <s v="INC102868"/>
    <d v="2025-01-29T00:00:00"/>
    <d v="2025-01-29T02:57:00"/>
    <x v="3"/>
    <x v="3"/>
    <s v="Monitor"/>
    <s v="Access Management"/>
    <s v="Mumbai"/>
    <s v="Email"/>
    <s v="Resolved"/>
    <n v="8"/>
    <n v="2.95"/>
    <n v="4"/>
    <s v="No"/>
    <x v="0"/>
  </r>
  <r>
    <s v="INC102869"/>
    <d v="2025-06-05T00:00:00"/>
    <d v="2025-06-05T03:33:00"/>
    <x v="3"/>
    <x v="0"/>
    <s v="Performance"/>
    <s v="Desktop Support"/>
    <s v="Delhi"/>
    <s v="Email"/>
    <s v="Resolved"/>
    <n v="8"/>
    <n v="3.55"/>
    <n v="4.4000000000000004"/>
    <s v="No"/>
    <x v="0"/>
  </r>
  <r>
    <s v="INC102870"/>
    <d v="2025-02-07T00:00:00"/>
    <d v="2025-02-07T22:23:24"/>
    <x v="1"/>
    <x v="4"/>
    <s v="Configuration"/>
    <s v="Network Support"/>
    <s v="Mumbai"/>
    <s v="Phone"/>
    <s v="In Progress"/>
    <n v="24"/>
    <n v="22.39"/>
    <n v="4"/>
    <s v="No"/>
    <x v="0"/>
  </r>
  <r>
    <s v="INC102871"/>
    <d v="2025-02-21T00:00:00"/>
    <d v="2025-02-23T15:32:24"/>
    <x v="0"/>
    <x v="2"/>
    <s v="Link Down"/>
    <s v="Network Support"/>
    <s v="Gurugram"/>
    <s v="Chat"/>
    <s v="Resolved"/>
    <n v="48"/>
    <n v="63.54"/>
    <n v="4.5"/>
    <s v="No"/>
    <x v="1"/>
  </r>
  <r>
    <s v="INC102872"/>
    <d v="2025-06-26T00:00:00"/>
    <d v="2025-06-26T02:41:24"/>
    <x v="2"/>
    <x v="2"/>
    <s v="Link Down"/>
    <s v="Application Support"/>
    <s v="Mumbai"/>
    <s v="Email"/>
    <s v="Resolved"/>
    <n v="4"/>
    <n v="2.69"/>
    <n v="4.7"/>
    <s v="No"/>
    <x v="0"/>
  </r>
  <r>
    <s v="INC102873"/>
    <d v="2025-05-29T00:00:00"/>
    <d v="2025-05-30T05:15:36"/>
    <x v="0"/>
    <x v="2"/>
    <s v="Link Down"/>
    <s v="Network Support"/>
    <s v="Hyderabad"/>
    <s v="Chat"/>
    <s v="Closed"/>
    <n v="48"/>
    <n v="29.26"/>
    <n v="4.4000000000000004"/>
    <s v="No"/>
    <x v="0"/>
  </r>
  <r>
    <s v="INC102874"/>
    <d v="2025-02-09T00:00:00"/>
    <d v="2025-02-09T02:34:47"/>
    <x v="1"/>
    <x v="2"/>
    <s v="DNS"/>
    <s v="Desktop Support"/>
    <s v="Delhi"/>
    <s v="Phone"/>
    <s v="Closed"/>
    <n v="24"/>
    <n v="2.58"/>
    <n v="5"/>
    <s v="No"/>
    <x v="0"/>
  </r>
  <r>
    <s v="INC102875"/>
    <d v="2025-03-11T00:00:00"/>
    <d v="2025-03-11T21:37:48"/>
    <x v="1"/>
    <x v="1"/>
    <s v="Account Lock"/>
    <s v="Service Desk"/>
    <s v="Noida"/>
    <s v="Portal"/>
    <s v="Resolved"/>
    <n v="24"/>
    <n v="21.63"/>
    <n v="4.5999999999999996"/>
    <s v="No"/>
    <x v="0"/>
  </r>
  <r>
    <s v="INC102876"/>
    <d v="2025-04-04T00:00:00"/>
    <d v="2025-04-04T23:21:00"/>
    <x v="1"/>
    <x v="1"/>
    <s v="Account Lock"/>
    <s v="Access Management"/>
    <s v="Hyderabad"/>
    <s v="Phone"/>
    <s v="Resolved"/>
    <n v="24"/>
    <n v="23.35"/>
    <n v="4.0999999999999996"/>
    <s v="No"/>
    <x v="0"/>
  </r>
  <r>
    <s v="INC102877"/>
    <d v="2025-05-01T00:00:00"/>
    <d v="2025-05-03T06:30:36"/>
    <x v="0"/>
    <x v="0"/>
    <s v="Performance"/>
    <s v="Access Management"/>
    <s v="Delhi"/>
    <s v="Portal"/>
    <s v="In Progress"/>
    <n v="48"/>
    <n v="54.51"/>
    <n v="3"/>
    <s v="No"/>
    <x v="1"/>
  </r>
  <r>
    <s v="INC102878"/>
    <d v="2025-06-19T00:00:00"/>
    <d v="2025-06-19T19:34:47"/>
    <x v="3"/>
    <x v="2"/>
    <s v="Packet Loss"/>
    <s v="Desktop Support"/>
    <s v="Gurugram"/>
    <s v="Portal"/>
    <s v="Pending"/>
    <n v="8"/>
    <n v="19.579999999999998"/>
    <n v="2.5"/>
    <s v="No"/>
    <x v="1"/>
  </r>
  <r>
    <s v="INC102879"/>
    <d v="2025-06-07T00:00:00"/>
    <d v="2025-06-07T17:06:36"/>
    <x v="0"/>
    <x v="0"/>
    <s v="License"/>
    <s v="Desktop Support"/>
    <s v="Bengaluru"/>
    <s v="Chat"/>
    <s v="Resolved"/>
    <n v="48"/>
    <n v="17.11"/>
    <n v="4.5999999999999996"/>
    <s v="No"/>
    <x v="0"/>
  </r>
  <r>
    <s v="INC102880"/>
    <d v="2025-06-26T00:00:00"/>
    <d v="2025-06-26T11:35:24"/>
    <x v="3"/>
    <x v="2"/>
    <s v="DNS"/>
    <s v="Service Desk"/>
    <s v="Hyderabad"/>
    <s v="Portal"/>
    <s v="Resolved"/>
    <n v="8"/>
    <n v="11.59"/>
    <n v="3"/>
    <s v="No"/>
    <x v="1"/>
  </r>
  <r>
    <s v="INC102881"/>
    <d v="2025-01-08T00:00:00"/>
    <d v="2025-01-10T16:49:12"/>
    <x v="0"/>
    <x v="0"/>
    <s v="License"/>
    <s v="Application Support"/>
    <s v="Gurugram"/>
    <s v="Email"/>
    <s v="Resolved"/>
    <n v="48"/>
    <n v="64.819999999999993"/>
    <n v="2.9"/>
    <s v="No"/>
    <x v="1"/>
  </r>
  <r>
    <s v="INC102882"/>
    <d v="2025-02-12T00:00:00"/>
    <d v="2025-02-12T14:49:48"/>
    <x v="1"/>
    <x v="0"/>
    <s v="License"/>
    <s v="Service Desk"/>
    <s v="Noida"/>
    <s v="Chat"/>
    <s v="Resolved"/>
    <n v="24"/>
    <n v="14.83"/>
    <n v="4.5999999999999996"/>
    <s v="No"/>
    <x v="0"/>
  </r>
  <r>
    <s v="INC102883"/>
    <d v="2025-04-12T00:00:00"/>
    <d v="2025-04-12T01:11:24"/>
    <x v="3"/>
    <x v="2"/>
    <s v="Link Down"/>
    <s v="Application Support"/>
    <s v="Mumbai"/>
    <s v="Portal"/>
    <s v="Resolved"/>
    <n v="8"/>
    <n v="1.19"/>
    <n v="5"/>
    <s v="No"/>
    <x v="0"/>
  </r>
  <r>
    <s v="INC102884"/>
    <d v="2025-01-09T00:00:00"/>
    <d v="2025-01-11T11:40:12"/>
    <x v="0"/>
    <x v="1"/>
    <s v="Account Lock"/>
    <s v="Access Management"/>
    <s v="Delhi"/>
    <s v="Portal"/>
    <s v="Closed"/>
    <n v="48"/>
    <n v="59.67"/>
    <n v="2.9"/>
    <s v="Yes"/>
    <x v="1"/>
  </r>
  <r>
    <s v="INC102885"/>
    <d v="2025-03-06T00:00:00"/>
    <d v="2025-03-08T23:01:48"/>
    <x v="0"/>
    <x v="1"/>
    <s v="Permission"/>
    <s v="Network Support"/>
    <s v="Gurugram"/>
    <s v="Portal"/>
    <s v="Resolved"/>
    <n v="48"/>
    <n v="71.03"/>
    <n v="2.5"/>
    <s v="No"/>
    <x v="1"/>
  </r>
  <r>
    <s v="INC102886"/>
    <d v="2025-01-28T00:00:00"/>
    <d v="2025-01-28T01:34:47"/>
    <x v="3"/>
    <x v="3"/>
    <s v="Printer"/>
    <s v="Service Desk"/>
    <s v="Gurugram"/>
    <s v="Email"/>
    <s v="Closed"/>
    <n v="8"/>
    <n v="1.58"/>
    <n v="5"/>
    <s v="No"/>
    <x v="0"/>
  </r>
  <r>
    <s v="INC102887"/>
    <d v="2025-06-18T00:00:00"/>
    <d v="2025-06-19T16:35:24"/>
    <x v="0"/>
    <x v="0"/>
    <s v="Performance"/>
    <s v="Service Desk"/>
    <s v="Noida"/>
    <s v="Portal"/>
    <s v="Closed"/>
    <n v="48"/>
    <n v="40.590000000000003"/>
    <n v="4.5"/>
    <s v="Yes"/>
    <x v="0"/>
  </r>
  <r>
    <s v="INC102888"/>
    <d v="2025-01-12T00:00:00"/>
    <d v="2025-01-13T04:02:24"/>
    <x v="0"/>
    <x v="0"/>
    <s v="Application Error"/>
    <s v="Access Management"/>
    <s v="Bengaluru"/>
    <s v="Portal"/>
    <s v="Closed"/>
    <n v="48"/>
    <n v="28.04"/>
    <n v="4.4000000000000004"/>
    <s v="No"/>
    <x v="0"/>
  </r>
  <r>
    <s v="INC102889"/>
    <d v="2025-01-27T00:00:00"/>
    <d v="2025-01-27T13:26:24"/>
    <x v="1"/>
    <x v="2"/>
    <s v="Connectivity"/>
    <s v="Application Support"/>
    <s v="Gurugram"/>
    <s v="Phone"/>
    <s v="Resolved"/>
    <n v="24"/>
    <n v="13.44"/>
    <n v="4.7"/>
    <s v="No"/>
    <x v="0"/>
  </r>
  <r>
    <s v="INC102890"/>
    <d v="2025-02-05T00:00:00"/>
    <d v="2025-02-05T00:54:00"/>
    <x v="3"/>
    <x v="2"/>
    <s v="Connectivity"/>
    <s v="Network Support"/>
    <s v="Noida"/>
    <s v="Portal"/>
    <s v="Closed"/>
    <n v="8"/>
    <n v="0.9"/>
    <n v="4.5999999999999996"/>
    <s v="No"/>
    <x v="0"/>
  </r>
  <r>
    <s v="INC102891"/>
    <d v="2025-01-27T00:00:00"/>
    <d v="2025-01-28T05:19:48"/>
    <x v="1"/>
    <x v="0"/>
    <s v="Installation"/>
    <s v="Service Desk"/>
    <s v="Hyderabad"/>
    <s v="Email"/>
    <s v="Resolved"/>
    <n v="24"/>
    <n v="29.33"/>
    <n v="3.4"/>
    <s v="No"/>
    <x v="1"/>
  </r>
  <r>
    <s v="INC102892"/>
    <d v="2025-04-13T00:00:00"/>
    <d v="2025-04-13T09:34:47"/>
    <x v="1"/>
    <x v="4"/>
    <s v="Configuration"/>
    <s v="Application Support"/>
    <s v="Mumbai"/>
    <s v="Portal"/>
    <s v="Resolved"/>
    <n v="24"/>
    <n v="9.58"/>
    <n v="4.5"/>
    <s v="Yes"/>
    <x v="0"/>
  </r>
  <r>
    <s v="INC102893"/>
    <d v="2025-03-07T00:00:00"/>
    <d v="2025-03-07T07:28:12"/>
    <x v="2"/>
    <x v="0"/>
    <s v="License"/>
    <s v="Access Management"/>
    <s v="Hyderabad"/>
    <s v="Email"/>
    <s v="Closed"/>
    <n v="4"/>
    <n v="7.47"/>
    <n v="3.4"/>
    <s v="No"/>
    <x v="1"/>
  </r>
  <r>
    <s v="INC102894"/>
    <d v="2025-06-15T00:00:00"/>
    <d v="2025-06-15T11:13:12"/>
    <x v="1"/>
    <x v="0"/>
    <s v="License"/>
    <s v="Desktop Support"/>
    <s v="Mumbai"/>
    <s v="Email"/>
    <s v="Closed"/>
    <n v="24"/>
    <n v="11.22"/>
    <n v="3.5"/>
    <s v="No"/>
    <x v="0"/>
  </r>
  <r>
    <s v="INC102895"/>
    <d v="2025-02-17T00:00:00"/>
    <d v="2025-02-17T08:35:24"/>
    <x v="1"/>
    <x v="0"/>
    <s v="Performance"/>
    <s v="Network Support"/>
    <s v="Bengaluru"/>
    <s v="Portal"/>
    <s v="Closed"/>
    <n v="24"/>
    <n v="8.59"/>
    <n v="3.9"/>
    <s v="No"/>
    <x v="0"/>
  </r>
  <r>
    <s v="INC102896"/>
    <d v="2025-04-08T00:00:00"/>
    <d v="2025-04-08T09:24:00"/>
    <x v="1"/>
    <x v="3"/>
    <s v="Laptop"/>
    <s v="Network Support"/>
    <s v="Gurugram"/>
    <s v="Portal"/>
    <s v="Resolved"/>
    <n v="24"/>
    <n v="9.4"/>
    <n v="3.7"/>
    <s v="No"/>
    <x v="0"/>
  </r>
  <r>
    <s v="INC102897"/>
    <d v="2025-04-30T00:00:00"/>
    <d v="2025-04-30T11:40:12"/>
    <x v="1"/>
    <x v="2"/>
    <s v="DNS"/>
    <s v="Network Support"/>
    <s v="Delhi"/>
    <s v="Portal"/>
    <s v="Closed"/>
    <n v="24"/>
    <n v="11.67"/>
    <n v="5"/>
    <s v="No"/>
    <x v="0"/>
  </r>
  <r>
    <s v="INC102898"/>
    <d v="2025-04-24T00:00:00"/>
    <d v="2025-04-24T11:24:36"/>
    <x v="1"/>
    <x v="3"/>
    <s v="Peripheral"/>
    <s v="Network Support"/>
    <s v="Bengaluru"/>
    <s v="Portal"/>
    <s v="Resolved"/>
    <n v="24"/>
    <n v="11.41"/>
    <n v="4.4000000000000004"/>
    <s v="No"/>
    <x v="0"/>
  </r>
  <r>
    <s v="INC102899"/>
    <d v="2025-05-25T00:00:00"/>
    <d v="2025-05-26T05:24:00"/>
    <x v="1"/>
    <x v="4"/>
    <s v="Configuration"/>
    <s v="Desktop Support"/>
    <s v="Noida"/>
    <s v="Portal"/>
    <s v="Closed"/>
    <n v="24"/>
    <n v="29.4"/>
    <n v="2.9"/>
    <s v="No"/>
    <x v="1"/>
  </r>
  <r>
    <s v="INC102900"/>
    <d v="2025-02-06T00:00:00"/>
    <d v="2025-02-06T22:37:48"/>
    <x v="0"/>
    <x v="1"/>
    <s v="Account Lock"/>
    <s v="Service Desk"/>
    <s v="Mumbai"/>
    <s v="Email"/>
    <s v="Resolved"/>
    <n v="48"/>
    <n v="22.63"/>
    <n v="4.3"/>
    <s v="No"/>
    <x v="0"/>
  </r>
  <r>
    <s v="INC102901"/>
    <d v="2025-04-02T00:00:00"/>
    <d v="2025-04-03T08:45:36"/>
    <x v="1"/>
    <x v="4"/>
    <s v="Mailbox"/>
    <s v="Service Desk"/>
    <s v="Delhi"/>
    <s v="Portal"/>
    <s v="Closed"/>
    <n v="24"/>
    <n v="32.76"/>
    <n v="3"/>
    <s v="No"/>
    <x v="1"/>
  </r>
  <r>
    <s v="INC102902"/>
    <d v="2025-05-25T00:00:00"/>
    <d v="2025-05-27T09:50:24"/>
    <x v="0"/>
    <x v="2"/>
    <s v="DNS"/>
    <s v="Application Support"/>
    <s v="Hyderabad"/>
    <s v="Portal"/>
    <s v="Pending"/>
    <n v="48"/>
    <n v="57.84"/>
    <n v="2.6"/>
    <s v="No"/>
    <x v="1"/>
  </r>
  <r>
    <s v="INC102903"/>
    <d v="2025-06-06T00:00:00"/>
    <d v="2025-06-07T02:17:23"/>
    <x v="1"/>
    <x v="0"/>
    <s v="Application Error"/>
    <s v="Desktop Support"/>
    <s v="Gurugram"/>
    <s v="Portal"/>
    <s v="Resolved"/>
    <n v="24"/>
    <n v="26.29"/>
    <n v="4.5"/>
    <s v="No"/>
    <x v="1"/>
  </r>
  <r>
    <s v="INC102904"/>
    <d v="2025-04-22T00:00:00"/>
    <d v="2025-04-23T22:16:48"/>
    <x v="0"/>
    <x v="0"/>
    <s v="License"/>
    <s v="Application Support"/>
    <s v="Noida"/>
    <s v="Phone"/>
    <s v="In Progress"/>
    <n v="48"/>
    <n v="46.28"/>
    <n v="3.7"/>
    <s v="No"/>
    <x v="0"/>
  </r>
  <r>
    <s v="INC102905"/>
    <d v="2025-04-28T00:00:00"/>
    <d v="2025-04-28T05:25:12"/>
    <x v="1"/>
    <x v="2"/>
    <s v="DNS"/>
    <s v="Desktop Support"/>
    <s v="Noida"/>
    <s v="Portal"/>
    <s v="Closed"/>
    <n v="24"/>
    <n v="5.42"/>
    <n v="5"/>
    <s v="Yes"/>
    <x v="0"/>
  </r>
  <r>
    <s v="INC102906"/>
    <d v="2025-06-06T00:00:00"/>
    <d v="2025-06-06T08:04:48"/>
    <x v="3"/>
    <x v="2"/>
    <s v="DNS"/>
    <s v="Service Desk"/>
    <s v="Hyderabad"/>
    <s v="Email"/>
    <s v="Resolved"/>
    <n v="8"/>
    <n v="8.08"/>
    <n v="2.8"/>
    <s v="No"/>
    <x v="1"/>
  </r>
  <r>
    <s v="INC102907"/>
    <d v="2025-04-24T00:00:00"/>
    <d v="2025-04-25T04:59:24"/>
    <x v="1"/>
    <x v="1"/>
    <s v="Permission"/>
    <s v="Access Management"/>
    <s v="Mumbai"/>
    <s v="Email"/>
    <s v="Resolved"/>
    <n v="24"/>
    <n v="28.99"/>
    <n v="3.9"/>
    <s v="No"/>
    <x v="1"/>
  </r>
  <r>
    <s v="INC102908"/>
    <d v="2025-06-21T00:00:00"/>
    <d v="2025-06-23T20:15:36"/>
    <x v="0"/>
    <x v="0"/>
    <s v="License"/>
    <s v="Desktop Support"/>
    <s v="Delhi"/>
    <s v="Portal"/>
    <s v="Resolved"/>
    <n v="48"/>
    <n v="68.260000000000005"/>
    <n v="2.4"/>
    <s v="No"/>
    <x v="1"/>
  </r>
  <r>
    <s v="INC102909"/>
    <d v="2025-01-24T00:00:00"/>
    <d v="2025-01-24T05:47:24"/>
    <x v="0"/>
    <x v="0"/>
    <s v="License"/>
    <s v="Access Management"/>
    <s v="Hyderabad"/>
    <s v="Portal"/>
    <s v="Resolved"/>
    <n v="48"/>
    <n v="5.79"/>
    <n v="5"/>
    <s v="No"/>
    <x v="0"/>
  </r>
  <r>
    <s v="INC102910"/>
    <d v="2025-03-04T00:00:00"/>
    <d v="2025-03-04T09:20:24"/>
    <x v="3"/>
    <x v="2"/>
    <s v="DNS"/>
    <s v="Network Support"/>
    <s v="Mumbai"/>
    <s v="Portal"/>
    <s v="Resolved"/>
    <n v="8"/>
    <n v="9.34"/>
    <n v="2.5"/>
    <s v="No"/>
    <x v="1"/>
  </r>
  <r>
    <s v="INC102911"/>
    <d v="2025-01-21T00:00:00"/>
    <d v="2025-01-21T05:58:12"/>
    <x v="0"/>
    <x v="0"/>
    <s v="Installation"/>
    <s v="Access Management"/>
    <s v="Delhi"/>
    <s v="Email"/>
    <s v="Closed"/>
    <n v="48"/>
    <n v="5.97"/>
    <n v="5"/>
    <s v="No"/>
    <x v="0"/>
  </r>
  <r>
    <s v="INC102912"/>
    <d v="2025-01-17T00:00:00"/>
    <d v="2025-01-17T07:01:12"/>
    <x v="3"/>
    <x v="2"/>
    <s v="Packet Loss"/>
    <s v="Application Support"/>
    <s v="Mumbai"/>
    <s v="Portal"/>
    <s v="Resolved"/>
    <n v="8"/>
    <n v="7.02"/>
    <n v="3.9"/>
    <s v="Yes"/>
    <x v="0"/>
  </r>
  <r>
    <s v="INC102913"/>
    <d v="2025-03-27T00:00:00"/>
    <d v="2025-03-27T18:36:36"/>
    <x v="1"/>
    <x v="2"/>
    <s v="DNS"/>
    <s v="Service Desk"/>
    <s v="Delhi"/>
    <s v="Portal"/>
    <s v="Resolved"/>
    <n v="24"/>
    <n v="18.61"/>
    <n v="4"/>
    <s v="No"/>
    <x v="0"/>
  </r>
  <r>
    <s v="INC102914"/>
    <d v="2025-02-10T00:00:00"/>
    <d v="2025-02-10T12:51:00"/>
    <x v="0"/>
    <x v="0"/>
    <s v="Application Error"/>
    <s v="Application Support"/>
    <s v="Noida"/>
    <s v="Chat"/>
    <s v="In Progress"/>
    <n v="48"/>
    <n v="12.85"/>
    <n v="5"/>
    <s v="Yes"/>
    <x v="0"/>
  </r>
  <r>
    <s v="INC102915"/>
    <d v="2025-03-15T00:00:00"/>
    <d v="2025-03-15T04:52:12"/>
    <x v="3"/>
    <x v="3"/>
    <s v="Laptop"/>
    <s v="Application Support"/>
    <s v="Delhi"/>
    <s v="Phone"/>
    <s v="Closed"/>
    <n v="8"/>
    <n v="4.87"/>
    <n v="3.7"/>
    <s v="No"/>
    <x v="0"/>
  </r>
  <r>
    <s v="INC102916"/>
    <d v="2025-03-21T00:00:00"/>
    <d v="2025-03-21T12:27:00"/>
    <x v="1"/>
    <x v="4"/>
    <s v="Spam"/>
    <s v="Access Management"/>
    <s v="Delhi"/>
    <s v="Portal"/>
    <s v="Resolved"/>
    <n v="24"/>
    <n v="12.45"/>
    <n v="4.9000000000000004"/>
    <s v="Yes"/>
    <x v="0"/>
  </r>
  <r>
    <s v="INC102917"/>
    <d v="2025-04-23T00:00:00"/>
    <d v="2025-04-24T14:50:24"/>
    <x v="0"/>
    <x v="3"/>
    <s v="Monitor"/>
    <s v="Service Desk"/>
    <s v="Bengaluru"/>
    <s v="Chat"/>
    <s v="Closed"/>
    <n v="48"/>
    <n v="38.840000000000003"/>
    <n v="4.5999999999999996"/>
    <s v="No"/>
    <x v="0"/>
  </r>
  <r>
    <s v="INC102918"/>
    <d v="2025-06-21T00:00:00"/>
    <d v="2025-06-21T02:21:36"/>
    <x v="2"/>
    <x v="2"/>
    <s v="DNS"/>
    <s v="Access Management"/>
    <s v="Mumbai"/>
    <s v="Portal"/>
    <s v="Resolved"/>
    <n v="4"/>
    <n v="2.36"/>
    <n v="4.3"/>
    <s v="No"/>
    <x v="0"/>
  </r>
  <r>
    <s v="INC102919"/>
    <d v="2025-06-03T00:00:00"/>
    <d v="2025-06-04T11:09:00"/>
    <x v="0"/>
    <x v="2"/>
    <s v="DNS"/>
    <s v="Application Support"/>
    <s v="Noida"/>
    <s v="Portal"/>
    <s v="Closed"/>
    <n v="48"/>
    <n v="35.15"/>
    <n v="4.3"/>
    <s v="No"/>
    <x v="0"/>
  </r>
  <r>
    <s v="INC102920"/>
    <d v="2025-03-10T00:00:00"/>
    <d v="2025-03-10T10:49:12"/>
    <x v="1"/>
    <x v="1"/>
    <s v="Password Reset"/>
    <s v="Service Desk"/>
    <s v="Noida"/>
    <s v="Portal"/>
    <s v="Resolved"/>
    <n v="24"/>
    <n v="10.82"/>
    <n v="5"/>
    <s v="No"/>
    <x v="0"/>
  </r>
  <r>
    <s v="INC102921"/>
    <d v="2025-02-28T00:00:00"/>
    <d v="2025-03-02T07:02:24"/>
    <x v="1"/>
    <x v="2"/>
    <s v="Link Down"/>
    <s v="Service Desk"/>
    <s v="Bengaluru"/>
    <s v="Chat"/>
    <s v="Resolved"/>
    <n v="24"/>
    <n v="55.04"/>
    <n v="2.7"/>
    <s v="No"/>
    <x v="1"/>
  </r>
  <r>
    <s v="INC102922"/>
    <d v="2025-05-20T00:00:00"/>
    <d v="2025-05-20T17:55:12"/>
    <x v="1"/>
    <x v="2"/>
    <s v="DNS"/>
    <s v="Service Desk"/>
    <s v="Delhi"/>
    <s v="Portal"/>
    <s v="Pending"/>
    <n v="24"/>
    <n v="17.920000000000002"/>
    <n v="3.6"/>
    <s v="Yes"/>
    <x v="0"/>
  </r>
  <r>
    <s v="INC102923"/>
    <d v="2025-01-23T00:00:00"/>
    <d v="2025-01-23T03:09:36"/>
    <x v="3"/>
    <x v="3"/>
    <s v="Printer"/>
    <s v="Desktop Support"/>
    <s v="Delhi"/>
    <s v="Phone"/>
    <s v="Resolved"/>
    <n v="8"/>
    <n v="3.16"/>
    <n v="5"/>
    <s v="No"/>
    <x v="0"/>
  </r>
  <r>
    <s v="INC102924"/>
    <d v="2025-04-08T00:00:00"/>
    <d v="2025-04-08T18:00:00"/>
    <x v="0"/>
    <x v="2"/>
    <s v="Connectivity"/>
    <s v="Access Management"/>
    <s v="Delhi"/>
    <s v="Email"/>
    <s v="Resolved"/>
    <n v="48"/>
    <n v="18"/>
    <n v="4.2"/>
    <s v="No"/>
    <x v="0"/>
  </r>
  <r>
    <s v="INC102925"/>
    <d v="2025-03-18T00:00:00"/>
    <d v="2025-03-18T07:48:00"/>
    <x v="3"/>
    <x v="0"/>
    <s v="Performance"/>
    <s v="Access Management"/>
    <s v="Delhi"/>
    <s v="Email"/>
    <s v="Resolved"/>
    <n v="8"/>
    <n v="7.8"/>
    <n v="3.4"/>
    <s v="No"/>
    <x v="0"/>
  </r>
  <r>
    <s v="INC102926"/>
    <d v="2025-02-03T00:00:00"/>
    <d v="2025-02-06T01:16:48"/>
    <x v="1"/>
    <x v="0"/>
    <s v="License"/>
    <s v="Network Support"/>
    <s v="Mumbai"/>
    <s v="Portal"/>
    <s v="Resolved"/>
    <n v="24"/>
    <n v="73.28"/>
    <n v="1.7"/>
    <s v="No"/>
    <x v="1"/>
  </r>
  <r>
    <s v="INC102927"/>
    <d v="2025-04-22T00:00:00"/>
    <d v="2025-04-22T05:11:24"/>
    <x v="2"/>
    <x v="2"/>
    <s v="Link Down"/>
    <s v="Network Support"/>
    <s v="Bengaluru"/>
    <s v="Portal"/>
    <s v="Closed"/>
    <n v="4"/>
    <n v="5.19"/>
    <n v="2.8"/>
    <s v="No"/>
    <x v="1"/>
  </r>
  <r>
    <s v="INC102928"/>
    <d v="2025-02-28T00:00:00"/>
    <d v="2025-02-28T04:31:48"/>
    <x v="3"/>
    <x v="1"/>
    <s v="Account Lock"/>
    <s v="Network Support"/>
    <s v="Gurugram"/>
    <s v="Phone"/>
    <s v="Resolved"/>
    <n v="8"/>
    <n v="4.53"/>
    <n v="4.4000000000000004"/>
    <s v="No"/>
    <x v="0"/>
  </r>
  <r>
    <s v="INC102929"/>
    <d v="2025-02-03T00:00:00"/>
    <d v="2025-02-03T00:50:24"/>
    <x v="3"/>
    <x v="3"/>
    <s v="Printer"/>
    <s v="Application Support"/>
    <s v="Bengaluru"/>
    <s v="Portal"/>
    <s v="Resolved"/>
    <n v="8"/>
    <n v="0.84"/>
    <n v="5"/>
    <s v="No"/>
    <x v="0"/>
  </r>
  <r>
    <s v="INC102930"/>
    <d v="2025-04-29T00:00:00"/>
    <d v="2025-04-29T06:46:12"/>
    <x v="1"/>
    <x v="0"/>
    <s v="License"/>
    <s v="Service Desk"/>
    <s v="Noida"/>
    <s v="Email"/>
    <s v="In Progress"/>
    <n v="24"/>
    <n v="6.77"/>
    <n v="5"/>
    <s v="No"/>
    <x v="0"/>
  </r>
  <r>
    <s v="INC102931"/>
    <d v="2025-02-01T00:00:00"/>
    <d v="2025-02-01T08:22:48"/>
    <x v="1"/>
    <x v="2"/>
    <s v="Packet Loss"/>
    <s v="Application Support"/>
    <s v="Delhi"/>
    <s v="Portal"/>
    <s v="Resolved"/>
    <n v="24"/>
    <n v="8.3800000000000008"/>
    <n v="5"/>
    <s v="No"/>
    <x v="0"/>
  </r>
  <r>
    <s v="INC102932"/>
    <d v="2025-05-02T00:00:00"/>
    <d v="2025-05-02T02:21:36"/>
    <x v="1"/>
    <x v="0"/>
    <s v="License"/>
    <s v="Application Support"/>
    <s v="Hyderabad"/>
    <s v="Phone"/>
    <s v="Resolved"/>
    <n v="24"/>
    <n v="2.36"/>
    <n v="3.9"/>
    <s v="No"/>
    <x v="0"/>
  </r>
  <r>
    <s v="INC102933"/>
    <d v="2025-01-30T00:00:00"/>
    <d v="2025-01-30T11:52:12"/>
    <x v="1"/>
    <x v="3"/>
    <s v="Peripheral"/>
    <s v="Network Support"/>
    <s v="Hyderabad"/>
    <s v="Email"/>
    <s v="Resolved"/>
    <n v="24"/>
    <n v="11.87"/>
    <n v="3.6"/>
    <s v="No"/>
    <x v="0"/>
  </r>
  <r>
    <s v="INC102934"/>
    <d v="2025-03-20T00:00:00"/>
    <d v="2025-03-20T21:23:24"/>
    <x v="1"/>
    <x v="0"/>
    <s v="Installation"/>
    <s v="Application Support"/>
    <s v="Mumbai"/>
    <s v="Email"/>
    <s v="In Progress"/>
    <n v="24"/>
    <n v="21.39"/>
    <n v="5"/>
    <s v="No"/>
    <x v="0"/>
  </r>
  <r>
    <s v="INC102935"/>
    <d v="2025-05-27T00:00:00"/>
    <d v="2025-05-27T03:21:36"/>
    <x v="3"/>
    <x v="3"/>
    <s v="Monitor"/>
    <s v="Application Support"/>
    <s v="Mumbai"/>
    <s v="Email"/>
    <s v="Resolved"/>
    <n v="8"/>
    <n v="3.36"/>
    <n v="4.0999999999999996"/>
    <s v="No"/>
    <x v="0"/>
  </r>
  <r>
    <s v="INC102936"/>
    <d v="2025-02-11T00:00:00"/>
    <d v="2025-02-13T02:21:00"/>
    <x v="0"/>
    <x v="4"/>
    <s v="Delivery"/>
    <s v="Access Management"/>
    <s v="Bengaluru"/>
    <s v="Portal"/>
    <s v="Closed"/>
    <n v="48"/>
    <n v="50.35"/>
    <n v="2.8"/>
    <s v="No"/>
    <x v="1"/>
  </r>
  <r>
    <s v="INC102937"/>
    <d v="2025-05-19T00:00:00"/>
    <d v="2025-05-19T02:58:12"/>
    <x v="3"/>
    <x v="2"/>
    <s v="Connectivity"/>
    <s v="Application Support"/>
    <s v="Mumbai"/>
    <s v="Portal"/>
    <s v="Closed"/>
    <n v="8"/>
    <n v="2.97"/>
    <n v="3.9"/>
    <s v="No"/>
    <x v="0"/>
  </r>
  <r>
    <s v="INC102938"/>
    <d v="2025-05-11T00:00:00"/>
    <d v="2025-05-11T07:52:12"/>
    <x v="0"/>
    <x v="4"/>
    <s v="Mailbox"/>
    <s v="Service Desk"/>
    <s v="Bengaluru"/>
    <s v="Portal"/>
    <s v="Resolved"/>
    <n v="48"/>
    <n v="7.87"/>
    <n v="5"/>
    <s v="No"/>
    <x v="0"/>
  </r>
  <r>
    <s v="INC102939"/>
    <d v="2025-06-13T00:00:00"/>
    <d v="2025-06-13T02:33:00"/>
    <x v="3"/>
    <x v="4"/>
    <s v="Mailbox"/>
    <s v="Access Management"/>
    <s v="Delhi"/>
    <s v="Email"/>
    <s v="Closed"/>
    <n v="8"/>
    <n v="2.5499999999999998"/>
    <n v="4.7"/>
    <s v="No"/>
    <x v="0"/>
  </r>
  <r>
    <s v="INC102940"/>
    <d v="2025-01-31T00:00:00"/>
    <d v="2025-01-31T13:50:24"/>
    <x v="0"/>
    <x v="3"/>
    <s v="Peripheral"/>
    <s v="Service Desk"/>
    <s v="Gurugram"/>
    <s v="Portal"/>
    <s v="In Progress"/>
    <n v="48"/>
    <n v="13.84"/>
    <n v="5"/>
    <s v="No"/>
    <x v="0"/>
  </r>
  <r>
    <s v="INC102941"/>
    <d v="2025-05-10T00:00:00"/>
    <d v="2025-05-10T06:05:24"/>
    <x v="0"/>
    <x v="3"/>
    <s v="Peripheral"/>
    <s v="Access Management"/>
    <s v="Hyderabad"/>
    <s v="Portal"/>
    <s v="Closed"/>
    <n v="48"/>
    <n v="6.09"/>
    <n v="4.8"/>
    <s v="No"/>
    <x v="0"/>
  </r>
  <r>
    <s v="INC102942"/>
    <d v="2025-06-19T00:00:00"/>
    <d v="2025-06-19T01:52:48"/>
    <x v="3"/>
    <x v="3"/>
    <s v="Peripheral"/>
    <s v="Service Desk"/>
    <s v="Noida"/>
    <s v="Portal"/>
    <s v="Closed"/>
    <n v="8"/>
    <n v="1.88"/>
    <n v="4"/>
    <s v="Yes"/>
    <x v="0"/>
  </r>
  <r>
    <s v="INC102943"/>
    <d v="2025-05-19T00:00:00"/>
    <d v="2025-05-19T00:39:00"/>
    <x v="3"/>
    <x v="4"/>
    <s v="Mailbox"/>
    <s v="Access Management"/>
    <s v="Mumbai"/>
    <s v="Portal"/>
    <s v="Resolved"/>
    <n v="8"/>
    <n v="0.65"/>
    <n v="3.7"/>
    <s v="Yes"/>
    <x v="0"/>
  </r>
  <r>
    <s v="INC102944"/>
    <d v="2025-02-04T00:00:00"/>
    <d v="2025-02-04T00:36:00"/>
    <x v="3"/>
    <x v="0"/>
    <s v="Installation"/>
    <s v="Application Support"/>
    <s v="Delhi"/>
    <s v="Email"/>
    <s v="Resolved"/>
    <n v="8"/>
    <n v="0.6"/>
    <n v="4.4000000000000004"/>
    <s v="No"/>
    <x v="0"/>
  </r>
  <r>
    <s v="INC102945"/>
    <d v="2025-05-29T00:00:00"/>
    <d v="2025-05-29T01:39:00"/>
    <x v="2"/>
    <x v="0"/>
    <s v="Installation"/>
    <s v="Desktop Support"/>
    <s v="Noida"/>
    <s v="Email"/>
    <s v="Closed"/>
    <n v="4"/>
    <n v="1.65"/>
    <n v="4.5999999999999996"/>
    <s v="No"/>
    <x v="0"/>
  </r>
  <r>
    <s v="INC102946"/>
    <d v="2025-01-20T00:00:00"/>
    <d v="2025-01-20T16:30:36"/>
    <x v="0"/>
    <x v="2"/>
    <s v="Connectivity"/>
    <s v="Service Desk"/>
    <s v="Delhi"/>
    <s v="Portal"/>
    <s v="Resolved"/>
    <n v="48"/>
    <n v="16.510000000000002"/>
    <n v="3.8"/>
    <s v="No"/>
    <x v="0"/>
  </r>
  <r>
    <s v="INC102947"/>
    <d v="2025-04-17T00:00:00"/>
    <d v="2025-04-17T15:51:36"/>
    <x v="3"/>
    <x v="1"/>
    <s v="Account Lock"/>
    <s v="Network Support"/>
    <s v="Gurugram"/>
    <s v="Portal"/>
    <s v="Resolved"/>
    <n v="8"/>
    <n v="15.86"/>
    <n v="3.3"/>
    <s v="No"/>
    <x v="1"/>
  </r>
  <r>
    <s v="INC102948"/>
    <d v="2025-04-01T00:00:00"/>
    <d v="2025-04-01T05:52:48"/>
    <x v="1"/>
    <x v="2"/>
    <s v="Link Down"/>
    <s v="Access Management"/>
    <s v="Delhi"/>
    <s v="Email"/>
    <s v="Resolved"/>
    <n v="24"/>
    <n v="5.88"/>
    <n v="4.0999999999999996"/>
    <s v="No"/>
    <x v="0"/>
  </r>
  <r>
    <s v="INC102949"/>
    <d v="2025-04-07T00:00:00"/>
    <d v="2025-04-07T09:22:12"/>
    <x v="1"/>
    <x v="2"/>
    <s v="DNS"/>
    <s v="Access Management"/>
    <s v="Gurugram"/>
    <s v="Email"/>
    <s v="Resolved"/>
    <n v="24"/>
    <n v="9.3699999999999992"/>
    <n v="3.5"/>
    <s v="Yes"/>
    <x v="0"/>
  </r>
  <r>
    <s v="INC102950"/>
    <d v="2025-04-05T00:00:00"/>
    <d v="2025-04-05T15:30:00"/>
    <x v="1"/>
    <x v="2"/>
    <s v="Connectivity"/>
    <s v="Desktop Support"/>
    <s v="Bengaluru"/>
    <s v="Phone"/>
    <s v="Closed"/>
    <n v="24"/>
    <n v="15.5"/>
    <n v="4.2"/>
    <s v="No"/>
    <x v="0"/>
  </r>
  <r>
    <s v="INC102951"/>
    <d v="2025-01-06T00:00:00"/>
    <d v="2025-01-08T04:51:36"/>
    <x v="0"/>
    <x v="3"/>
    <s v="Peripheral"/>
    <s v="Access Management"/>
    <s v="Delhi"/>
    <s v="Phone"/>
    <s v="Resolved"/>
    <n v="48"/>
    <n v="52.86"/>
    <n v="4.2"/>
    <s v="No"/>
    <x v="1"/>
  </r>
  <r>
    <s v="INC102952"/>
    <d v="2025-04-02T00:00:00"/>
    <d v="2025-04-03T09:16:48"/>
    <x v="1"/>
    <x v="4"/>
    <s v="Configuration"/>
    <s v="Application Support"/>
    <s v="Gurugram"/>
    <s v="Phone"/>
    <s v="Closed"/>
    <n v="24"/>
    <n v="33.28"/>
    <n v="4.3"/>
    <s v="No"/>
    <x v="1"/>
  </r>
  <r>
    <s v="INC102953"/>
    <d v="2025-06-19T00:00:00"/>
    <d v="2025-06-19T05:13:12"/>
    <x v="3"/>
    <x v="1"/>
    <s v="Password Reset"/>
    <s v="Service Desk"/>
    <s v="Mumbai"/>
    <s v="Phone"/>
    <s v="Resolved"/>
    <n v="8"/>
    <n v="5.22"/>
    <n v="3.2"/>
    <s v="No"/>
    <x v="0"/>
  </r>
  <r>
    <s v="INC102954"/>
    <d v="2025-03-21T00:00:00"/>
    <d v="2025-03-22T00:01:12"/>
    <x v="0"/>
    <x v="2"/>
    <s v="Link Down"/>
    <s v="Access Management"/>
    <s v="Delhi"/>
    <s v="Phone"/>
    <s v="Resolved"/>
    <n v="48"/>
    <n v="24.02"/>
    <n v="5"/>
    <s v="No"/>
    <x v="0"/>
  </r>
  <r>
    <s v="INC102955"/>
    <d v="2025-02-20T00:00:00"/>
    <d v="2025-02-20T02:25:48"/>
    <x v="3"/>
    <x v="3"/>
    <s v="Monitor"/>
    <s v="Application Support"/>
    <s v="Bengaluru"/>
    <s v="Email"/>
    <s v="Resolved"/>
    <n v="8"/>
    <n v="2.4300000000000002"/>
    <n v="4.8"/>
    <s v="No"/>
    <x v="0"/>
  </r>
  <r>
    <s v="INC102956"/>
    <d v="2025-06-30T00:00:00"/>
    <d v="2025-06-30T14:12:00"/>
    <x v="1"/>
    <x v="1"/>
    <s v="VPN Access"/>
    <s v="Desktop Support"/>
    <s v="Hyderabad"/>
    <s v="Email"/>
    <s v="Resolved"/>
    <n v="24"/>
    <n v="14.2"/>
    <n v="3.9"/>
    <s v="No"/>
    <x v="0"/>
  </r>
  <r>
    <s v="INC102957"/>
    <d v="2025-01-18T00:00:00"/>
    <d v="2025-01-20T15:00:00"/>
    <x v="0"/>
    <x v="0"/>
    <s v="License"/>
    <s v="Network Support"/>
    <s v="Mumbai"/>
    <s v="Phone"/>
    <s v="Resolved"/>
    <n v="48"/>
    <n v="63"/>
    <n v="3.9"/>
    <s v="No"/>
    <x v="1"/>
  </r>
  <r>
    <s v="INC102958"/>
    <d v="2025-03-30T00:00:00"/>
    <d v="2025-03-30T13:49:48"/>
    <x v="1"/>
    <x v="2"/>
    <s v="DNS"/>
    <s v="Application Support"/>
    <s v="Delhi"/>
    <s v="Portal"/>
    <s v="Resolved"/>
    <n v="24"/>
    <n v="13.83"/>
    <n v="5"/>
    <s v="No"/>
    <x v="0"/>
  </r>
  <r>
    <s v="INC102959"/>
    <d v="2025-04-03T00:00:00"/>
    <d v="2025-04-04T12:27:36"/>
    <x v="0"/>
    <x v="3"/>
    <s v="Monitor"/>
    <s v="Service Desk"/>
    <s v="Delhi"/>
    <s v="Portal"/>
    <s v="Resolved"/>
    <n v="48"/>
    <n v="36.46"/>
    <n v="3"/>
    <s v="No"/>
    <x v="0"/>
  </r>
  <r>
    <s v="INC102960"/>
    <d v="2025-03-28T00:00:00"/>
    <d v="2025-03-30T00:29:24"/>
    <x v="0"/>
    <x v="0"/>
    <s v="License"/>
    <s v="Service Desk"/>
    <s v="Mumbai"/>
    <s v="Chat"/>
    <s v="Closed"/>
    <n v="48"/>
    <n v="48.49"/>
    <n v="3.5"/>
    <s v="No"/>
    <x v="1"/>
  </r>
  <r>
    <s v="INC102961"/>
    <d v="2025-06-16T00:00:00"/>
    <d v="2025-06-16T17:09:00"/>
    <x v="1"/>
    <x v="4"/>
    <s v="Configuration"/>
    <s v="Application Support"/>
    <s v="Noida"/>
    <s v="Email"/>
    <s v="Pending"/>
    <n v="24"/>
    <n v="17.149999999999999"/>
    <n v="3.8"/>
    <s v="No"/>
    <x v="0"/>
  </r>
  <r>
    <s v="INC102962"/>
    <d v="2025-03-18T00:00:00"/>
    <d v="2025-03-19T14:55:12"/>
    <x v="0"/>
    <x v="0"/>
    <s v="Performance"/>
    <s v="Access Management"/>
    <s v="Noida"/>
    <s v="Portal"/>
    <s v="Closed"/>
    <n v="48"/>
    <n v="38.92"/>
    <n v="4.4000000000000004"/>
    <s v="No"/>
    <x v="0"/>
  </r>
  <r>
    <s v="INC102963"/>
    <d v="2025-06-26T00:00:00"/>
    <d v="2025-06-27T09:33:36"/>
    <x v="0"/>
    <x v="2"/>
    <s v="Connectivity"/>
    <s v="Network Support"/>
    <s v="Noida"/>
    <s v="Portal"/>
    <s v="Resolved"/>
    <n v="48"/>
    <n v="33.56"/>
    <n v="5"/>
    <s v="No"/>
    <x v="0"/>
  </r>
  <r>
    <s v="INC102964"/>
    <d v="2025-01-13T00:00:00"/>
    <d v="2025-01-13T01:47:24"/>
    <x v="3"/>
    <x v="0"/>
    <s v="Installation"/>
    <s v="Access Management"/>
    <s v="Bengaluru"/>
    <s v="Portal"/>
    <s v="Resolved"/>
    <n v="8"/>
    <n v="1.79"/>
    <n v="4.8"/>
    <s v="No"/>
    <x v="0"/>
  </r>
  <r>
    <s v="INC102965"/>
    <d v="2025-05-13T00:00:00"/>
    <d v="2025-05-14T04:54:36"/>
    <x v="0"/>
    <x v="2"/>
    <s v="Connectivity"/>
    <s v="Service Desk"/>
    <s v="Noida"/>
    <s v="Portal"/>
    <s v="Resolved"/>
    <n v="48"/>
    <n v="28.91"/>
    <n v="4.0999999999999996"/>
    <s v="No"/>
    <x v="0"/>
  </r>
  <r>
    <s v="INC102966"/>
    <d v="2025-04-18T00:00:00"/>
    <d v="2025-04-18T05:13:48"/>
    <x v="3"/>
    <x v="1"/>
    <s v="VPN Access"/>
    <s v="Desktop Support"/>
    <s v="Delhi"/>
    <s v="Email"/>
    <s v="Resolved"/>
    <n v="8"/>
    <n v="5.23"/>
    <n v="4.5"/>
    <s v="No"/>
    <x v="0"/>
  </r>
  <r>
    <s v="INC102967"/>
    <d v="2025-02-13T00:00:00"/>
    <d v="2025-02-13T13:21:36"/>
    <x v="3"/>
    <x v="3"/>
    <s v="Monitor"/>
    <s v="Access Management"/>
    <s v="Delhi"/>
    <s v="Email"/>
    <s v="Resolved"/>
    <n v="8"/>
    <n v="13.36"/>
    <n v="2.8"/>
    <s v="No"/>
    <x v="1"/>
  </r>
  <r>
    <s v="INC102968"/>
    <d v="2025-02-11T00:00:00"/>
    <d v="2025-02-11T14:46:48"/>
    <x v="0"/>
    <x v="2"/>
    <s v="Packet Loss"/>
    <s v="Service Desk"/>
    <s v="Delhi"/>
    <s v="Email"/>
    <s v="Resolved"/>
    <n v="48"/>
    <n v="14.78"/>
    <n v="3.2"/>
    <s v="No"/>
    <x v="0"/>
  </r>
  <r>
    <s v="INC102969"/>
    <d v="2025-05-11T00:00:00"/>
    <d v="2025-05-11T15:09:00"/>
    <x v="1"/>
    <x v="3"/>
    <s v="Monitor"/>
    <s v="Service Desk"/>
    <s v="Gurugram"/>
    <s v="Portal"/>
    <s v="Closed"/>
    <n v="24"/>
    <n v="15.15"/>
    <n v="4.5999999999999996"/>
    <s v="Yes"/>
    <x v="0"/>
  </r>
  <r>
    <s v="INC102970"/>
    <d v="2025-04-26T00:00:00"/>
    <d v="2025-04-26T19:45:00"/>
    <x v="0"/>
    <x v="2"/>
    <s v="DNS"/>
    <s v="Access Management"/>
    <s v="Mumbai"/>
    <s v="Portal"/>
    <s v="Resolved"/>
    <n v="48"/>
    <n v="19.75"/>
    <n v="5"/>
    <s v="No"/>
    <x v="0"/>
  </r>
  <r>
    <s v="INC102971"/>
    <d v="2025-04-21T00:00:00"/>
    <d v="2025-04-22T13:48:00"/>
    <x v="1"/>
    <x v="2"/>
    <s v="DNS"/>
    <s v="Service Desk"/>
    <s v="Hyderabad"/>
    <s v="Portal"/>
    <s v="Resolved"/>
    <n v="24"/>
    <n v="37.799999999999997"/>
    <n v="3.8"/>
    <s v="No"/>
    <x v="1"/>
  </r>
  <r>
    <s v="INC102972"/>
    <d v="2025-01-10T00:00:00"/>
    <d v="2025-01-12T09:12:00"/>
    <x v="0"/>
    <x v="0"/>
    <s v="Installation"/>
    <s v="Access Management"/>
    <s v="Noida"/>
    <s v="Portal"/>
    <s v="Closed"/>
    <n v="48"/>
    <n v="57.2"/>
    <n v="2.8"/>
    <s v="No"/>
    <x v="1"/>
  </r>
  <r>
    <s v="INC102973"/>
    <d v="2025-04-19T00:00:00"/>
    <d v="2025-04-19T04:58:48"/>
    <x v="3"/>
    <x v="1"/>
    <s v="Account Lock"/>
    <s v="Service Desk"/>
    <s v="Delhi"/>
    <s v="Email"/>
    <s v="Closed"/>
    <n v="8"/>
    <n v="4.9800000000000004"/>
    <n v="4.5999999999999996"/>
    <s v="No"/>
    <x v="0"/>
  </r>
  <r>
    <s v="INC102974"/>
    <d v="2025-06-27T00:00:00"/>
    <d v="2025-06-27T00:46:48"/>
    <x v="0"/>
    <x v="1"/>
    <s v="Password Reset"/>
    <s v="Application Support"/>
    <s v="Delhi"/>
    <s v="Portal"/>
    <s v="Closed"/>
    <n v="48"/>
    <n v="0.78"/>
    <n v="5"/>
    <s v="No"/>
    <x v="0"/>
  </r>
  <r>
    <s v="INC102975"/>
    <d v="2025-01-04T00:00:00"/>
    <d v="2025-01-05T05:28:48"/>
    <x v="1"/>
    <x v="3"/>
    <s v="Laptop"/>
    <s v="Desktop Support"/>
    <s v="Mumbai"/>
    <s v="Chat"/>
    <s v="Resolved"/>
    <n v="24"/>
    <n v="29.48"/>
    <n v="5"/>
    <s v="No"/>
    <x v="1"/>
  </r>
  <r>
    <s v="INC102976"/>
    <d v="2025-03-26T00:00:00"/>
    <d v="2025-03-26T06:33:36"/>
    <x v="0"/>
    <x v="2"/>
    <s v="DNS"/>
    <s v="Access Management"/>
    <s v="Noida"/>
    <s v="Email"/>
    <s v="Closed"/>
    <n v="48"/>
    <n v="6.56"/>
    <n v="5"/>
    <s v="No"/>
    <x v="0"/>
  </r>
  <r>
    <s v="INC102977"/>
    <d v="2025-03-31T00:00:00"/>
    <d v="2025-03-31T04:04:48"/>
    <x v="0"/>
    <x v="0"/>
    <s v="License"/>
    <s v="Desktop Support"/>
    <s v="Hyderabad"/>
    <s v="Portal"/>
    <s v="Pending"/>
    <n v="48"/>
    <n v="4.08"/>
    <n v="5"/>
    <s v="No"/>
    <x v="0"/>
  </r>
  <r>
    <s v="INC102978"/>
    <d v="2025-06-12T00:00:00"/>
    <d v="2025-06-13T01:15:00"/>
    <x v="1"/>
    <x v="3"/>
    <s v="Peripheral"/>
    <s v="Desktop Support"/>
    <s v="Bengaluru"/>
    <s v="Portal"/>
    <s v="Resolved"/>
    <n v="24"/>
    <n v="25.25"/>
    <n v="3.1"/>
    <s v="No"/>
    <x v="1"/>
  </r>
  <r>
    <s v="INC102979"/>
    <d v="2025-02-21T00:00:00"/>
    <d v="2025-02-21T18:48:00"/>
    <x v="1"/>
    <x v="2"/>
    <s v="Packet Loss"/>
    <s v="Desktop Support"/>
    <s v="Hyderabad"/>
    <s v="Portal"/>
    <s v="Resolved"/>
    <n v="24"/>
    <n v="18.8"/>
    <n v="3.3"/>
    <s v="No"/>
    <x v="0"/>
  </r>
  <r>
    <s v="INC102980"/>
    <d v="2025-03-28T00:00:00"/>
    <d v="2025-03-28T02:55:12"/>
    <x v="2"/>
    <x v="4"/>
    <s v="Mailbox"/>
    <s v="Service Desk"/>
    <s v="Delhi"/>
    <s v="Portal"/>
    <s v="Resolved"/>
    <n v="4"/>
    <n v="2.92"/>
    <n v="4.8"/>
    <s v="No"/>
    <x v="0"/>
  </r>
  <r>
    <s v="INC102981"/>
    <d v="2025-05-10T00:00:00"/>
    <d v="2025-05-10T15:22:48"/>
    <x v="0"/>
    <x v="4"/>
    <s v="Mailbox"/>
    <s v="Desktop Support"/>
    <s v="Hyderabad"/>
    <s v="Chat"/>
    <s v="Closed"/>
    <n v="48"/>
    <n v="15.38"/>
    <n v="3.3"/>
    <s v="No"/>
    <x v="0"/>
  </r>
  <r>
    <s v="INC102982"/>
    <d v="2025-01-11T00:00:00"/>
    <d v="2025-01-11T05:28:12"/>
    <x v="0"/>
    <x v="2"/>
    <s v="Packet Loss"/>
    <s v="Desktop Support"/>
    <s v="Bengaluru"/>
    <s v="Email"/>
    <s v="Resolved"/>
    <n v="48"/>
    <n v="5.47"/>
    <n v="5"/>
    <s v="No"/>
    <x v="0"/>
  </r>
  <r>
    <s v="INC102983"/>
    <d v="2025-05-25T00:00:00"/>
    <d v="2025-05-25T00:34:47"/>
    <x v="1"/>
    <x v="1"/>
    <s v="Account Lock"/>
    <s v="Application Support"/>
    <s v="Noida"/>
    <s v="Phone"/>
    <s v="Closed"/>
    <n v="24"/>
    <n v="0.57999999999999996"/>
    <n v="5"/>
    <s v="No"/>
    <x v="0"/>
  </r>
  <r>
    <s v="INC102984"/>
    <d v="2025-05-29T00:00:00"/>
    <d v="2025-05-29T17:28:12"/>
    <x v="1"/>
    <x v="0"/>
    <s v="Application Error"/>
    <s v="Network Support"/>
    <s v="Bengaluru"/>
    <s v="Email"/>
    <s v="Resolved"/>
    <n v="24"/>
    <n v="17.47"/>
    <n v="4.5999999999999996"/>
    <s v="No"/>
    <x v="0"/>
  </r>
  <r>
    <s v="INC102985"/>
    <d v="2025-05-11T00:00:00"/>
    <d v="2025-05-11T01:19:12"/>
    <x v="3"/>
    <x v="2"/>
    <s v="Connectivity"/>
    <s v="Desktop Support"/>
    <s v="Gurugram"/>
    <s v="Chat"/>
    <s v="Resolved"/>
    <n v="8"/>
    <n v="1.32"/>
    <n v="5"/>
    <s v="No"/>
    <x v="0"/>
  </r>
  <r>
    <s v="INC102986"/>
    <d v="2025-04-28T00:00:00"/>
    <d v="2025-04-28T06:35:24"/>
    <x v="3"/>
    <x v="0"/>
    <s v="Performance"/>
    <s v="Desktop Support"/>
    <s v="Bengaluru"/>
    <s v="Phone"/>
    <s v="Resolved"/>
    <n v="8"/>
    <n v="6.59"/>
    <n v="4"/>
    <s v="No"/>
    <x v="0"/>
  </r>
  <r>
    <s v="INC102987"/>
    <d v="2025-05-16T00:00:00"/>
    <d v="2025-05-16T01:30:36"/>
    <x v="3"/>
    <x v="2"/>
    <s v="DNS"/>
    <s v="Application Support"/>
    <s v="Mumbai"/>
    <s v="Portal"/>
    <s v="Resolved"/>
    <n v="8"/>
    <n v="1.51"/>
    <n v="4.5"/>
    <s v="No"/>
    <x v="0"/>
  </r>
  <r>
    <s v="INC102988"/>
    <d v="2025-05-22T00:00:00"/>
    <d v="2025-05-23T06:25:12"/>
    <x v="0"/>
    <x v="2"/>
    <s v="Link Down"/>
    <s v="Application Support"/>
    <s v="Mumbai"/>
    <s v="Portal"/>
    <s v="Closed"/>
    <n v="48"/>
    <n v="30.42"/>
    <n v="5"/>
    <s v="Yes"/>
    <x v="0"/>
  </r>
  <r>
    <s v="INC102989"/>
    <d v="2025-06-13T00:00:00"/>
    <d v="2025-06-13T05:10:12"/>
    <x v="1"/>
    <x v="4"/>
    <s v="Configuration"/>
    <s v="Desktop Support"/>
    <s v="Hyderabad"/>
    <s v="Portal"/>
    <s v="Resolved"/>
    <n v="24"/>
    <n v="5.17"/>
    <n v="5"/>
    <s v="No"/>
    <x v="0"/>
  </r>
  <r>
    <s v="INC102990"/>
    <d v="2025-03-19T00:00:00"/>
    <d v="2025-03-19T07:53:24"/>
    <x v="3"/>
    <x v="0"/>
    <s v="Installation"/>
    <s v="Network Support"/>
    <s v="Noida"/>
    <s v="Portal"/>
    <s v="Resolved"/>
    <n v="8"/>
    <n v="7.89"/>
    <n v="4.4000000000000004"/>
    <s v="No"/>
    <x v="0"/>
  </r>
  <r>
    <s v="INC102991"/>
    <d v="2025-03-24T00:00:00"/>
    <d v="2025-03-24T16:55:12"/>
    <x v="1"/>
    <x v="2"/>
    <s v="Packet Loss"/>
    <s v="Service Desk"/>
    <s v="Mumbai"/>
    <s v="Email"/>
    <s v="In Progress"/>
    <n v="24"/>
    <n v="16.920000000000002"/>
    <n v="4.2"/>
    <s v="No"/>
    <x v="0"/>
  </r>
  <r>
    <s v="INC102992"/>
    <d v="2025-04-26T00:00:00"/>
    <d v="2025-04-26T14:12:00"/>
    <x v="1"/>
    <x v="3"/>
    <s v="Laptop"/>
    <s v="Service Desk"/>
    <s v="Hyderabad"/>
    <s v="Portal"/>
    <s v="Resolved"/>
    <n v="24"/>
    <n v="14.2"/>
    <n v="3.9"/>
    <s v="No"/>
    <x v="0"/>
  </r>
  <r>
    <s v="INC102993"/>
    <d v="2025-02-04T00:00:00"/>
    <d v="2025-02-04T12:01:12"/>
    <x v="0"/>
    <x v="4"/>
    <s v="Delivery"/>
    <s v="Service Desk"/>
    <s v="Delhi"/>
    <s v="Phone"/>
    <s v="Resolved"/>
    <n v="48"/>
    <n v="12.02"/>
    <n v="5"/>
    <s v="No"/>
    <x v="0"/>
  </r>
  <r>
    <s v="INC102994"/>
    <d v="2025-06-04T00:00:00"/>
    <d v="2025-06-04T03:06:36"/>
    <x v="1"/>
    <x v="3"/>
    <s v="Monitor"/>
    <s v="Application Support"/>
    <s v="Noida"/>
    <s v="Portal"/>
    <s v="Resolved"/>
    <n v="24"/>
    <n v="3.11"/>
    <n v="4.5999999999999996"/>
    <s v="No"/>
    <x v="0"/>
  </r>
  <r>
    <s v="INC102995"/>
    <d v="2025-05-20T00:00:00"/>
    <d v="2025-05-20T05:51:00"/>
    <x v="3"/>
    <x v="4"/>
    <s v="Configuration"/>
    <s v="Desktop Support"/>
    <s v="Mumbai"/>
    <s v="Phone"/>
    <s v="In Progress"/>
    <n v="8"/>
    <n v="5.85"/>
    <n v="4.2"/>
    <s v="No"/>
    <x v="0"/>
  </r>
  <r>
    <s v="INC102996"/>
    <d v="2025-04-25T00:00:00"/>
    <d v="2025-04-25T15:44:24"/>
    <x v="0"/>
    <x v="1"/>
    <s v="Account Lock"/>
    <s v="Application Support"/>
    <s v="Noida"/>
    <s v="Portal"/>
    <s v="Resolved"/>
    <n v="48"/>
    <n v="15.74"/>
    <n v="5"/>
    <s v="No"/>
    <x v="0"/>
  </r>
  <r>
    <s v="INC102997"/>
    <d v="2025-02-24T00:00:00"/>
    <d v="2025-02-24T02:15:00"/>
    <x v="2"/>
    <x v="3"/>
    <s v="Laptop"/>
    <s v="Network Support"/>
    <s v="Delhi"/>
    <s v="Portal"/>
    <s v="Resolved"/>
    <n v="4"/>
    <n v="2.25"/>
    <n v="4.5"/>
    <s v="No"/>
    <x v="0"/>
  </r>
  <r>
    <s v="INC102998"/>
    <d v="2025-03-04T00:00:00"/>
    <d v="2025-03-04T12:52:12"/>
    <x v="1"/>
    <x v="0"/>
    <s v="Application Error"/>
    <s v="Access Management"/>
    <s v="Bengaluru"/>
    <s v="Phone"/>
    <s v="Closed"/>
    <n v="24"/>
    <n v="12.87"/>
    <n v="5"/>
    <s v="No"/>
    <x v="0"/>
  </r>
  <r>
    <s v="INC102999"/>
    <d v="2025-03-20T00:00:00"/>
    <d v="2025-03-21T00:23:24"/>
    <x v="0"/>
    <x v="0"/>
    <s v="Installation"/>
    <s v="Desktop Support"/>
    <s v="Noida"/>
    <s v="Portal"/>
    <s v="Resolved"/>
    <n v="48"/>
    <n v="24.39"/>
    <n v="3.5"/>
    <s v="No"/>
    <x v="0"/>
  </r>
  <r>
    <s v="INC103000"/>
    <d v="2025-04-30T00:00:00"/>
    <d v="2025-05-02T09:39:36"/>
    <x v="0"/>
    <x v="1"/>
    <s v="Account Lock"/>
    <s v="Service Desk"/>
    <s v="Bengaluru"/>
    <s v="Phone"/>
    <s v="Resolved"/>
    <n v="48"/>
    <n v="57.66"/>
    <n v="3.6"/>
    <s v="No"/>
    <x v="1"/>
  </r>
  <r>
    <s v="INC103001"/>
    <d v="2025-05-21T00:00:00"/>
    <d v="2025-05-22T00:48:00"/>
    <x v="0"/>
    <x v="3"/>
    <s v="Monitor"/>
    <s v="Service Desk"/>
    <s v="Delhi"/>
    <s v="Phone"/>
    <s v="Resolved"/>
    <n v="48"/>
    <n v="24.8"/>
    <n v="5"/>
    <s v="No"/>
    <x v="0"/>
  </r>
  <r>
    <s v="INC103002"/>
    <d v="2025-05-02T00:00:00"/>
    <d v="2025-05-02T05:16:48"/>
    <x v="1"/>
    <x v="2"/>
    <s v="Packet Loss"/>
    <s v="Access Management"/>
    <s v="Delhi"/>
    <s v="Portal"/>
    <s v="Resolved"/>
    <n v="24"/>
    <n v="5.28"/>
    <n v="5"/>
    <s v="No"/>
    <x v="0"/>
  </r>
  <r>
    <s v="INC103003"/>
    <d v="2025-06-18T00:00:00"/>
    <d v="2025-06-19T17:33:00"/>
    <x v="0"/>
    <x v="2"/>
    <s v="DNS"/>
    <s v="Application Support"/>
    <s v="Bengaluru"/>
    <s v="Portal"/>
    <s v="Closed"/>
    <n v="48"/>
    <n v="41.55"/>
    <n v="3.8"/>
    <s v="No"/>
    <x v="0"/>
  </r>
  <r>
    <s v="INC103004"/>
    <d v="2025-06-23T00:00:00"/>
    <d v="2025-06-23T20:15:00"/>
    <x v="1"/>
    <x v="0"/>
    <s v="Performance"/>
    <s v="Network Support"/>
    <s v="Hyderabad"/>
    <s v="Portal"/>
    <s v="Resolved"/>
    <n v="24"/>
    <n v="20.25"/>
    <n v="4.5"/>
    <s v="Yes"/>
    <x v="0"/>
  </r>
  <r>
    <s v="INC103005"/>
    <d v="2025-05-08T00:00:00"/>
    <d v="2025-05-08T02:22:48"/>
    <x v="3"/>
    <x v="1"/>
    <s v="Account Lock"/>
    <s v="Access Management"/>
    <s v="Bengaluru"/>
    <s v="Portal"/>
    <s v="Closed"/>
    <n v="8"/>
    <n v="2.38"/>
    <n v="4.5999999999999996"/>
    <s v="No"/>
    <x v="0"/>
  </r>
  <r>
    <s v="INC103006"/>
    <d v="2025-03-09T00:00:00"/>
    <d v="2025-03-09T06:03:00"/>
    <x v="1"/>
    <x v="1"/>
    <s v="Permission"/>
    <s v="Network Support"/>
    <s v="Hyderabad"/>
    <s v="Chat"/>
    <s v="Resolved"/>
    <n v="24"/>
    <n v="6.05"/>
    <n v="5"/>
    <s v="No"/>
    <x v="0"/>
  </r>
  <r>
    <s v="INC103007"/>
    <d v="2025-04-19T00:00:00"/>
    <d v="2025-04-20T09:40:48"/>
    <x v="0"/>
    <x v="0"/>
    <s v="License"/>
    <s v="Service Desk"/>
    <s v="Hyderabad"/>
    <s v="Phone"/>
    <s v="Closed"/>
    <n v="48"/>
    <n v="33.68"/>
    <n v="4.7"/>
    <s v="No"/>
    <x v="0"/>
  </r>
  <r>
    <s v="INC103008"/>
    <d v="2025-03-18T00:00:00"/>
    <d v="2025-03-18T04:10:48"/>
    <x v="1"/>
    <x v="2"/>
    <s v="Connectivity"/>
    <s v="Application Support"/>
    <s v="Gurugram"/>
    <s v="Portal"/>
    <s v="Resolved"/>
    <n v="24"/>
    <n v="4.18"/>
    <n v="4.2"/>
    <s v="No"/>
    <x v="0"/>
  </r>
  <r>
    <s v="INC103009"/>
    <d v="2025-04-24T00:00:00"/>
    <d v="2025-04-24T05:40:12"/>
    <x v="3"/>
    <x v="2"/>
    <s v="Connectivity"/>
    <s v="Desktop Support"/>
    <s v="Delhi"/>
    <s v="Email"/>
    <s v="Resolved"/>
    <n v="8"/>
    <n v="5.67"/>
    <n v="4.3"/>
    <s v="No"/>
    <x v="0"/>
  </r>
  <r>
    <s v="INC103010"/>
    <d v="2025-05-27T00:00:00"/>
    <d v="2025-05-28T10:24:00"/>
    <x v="1"/>
    <x v="1"/>
    <s v="Password Reset"/>
    <s v="Desktop Support"/>
    <s v="Bengaluru"/>
    <s v="Chat"/>
    <s v="Resolved"/>
    <n v="24"/>
    <n v="34.4"/>
    <n v="3.6"/>
    <s v="No"/>
    <x v="1"/>
  </r>
  <r>
    <s v="INC103011"/>
    <d v="2025-03-08T00:00:00"/>
    <d v="2025-03-09T17:10:12"/>
    <x v="0"/>
    <x v="0"/>
    <s v="License"/>
    <s v="Access Management"/>
    <s v="Bengaluru"/>
    <s v="Portal"/>
    <s v="Closed"/>
    <n v="48"/>
    <n v="41.17"/>
    <n v="4.3"/>
    <s v="Yes"/>
    <x v="0"/>
  </r>
  <r>
    <s v="INC103012"/>
    <d v="2025-04-02T00:00:00"/>
    <d v="2025-04-03T11:42:00"/>
    <x v="1"/>
    <x v="1"/>
    <s v="VPN Access"/>
    <s v="Application Support"/>
    <s v="Mumbai"/>
    <s v="Portal"/>
    <s v="Closed"/>
    <n v="24"/>
    <n v="35.700000000000003"/>
    <n v="3.4"/>
    <s v="No"/>
    <x v="1"/>
  </r>
  <r>
    <s v="INC103013"/>
    <d v="2025-01-09T00:00:00"/>
    <d v="2025-01-09T13:33:36"/>
    <x v="1"/>
    <x v="2"/>
    <s v="Link Down"/>
    <s v="Access Management"/>
    <s v="Bengaluru"/>
    <s v="Phone"/>
    <s v="Resolved"/>
    <n v="24"/>
    <n v="13.56"/>
    <n v="4.7"/>
    <s v="No"/>
    <x v="0"/>
  </r>
  <r>
    <s v="INC103014"/>
    <d v="2025-05-14T00:00:00"/>
    <d v="2025-05-14T13:31:48"/>
    <x v="1"/>
    <x v="3"/>
    <s v="Peripheral"/>
    <s v="Service Desk"/>
    <s v="Hyderabad"/>
    <s v="Phone"/>
    <s v="In Progress"/>
    <n v="24"/>
    <n v="13.53"/>
    <n v="4.5999999999999996"/>
    <s v="No"/>
    <x v="0"/>
  </r>
  <r>
    <s v="INC103015"/>
    <d v="2025-03-30T00:00:00"/>
    <d v="2025-03-31T05:30:00"/>
    <x v="0"/>
    <x v="4"/>
    <s v="Delivery"/>
    <s v="Access Management"/>
    <s v="Hyderabad"/>
    <s v="Portal"/>
    <s v="Pending"/>
    <n v="48"/>
    <n v="29.5"/>
    <n v="3.8"/>
    <s v="No"/>
    <x v="0"/>
  </r>
  <r>
    <s v="INC103016"/>
    <d v="2025-03-25T00:00:00"/>
    <d v="2025-03-25T03:02:24"/>
    <x v="2"/>
    <x v="2"/>
    <s v="DNS"/>
    <s v="Service Desk"/>
    <s v="Bengaluru"/>
    <s v="Email"/>
    <s v="Pending"/>
    <n v="4"/>
    <n v="3.04"/>
    <n v="3.8"/>
    <s v="No"/>
    <x v="0"/>
  </r>
  <r>
    <s v="INC103017"/>
    <d v="2025-04-07T00:00:00"/>
    <d v="2025-04-08T10:54:36"/>
    <x v="0"/>
    <x v="2"/>
    <s v="DNS"/>
    <s v="Access Management"/>
    <s v="Bengaluru"/>
    <s v="Portal"/>
    <s v="Resolved"/>
    <n v="48"/>
    <n v="34.909999999999997"/>
    <n v="4"/>
    <s v="No"/>
    <x v="0"/>
  </r>
  <r>
    <s v="INC103018"/>
    <d v="2025-02-09T00:00:00"/>
    <d v="2025-02-09T12:30:00"/>
    <x v="0"/>
    <x v="0"/>
    <s v="License"/>
    <s v="Desktop Support"/>
    <s v="Delhi"/>
    <s v="Email"/>
    <s v="Resolved"/>
    <n v="48"/>
    <n v="12.5"/>
    <n v="4.7"/>
    <s v="No"/>
    <x v="0"/>
  </r>
  <r>
    <s v="INC103019"/>
    <d v="2025-04-19T00:00:00"/>
    <d v="2025-04-20T01:18:36"/>
    <x v="0"/>
    <x v="0"/>
    <s v="Installation"/>
    <s v="Desktop Support"/>
    <s v="Mumbai"/>
    <s v="Email"/>
    <s v="Closed"/>
    <n v="48"/>
    <n v="25.31"/>
    <n v="4.2"/>
    <s v="No"/>
    <x v="0"/>
  </r>
  <r>
    <s v="INC103020"/>
    <d v="2025-05-15T00:00:00"/>
    <d v="2025-05-16T04:10:48"/>
    <x v="1"/>
    <x v="4"/>
    <s v="Delivery"/>
    <s v="Network Support"/>
    <s v="Mumbai"/>
    <s v="Portal"/>
    <s v="Resolved"/>
    <n v="24"/>
    <n v="28.18"/>
    <n v="4.3"/>
    <s v="No"/>
    <x v="1"/>
  </r>
  <r>
    <s v="INC103021"/>
    <d v="2025-03-05T00:00:00"/>
    <d v="2025-03-05T05:05:24"/>
    <x v="1"/>
    <x v="4"/>
    <s v="Mailbox"/>
    <s v="Access Management"/>
    <s v="Hyderabad"/>
    <s v="Phone"/>
    <s v="Closed"/>
    <n v="24"/>
    <n v="5.09"/>
    <n v="4.0999999999999996"/>
    <s v="No"/>
    <x v="0"/>
  </r>
  <r>
    <s v="INC103022"/>
    <d v="2025-01-24T00:00:00"/>
    <d v="2025-01-25T05:27:36"/>
    <x v="0"/>
    <x v="1"/>
    <s v="VPN Access"/>
    <s v="Service Desk"/>
    <s v="Delhi"/>
    <s v="Email"/>
    <s v="Resolved"/>
    <n v="48"/>
    <n v="29.46"/>
    <n v="3.1"/>
    <s v="No"/>
    <x v="0"/>
  </r>
  <r>
    <s v="INC103023"/>
    <d v="2025-03-12T00:00:00"/>
    <d v="2025-03-12T17:59:24"/>
    <x v="1"/>
    <x v="2"/>
    <s v="Link Down"/>
    <s v="Desktop Support"/>
    <s v="Delhi"/>
    <s v="Phone"/>
    <s v="Closed"/>
    <n v="24"/>
    <n v="17.989999999999998"/>
    <n v="5"/>
    <s v="No"/>
    <x v="0"/>
  </r>
  <r>
    <s v="INC103024"/>
    <d v="2025-02-05T00:00:00"/>
    <d v="2025-02-05T17:59:24"/>
    <x v="1"/>
    <x v="0"/>
    <s v="Installation"/>
    <s v="Network Support"/>
    <s v="Mumbai"/>
    <s v="Email"/>
    <s v="Resolved"/>
    <n v="24"/>
    <n v="17.989999999999998"/>
    <n v="3.6"/>
    <s v="No"/>
    <x v="0"/>
  </r>
  <r>
    <s v="INC103025"/>
    <d v="2025-03-09T00:00:00"/>
    <d v="2025-03-09T06:03:00"/>
    <x v="0"/>
    <x v="4"/>
    <s v="Delivery"/>
    <s v="Access Management"/>
    <s v="Noida"/>
    <s v="Email"/>
    <s v="In Progress"/>
    <n v="48"/>
    <n v="6.05"/>
    <n v="5"/>
    <s v="No"/>
    <x v="0"/>
  </r>
  <r>
    <s v="INC103026"/>
    <d v="2025-04-24T00:00:00"/>
    <d v="2025-04-24T01:39:00"/>
    <x v="3"/>
    <x v="3"/>
    <s v="Peripheral"/>
    <s v="Service Desk"/>
    <s v="Bengaluru"/>
    <s v="Portal"/>
    <s v="Closed"/>
    <n v="8"/>
    <n v="1.65"/>
    <n v="5"/>
    <s v="No"/>
    <x v="0"/>
  </r>
  <r>
    <s v="INC103027"/>
    <d v="2025-01-21T00:00:00"/>
    <d v="2025-01-22T03:27:36"/>
    <x v="1"/>
    <x v="4"/>
    <s v="Delivery"/>
    <s v="Application Support"/>
    <s v="Noida"/>
    <s v="Portal"/>
    <s v="Resolved"/>
    <n v="24"/>
    <n v="27.46"/>
    <n v="3.1"/>
    <s v="No"/>
    <x v="1"/>
  </r>
  <r>
    <s v="INC103028"/>
    <d v="2025-05-16T00:00:00"/>
    <d v="2025-05-18T06:18:00"/>
    <x v="0"/>
    <x v="0"/>
    <s v="License"/>
    <s v="Application Support"/>
    <s v="Bengaluru"/>
    <s v="Phone"/>
    <s v="Resolved"/>
    <n v="48"/>
    <n v="54.3"/>
    <n v="3.6"/>
    <s v="No"/>
    <x v="1"/>
  </r>
  <r>
    <s v="INC103029"/>
    <d v="2025-02-10T00:00:00"/>
    <d v="2025-02-10T02:10:48"/>
    <x v="2"/>
    <x v="2"/>
    <s v="Packet Loss"/>
    <s v="Desktop Support"/>
    <s v="Bengaluru"/>
    <s v="Email"/>
    <s v="Resolved"/>
    <n v="4"/>
    <n v="2.1800000000000002"/>
    <n v="4.2"/>
    <s v="Yes"/>
    <x v="0"/>
  </r>
  <r>
    <s v="INC103030"/>
    <d v="2025-06-11T00:00:00"/>
    <d v="2025-06-11T05:25:12"/>
    <x v="3"/>
    <x v="0"/>
    <s v="License"/>
    <s v="Network Support"/>
    <s v="Gurugram"/>
    <s v="Portal"/>
    <s v="In Progress"/>
    <n v="8"/>
    <n v="5.42"/>
    <n v="4.4000000000000004"/>
    <s v="No"/>
    <x v="0"/>
  </r>
  <r>
    <s v="INC103031"/>
    <d v="2025-05-13T00:00:00"/>
    <d v="2025-05-13T05:33:00"/>
    <x v="1"/>
    <x v="0"/>
    <s v="Performance"/>
    <s v="Service Desk"/>
    <s v="Mumbai"/>
    <s v="Chat"/>
    <s v="Resolved"/>
    <n v="24"/>
    <n v="5.55"/>
    <n v="4.2"/>
    <s v="No"/>
    <x v="0"/>
  </r>
  <r>
    <s v="INC103032"/>
    <d v="2025-02-19T00:00:00"/>
    <d v="2025-02-19T01:16:12"/>
    <x v="3"/>
    <x v="2"/>
    <s v="Link Down"/>
    <s v="Application Support"/>
    <s v="Noida"/>
    <s v="Phone"/>
    <s v="Resolved"/>
    <n v="8"/>
    <n v="1.27"/>
    <n v="4.7"/>
    <s v="No"/>
    <x v="0"/>
  </r>
  <r>
    <s v="INC103033"/>
    <d v="2025-04-12T00:00:00"/>
    <d v="2025-04-12T02:09:00"/>
    <x v="1"/>
    <x v="3"/>
    <s v="Peripheral"/>
    <s v="Desktop Support"/>
    <s v="Bengaluru"/>
    <s v="Portal"/>
    <s v="Resolved"/>
    <n v="24"/>
    <n v="2.15"/>
    <n v="4.9000000000000004"/>
    <s v="No"/>
    <x v="0"/>
  </r>
  <r>
    <s v="INC103034"/>
    <d v="2025-01-21T00:00:00"/>
    <d v="2025-01-21T03:44:24"/>
    <x v="1"/>
    <x v="0"/>
    <s v="Installation"/>
    <s v="Desktop Support"/>
    <s v="Bengaluru"/>
    <s v="Portal"/>
    <s v="Closed"/>
    <n v="24"/>
    <n v="3.74"/>
    <n v="5"/>
    <s v="No"/>
    <x v="0"/>
  </r>
  <r>
    <s v="INC103035"/>
    <d v="2025-01-19T00:00:00"/>
    <d v="2025-01-19T05:25:12"/>
    <x v="3"/>
    <x v="2"/>
    <s v="Packet Loss"/>
    <s v="Service Desk"/>
    <s v="Mumbai"/>
    <s v="Email"/>
    <s v="Resolved"/>
    <n v="8"/>
    <n v="5.42"/>
    <n v="3.9"/>
    <s v="No"/>
    <x v="0"/>
  </r>
  <r>
    <s v="INC103036"/>
    <d v="2025-06-23T00:00:00"/>
    <d v="2025-06-23T03:52:48"/>
    <x v="3"/>
    <x v="3"/>
    <s v="Monitor"/>
    <s v="Desktop Support"/>
    <s v="Gurugram"/>
    <s v="Portal"/>
    <s v="Pending"/>
    <n v="8"/>
    <n v="3.88"/>
    <n v="3.8"/>
    <s v="No"/>
    <x v="0"/>
  </r>
  <r>
    <s v="INC103037"/>
    <d v="2025-05-26T00:00:00"/>
    <d v="2025-05-27T04:15:00"/>
    <x v="0"/>
    <x v="0"/>
    <s v="Installation"/>
    <s v="Network Support"/>
    <s v="Delhi"/>
    <s v="Chat"/>
    <s v="Closed"/>
    <n v="48"/>
    <n v="28.25"/>
    <n v="3.9"/>
    <s v="No"/>
    <x v="0"/>
  </r>
  <r>
    <s v="INC103038"/>
    <d v="2025-01-28T00:00:00"/>
    <d v="2025-01-28T13:56:24"/>
    <x v="1"/>
    <x v="1"/>
    <s v="Account Lock"/>
    <s v="Desktop Support"/>
    <s v="Gurugram"/>
    <s v="Email"/>
    <s v="Closed"/>
    <n v="24"/>
    <n v="13.94"/>
    <n v="4.5"/>
    <s v="Yes"/>
    <x v="0"/>
  </r>
  <r>
    <s v="INC103039"/>
    <d v="2025-02-21T00:00:00"/>
    <d v="2025-02-21T04:49:48"/>
    <x v="1"/>
    <x v="0"/>
    <s v="Installation"/>
    <s v="Network Support"/>
    <s v="Hyderabad"/>
    <s v="Portal"/>
    <s v="Closed"/>
    <n v="24"/>
    <n v="4.83"/>
    <n v="3.6"/>
    <s v="No"/>
    <x v="0"/>
  </r>
  <r>
    <s v="INC103040"/>
    <d v="2025-02-05T00:00:00"/>
    <d v="2025-02-06T09:59:24"/>
    <x v="0"/>
    <x v="4"/>
    <s v="Configuration"/>
    <s v="Application Support"/>
    <s v="Gurugram"/>
    <s v="Portal"/>
    <s v="Resolved"/>
    <n v="48"/>
    <n v="33.99"/>
    <n v="4.9000000000000004"/>
    <s v="No"/>
    <x v="0"/>
  </r>
  <r>
    <s v="INC103041"/>
    <d v="2025-03-13T00:00:00"/>
    <d v="2025-03-13T05:00:00"/>
    <x v="2"/>
    <x v="4"/>
    <s v="Configuration"/>
    <s v="Desktop Support"/>
    <s v="Gurugram"/>
    <s v="Portal"/>
    <s v="Resolved"/>
    <n v="4"/>
    <n v="5"/>
    <n v="3.5"/>
    <s v="Yes"/>
    <x v="1"/>
  </r>
  <r>
    <s v="INC103042"/>
    <d v="2025-02-22T00:00:00"/>
    <d v="2025-02-22T04:54:00"/>
    <x v="1"/>
    <x v="3"/>
    <s v="Printer"/>
    <s v="Access Management"/>
    <s v="Hyderabad"/>
    <s v="Email"/>
    <s v="Resolved"/>
    <n v="24"/>
    <n v="4.9000000000000004"/>
    <n v="5"/>
    <s v="No"/>
    <x v="0"/>
  </r>
  <r>
    <s v="INC103043"/>
    <d v="2025-03-01T00:00:00"/>
    <d v="2025-03-01T12:19:12"/>
    <x v="1"/>
    <x v="2"/>
    <s v="Connectivity"/>
    <s v="Desktop Support"/>
    <s v="Gurugram"/>
    <s v="Portal"/>
    <s v="Resolved"/>
    <n v="24"/>
    <n v="12.32"/>
    <n v="4.5"/>
    <s v="No"/>
    <x v="0"/>
  </r>
  <r>
    <s v="INC103044"/>
    <d v="2025-04-06T00:00:00"/>
    <d v="2025-04-06T21:13:48"/>
    <x v="1"/>
    <x v="1"/>
    <s v="Password Reset"/>
    <s v="Network Support"/>
    <s v="Noida"/>
    <s v="Phone"/>
    <s v="Resolved"/>
    <n v="24"/>
    <n v="21.23"/>
    <n v="3.5"/>
    <s v="No"/>
    <x v="0"/>
  </r>
  <r>
    <s v="INC103045"/>
    <d v="2025-02-04T00:00:00"/>
    <d v="2025-02-05T03:05:24"/>
    <x v="1"/>
    <x v="2"/>
    <s v="Connectivity"/>
    <s v="Service Desk"/>
    <s v="Noida"/>
    <s v="Phone"/>
    <s v="Closed"/>
    <n v="24"/>
    <n v="27.09"/>
    <n v="2.9"/>
    <s v="No"/>
    <x v="1"/>
  </r>
  <r>
    <s v="INC103046"/>
    <d v="2025-06-09T00:00:00"/>
    <d v="2025-06-10T12:53:24"/>
    <x v="0"/>
    <x v="1"/>
    <s v="Permission"/>
    <s v="Access Management"/>
    <s v="Bengaluru"/>
    <s v="Chat"/>
    <s v="Resolved"/>
    <n v="48"/>
    <n v="36.89"/>
    <n v="3.6"/>
    <s v="Yes"/>
    <x v="0"/>
  </r>
  <r>
    <s v="INC103047"/>
    <d v="2025-05-12T00:00:00"/>
    <d v="2025-05-12T00:55:12"/>
    <x v="2"/>
    <x v="0"/>
    <s v="License"/>
    <s v="Access Management"/>
    <s v="Bengaluru"/>
    <s v="Portal"/>
    <s v="Resolved"/>
    <n v="4"/>
    <n v="0.92"/>
    <n v="3.7"/>
    <s v="No"/>
    <x v="0"/>
  </r>
  <r>
    <s v="INC103048"/>
    <d v="2025-05-18T00:00:00"/>
    <d v="2025-05-18T01:53:24"/>
    <x v="1"/>
    <x v="3"/>
    <s v="Monitor"/>
    <s v="Network Support"/>
    <s v="Bengaluru"/>
    <s v="Portal"/>
    <s v="Resolved"/>
    <n v="24"/>
    <n v="1.89"/>
    <n v="5"/>
    <s v="No"/>
    <x v="0"/>
  </r>
  <r>
    <s v="INC103049"/>
    <d v="2025-01-31T00:00:00"/>
    <d v="2025-01-31T09:53:24"/>
    <x v="1"/>
    <x v="0"/>
    <s v="Installation"/>
    <s v="Application Support"/>
    <s v="Bengaluru"/>
    <s v="Phone"/>
    <s v="Resolved"/>
    <n v="24"/>
    <n v="9.89"/>
    <n v="4.4000000000000004"/>
    <s v="No"/>
    <x v="0"/>
  </r>
  <r>
    <s v="INC103050"/>
    <d v="2025-05-09T00:00:00"/>
    <d v="2025-05-09T11:12:36"/>
    <x v="1"/>
    <x v="0"/>
    <s v="Performance"/>
    <s v="Desktop Support"/>
    <s v="Hyderabad"/>
    <s v="Portal"/>
    <s v="Resolved"/>
    <n v="24"/>
    <n v="11.21"/>
    <n v="3.4"/>
    <s v="No"/>
    <x v="0"/>
  </r>
  <r>
    <s v="INC103051"/>
    <d v="2025-06-01T00:00:00"/>
    <d v="2025-06-03T06:13:48"/>
    <x v="0"/>
    <x v="4"/>
    <s v="Configuration"/>
    <s v="Service Desk"/>
    <s v="Bengaluru"/>
    <s v="Portal"/>
    <s v="Resolved"/>
    <n v="48"/>
    <n v="54.23"/>
    <n v="3.2"/>
    <s v="No"/>
    <x v="1"/>
  </r>
  <r>
    <s v="INC103052"/>
    <d v="2025-02-01T00:00:00"/>
    <d v="2025-02-01T18:18:00"/>
    <x v="0"/>
    <x v="2"/>
    <s v="Link Down"/>
    <s v="Desktop Support"/>
    <s v="Bengaluru"/>
    <s v="Chat"/>
    <s v="In Progress"/>
    <n v="48"/>
    <n v="18.3"/>
    <n v="5"/>
    <s v="No"/>
    <x v="0"/>
  </r>
  <r>
    <s v="INC103053"/>
    <d v="2025-05-16T00:00:00"/>
    <d v="2025-05-16T04:45:36"/>
    <x v="1"/>
    <x v="4"/>
    <s v="Spam"/>
    <s v="Access Management"/>
    <s v="Hyderabad"/>
    <s v="Phone"/>
    <s v="Closed"/>
    <n v="24"/>
    <n v="4.76"/>
    <n v="5"/>
    <s v="No"/>
    <x v="0"/>
  </r>
  <r>
    <s v="INC103054"/>
    <d v="2025-03-06T00:00:00"/>
    <d v="2025-03-06T13:26:24"/>
    <x v="0"/>
    <x v="2"/>
    <s v="Packet Loss"/>
    <s v="Network Support"/>
    <s v="Delhi"/>
    <s v="Phone"/>
    <s v="Resolved"/>
    <n v="48"/>
    <n v="13.44"/>
    <n v="3.8"/>
    <s v="No"/>
    <x v="0"/>
  </r>
  <r>
    <s v="INC103055"/>
    <d v="2025-05-23T00:00:00"/>
    <d v="2025-05-23T18:19:12"/>
    <x v="1"/>
    <x v="1"/>
    <s v="VPN Access"/>
    <s v="Access Management"/>
    <s v="Hyderabad"/>
    <s v="Portal"/>
    <s v="Closed"/>
    <n v="24"/>
    <n v="18.32"/>
    <n v="5"/>
    <s v="No"/>
    <x v="0"/>
  </r>
  <r>
    <s v="INC103056"/>
    <d v="2025-03-28T00:00:00"/>
    <d v="2025-03-28T04:19:12"/>
    <x v="3"/>
    <x v="4"/>
    <s v="Delivery"/>
    <s v="Network Support"/>
    <s v="Gurugram"/>
    <s v="Email"/>
    <s v="Resolved"/>
    <n v="8"/>
    <n v="4.32"/>
    <n v="3.7"/>
    <s v="No"/>
    <x v="0"/>
  </r>
  <r>
    <s v="INC103057"/>
    <d v="2025-05-26T00:00:00"/>
    <d v="2025-05-26T11:19:48"/>
    <x v="1"/>
    <x v="3"/>
    <s v="Printer"/>
    <s v="Application Support"/>
    <s v="Gurugram"/>
    <s v="Email"/>
    <s v="Resolved"/>
    <n v="24"/>
    <n v="11.33"/>
    <n v="3.3"/>
    <s v="No"/>
    <x v="0"/>
  </r>
  <r>
    <s v="INC103058"/>
    <d v="2025-01-27T00:00:00"/>
    <d v="2025-01-28T03:36:00"/>
    <x v="1"/>
    <x v="2"/>
    <s v="Packet Loss"/>
    <s v="Network Support"/>
    <s v="Delhi"/>
    <s v="Email"/>
    <s v="Resolved"/>
    <n v="24"/>
    <n v="27.6"/>
    <n v="4.8"/>
    <s v="No"/>
    <x v="1"/>
  </r>
  <r>
    <s v="INC103059"/>
    <d v="2025-03-12T00:00:00"/>
    <d v="2025-03-12T01:03:00"/>
    <x v="1"/>
    <x v="1"/>
    <s v="Password Reset"/>
    <s v="Network Support"/>
    <s v="Bengaluru"/>
    <s v="Portal"/>
    <s v="Resolved"/>
    <n v="24"/>
    <n v="1.05"/>
    <n v="4.3"/>
    <s v="Yes"/>
    <x v="0"/>
  </r>
  <r>
    <s v="INC103060"/>
    <d v="2025-02-19T00:00:00"/>
    <d v="2025-02-21T00:23:24"/>
    <x v="0"/>
    <x v="1"/>
    <s v="VPN Access"/>
    <s v="Network Support"/>
    <s v="Mumbai"/>
    <s v="Phone"/>
    <s v="Closed"/>
    <n v="48"/>
    <n v="48.39"/>
    <n v="4.8"/>
    <s v="No"/>
    <x v="1"/>
  </r>
  <r>
    <s v="INC103061"/>
    <d v="2025-02-14T00:00:00"/>
    <d v="2025-02-14T00:30:00"/>
    <x v="3"/>
    <x v="3"/>
    <s v="Laptop"/>
    <s v="Access Management"/>
    <s v="Noida"/>
    <s v="Portal"/>
    <s v="Closed"/>
    <n v="8"/>
    <n v="0.5"/>
    <n v="4.5"/>
    <s v="Yes"/>
    <x v="0"/>
  </r>
  <r>
    <s v="INC103062"/>
    <d v="2025-02-25T00:00:00"/>
    <d v="2025-02-25T23:18:00"/>
    <x v="1"/>
    <x v="0"/>
    <s v="Installation"/>
    <s v="Desktop Support"/>
    <s v="Bengaluru"/>
    <s v="Email"/>
    <s v="Closed"/>
    <n v="24"/>
    <n v="23.3"/>
    <n v="3.6"/>
    <s v="No"/>
    <x v="0"/>
  </r>
  <r>
    <s v="INC103063"/>
    <d v="2025-03-11T00:00:00"/>
    <d v="2025-03-12T05:11:24"/>
    <x v="0"/>
    <x v="1"/>
    <s v="Account Lock"/>
    <s v="Application Support"/>
    <s v="Noida"/>
    <s v="Phone"/>
    <s v="Resolved"/>
    <n v="48"/>
    <n v="29.19"/>
    <n v="3.4"/>
    <s v="No"/>
    <x v="0"/>
  </r>
  <r>
    <s v="INC103064"/>
    <d v="2025-01-24T00:00:00"/>
    <d v="2025-01-25T03:48:00"/>
    <x v="0"/>
    <x v="2"/>
    <s v="Packet Loss"/>
    <s v="Network Support"/>
    <s v="Mumbai"/>
    <s v="Phone"/>
    <s v="Resolved"/>
    <n v="48"/>
    <n v="27.8"/>
    <n v="5"/>
    <s v="Yes"/>
    <x v="0"/>
  </r>
  <r>
    <s v="INC103065"/>
    <d v="2025-05-08T00:00:00"/>
    <d v="2025-05-08T04:42:36"/>
    <x v="3"/>
    <x v="0"/>
    <s v="Application Error"/>
    <s v="Access Management"/>
    <s v="Hyderabad"/>
    <s v="Portal"/>
    <s v="Resolved"/>
    <n v="8"/>
    <n v="4.71"/>
    <n v="5"/>
    <s v="No"/>
    <x v="0"/>
  </r>
  <r>
    <s v="INC103066"/>
    <d v="2025-04-10T00:00:00"/>
    <d v="2025-04-11T22:34:11"/>
    <x v="0"/>
    <x v="3"/>
    <s v="Laptop"/>
    <s v="Access Management"/>
    <s v="Mumbai"/>
    <s v="Email"/>
    <s v="Resolved"/>
    <n v="48"/>
    <n v="46.57"/>
    <n v="3.4"/>
    <s v="No"/>
    <x v="0"/>
  </r>
  <r>
    <s v="INC103067"/>
    <d v="2025-05-31T00:00:00"/>
    <d v="2025-05-31T04:36:00"/>
    <x v="1"/>
    <x v="2"/>
    <s v="DNS"/>
    <s v="Desktop Support"/>
    <s v="Noida"/>
    <s v="Email"/>
    <s v="Resolved"/>
    <n v="24"/>
    <n v="4.5999999999999996"/>
    <n v="4.7"/>
    <s v="No"/>
    <x v="0"/>
  </r>
  <r>
    <s v="INC103068"/>
    <d v="2025-05-08T00:00:00"/>
    <d v="2025-05-09T15:33:36"/>
    <x v="0"/>
    <x v="1"/>
    <s v="Account Lock"/>
    <s v="Access Management"/>
    <s v="Mumbai"/>
    <s v="Portal"/>
    <s v="Resolved"/>
    <n v="48"/>
    <n v="39.56"/>
    <n v="4.4000000000000004"/>
    <s v="No"/>
    <x v="0"/>
  </r>
  <r>
    <s v="INC103069"/>
    <d v="2025-01-27T00:00:00"/>
    <d v="2025-01-28T23:32:24"/>
    <x v="0"/>
    <x v="3"/>
    <s v="Printer"/>
    <s v="Network Support"/>
    <s v="Delhi"/>
    <s v="Portal"/>
    <s v="Resolved"/>
    <n v="48"/>
    <n v="47.54"/>
    <n v="3.5"/>
    <s v="No"/>
    <x v="0"/>
  </r>
  <r>
    <s v="INC103070"/>
    <d v="2025-01-13T00:00:00"/>
    <d v="2025-01-13T03:57:00"/>
    <x v="3"/>
    <x v="4"/>
    <s v="Delivery"/>
    <s v="Service Desk"/>
    <s v="Hyderabad"/>
    <s v="Email"/>
    <s v="Resolved"/>
    <n v="8"/>
    <n v="3.95"/>
    <n v="5"/>
    <s v="No"/>
    <x v="0"/>
  </r>
  <r>
    <s v="INC103071"/>
    <d v="2025-03-18T00:00:00"/>
    <d v="2025-03-18T15:12:00"/>
    <x v="0"/>
    <x v="0"/>
    <s v="Performance"/>
    <s v="Network Support"/>
    <s v="Hyderabad"/>
    <s v="Phone"/>
    <s v="Resolved"/>
    <n v="48"/>
    <n v="15.2"/>
    <n v="4.5999999999999996"/>
    <s v="No"/>
    <x v="0"/>
  </r>
  <r>
    <s v="INC103072"/>
    <d v="2025-03-29T00:00:00"/>
    <d v="2025-03-29T04:46:48"/>
    <x v="0"/>
    <x v="0"/>
    <s v="Performance"/>
    <s v="Network Support"/>
    <s v="Bengaluru"/>
    <s v="Chat"/>
    <s v="Closed"/>
    <n v="48"/>
    <n v="4.78"/>
    <n v="4.5"/>
    <s v="No"/>
    <x v="0"/>
  </r>
  <r>
    <s v="INC103073"/>
    <d v="2025-02-13T00:00:00"/>
    <d v="2025-02-15T17:22:12"/>
    <x v="1"/>
    <x v="3"/>
    <s v="Printer"/>
    <s v="Access Management"/>
    <s v="Bengaluru"/>
    <s v="Portal"/>
    <s v="Closed"/>
    <n v="24"/>
    <n v="65.37"/>
    <n v="1"/>
    <s v="No"/>
    <x v="1"/>
  </r>
  <r>
    <s v="INC103074"/>
    <d v="2025-05-22T00:00:00"/>
    <d v="2025-05-22T04:41:24"/>
    <x v="3"/>
    <x v="3"/>
    <s v="Peripheral"/>
    <s v="Desktop Support"/>
    <s v="Gurugram"/>
    <s v="Portal"/>
    <s v="Closed"/>
    <n v="8"/>
    <n v="4.6900000000000004"/>
    <n v="3.5"/>
    <s v="Yes"/>
    <x v="0"/>
  </r>
  <r>
    <s v="INC103075"/>
    <d v="2025-04-16T00:00:00"/>
    <d v="2025-04-16T01:57:36"/>
    <x v="1"/>
    <x v="1"/>
    <s v="VPN Access"/>
    <s v="Application Support"/>
    <s v="Noida"/>
    <s v="Portal"/>
    <s v="Pending"/>
    <n v="24"/>
    <n v="1.96"/>
    <n v="5"/>
    <s v="No"/>
    <x v="0"/>
  </r>
  <r>
    <s v="INC103076"/>
    <d v="2025-05-16T00:00:00"/>
    <d v="2025-05-16T10:33:36"/>
    <x v="0"/>
    <x v="0"/>
    <s v="Installation"/>
    <s v="Access Management"/>
    <s v="Delhi"/>
    <s v="Chat"/>
    <s v="Closed"/>
    <n v="48"/>
    <n v="10.56"/>
    <n v="4.9000000000000004"/>
    <s v="No"/>
    <x v="0"/>
  </r>
  <r>
    <s v="INC103077"/>
    <d v="2025-01-20T00:00:00"/>
    <d v="2025-01-20T01:19:48"/>
    <x v="2"/>
    <x v="1"/>
    <s v="Password Reset"/>
    <s v="Application Support"/>
    <s v="Noida"/>
    <s v="Phone"/>
    <s v="Closed"/>
    <n v="4"/>
    <n v="1.33"/>
    <n v="5"/>
    <s v="No"/>
    <x v="0"/>
  </r>
  <r>
    <s v="INC103078"/>
    <d v="2025-05-28T00:00:00"/>
    <d v="2025-05-29T00:10:12"/>
    <x v="1"/>
    <x v="3"/>
    <s v="Peripheral"/>
    <s v="Service Desk"/>
    <s v="Bengaluru"/>
    <s v="Chat"/>
    <s v="Closed"/>
    <n v="24"/>
    <n v="24.17"/>
    <n v="3.4"/>
    <s v="No"/>
    <x v="1"/>
  </r>
  <r>
    <s v="INC103079"/>
    <d v="2025-02-07T00:00:00"/>
    <d v="2025-02-07T01:45:36"/>
    <x v="3"/>
    <x v="2"/>
    <s v="Link Down"/>
    <s v="Service Desk"/>
    <s v="Noida"/>
    <s v="Email"/>
    <s v="Closed"/>
    <n v="8"/>
    <n v="1.76"/>
    <n v="3.7"/>
    <s v="No"/>
    <x v="0"/>
  </r>
  <r>
    <s v="INC103080"/>
    <d v="2025-03-23T00:00:00"/>
    <d v="2025-03-23T02:33:36"/>
    <x v="3"/>
    <x v="2"/>
    <s v="Link Down"/>
    <s v="Network Support"/>
    <s v="Mumbai"/>
    <s v="Portal"/>
    <s v="Resolved"/>
    <n v="8"/>
    <n v="2.56"/>
    <n v="4.3"/>
    <s v="No"/>
    <x v="0"/>
  </r>
  <r>
    <s v="INC103081"/>
    <d v="2025-03-21T00:00:00"/>
    <d v="2025-03-21T21:25:48"/>
    <x v="1"/>
    <x v="1"/>
    <s v="Password Reset"/>
    <s v="Access Management"/>
    <s v="Hyderabad"/>
    <s v="Email"/>
    <s v="Resolved"/>
    <n v="24"/>
    <n v="21.43"/>
    <n v="5"/>
    <s v="No"/>
    <x v="0"/>
  </r>
  <r>
    <s v="INC103082"/>
    <d v="2025-05-29T00:00:00"/>
    <d v="2025-05-29T09:33:00"/>
    <x v="1"/>
    <x v="3"/>
    <s v="Printer"/>
    <s v="Access Management"/>
    <s v="Bengaluru"/>
    <s v="Portal"/>
    <s v="Resolved"/>
    <n v="24"/>
    <n v="9.5500000000000007"/>
    <n v="3.9"/>
    <s v="No"/>
    <x v="0"/>
  </r>
  <r>
    <s v="INC103083"/>
    <d v="2025-02-20T00:00:00"/>
    <d v="2025-02-20T13:38:24"/>
    <x v="1"/>
    <x v="0"/>
    <s v="Performance"/>
    <s v="Desktop Support"/>
    <s v="Noida"/>
    <s v="Portal"/>
    <s v="Resolved"/>
    <n v="24"/>
    <n v="13.64"/>
    <n v="4.3"/>
    <s v="No"/>
    <x v="0"/>
  </r>
  <r>
    <s v="INC103084"/>
    <d v="2025-02-13T00:00:00"/>
    <d v="2025-02-13T03:28:12"/>
    <x v="1"/>
    <x v="3"/>
    <s v="Peripheral"/>
    <s v="Desktop Support"/>
    <s v="Gurugram"/>
    <s v="Portal"/>
    <s v="Resolved"/>
    <n v="24"/>
    <n v="3.47"/>
    <n v="3.3"/>
    <s v="No"/>
    <x v="0"/>
  </r>
  <r>
    <s v="INC103085"/>
    <d v="2025-03-03T00:00:00"/>
    <d v="2025-03-03T04:13:12"/>
    <x v="1"/>
    <x v="3"/>
    <s v="Printer"/>
    <s v="Access Management"/>
    <s v="Bengaluru"/>
    <s v="Portal"/>
    <s v="Pending"/>
    <n v="24"/>
    <n v="4.22"/>
    <n v="4.5"/>
    <s v="No"/>
    <x v="0"/>
  </r>
  <r>
    <s v="INC103086"/>
    <d v="2025-03-07T00:00:00"/>
    <d v="2025-03-07T00:47:24"/>
    <x v="2"/>
    <x v="0"/>
    <s v="Performance"/>
    <s v="Service Desk"/>
    <s v="Mumbai"/>
    <s v="Portal"/>
    <s v="Closed"/>
    <n v="4"/>
    <n v="0.79"/>
    <n v="4.5"/>
    <s v="No"/>
    <x v="0"/>
  </r>
  <r>
    <s v="INC103087"/>
    <d v="2025-02-02T00:00:00"/>
    <d v="2025-02-02T12:13:48"/>
    <x v="1"/>
    <x v="0"/>
    <s v="Performance"/>
    <s v="Desktop Support"/>
    <s v="Delhi"/>
    <s v="Chat"/>
    <s v="Resolved"/>
    <n v="24"/>
    <n v="12.23"/>
    <n v="4.5999999999999996"/>
    <s v="No"/>
    <x v="0"/>
  </r>
  <r>
    <s v="INC103088"/>
    <d v="2025-02-01T00:00:00"/>
    <d v="2025-02-02T03:03:36"/>
    <x v="0"/>
    <x v="4"/>
    <s v="Configuration"/>
    <s v="Access Management"/>
    <s v="Noida"/>
    <s v="Phone"/>
    <s v="Resolved"/>
    <n v="48"/>
    <n v="27.06"/>
    <n v="4.0999999999999996"/>
    <s v="No"/>
    <x v="0"/>
  </r>
  <r>
    <s v="INC103089"/>
    <d v="2025-02-11T00:00:00"/>
    <d v="2025-02-11T14:34:11"/>
    <x v="1"/>
    <x v="2"/>
    <s v="DNS"/>
    <s v="Service Desk"/>
    <s v="Noida"/>
    <s v="Phone"/>
    <s v="Closed"/>
    <n v="24"/>
    <n v="14.57"/>
    <n v="3.3"/>
    <s v="No"/>
    <x v="0"/>
  </r>
  <r>
    <s v="INC103090"/>
    <d v="2025-03-26T00:00:00"/>
    <d v="2025-03-27T03:31:48"/>
    <x v="1"/>
    <x v="0"/>
    <s v="License"/>
    <s v="Access Management"/>
    <s v="Gurugram"/>
    <s v="Portal"/>
    <s v="Closed"/>
    <n v="24"/>
    <n v="27.53"/>
    <n v="3.2"/>
    <s v="No"/>
    <x v="1"/>
  </r>
  <r>
    <s v="INC103091"/>
    <d v="2025-03-04T00:00:00"/>
    <d v="2025-03-04T07:33:00"/>
    <x v="1"/>
    <x v="2"/>
    <s v="Link Down"/>
    <s v="Network Support"/>
    <s v="Gurugram"/>
    <s v="Phone"/>
    <s v="Closed"/>
    <n v="24"/>
    <n v="7.55"/>
    <n v="4.5"/>
    <s v="No"/>
    <x v="0"/>
  </r>
  <r>
    <s v="INC103092"/>
    <d v="2025-03-12T00:00:00"/>
    <d v="2025-03-12T00:55:12"/>
    <x v="3"/>
    <x v="1"/>
    <s v="Account Lock"/>
    <s v="Desktop Support"/>
    <s v="Hyderabad"/>
    <s v="Portal"/>
    <s v="Resolved"/>
    <n v="8"/>
    <n v="0.92"/>
    <n v="4.2"/>
    <s v="No"/>
    <x v="0"/>
  </r>
  <r>
    <s v="INC103093"/>
    <d v="2025-05-11T00:00:00"/>
    <d v="2025-05-11T21:51:36"/>
    <x v="1"/>
    <x v="0"/>
    <s v="Application Error"/>
    <s v="Desktop Support"/>
    <s v="Noida"/>
    <s v="Portal"/>
    <s v="In Progress"/>
    <n v="24"/>
    <n v="21.86"/>
    <n v="3.4"/>
    <s v="No"/>
    <x v="0"/>
  </r>
  <r>
    <s v="INC103094"/>
    <d v="2025-02-13T00:00:00"/>
    <d v="2025-02-14T06:16:48"/>
    <x v="0"/>
    <x v="3"/>
    <s v="Peripheral"/>
    <s v="Service Desk"/>
    <s v="Bengaluru"/>
    <s v="Portal"/>
    <s v="In Progress"/>
    <n v="48"/>
    <n v="30.28"/>
    <n v="4.9000000000000004"/>
    <s v="No"/>
    <x v="0"/>
  </r>
  <r>
    <s v="INC103095"/>
    <d v="2025-06-14T00:00:00"/>
    <d v="2025-06-14T20:49:12"/>
    <x v="1"/>
    <x v="1"/>
    <s v="Permission"/>
    <s v="Access Management"/>
    <s v="Delhi"/>
    <s v="Portal"/>
    <s v="In Progress"/>
    <n v="24"/>
    <n v="20.82"/>
    <n v="3.6"/>
    <s v="No"/>
    <x v="0"/>
  </r>
  <r>
    <s v="INC103096"/>
    <d v="2025-05-17T00:00:00"/>
    <d v="2025-05-17T15:06:00"/>
    <x v="1"/>
    <x v="3"/>
    <s v="Peripheral"/>
    <s v="Desktop Support"/>
    <s v="Gurugram"/>
    <s v="Phone"/>
    <s v="Closed"/>
    <n v="24"/>
    <n v="15.1"/>
    <n v="4.5"/>
    <s v="No"/>
    <x v="0"/>
  </r>
  <r>
    <s v="INC103097"/>
    <d v="2025-02-01T00:00:00"/>
    <d v="2025-02-01T02:44:24"/>
    <x v="3"/>
    <x v="2"/>
    <s v="DNS"/>
    <s v="Access Management"/>
    <s v="Gurugram"/>
    <s v="Phone"/>
    <s v="Resolved"/>
    <n v="8"/>
    <n v="2.74"/>
    <n v="4.5"/>
    <s v="No"/>
    <x v="0"/>
  </r>
  <r>
    <s v="INC103098"/>
    <d v="2025-02-26T00:00:00"/>
    <d v="2025-02-26T08:13:48"/>
    <x v="1"/>
    <x v="3"/>
    <s v="Monitor"/>
    <s v="Service Desk"/>
    <s v="Gurugram"/>
    <s v="Portal"/>
    <s v="Pending"/>
    <n v="24"/>
    <n v="8.23"/>
    <n v="3.8"/>
    <s v="No"/>
    <x v="0"/>
  </r>
  <r>
    <s v="INC103099"/>
    <d v="2025-02-03T00:00:00"/>
    <d v="2025-02-03T06:49:12"/>
    <x v="1"/>
    <x v="2"/>
    <s v="Connectivity"/>
    <s v="Service Desk"/>
    <s v="Hyderabad"/>
    <s v="Email"/>
    <s v="Resolved"/>
    <n v="24"/>
    <n v="6.82"/>
    <n v="4.4000000000000004"/>
    <s v="No"/>
    <x v="0"/>
  </r>
  <r>
    <s v="INC103100"/>
    <d v="2025-02-19T00:00:00"/>
    <d v="2025-02-20T06:36:00"/>
    <x v="1"/>
    <x v="4"/>
    <s v="Mailbox"/>
    <s v="Desktop Support"/>
    <s v="Bengaluru"/>
    <s v="Portal"/>
    <s v="Resolved"/>
    <n v="24"/>
    <n v="30.6"/>
    <n v="3.7"/>
    <s v="No"/>
    <x v="1"/>
  </r>
  <r>
    <s v="INC103101"/>
    <d v="2025-03-08T00:00:00"/>
    <d v="2025-03-10T01:27:36"/>
    <x v="1"/>
    <x v="1"/>
    <s v="VPN Access"/>
    <s v="Desktop Support"/>
    <s v="Hyderabad"/>
    <s v="Portal"/>
    <s v="Closed"/>
    <n v="24"/>
    <n v="49.46"/>
    <n v="3.7"/>
    <s v="No"/>
    <x v="1"/>
  </r>
  <r>
    <s v="INC103102"/>
    <d v="2025-01-24T00:00:00"/>
    <d v="2025-01-25T14:13:48"/>
    <x v="0"/>
    <x v="1"/>
    <s v="Account Lock"/>
    <s v="Service Desk"/>
    <s v="Noida"/>
    <s v="Email"/>
    <s v="Resolved"/>
    <n v="48"/>
    <n v="38.229999999999997"/>
    <n v="3.5"/>
    <s v="No"/>
    <x v="0"/>
  </r>
  <r>
    <s v="INC103103"/>
    <d v="2025-01-03T00:00:00"/>
    <d v="2025-01-03T03:30:00"/>
    <x v="3"/>
    <x v="1"/>
    <s v="Account Lock"/>
    <s v="Service Desk"/>
    <s v="Mumbai"/>
    <s v="Phone"/>
    <s v="Closed"/>
    <n v="8"/>
    <n v="3.5"/>
    <n v="4.4000000000000004"/>
    <s v="No"/>
    <x v="0"/>
  </r>
  <r>
    <s v="INC103104"/>
    <d v="2025-03-21T00:00:00"/>
    <d v="2025-03-21T02:25:48"/>
    <x v="3"/>
    <x v="1"/>
    <s v="VPN Access"/>
    <s v="Application Support"/>
    <s v="Delhi"/>
    <s v="Phone"/>
    <s v="Closed"/>
    <n v="8"/>
    <n v="2.4300000000000002"/>
    <n v="5"/>
    <s v="No"/>
    <x v="0"/>
  </r>
  <r>
    <s v="INC103105"/>
    <d v="2025-05-07T00:00:00"/>
    <d v="2025-05-07T17:01:48"/>
    <x v="1"/>
    <x v="3"/>
    <s v="Monitor"/>
    <s v="Service Desk"/>
    <s v="Mumbai"/>
    <s v="Portal"/>
    <s v="Resolved"/>
    <n v="24"/>
    <n v="17.03"/>
    <n v="5"/>
    <s v="No"/>
    <x v="0"/>
  </r>
  <r>
    <s v="INC103106"/>
    <d v="2025-02-24T00:00:00"/>
    <d v="2025-02-24T03:30:36"/>
    <x v="1"/>
    <x v="2"/>
    <s v="DNS"/>
    <s v="Application Support"/>
    <s v="Bengaluru"/>
    <s v="Email"/>
    <s v="Closed"/>
    <n v="24"/>
    <n v="3.51"/>
    <n v="4.4000000000000004"/>
    <s v="No"/>
    <x v="0"/>
  </r>
  <r>
    <s v="INC103107"/>
    <d v="2025-06-05T00:00:00"/>
    <d v="2025-06-06T13:18:36"/>
    <x v="0"/>
    <x v="3"/>
    <s v="Printer"/>
    <s v="Desktop Support"/>
    <s v="Delhi"/>
    <s v="Portal"/>
    <s v="In Progress"/>
    <n v="48"/>
    <n v="37.31"/>
    <n v="4"/>
    <s v="No"/>
    <x v="0"/>
  </r>
  <r>
    <s v="INC103108"/>
    <d v="2025-03-08T00:00:00"/>
    <d v="2025-03-08T06:55:48"/>
    <x v="1"/>
    <x v="4"/>
    <s v="Configuration"/>
    <s v="Access Management"/>
    <s v="Mumbai"/>
    <s v="Portal"/>
    <s v="In Progress"/>
    <n v="24"/>
    <n v="6.93"/>
    <n v="5"/>
    <s v="Yes"/>
    <x v="0"/>
  </r>
  <r>
    <s v="INC103109"/>
    <d v="2025-06-13T00:00:00"/>
    <d v="2025-06-13T00:30:00"/>
    <x v="1"/>
    <x v="4"/>
    <s v="Mailbox"/>
    <s v="Service Desk"/>
    <s v="Noida"/>
    <s v="Portal"/>
    <s v="Resolved"/>
    <n v="24"/>
    <n v="0.5"/>
    <n v="5"/>
    <s v="Yes"/>
    <x v="0"/>
  </r>
  <r>
    <s v="INC103110"/>
    <d v="2025-02-12T00:00:00"/>
    <d v="2025-02-13T11:56:24"/>
    <x v="1"/>
    <x v="1"/>
    <s v="Account Lock"/>
    <s v="Access Management"/>
    <s v="Delhi"/>
    <s v="Portal"/>
    <s v="Resolved"/>
    <n v="24"/>
    <n v="35.94"/>
    <n v="3.9"/>
    <s v="No"/>
    <x v="1"/>
  </r>
  <r>
    <s v="INC103111"/>
    <d v="2025-04-08T00:00:00"/>
    <d v="2025-04-09T20:33:36"/>
    <x v="0"/>
    <x v="2"/>
    <s v="Connectivity"/>
    <s v="Desktop Support"/>
    <s v="Hyderabad"/>
    <s v="Portal"/>
    <s v="Resolved"/>
    <n v="48"/>
    <n v="44.56"/>
    <n v="4.5999999999999996"/>
    <s v="No"/>
    <x v="0"/>
  </r>
  <r>
    <s v="INC103112"/>
    <d v="2025-05-19T00:00:00"/>
    <d v="2025-05-19T03:06:36"/>
    <x v="1"/>
    <x v="2"/>
    <s v="Connectivity"/>
    <s v="Network Support"/>
    <s v="Bengaluru"/>
    <s v="Portal"/>
    <s v="Closed"/>
    <n v="24"/>
    <n v="3.11"/>
    <n v="5"/>
    <s v="No"/>
    <x v="0"/>
  </r>
  <r>
    <s v="INC103113"/>
    <d v="2025-01-11T00:00:00"/>
    <d v="2025-01-13T01:50:24"/>
    <x v="0"/>
    <x v="1"/>
    <s v="VPN Access"/>
    <s v="Application Support"/>
    <s v="Bengaluru"/>
    <s v="Email"/>
    <s v="Closed"/>
    <n v="48"/>
    <n v="49.84"/>
    <n v="3.8"/>
    <s v="Yes"/>
    <x v="1"/>
  </r>
  <r>
    <s v="INC103114"/>
    <d v="2025-06-18T00:00:00"/>
    <d v="2025-06-18T06:49:48"/>
    <x v="1"/>
    <x v="2"/>
    <s v="Packet Loss"/>
    <s v="Service Desk"/>
    <s v="Bengaluru"/>
    <s v="Portal"/>
    <s v="Resolved"/>
    <n v="24"/>
    <n v="6.83"/>
    <n v="4.2"/>
    <s v="No"/>
    <x v="0"/>
  </r>
  <r>
    <s v="INC103115"/>
    <d v="2025-03-08T00:00:00"/>
    <d v="2025-03-09T00:33:36"/>
    <x v="1"/>
    <x v="0"/>
    <s v="Installation"/>
    <s v="Network Support"/>
    <s v="Delhi"/>
    <s v="Portal"/>
    <s v="Resolved"/>
    <n v="24"/>
    <n v="24.56"/>
    <n v="3.6"/>
    <s v="No"/>
    <x v="1"/>
  </r>
  <r>
    <s v="INC103116"/>
    <d v="2025-04-01T00:00:00"/>
    <d v="2025-04-02T00:11:24"/>
    <x v="0"/>
    <x v="3"/>
    <s v="Monitor"/>
    <s v="Desktop Support"/>
    <s v="Gurugram"/>
    <s v="Chat"/>
    <s v="Closed"/>
    <n v="48"/>
    <n v="24.19"/>
    <n v="4.3"/>
    <s v="No"/>
    <x v="0"/>
  </r>
  <r>
    <s v="INC103117"/>
    <d v="2025-04-24T00:00:00"/>
    <d v="2025-04-24T12:44:24"/>
    <x v="1"/>
    <x v="3"/>
    <s v="Laptop"/>
    <s v="Application Support"/>
    <s v="Mumbai"/>
    <s v="Phone"/>
    <s v="Closed"/>
    <n v="24"/>
    <n v="12.74"/>
    <n v="5"/>
    <s v="No"/>
    <x v="0"/>
  </r>
  <r>
    <s v="INC103118"/>
    <d v="2025-04-27T00:00:00"/>
    <d v="2025-04-27T04:31:12"/>
    <x v="3"/>
    <x v="0"/>
    <s v="Application Error"/>
    <s v="Service Desk"/>
    <s v="Noida"/>
    <s v="Portal"/>
    <s v="Resolved"/>
    <n v="8"/>
    <n v="4.5199999999999996"/>
    <n v="4.4000000000000004"/>
    <s v="No"/>
    <x v="0"/>
  </r>
  <r>
    <s v="INC103119"/>
    <d v="2025-01-05T00:00:00"/>
    <d v="2025-01-05T12:11:24"/>
    <x v="1"/>
    <x v="4"/>
    <s v="Configuration"/>
    <s v="Application Support"/>
    <s v="Hyderabad"/>
    <s v="Portal"/>
    <s v="Resolved"/>
    <n v="24"/>
    <n v="12.19"/>
    <n v="4.5"/>
    <s v="No"/>
    <x v="0"/>
  </r>
  <r>
    <s v="INC103120"/>
    <d v="2025-06-06T00:00:00"/>
    <d v="2025-06-06T10:15:36"/>
    <x v="0"/>
    <x v="1"/>
    <s v="Password Reset"/>
    <s v="Network Support"/>
    <s v="Gurugram"/>
    <s v="Portal"/>
    <s v="Resolved"/>
    <n v="48"/>
    <n v="10.26"/>
    <n v="4.0999999999999996"/>
    <s v="No"/>
    <x v="0"/>
  </r>
  <r>
    <s v="INC103121"/>
    <d v="2025-04-23T00:00:00"/>
    <d v="2025-04-24T12:00:36"/>
    <x v="1"/>
    <x v="0"/>
    <s v="Installation"/>
    <s v="Network Support"/>
    <s v="Noida"/>
    <s v="Chat"/>
    <s v="In Progress"/>
    <n v="24"/>
    <n v="36.01"/>
    <n v="4"/>
    <s v="No"/>
    <x v="1"/>
  </r>
  <r>
    <s v="INC103122"/>
    <d v="2025-06-30T00:00:00"/>
    <d v="2025-06-30T19:01:48"/>
    <x v="1"/>
    <x v="3"/>
    <s v="Laptop"/>
    <s v="Application Support"/>
    <s v="Noida"/>
    <s v="Portal"/>
    <s v="Resolved"/>
    <n v="24"/>
    <n v="19.03"/>
    <n v="3.5"/>
    <s v="No"/>
    <x v="0"/>
  </r>
  <r>
    <s v="INC103123"/>
    <d v="2025-03-27T00:00:00"/>
    <d v="2025-03-27T04:03:36"/>
    <x v="1"/>
    <x v="4"/>
    <s v="Configuration"/>
    <s v="Network Support"/>
    <s v="Delhi"/>
    <s v="Portal"/>
    <s v="Closed"/>
    <n v="24"/>
    <n v="4.0599999999999996"/>
    <n v="4.5999999999999996"/>
    <s v="No"/>
    <x v="0"/>
  </r>
  <r>
    <s v="INC103124"/>
    <d v="2025-04-22T00:00:00"/>
    <d v="2025-04-22T07:42:00"/>
    <x v="1"/>
    <x v="0"/>
    <s v="Application Error"/>
    <s v="Service Desk"/>
    <s v="Mumbai"/>
    <s v="Phone"/>
    <s v="Resolved"/>
    <n v="24"/>
    <n v="7.7"/>
    <n v="5"/>
    <s v="No"/>
    <x v="0"/>
  </r>
  <r>
    <s v="INC103125"/>
    <d v="2025-03-21T00:00:00"/>
    <d v="2025-03-24T00:35:24"/>
    <x v="0"/>
    <x v="0"/>
    <s v="Installation"/>
    <s v="Desktop Support"/>
    <s v="Delhi"/>
    <s v="Phone"/>
    <s v="Resolved"/>
    <n v="48"/>
    <n v="72.59"/>
    <n v="3.8"/>
    <s v="No"/>
    <x v="1"/>
  </r>
  <r>
    <s v="INC103126"/>
    <d v="2025-06-11T00:00:00"/>
    <d v="2025-06-11T03:01:48"/>
    <x v="1"/>
    <x v="0"/>
    <s v="License"/>
    <s v="Network Support"/>
    <s v="Noida"/>
    <s v="Portal"/>
    <s v="Resolved"/>
    <n v="24"/>
    <n v="3.03"/>
    <n v="4.3"/>
    <s v="No"/>
    <x v="0"/>
  </r>
  <r>
    <s v="INC103127"/>
    <d v="2025-05-31T00:00:00"/>
    <d v="2025-05-31T06:10:48"/>
    <x v="3"/>
    <x v="2"/>
    <s v="Packet Loss"/>
    <s v="Access Management"/>
    <s v="Hyderabad"/>
    <s v="Portal"/>
    <s v="Resolved"/>
    <n v="8"/>
    <n v="6.18"/>
    <n v="3.4"/>
    <s v="No"/>
    <x v="0"/>
  </r>
  <r>
    <s v="INC103128"/>
    <d v="2025-06-14T00:00:00"/>
    <d v="2025-06-14T01:36:00"/>
    <x v="3"/>
    <x v="2"/>
    <s v="Link Down"/>
    <s v="Desktop Support"/>
    <s v="Hyderabad"/>
    <s v="Portal"/>
    <s v="Resolved"/>
    <n v="8"/>
    <n v="1.6"/>
    <n v="4.5999999999999996"/>
    <s v="No"/>
    <x v="0"/>
  </r>
  <r>
    <s v="INC103129"/>
    <d v="2025-04-02T00:00:00"/>
    <d v="2025-04-02T13:20:24"/>
    <x v="0"/>
    <x v="1"/>
    <s v="Permission"/>
    <s v="Service Desk"/>
    <s v="Gurugram"/>
    <s v="Portal"/>
    <s v="Resolved"/>
    <n v="48"/>
    <n v="13.34"/>
    <n v="4.3"/>
    <s v="No"/>
    <x v="0"/>
  </r>
  <r>
    <s v="INC103130"/>
    <d v="2025-05-24T00:00:00"/>
    <d v="2025-05-24T12:08:24"/>
    <x v="1"/>
    <x v="0"/>
    <s v="Installation"/>
    <s v="Access Management"/>
    <s v="Noida"/>
    <s v="Portal"/>
    <s v="Resolved"/>
    <n v="24"/>
    <n v="12.14"/>
    <n v="3.4"/>
    <s v="Yes"/>
    <x v="0"/>
  </r>
  <r>
    <s v="INC103131"/>
    <d v="2025-03-06T00:00:00"/>
    <d v="2025-03-06T17:21:00"/>
    <x v="1"/>
    <x v="2"/>
    <s v="Link Down"/>
    <s v="Desktop Support"/>
    <s v="Bengaluru"/>
    <s v="Phone"/>
    <s v="Closed"/>
    <n v="24"/>
    <n v="17.350000000000001"/>
    <n v="3.6"/>
    <s v="No"/>
    <x v="0"/>
  </r>
  <r>
    <s v="INC103132"/>
    <d v="2025-03-25T00:00:00"/>
    <d v="2025-03-26T03:46:12"/>
    <x v="0"/>
    <x v="3"/>
    <s v="Printer"/>
    <s v="Application Support"/>
    <s v="Mumbai"/>
    <s v="Phone"/>
    <s v="Resolved"/>
    <n v="48"/>
    <n v="27.77"/>
    <n v="2.5"/>
    <s v="Yes"/>
    <x v="0"/>
  </r>
  <r>
    <s v="INC103133"/>
    <d v="2025-05-18T00:00:00"/>
    <d v="2025-05-18T04:19:12"/>
    <x v="1"/>
    <x v="4"/>
    <s v="Spam"/>
    <s v="Network Support"/>
    <s v="Gurugram"/>
    <s v="Email"/>
    <s v="Resolved"/>
    <n v="24"/>
    <n v="4.32"/>
    <n v="5"/>
    <s v="No"/>
    <x v="0"/>
  </r>
  <r>
    <s v="INC103134"/>
    <d v="2025-01-15T00:00:00"/>
    <d v="2025-01-17T22:30:00"/>
    <x v="0"/>
    <x v="0"/>
    <s v="License"/>
    <s v="Network Support"/>
    <s v="Bengaluru"/>
    <s v="Email"/>
    <s v="Resolved"/>
    <n v="48"/>
    <n v="70.5"/>
    <n v="3.8"/>
    <s v="No"/>
    <x v="1"/>
  </r>
  <r>
    <s v="INC103135"/>
    <d v="2025-05-09T00:00:00"/>
    <d v="2025-05-10T17:09:00"/>
    <x v="0"/>
    <x v="0"/>
    <s v="Installation"/>
    <s v="Network Support"/>
    <s v="Hyderabad"/>
    <s v="Email"/>
    <s v="Resolved"/>
    <n v="48"/>
    <n v="41.15"/>
    <n v="4.9000000000000004"/>
    <s v="Yes"/>
    <x v="0"/>
  </r>
  <r>
    <s v="INC103136"/>
    <d v="2025-01-03T00:00:00"/>
    <d v="2025-01-04T04:42:36"/>
    <x v="1"/>
    <x v="2"/>
    <s v="DNS"/>
    <s v="Desktop Support"/>
    <s v="Mumbai"/>
    <s v="Portal"/>
    <s v="Closed"/>
    <n v="24"/>
    <n v="28.71"/>
    <n v="3.8"/>
    <s v="No"/>
    <x v="1"/>
  </r>
  <r>
    <s v="INC103137"/>
    <d v="2025-04-16T00:00:00"/>
    <d v="2025-04-16T23:20:24"/>
    <x v="0"/>
    <x v="4"/>
    <s v="Mailbox"/>
    <s v="Access Management"/>
    <s v="Mumbai"/>
    <s v="Phone"/>
    <s v="Closed"/>
    <n v="48"/>
    <n v="23.34"/>
    <n v="4.0999999999999996"/>
    <s v="No"/>
    <x v="0"/>
  </r>
  <r>
    <s v="INC103138"/>
    <d v="2025-03-28T00:00:00"/>
    <d v="2025-03-28T21:36:00"/>
    <x v="1"/>
    <x v="4"/>
    <s v="Delivery"/>
    <s v="Access Management"/>
    <s v="Hyderabad"/>
    <s v="Portal"/>
    <s v="Closed"/>
    <n v="24"/>
    <n v="21.6"/>
    <n v="4.5999999999999996"/>
    <s v="No"/>
    <x v="0"/>
  </r>
  <r>
    <s v="INC103139"/>
    <d v="2025-03-26T00:00:00"/>
    <d v="2025-03-28T09:51:00"/>
    <x v="0"/>
    <x v="0"/>
    <s v="Performance"/>
    <s v="Desktop Support"/>
    <s v="Hyderabad"/>
    <s v="Portal"/>
    <s v="In Progress"/>
    <n v="48"/>
    <n v="57.85"/>
    <n v="3.1"/>
    <s v="No"/>
    <x v="1"/>
  </r>
  <r>
    <s v="INC103140"/>
    <d v="2025-03-31T00:00:00"/>
    <d v="2025-03-31T16:13:48"/>
    <x v="1"/>
    <x v="3"/>
    <s v="Printer"/>
    <s v="Network Support"/>
    <s v="Bengaluru"/>
    <s v="Portal"/>
    <s v="Resolved"/>
    <n v="24"/>
    <n v="16.23"/>
    <n v="3.3"/>
    <s v="No"/>
    <x v="0"/>
  </r>
  <r>
    <s v="INC103141"/>
    <d v="2025-03-31T00:00:00"/>
    <d v="2025-03-31T15:51:36"/>
    <x v="1"/>
    <x v="0"/>
    <s v="Installation"/>
    <s v="Application Support"/>
    <s v="Hyderabad"/>
    <s v="Phone"/>
    <s v="Resolved"/>
    <n v="24"/>
    <n v="15.86"/>
    <n v="4.0999999999999996"/>
    <s v="No"/>
    <x v="0"/>
  </r>
  <r>
    <s v="INC103142"/>
    <d v="2025-03-15T00:00:00"/>
    <d v="2025-03-15T06:06:00"/>
    <x v="3"/>
    <x v="1"/>
    <s v="Permission"/>
    <s v="Application Support"/>
    <s v="Noida"/>
    <s v="Email"/>
    <s v="Resolved"/>
    <n v="8"/>
    <n v="6.1"/>
    <n v="4.4000000000000004"/>
    <s v="No"/>
    <x v="0"/>
  </r>
  <r>
    <s v="INC103143"/>
    <d v="2025-03-23T00:00:00"/>
    <d v="2025-03-23T06:04:48"/>
    <x v="3"/>
    <x v="1"/>
    <s v="Password Reset"/>
    <s v="Desktop Support"/>
    <s v="Mumbai"/>
    <s v="Email"/>
    <s v="Resolved"/>
    <n v="8"/>
    <n v="6.08"/>
    <n v="3.6"/>
    <s v="No"/>
    <x v="0"/>
  </r>
  <r>
    <s v="INC103144"/>
    <d v="2025-04-13T00:00:00"/>
    <d v="2025-04-13T16:31:12"/>
    <x v="1"/>
    <x v="4"/>
    <s v="Delivery"/>
    <s v="Application Support"/>
    <s v="Hyderabad"/>
    <s v="Email"/>
    <s v="Resolved"/>
    <n v="24"/>
    <n v="16.52"/>
    <n v="3.5"/>
    <s v="No"/>
    <x v="0"/>
  </r>
  <r>
    <s v="INC103145"/>
    <d v="2025-05-19T00:00:00"/>
    <d v="2025-05-19T23:35:24"/>
    <x v="1"/>
    <x v="0"/>
    <s v="License"/>
    <s v="Desktop Support"/>
    <s v="Delhi"/>
    <s v="Phone"/>
    <s v="Closed"/>
    <n v="24"/>
    <n v="23.59"/>
    <n v="3.5"/>
    <s v="No"/>
    <x v="0"/>
  </r>
  <r>
    <s v="INC103146"/>
    <d v="2025-04-10T00:00:00"/>
    <d v="2025-04-10T22:58:48"/>
    <x v="0"/>
    <x v="3"/>
    <s v="Monitor"/>
    <s v="Application Support"/>
    <s v="Hyderabad"/>
    <s v="Portal"/>
    <s v="Closed"/>
    <n v="48"/>
    <n v="22.98"/>
    <n v="4.7"/>
    <s v="No"/>
    <x v="0"/>
  </r>
  <r>
    <s v="INC103147"/>
    <d v="2025-04-27T00:00:00"/>
    <d v="2025-04-28T09:34:47"/>
    <x v="1"/>
    <x v="0"/>
    <s v="Application Error"/>
    <s v="Desktop Support"/>
    <s v="Mumbai"/>
    <s v="Portal"/>
    <s v="Resolved"/>
    <n v="24"/>
    <n v="33.58"/>
    <n v="3.2"/>
    <s v="No"/>
    <x v="1"/>
  </r>
  <r>
    <s v="INC103148"/>
    <d v="2025-06-01T00:00:00"/>
    <d v="2025-06-01T02:49:12"/>
    <x v="0"/>
    <x v="1"/>
    <s v="Permission"/>
    <s v="Network Support"/>
    <s v="Hyderabad"/>
    <s v="Phone"/>
    <s v="Resolved"/>
    <n v="48"/>
    <n v="2.82"/>
    <n v="5"/>
    <s v="No"/>
    <x v="0"/>
  </r>
  <r>
    <s v="INC103149"/>
    <d v="2025-06-29T00:00:00"/>
    <d v="2025-06-29T21:16:12"/>
    <x v="1"/>
    <x v="2"/>
    <s v="DNS"/>
    <s v="Network Support"/>
    <s v="Mumbai"/>
    <s v="Email"/>
    <s v="In Progress"/>
    <n v="24"/>
    <n v="21.27"/>
    <n v="3.8"/>
    <s v="No"/>
    <x v="0"/>
  </r>
  <r>
    <s v="INC103150"/>
    <d v="2025-01-20T00:00:00"/>
    <d v="2025-01-22T16:33:00"/>
    <x v="0"/>
    <x v="2"/>
    <s v="Link Down"/>
    <s v="Access Management"/>
    <s v="Delhi"/>
    <s v="Portal"/>
    <s v="Closed"/>
    <n v="48"/>
    <n v="64.55"/>
    <n v="3.9"/>
    <s v="No"/>
    <x v="1"/>
  </r>
  <r>
    <s v="INC103151"/>
    <d v="2025-05-10T00:00:00"/>
    <d v="2025-05-10T02:32:24"/>
    <x v="3"/>
    <x v="1"/>
    <s v="Password Reset"/>
    <s v="Desktop Support"/>
    <s v="Gurugram"/>
    <s v="Portal"/>
    <s v="Closed"/>
    <n v="8"/>
    <n v="2.54"/>
    <n v="3.7"/>
    <s v="No"/>
    <x v="0"/>
  </r>
  <r>
    <s v="INC103152"/>
    <d v="2025-02-10T00:00:00"/>
    <d v="2025-02-10T09:19:12"/>
    <x v="1"/>
    <x v="3"/>
    <s v="Monitor"/>
    <s v="Service Desk"/>
    <s v="Delhi"/>
    <s v="Chat"/>
    <s v="Resolved"/>
    <n v="24"/>
    <n v="9.32"/>
    <n v="4.9000000000000004"/>
    <s v="No"/>
    <x v="0"/>
  </r>
  <r>
    <s v="INC103153"/>
    <d v="2025-02-05T00:00:00"/>
    <d v="2025-02-06T10:03:00"/>
    <x v="1"/>
    <x v="1"/>
    <s v="VPN Access"/>
    <s v="Service Desk"/>
    <s v="Bengaluru"/>
    <s v="Portal"/>
    <s v="Resolved"/>
    <n v="24"/>
    <n v="34.049999999999997"/>
    <n v="3"/>
    <s v="No"/>
    <x v="1"/>
  </r>
  <r>
    <s v="INC103154"/>
    <d v="2025-05-24T00:00:00"/>
    <d v="2025-05-24T21:09:00"/>
    <x v="1"/>
    <x v="2"/>
    <s v="Link Down"/>
    <s v="Network Support"/>
    <s v="Noida"/>
    <s v="Phone"/>
    <s v="Closed"/>
    <n v="24"/>
    <n v="21.15"/>
    <n v="3.9"/>
    <s v="No"/>
    <x v="0"/>
  </r>
  <r>
    <s v="INC103155"/>
    <d v="2025-01-13T00:00:00"/>
    <d v="2025-01-14T20:27:36"/>
    <x v="0"/>
    <x v="3"/>
    <s v="Printer"/>
    <s v="Access Management"/>
    <s v="Noida"/>
    <s v="Phone"/>
    <s v="Resolved"/>
    <n v="48"/>
    <n v="44.46"/>
    <n v="5"/>
    <s v="No"/>
    <x v="0"/>
  </r>
  <r>
    <s v="INC103156"/>
    <d v="2025-06-03T00:00:00"/>
    <d v="2025-06-03T21:59:24"/>
    <x v="0"/>
    <x v="2"/>
    <s v="Link Down"/>
    <s v="Network Support"/>
    <s v="Mumbai"/>
    <s v="Phone"/>
    <s v="Resolved"/>
    <n v="48"/>
    <n v="21.99"/>
    <n v="4.2"/>
    <s v="No"/>
    <x v="0"/>
  </r>
  <r>
    <s v="INC103157"/>
    <d v="2025-05-20T00:00:00"/>
    <d v="2025-05-20T03:25:12"/>
    <x v="3"/>
    <x v="0"/>
    <s v="Performance"/>
    <s v="Service Desk"/>
    <s v="Mumbai"/>
    <s v="Portal"/>
    <s v="Resolved"/>
    <n v="8"/>
    <n v="3.42"/>
    <n v="3.6"/>
    <s v="No"/>
    <x v="0"/>
  </r>
  <r>
    <s v="INC103158"/>
    <d v="2025-06-30T00:00:00"/>
    <d v="2025-06-30T03:40:48"/>
    <x v="3"/>
    <x v="1"/>
    <s v="Account Lock"/>
    <s v="Desktop Support"/>
    <s v="Delhi"/>
    <s v="Email"/>
    <s v="Closed"/>
    <n v="8"/>
    <n v="3.68"/>
    <n v="3.7"/>
    <s v="Yes"/>
    <x v="0"/>
  </r>
  <r>
    <s v="INC103159"/>
    <d v="2025-05-01T00:00:00"/>
    <d v="2025-05-01T20:07:48"/>
    <x v="0"/>
    <x v="3"/>
    <s v="Monitor"/>
    <s v="Service Desk"/>
    <s v="Hyderabad"/>
    <s v="Portal"/>
    <s v="Resolved"/>
    <n v="48"/>
    <n v="20.13"/>
    <n v="4.5999999999999996"/>
    <s v="Yes"/>
    <x v="0"/>
  </r>
  <r>
    <s v="INC103160"/>
    <d v="2025-06-07T00:00:00"/>
    <d v="2025-06-07T03:43:12"/>
    <x v="3"/>
    <x v="3"/>
    <s v="Printer"/>
    <s v="Network Support"/>
    <s v="Noida"/>
    <s v="Portal"/>
    <s v="Resolved"/>
    <n v="8"/>
    <n v="3.72"/>
    <n v="4.5"/>
    <s v="No"/>
    <x v="0"/>
  </r>
  <r>
    <s v="INC103161"/>
    <d v="2025-01-22T00:00:00"/>
    <d v="2025-01-22T19:35:24"/>
    <x v="1"/>
    <x v="2"/>
    <s v="Packet Loss"/>
    <s v="Service Desk"/>
    <s v="Mumbai"/>
    <s v="Portal"/>
    <s v="Resolved"/>
    <n v="24"/>
    <n v="19.59"/>
    <n v="4.0999999999999996"/>
    <s v="No"/>
    <x v="0"/>
  </r>
  <r>
    <s v="INC103162"/>
    <d v="2025-06-11T00:00:00"/>
    <d v="2025-06-11T19:31:48"/>
    <x v="0"/>
    <x v="0"/>
    <s v="Installation"/>
    <s v="Application Support"/>
    <s v="Bengaluru"/>
    <s v="Portal"/>
    <s v="Resolved"/>
    <n v="48"/>
    <n v="19.53"/>
    <n v="3.7"/>
    <s v="Yes"/>
    <x v="0"/>
  </r>
  <r>
    <s v="INC103163"/>
    <d v="2025-01-30T00:00:00"/>
    <d v="2025-01-30T04:50:24"/>
    <x v="1"/>
    <x v="4"/>
    <s v="Spam"/>
    <s v="Service Desk"/>
    <s v="Noida"/>
    <s v="Portal"/>
    <s v="Closed"/>
    <n v="24"/>
    <n v="4.84"/>
    <n v="5"/>
    <s v="No"/>
    <x v="0"/>
  </r>
  <r>
    <s v="INC103164"/>
    <d v="2025-02-26T00:00:00"/>
    <d v="2025-02-28T14:18:00"/>
    <x v="0"/>
    <x v="1"/>
    <s v="Password Reset"/>
    <s v="Access Management"/>
    <s v="Gurugram"/>
    <s v="Email"/>
    <s v="In Progress"/>
    <n v="48"/>
    <n v="62.3"/>
    <n v="4.4000000000000004"/>
    <s v="No"/>
    <x v="1"/>
  </r>
  <r>
    <s v="INC103165"/>
    <d v="2025-01-24T00:00:00"/>
    <d v="2025-01-24T15:06:00"/>
    <x v="0"/>
    <x v="2"/>
    <s v="Packet Loss"/>
    <s v="Service Desk"/>
    <s v="Gurugram"/>
    <s v="Portal"/>
    <s v="Resolved"/>
    <n v="48"/>
    <n v="15.1"/>
    <n v="4.7"/>
    <s v="No"/>
    <x v="0"/>
  </r>
  <r>
    <s v="INC103166"/>
    <d v="2025-03-14T00:00:00"/>
    <d v="2025-03-14T09:18:36"/>
    <x v="1"/>
    <x v="0"/>
    <s v="Installation"/>
    <s v="Network Support"/>
    <s v="Mumbai"/>
    <s v="Portal"/>
    <s v="Resolved"/>
    <n v="24"/>
    <n v="9.31"/>
    <n v="3.5"/>
    <s v="No"/>
    <x v="0"/>
  </r>
  <r>
    <s v="INC103167"/>
    <d v="2025-05-16T00:00:00"/>
    <d v="2025-05-16T06:48:36"/>
    <x v="0"/>
    <x v="3"/>
    <s v="Printer"/>
    <s v="Network Support"/>
    <s v="Gurugram"/>
    <s v="Portal"/>
    <s v="In Progress"/>
    <n v="48"/>
    <n v="6.81"/>
    <n v="5"/>
    <s v="No"/>
    <x v="0"/>
  </r>
  <r>
    <s v="INC103168"/>
    <d v="2025-02-18T00:00:00"/>
    <d v="2025-02-18T05:20:24"/>
    <x v="3"/>
    <x v="2"/>
    <s v="Link Down"/>
    <s v="Access Management"/>
    <s v="Gurugram"/>
    <s v="Email"/>
    <s v="Closed"/>
    <n v="8"/>
    <n v="5.34"/>
    <n v="4.9000000000000004"/>
    <s v="No"/>
    <x v="0"/>
  </r>
  <r>
    <s v="INC103169"/>
    <d v="2025-05-29T00:00:00"/>
    <d v="2025-05-29T07:19:12"/>
    <x v="1"/>
    <x v="2"/>
    <s v="DNS"/>
    <s v="Desktop Support"/>
    <s v="Delhi"/>
    <s v="Portal"/>
    <s v="Closed"/>
    <n v="24"/>
    <n v="7.32"/>
    <n v="4.7"/>
    <s v="No"/>
    <x v="0"/>
  </r>
  <r>
    <s v="INC103170"/>
    <d v="2025-04-20T00:00:00"/>
    <d v="2025-04-20T01:33:00"/>
    <x v="3"/>
    <x v="2"/>
    <s v="Packet Loss"/>
    <s v="Access Management"/>
    <s v="Hyderabad"/>
    <s v="Phone"/>
    <s v="Resolved"/>
    <n v="8"/>
    <n v="1.55"/>
    <n v="5"/>
    <s v="No"/>
    <x v="0"/>
  </r>
  <r>
    <s v="INC103171"/>
    <d v="2025-04-24T00:00:00"/>
    <d v="2025-04-25T01:07:48"/>
    <x v="1"/>
    <x v="2"/>
    <s v="Link Down"/>
    <s v="Application Support"/>
    <s v="Noida"/>
    <s v="Portal"/>
    <s v="Resolved"/>
    <n v="24"/>
    <n v="25.13"/>
    <n v="3.4"/>
    <s v="No"/>
    <x v="1"/>
  </r>
  <r>
    <s v="INC103172"/>
    <d v="2025-06-19T00:00:00"/>
    <d v="2025-06-19T13:33:00"/>
    <x v="3"/>
    <x v="1"/>
    <s v="Account Lock"/>
    <s v="Network Support"/>
    <s v="Noida"/>
    <s v="Email"/>
    <s v="Pending"/>
    <n v="8"/>
    <n v="13.55"/>
    <n v="2.2999999999999998"/>
    <s v="No"/>
    <x v="1"/>
  </r>
  <r>
    <s v="INC103173"/>
    <d v="2025-03-20T00:00:00"/>
    <d v="2025-03-20T08:18:36"/>
    <x v="1"/>
    <x v="3"/>
    <s v="Printer"/>
    <s v="Service Desk"/>
    <s v="Noida"/>
    <s v="Phone"/>
    <s v="Resolved"/>
    <n v="24"/>
    <n v="8.31"/>
    <n v="4.7"/>
    <s v="No"/>
    <x v="0"/>
  </r>
  <r>
    <s v="INC103174"/>
    <d v="2025-03-04T00:00:00"/>
    <d v="2025-03-04T21:20:24"/>
    <x v="1"/>
    <x v="1"/>
    <s v="Password Reset"/>
    <s v="Application Support"/>
    <s v="Bengaluru"/>
    <s v="Email"/>
    <s v="Resolved"/>
    <n v="24"/>
    <n v="21.34"/>
    <n v="2.9"/>
    <s v="No"/>
    <x v="0"/>
  </r>
  <r>
    <s v="INC103175"/>
    <d v="2025-06-30T00:00:00"/>
    <d v="2025-06-30T16:55:48"/>
    <x v="1"/>
    <x v="4"/>
    <s v="Mailbox"/>
    <s v="Network Support"/>
    <s v="Noida"/>
    <s v="Email"/>
    <s v="Closed"/>
    <n v="24"/>
    <n v="16.93"/>
    <n v="3.4"/>
    <s v="No"/>
    <x v="0"/>
  </r>
  <r>
    <s v="INC103176"/>
    <d v="2025-04-11T00:00:00"/>
    <d v="2025-04-11T04:54:36"/>
    <x v="3"/>
    <x v="0"/>
    <s v="Application Error"/>
    <s v="Access Management"/>
    <s v="Bengaluru"/>
    <s v="Chat"/>
    <s v="Closed"/>
    <n v="8"/>
    <n v="4.91"/>
    <n v="4.5999999999999996"/>
    <s v="No"/>
    <x v="0"/>
  </r>
  <r>
    <s v="INC103177"/>
    <d v="2025-04-22T00:00:00"/>
    <d v="2025-04-22T08:54:36"/>
    <x v="0"/>
    <x v="0"/>
    <s v="Installation"/>
    <s v="Network Support"/>
    <s v="Gurugram"/>
    <s v="Portal"/>
    <s v="Resolved"/>
    <n v="48"/>
    <n v="8.91"/>
    <n v="4.9000000000000004"/>
    <s v="No"/>
    <x v="0"/>
  </r>
  <r>
    <s v="INC103178"/>
    <d v="2025-02-23T00:00:00"/>
    <d v="2025-02-23T15:47:24"/>
    <x v="1"/>
    <x v="1"/>
    <s v="Account Lock"/>
    <s v="Application Support"/>
    <s v="Gurugram"/>
    <s v="Portal"/>
    <s v="Pending"/>
    <n v="24"/>
    <n v="15.79"/>
    <n v="3.3"/>
    <s v="No"/>
    <x v="0"/>
  </r>
  <r>
    <s v="INC103179"/>
    <d v="2025-02-08T00:00:00"/>
    <d v="2025-02-08T07:19:48"/>
    <x v="3"/>
    <x v="2"/>
    <s v="Link Down"/>
    <s v="Access Management"/>
    <s v="Hyderabad"/>
    <s v="Chat"/>
    <s v="Resolved"/>
    <n v="8"/>
    <n v="7.33"/>
    <n v="3.6"/>
    <s v="No"/>
    <x v="0"/>
  </r>
  <r>
    <s v="INC103180"/>
    <d v="2025-01-31T00:00:00"/>
    <d v="2025-02-02T00:15:36"/>
    <x v="1"/>
    <x v="3"/>
    <s v="Laptop"/>
    <s v="Desktop Support"/>
    <s v="Noida"/>
    <s v="Phone"/>
    <s v="Resolved"/>
    <n v="24"/>
    <n v="48.26"/>
    <n v="1.7"/>
    <s v="No"/>
    <x v="1"/>
  </r>
  <r>
    <s v="INC103181"/>
    <d v="2025-02-10T00:00:00"/>
    <d v="2025-02-10T00:33:00"/>
    <x v="3"/>
    <x v="0"/>
    <s v="Installation"/>
    <s v="Access Management"/>
    <s v="Hyderabad"/>
    <s v="Email"/>
    <s v="Resolved"/>
    <n v="8"/>
    <n v="0.55000000000000004"/>
    <n v="4.5999999999999996"/>
    <s v="Yes"/>
    <x v="0"/>
  </r>
  <r>
    <s v="INC103182"/>
    <d v="2025-02-05T00:00:00"/>
    <d v="2025-02-05T21:09:00"/>
    <x v="1"/>
    <x v="1"/>
    <s v="Account Lock"/>
    <s v="Access Management"/>
    <s v="Hyderabad"/>
    <s v="Portal"/>
    <s v="Resolved"/>
    <n v="24"/>
    <n v="21.15"/>
    <n v="3.6"/>
    <s v="No"/>
    <x v="0"/>
  </r>
  <r>
    <s v="INC103183"/>
    <d v="2025-05-16T00:00:00"/>
    <d v="2025-05-17T05:24:00"/>
    <x v="0"/>
    <x v="1"/>
    <s v="Account Lock"/>
    <s v="Application Support"/>
    <s v="Mumbai"/>
    <s v="Portal"/>
    <s v="Resolved"/>
    <n v="48"/>
    <n v="29.4"/>
    <n v="4.9000000000000004"/>
    <s v="No"/>
    <x v="0"/>
  </r>
  <r>
    <s v="INC103184"/>
    <d v="2025-01-11T00:00:00"/>
    <d v="2025-01-11T11:15:00"/>
    <x v="1"/>
    <x v="1"/>
    <s v="Permission"/>
    <s v="Application Support"/>
    <s v="Bengaluru"/>
    <s v="Phone"/>
    <s v="Resolved"/>
    <n v="24"/>
    <n v="11.25"/>
    <n v="4.3"/>
    <s v="No"/>
    <x v="0"/>
  </r>
  <r>
    <s v="INC103185"/>
    <d v="2025-04-24T00:00:00"/>
    <d v="2025-04-25T07:21:00"/>
    <x v="1"/>
    <x v="0"/>
    <s v="Installation"/>
    <s v="Service Desk"/>
    <s v="Hyderabad"/>
    <s v="Email"/>
    <s v="Resolved"/>
    <n v="24"/>
    <n v="31.35"/>
    <n v="3.3"/>
    <s v="No"/>
    <x v="1"/>
  </r>
  <r>
    <s v="INC103186"/>
    <d v="2025-06-21T00:00:00"/>
    <d v="2025-06-21T16:21:00"/>
    <x v="0"/>
    <x v="0"/>
    <s v="License"/>
    <s v="Service Desk"/>
    <s v="Delhi"/>
    <s v="Portal"/>
    <s v="Resolved"/>
    <n v="48"/>
    <n v="16.350000000000001"/>
    <n v="4.3"/>
    <s v="No"/>
    <x v="0"/>
  </r>
  <r>
    <s v="INC103187"/>
    <d v="2025-05-19T00:00:00"/>
    <d v="2025-05-22T08:10:12"/>
    <x v="0"/>
    <x v="1"/>
    <s v="VPN Access"/>
    <s v="Access Management"/>
    <s v="Noida"/>
    <s v="Portal"/>
    <s v="Resolved"/>
    <n v="48"/>
    <n v="80.17"/>
    <n v="1.9"/>
    <s v="No"/>
    <x v="1"/>
  </r>
  <r>
    <s v="INC103188"/>
    <d v="2025-03-14T00:00:00"/>
    <d v="2025-03-14T02:49:12"/>
    <x v="0"/>
    <x v="1"/>
    <s v="Permission"/>
    <s v="Service Desk"/>
    <s v="Mumbai"/>
    <s v="Phone"/>
    <s v="Pending"/>
    <n v="48"/>
    <n v="2.82"/>
    <n v="4.9000000000000004"/>
    <s v="No"/>
    <x v="0"/>
  </r>
  <r>
    <s v="INC103189"/>
    <d v="2025-01-11T00:00:00"/>
    <d v="2025-01-11T03:19:12"/>
    <x v="3"/>
    <x v="0"/>
    <s v="Performance"/>
    <s v="Desktop Support"/>
    <s v="Delhi"/>
    <s v="Email"/>
    <s v="Resolved"/>
    <n v="8"/>
    <n v="3.32"/>
    <n v="4.8"/>
    <s v="No"/>
    <x v="0"/>
  </r>
  <r>
    <s v="INC103190"/>
    <d v="2025-05-31T00:00:00"/>
    <d v="2025-05-31T08:29:24"/>
    <x v="3"/>
    <x v="4"/>
    <s v="Mailbox"/>
    <s v="Desktop Support"/>
    <s v="Gurugram"/>
    <s v="Chat"/>
    <s v="In Progress"/>
    <n v="8"/>
    <n v="8.49"/>
    <n v="3.9"/>
    <s v="No"/>
    <x v="1"/>
  </r>
  <r>
    <s v="INC103191"/>
    <d v="2025-01-01T00:00:00"/>
    <d v="2025-01-01T15:17:23"/>
    <x v="1"/>
    <x v="1"/>
    <s v="Permission"/>
    <s v="Service Desk"/>
    <s v="Delhi"/>
    <s v="Portal"/>
    <s v="Resolved"/>
    <n v="24"/>
    <n v="15.29"/>
    <n v="4.7"/>
    <s v="No"/>
    <x v="0"/>
  </r>
  <r>
    <s v="INC103192"/>
    <d v="2025-05-04T00:00:00"/>
    <d v="2025-05-04T14:37:48"/>
    <x v="0"/>
    <x v="0"/>
    <s v="Installation"/>
    <s v="Service Desk"/>
    <s v="Noida"/>
    <s v="Portal"/>
    <s v="Resolved"/>
    <n v="48"/>
    <n v="14.63"/>
    <n v="5"/>
    <s v="No"/>
    <x v="0"/>
  </r>
  <r>
    <s v="INC103193"/>
    <d v="2025-05-02T00:00:00"/>
    <d v="2025-05-02T08:34:47"/>
    <x v="1"/>
    <x v="2"/>
    <s v="Link Down"/>
    <s v="Desktop Support"/>
    <s v="Bengaluru"/>
    <s v="Portal"/>
    <s v="Resolved"/>
    <n v="24"/>
    <n v="8.58"/>
    <n v="5"/>
    <s v="No"/>
    <x v="0"/>
  </r>
  <r>
    <s v="INC103194"/>
    <d v="2025-02-04T00:00:00"/>
    <d v="2025-02-04T06:14:24"/>
    <x v="3"/>
    <x v="2"/>
    <s v="DNS"/>
    <s v="Service Desk"/>
    <s v="Noida"/>
    <s v="Email"/>
    <s v="Pending"/>
    <n v="8"/>
    <n v="6.24"/>
    <n v="3.3"/>
    <s v="No"/>
    <x v="0"/>
  </r>
  <r>
    <s v="INC103195"/>
    <d v="2025-05-14T00:00:00"/>
    <d v="2025-05-14T02:10:12"/>
    <x v="3"/>
    <x v="1"/>
    <s v="Password Reset"/>
    <s v="Access Management"/>
    <s v="Delhi"/>
    <s v="Portal"/>
    <s v="Resolved"/>
    <n v="8"/>
    <n v="2.17"/>
    <n v="4.8"/>
    <s v="No"/>
    <x v="0"/>
  </r>
  <r>
    <s v="INC103196"/>
    <d v="2025-02-01T00:00:00"/>
    <d v="2025-02-03T21:12:36"/>
    <x v="0"/>
    <x v="2"/>
    <s v="Link Down"/>
    <s v="Network Support"/>
    <s v="Noida"/>
    <s v="Portal"/>
    <s v="Resolved"/>
    <n v="48"/>
    <n v="69.209999999999994"/>
    <n v="3.5"/>
    <s v="No"/>
    <x v="1"/>
  </r>
  <r>
    <s v="INC103197"/>
    <d v="2025-02-10T00:00:00"/>
    <d v="2025-02-11T00:55:48"/>
    <x v="0"/>
    <x v="3"/>
    <s v="Peripheral"/>
    <s v="Service Desk"/>
    <s v="Hyderabad"/>
    <s v="Portal"/>
    <s v="Resolved"/>
    <n v="48"/>
    <n v="24.93"/>
    <n v="4.2"/>
    <s v="No"/>
    <x v="0"/>
  </r>
  <r>
    <s v="INC103198"/>
    <d v="2025-05-27T00:00:00"/>
    <d v="2025-05-27T03:51:00"/>
    <x v="3"/>
    <x v="0"/>
    <s v="License"/>
    <s v="Access Management"/>
    <s v="Delhi"/>
    <s v="Portal"/>
    <s v="Closed"/>
    <n v="8"/>
    <n v="3.85"/>
    <n v="4"/>
    <s v="No"/>
    <x v="0"/>
  </r>
  <r>
    <s v="INC103199"/>
    <d v="2025-06-27T00:00:00"/>
    <d v="2025-06-27T05:43:48"/>
    <x v="3"/>
    <x v="1"/>
    <s v="Permission"/>
    <s v="Desktop Support"/>
    <s v="Mumbai"/>
    <s v="Phone"/>
    <s v="Resolved"/>
    <n v="8"/>
    <n v="5.73"/>
    <n v="4.5"/>
    <s v="Yes"/>
    <x v="0"/>
  </r>
  <r>
    <s v="INC103200"/>
    <d v="2025-02-17T00:00:00"/>
    <d v="2025-02-17T06:52:12"/>
    <x v="0"/>
    <x v="1"/>
    <s v="Permission"/>
    <s v="Application Support"/>
    <s v="Gurugram"/>
    <s v="Portal"/>
    <s v="Resolved"/>
    <n v="48"/>
    <n v="6.87"/>
    <n v="5"/>
    <s v="No"/>
    <x v="0"/>
  </r>
  <r>
    <s v="INC103201"/>
    <d v="2025-06-16T00:00:00"/>
    <d v="2025-06-16T05:07:12"/>
    <x v="3"/>
    <x v="1"/>
    <s v="VPN Access"/>
    <s v="Application Support"/>
    <s v="Delhi"/>
    <s v="Email"/>
    <s v="Resolved"/>
    <n v="8"/>
    <n v="5.12"/>
    <n v="3.5"/>
    <s v="No"/>
    <x v="0"/>
  </r>
  <r>
    <s v="INC103202"/>
    <d v="2025-06-15T00:00:00"/>
    <d v="2025-06-19T10:14:24"/>
    <x v="0"/>
    <x v="3"/>
    <s v="Laptop"/>
    <s v="Service Desk"/>
    <s v="Delhi"/>
    <s v="Email"/>
    <s v="In Progress"/>
    <n v="48"/>
    <n v="106.24"/>
    <n v="1.2"/>
    <s v="No"/>
    <x v="1"/>
  </r>
  <r>
    <s v="INC103203"/>
    <d v="2025-05-20T00:00:00"/>
    <d v="2025-05-21T00:21:36"/>
    <x v="0"/>
    <x v="2"/>
    <s v="Link Down"/>
    <s v="Application Support"/>
    <s v="Delhi"/>
    <s v="Portal"/>
    <s v="In Progress"/>
    <n v="48"/>
    <n v="24.36"/>
    <n v="4.0999999999999996"/>
    <s v="Yes"/>
    <x v="0"/>
  </r>
  <r>
    <s v="INC103204"/>
    <d v="2025-01-26T00:00:00"/>
    <d v="2025-01-26T04:58:48"/>
    <x v="3"/>
    <x v="0"/>
    <s v="Application Error"/>
    <s v="Service Desk"/>
    <s v="Noida"/>
    <s v="Email"/>
    <s v="Pending"/>
    <n v="8"/>
    <n v="4.9800000000000004"/>
    <n v="3.8"/>
    <s v="No"/>
    <x v="0"/>
  </r>
  <r>
    <s v="INC103205"/>
    <d v="2025-02-24T00:00:00"/>
    <d v="2025-02-24T23:03:00"/>
    <x v="1"/>
    <x v="2"/>
    <s v="Link Down"/>
    <s v="Application Support"/>
    <s v="Noida"/>
    <s v="Phone"/>
    <s v="Resolved"/>
    <n v="24"/>
    <n v="23.05"/>
    <n v="4.2"/>
    <s v="No"/>
    <x v="0"/>
  </r>
  <r>
    <s v="INC103206"/>
    <d v="2025-05-03T00:00:00"/>
    <d v="2025-05-04T10:00:36"/>
    <x v="1"/>
    <x v="0"/>
    <s v="License"/>
    <s v="Network Support"/>
    <s v="Bengaluru"/>
    <s v="Email"/>
    <s v="Resolved"/>
    <n v="24"/>
    <n v="34.01"/>
    <n v="2.7"/>
    <s v="No"/>
    <x v="1"/>
  </r>
  <r>
    <s v="INC103207"/>
    <d v="2025-06-30T00:00:00"/>
    <d v="2025-06-30T05:04:12"/>
    <x v="3"/>
    <x v="4"/>
    <s v="Delivery"/>
    <s v="Application Support"/>
    <s v="Delhi"/>
    <s v="Email"/>
    <s v="Resolved"/>
    <n v="8"/>
    <n v="5.07"/>
    <n v="4.0999999999999996"/>
    <s v="No"/>
    <x v="0"/>
  </r>
  <r>
    <s v="INC103208"/>
    <d v="2025-05-28T00:00:00"/>
    <d v="2025-05-28T03:42:00"/>
    <x v="3"/>
    <x v="0"/>
    <s v="License"/>
    <s v="Network Support"/>
    <s v="Bengaluru"/>
    <s v="Phone"/>
    <s v="In Progress"/>
    <n v="8"/>
    <n v="3.7"/>
    <n v="3.3"/>
    <s v="No"/>
    <x v="0"/>
  </r>
  <r>
    <s v="INC103209"/>
    <d v="2025-03-18T00:00:00"/>
    <d v="2025-03-20T01:41:24"/>
    <x v="0"/>
    <x v="0"/>
    <s v="Performance"/>
    <s v="Access Management"/>
    <s v="Mumbai"/>
    <s v="Chat"/>
    <s v="Closed"/>
    <n v="48"/>
    <n v="49.69"/>
    <n v="2.7"/>
    <s v="No"/>
    <x v="1"/>
  </r>
  <r>
    <s v="INC103210"/>
    <d v="2025-02-12T00:00:00"/>
    <d v="2025-02-12T06:25:48"/>
    <x v="1"/>
    <x v="0"/>
    <s v="License"/>
    <s v="Application Support"/>
    <s v="Delhi"/>
    <s v="Phone"/>
    <s v="Closed"/>
    <n v="24"/>
    <n v="6.43"/>
    <n v="4.2"/>
    <s v="No"/>
    <x v="0"/>
  </r>
  <r>
    <s v="INC103211"/>
    <d v="2025-06-23T00:00:00"/>
    <d v="2025-06-23T11:08:24"/>
    <x v="3"/>
    <x v="1"/>
    <s v="Password Reset"/>
    <s v="Network Support"/>
    <s v="Mumbai"/>
    <s v="Portal"/>
    <s v="Resolved"/>
    <n v="8"/>
    <n v="11.14"/>
    <n v="3.2"/>
    <s v="No"/>
    <x v="1"/>
  </r>
  <r>
    <s v="INC103212"/>
    <d v="2025-02-19T00:00:00"/>
    <d v="2025-02-20T03:14:24"/>
    <x v="1"/>
    <x v="3"/>
    <s v="Monitor"/>
    <s v="Network Support"/>
    <s v="Delhi"/>
    <s v="Email"/>
    <s v="Resolved"/>
    <n v="24"/>
    <n v="27.24"/>
    <n v="3.1"/>
    <s v="No"/>
    <x v="1"/>
  </r>
  <r>
    <s v="INC103213"/>
    <d v="2025-03-03T00:00:00"/>
    <d v="2025-03-03T04:03:36"/>
    <x v="2"/>
    <x v="0"/>
    <s v="Installation"/>
    <s v="Network Support"/>
    <s v="Noida"/>
    <s v="Email"/>
    <s v="Resolved"/>
    <n v="4"/>
    <n v="4.0599999999999996"/>
    <n v="3.9"/>
    <s v="No"/>
    <x v="1"/>
  </r>
  <r>
    <s v="INC103214"/>
    <d v="2025-06-24T00:00:00"/>
    <d v="2025-06-24T17:45:00"/>
    <x v="1"/>
    <x v="2"/>
    <s v="DNS"/>
    <s v="Access Management"/>
    <s v="Bengaluru"/>
    <s v="Portal"/>
    <s v="Resolved"/>
    <n v="24"/>
    <n v="17.75"/>
    <n v="3"/>
    <s v="No"/>
    <x v="0"/>
  </r>
  <r>
    <s v="INC103215"/>
    <d v="2025-04-12T00:00:00"/>
    <d v="2025-04-13T17:45:00"/>
    <x v="0"/>
    <x v="0"/>
    <s v="Performance"/>
    <s v="Desktop Support"/>
    <s v="Hyderabad"/>
    <s v="Portal"/>
    <s v="Resolved"/>
    <n v="48"/>
    <n v="41.75"/>
    <n v="3.8"/>
    <s v="No"/>
    <x v="0"/>
  </r>
  <r>
    <s v="INC103216"/>
    <d v="2025-02-17T00:00:00"/>
    <d v="2025-02-18T17:43:12"/>
    <x v="0"/>
    <x v="3"/>
    <s v="Laptop"/>
    <s v="Service Desk"/>
    <s v="Bengaluru"/>
    <s v="Phone"/>
    <s v="Resolved"/>
    <n v="48"/>
    <n v="41.72"/>
    <n v="3.8"/>
    <s v="No"/>
    <x v="0"/>
  </r>
  <r>
    <s v="INC103217"/>
    <d v="2025-01-01T00:00:00"/>
    <d v="2025-01-01T05:28:48"/>
    <x v="3"/>
    <x v="0"/>
    <s v="Application Error"/>
    <s v="Service Desk"/>
    <s v="Noida"/>
    <s v="Portal"/>
    <s v="Resolved"/>
    <n v="8"/>
    <n v="5.48"/>
    <n v="3.2"/>
    <s v="No"/>
    <x v="0"/>
  </r>
  <r>
    <s v="INC103218"/>
    <d v="2025-03-19T00:00:00"/>
    <d v="2025-03-19T01:22:12"/>
    <x v="2"/>
    <x v="1"/>
    <s v="Account Lock"/>
    <s v="Network Support"/>
    <s v="Hyderabad"/>
    <s v="Phone"/>
    <s v="Resolved"/>
    <n v="4"/>
    <n v="1.37"/>
    <n v="4.7"/>
    <s v="No"/>
    <x v="0"/>
  </r>
  <r>
    <s v="INC103219"/>
    <d v="2025-06-28T00:00:00"/>
    <d v="2025-06-29T18:38:24"/>
    <x v="0"/>
    <x v="2"/>
    <s v="Connectivity"/>
    <s v="Service Desk"/>
    <s v="Gurugram"/>
    <s v="Chat"/>
    <s v="Pending"/>
    <n v="48"/>
    <n v="42.64"/>
    <n v="2.5"/>
    <s v="No"/>
    <x v="0"/>
  </r>
  <r>
    <s v="INC103220"/>
    <d v="2025-03-20T00:00:00"/>
    <d v="2025-03-20T08:41:24"/>
    <x v="0"/>
    <x v="0"/>
    <s v="Performance"/>
    <s v="Access Management"/>
    <s v="Gurugram"/>
    <s v="Portal"/>
    <s v="Pending"/>
    <n v="48"/>
    <n v="8.69"/>
    <n v="4.3"/>
    <s v="No"/>
    <x v="0"/>
  </r>
  <r>
    <s v="INC103221"/>
    <d v="2025-05-07T00:00:00"/>
    <d v="2025-05-07T01:45:00"/>
    <x v="3"/>
    <x v="2"/>
    <s v="DNS"/>
    <s v="Desktop Support"/>
    <s v="Noida"/>
    <s v="Portal"/>
    <s v="Closed"/>
    <n v="8"/>
    <n v="1.75"/>
    <n v="5"/>
    <s v="No"/>
    <x v="0"/>
  </r>
  <r>
    <s v="INC103222"/>
    <d v="2025-02-15T00:00:00"/>
    <d v="2025-02-17T21:16:12"/>
    <x v="0"/>
    <x v="2"/>
    <s v="DNS"/>
    <s v="Service Desk"/>
    <s v="Delhi"/>
    <s v="Chat"/>
    <s v="Closed"/>
    <n v="48"/>
    <n v="69.27"/>
    <n v="1.8"/>
    <s v="No"/>
    <x v="1"/>
  </r>
  <r>
    <s v="INC103223"/>
    <d v="2025-05-21T00:00:00"/>
    <d v="2025-05-21T10:14:24"/>
    <x v="0"/>
    <x v="2"/>
    <s v="Connectivity"/>
    <s v="Network Support"/>
    <s v="Delhi"/>
    <s v="Portal"/>
    <s v="Resolved"/>
    <n v="48"/>
    <n v="10.24"/>
    <n v="5"/>
    <s v="No"/>
    <x v="0"/>
  </r>
  <r>
    <s v="INC103224"/>
    <d v="2025-05-21T00:00:00"/>
    <d v="2025-05-21T09:49:12"/>
    <x v="3"/>
    <x v="2"/>
    <s v="Link Down"/>
    <s v="Service Desk"/>
    <s v="Noida"/>
    <s v="Phone"/>
    <s v="Resolved"/>
    <n v="8"/>
    <n v="9.82"/>
    <n v="2.8"/>
    <s v="No"/>
    <x v="1"/>
  </r>
  <r>
    <s v="INC103225"/>
    <d v="2025-04-21T00:00:00"/>
    <d v="2025-04-21T01:39:00"/>
    <x v="3"/>
    <x v="4"/>
    <s v="Delivery"/>
    <s v="Service Desk"/>
    <s v="Delhi"/>
    <s v="Portal"/>
    <s v="Resolved"/>
    <n v="8"/>
    <n v="1.65"/>
    <n v="4.4000000000000004"/>
    <s v="No"/>
    <x v="0"/>
  </r>
  <r>
    <s v="INC103226"/>
    <d v="2025-05-20T00:00:00"/>
    <d v="2025-05-20T03:53:24"/>
    <x v="3"/>
    <x v="4"/>
    <s v="Spam"/>
    <s v="Network Support"/>
    <s v="Bengaluru"/>
    <s v="Portal"/>
    <s v="Resolved"/>
    <n v="8"/>
    <n v="3.89"/>
    <n v="5"/>
    <s v="No"/>
    <x v="0"/>
  </r>
  <r>
    <s v="INC103227"/>
    <d v="2025-04-15T00:00:00"/>
    <d v="2025-04-15T12:39:00"/>
    <x v="1"/>
    <x v="0"/>
    <s v="Installation"/>
    <s v="Application Support"/>
    <s v="Bengaluru"/>
    <s v="Portal"/>
    <s v="Closed"/>
    <n v="24"/>
    <n v="12.65"/>
    <n v="4"/>
    <s v="No"/>
    <x v="0"/>
  </r>
  <r>
    <s v="INC103228"/>
    <d v="2025-03-10T00:00:00"/>
    <d v="2025-03-10T03:09:00"/>
    <x v="1"/>
    <x v="0"/>
    <s v="Application Error"/>
    <s v="Application Support"/>
    <s v="Noida"/>
    <s v="Portal"/>
    <s v="Resolved"/>
    <n v="24"/>
    <n v="3.15"/>
    <n v="5"/>
    <s v="No"/>
    <x v="0"/>
  </r>
  <r>
    <s v="INC103229"/>
    <d v="2025-05-14T00:00:00"/>
    <d v="2025-05-14T06:30:36"/>
    <x v="3"/>
    <x v="1"/>
    <s v="Password Reset"/>
    <s v="Access Management"/>
    <s v="Noida"/>
    <s v="Chat"/>
    <s v="Pending"/>
    <n v="8"/>
    <n v="6.51"/>
    <n v="3.8"/>
    <s v="No"/>
    <x v="0"/>
  </r>
  <r>
    <s v="INC103230"/>
    <d v="2025-06-01T00:00:00"/>
    <d v="2025-06-01T07:29:24"/>
    <x v="0"/>
    <x v="4"/>
    <s v="Spam"/>
    <s v="Service Desk"/>
    <s v="Delhi"/>
    <s v="Portal"/>
    <s v="Closed"/>
    <n v="48"/>
    <n v="7.49"/>
    <n v="4.8"/>
    <s v="No"/>
    <x v="0"/>
  </r>
  <r>
    <s v="INC103231"/>
    <d v="2025-06-02T00:00:00"/>
    <d v="2025-06-02T08:00:00"/>
    <x v="0"/>
    <x v="0"/>
    <s v="Application Error"/>
    <s v="Service Desk"/>
    <s v="Noida"/>
    <s v="Portal"/>
    <s v="Resolved"/>
    <n v="48"/>
    <n v="8"/>
    <n v="5"/>
    <s v="No"/>
    <x v="0"/>
  </r>
  <r>
    <s v="INC103232"/>
    <d v="2025-02-08T00:00:00"/>
    <d v="2025-02-08T01:11:24"/>
    <x v="3"/>
    <x v="2"/>
    <s v="Connectivity"/>
    <s v="Access Management"/>
    <s v="Delhi"/>
    <s v="Email"/>
    <s v="Closed"/>
    <n v="8"/>
    <n v="1.19"/>
    <n v="5"/>
    <s v="No"/>
    <x v="0"/>
  </r>
  <r>
    <s v="INC103233"/>
    <d v="2025-05-03T00:00:00"/>
    <d v="2025-05-03T01:22:48"/>
    <x v="1"/>
    <x v="0"/>
    <s v="Performance"/>
    <s v="Service Desk"/>
    <s v="Noida"/>
    <s v="Chat"/>
    <s v="Closed"/>
    <n v="24"/>
    <n v="1.38"/>
    <n v="5"/>
    <s v="No"/>
    <x v="0"/>
  </r>
  <r>
    <s v="INC103234"/>
    <d v="2025-01-01T00:00:00"/>
    <d v="2025-01-01T08:00:00"/>
    <x v="3"/>
    <x v="4"/>
    <s v="Configuration"/>
    <s v="Application Support"/>
    <s v="Mumbai"/>
    <s v="Portal"/>
    <s v="Resolved"/>
    <n v="8"/>
    <n v="8"/>
    <n v="3.5"/>
    <s v="No"/>
    <x v="0"/>
  </r>
  <r>
    <s v="INC103235"/>
    <d v="2025-04-14T00:00:00"/>
    <d v="2025-04-14T17:03:00"/>
    <x v="0"/>
    <x v="2"/>
    <s v="Packet Loss"/>
    <s v="Application Support"/>
    <s v="Hyderabad"/>
    <s v="Phone"/>
    <s v="Resolved"/>
    <n v="48"/>
    <n v="17.05"/>
    <n v="3.6"/>
    <s v="No"/>
    <x v="0"/>
  </r>
  <r>
    <s v="INC103236"/>
    <d v="2025-04-14T00:00:00"/>
    <d v="2025-04-14T01:43:48"/>
    <x v="2"/>
    <x v="3"/>
    <s v="Laptop"/>
    <s v="Access Management"/>
    <s v="Gurugram"/>
    <s v="Portal"/>
    <s v="Resolved"/>
    <n v="4"/>
    <n v="1.73"/>
    <n v="3.5"/>
    <s v="No"/>
    <x v="0"/>
  </r>
  <r>
    <s v="INC103237"/>
    <d v="2025-03-07T00:00:00"/>
    <d v="2025-03-07T11:33:36"/>
    <x v="1"/>
    <x v="3"/>
    <s v="Peripheral"/>
    <s v="Service Desk"/>
    <s v="Gurugram"/>
    <s v="Phone"/>
    <s v="Resolved"/>
    <n v="24"/>
    <n v="11.56"/>
    <n v="5"/>
    <s v="No"/>
    <x v="0"/>
  </r>
  <r>
    <s v="INC103238"/>
    <d v="2025-06-29T00:00:00"/>
    <d v="2025-06-29T08:52:12"/>
    <x v="1"/>
    <x v="3"/>
    <s v="Printer"/>
    <s v="Application Support"/>
    <s v="Mumbai"/>
    <s v="Phone"/>
    <s v="Closed"/>
    <n v="24"/>
    <n v="8.8699999999999992"/>
    <n v="5"/>
    <s v="No"/>
    <x v="0"/>
  </r>
  <r>
    <s v="INC103239"/>
    <d v="2025-06-09T00:00:00"/>
    <d v="2025-06-09T01:34:47"/>
    <x v="3"/>
    <x v="1"/>
    <s v="Account Lock"/>
    <s v="Network Support"/>
    <s v="Hyderabad"/>
    <s v="Phone"/>
    <s v="Resolved"/>
    <n v="8"/>
    <n v="1.58"/>
    <n v="4.8"/>
    <s v="No"/>
    <x v="0"/>
  </r>
  <r>
    <s v="INC103240"/>
    <d v="2025-01-07T00:00:00"/>
    <d v="2025-01-07T08:04:12"/>
    <x v="1"/>
    <x v="3"/>
    <s v="Monitor"/>
    <s v="Application Support"/>
    <s v="Gurugram"/>
    <s v="Email"/>
    <s v="In Progress"/>
    <n v="24"/>
    <n v="8.07"/>
    <n v="3.4"/>
    <s v="No"/>
    <x v="0"/>
  </r>
  <r>
    <s v="INC103241"/>
    <d v="2025-02-07T00:00:00"/>
    <d v="2025-02-07T11:29:24"/>
    <x v="1"/>
    <x v="4"/>
    <s v="Configuration"/>
    <s v="Network Support"/>
    <s v="Hyderabad"/>
    <s v="Chat"/>
    <s v="Resolved"/>
    <n v="24"/>
    <n v="11.49"/>
    <n v="3.9"/>
    <s v="No"/>
    <x v="0"/>
  </r>
  <r>
    <s v="INC103242"/>
    <d v="2025-02-07T00:00:00"/>
    <d v="2025-02-07T04:27:36"/>
    <x v="1"/>
    <x v="1"/>
    <s v="Account Lock"/>
    <s v="Application Support"/>
    <s v="Gurugram"/>
    <s v="Portal"/>
    <s v="Pending"/>
    <n v="24"/>
    <n v="4.46"/>
    <n v="4.2"/>
    <s v="No"/>
    <x v="0"/>
  </r>
  <r>
    <s v="INC103243"/>
    <d v="2025-06-12T00:00:00"/>
    <d v="2025-06-12T02:46:48"/>
    <x v="3"/>
    <x v="2"/>
    <s v="Connectivity"/>
    <s v="Service Desk"/>
    <s v="Bengaluru"/>
    <s v="Phone"/>
    <s v="Resolved"/>
    <n v="8"/>
    <n v="2.78"/>
    <n v="4.2"/>
    <s v="No"/>
    <x v="0"/>
  </r>
  <r>
    <s v="INC103244"/>
    <d v="2025-04-04T00:00:00"/>
    <d v="2025-04-04T08:48:36"/>
    <x v="3"/>
    <x v="1"/>
    <s v="Account Lock"/>
    <s v="Desktop Support"/>
    <s v="Gurugram"/>
    <s v="Phone"/>
    <s v="Closed"/>
    <n v="8"/>
    <n v="8.81"/>
    <n v="3.1"/>
    <s v="No"/>
    <x v="1"/>
  </r>
  <r>
    <s v="INC103245"/>
    <d v="2025-05-12T00:00:00"/>
    <d v="2025-05-12T08:01:12"/>
    <x v="1"/>
    <x v="1"/>
    <s v="Account Lock"/>
    <s v="Network Support"/>
    <s v="Gurugram"/>
    <s v="Portal"/>
    <s v="Resolved"/>
    <n v="24"/>
    <n v="8.02"/>
    <n v="4.9000000000000004"/>
    <s v="No"/>
    <x v="0"/>
  </r>
  <r>
    <s v="INC103246"/>
    <d v="2025-05-27T00:00:00"/>
    <d v="2025-05-28T10:40:48"/>
    <x v="0"/>
    <x v="0"/>
    <s v="Installation"/>
    <s v="Application Support"/>
    <s v="Hyderabad"/>
    <s v="Chat"/>
    <s v="Closed"/>
    <n v="48"/>
    <n v="34.68"/>
    <n v="4.3"/>
    <s v="No"/>
    <x v="0"/>
  </r>
  <r>
    <s v="INC103247"/>
    <d v="2025-05-19T00:00:00"/>
    <d v="2025-05-20T14:22:48"/>
    <x v="0"/>
    <x v="0"/>
    <s v="Installation"/>
    <s v="Desktop Support"/>
    <s v="Noida"/>
    <s v="Phone"/>
    <s v="In Progress"/>
    <n v="48"/>
    <n v="38.380000000000003"/>
    <n v="5"/>
    <s v="No"/>
    <x v="0"/>
  </r>
  <r>
    <s v="INC103248"/>
    <d v="2025-01-17T00:00:00"/>
    <d v="2025-01-17T00:30:00"/>
    <x v="2"/>
    <x v="1"/>
    <s v="Permission"/>
    <s v="Application Support"/>
    <s v="Delhi"/>
    <s v="Phone"/>
    <s v="Resolved"/>
    <n v="4"/>
    <n v="0.5"/>
    <n v="4.5999999999999996"/>
    <s v="No"/>
    <x v="0"/>
  </r>
  <r>
    <s v="INC103249"/>
    <d v="2025-01-26T00:00:00"/>
    <d v="2025-01-26T03:15:00"/>
    <x v="2"/>
    <x v="3"/>
    <s v="Monitor"/>
    <s v="Service Desk"/>
    <s v="Mumbai"/>
    <s v="Portal"/>
    <s v="Resolved"/>
    <n v="4"/>
    <n v="3.25"/>
    <n v="4.2"/>
    <s v="Yes"/>
    <x v="0"/>
  </r>
  <r>
    <s v="INC103250"/>
    <d v="2025-03-13T00:00:00"/>
    <d v="2025-03-13T04:01:12"/>
    <x v="2"/>
    <x v="2"/>
    <s v="Packet Loss"/>
    <s v="Network Support"/>
    <s v="Delhi"/>
    <s v="Phone"/>
    <s v="Pending"/>
    <n v="4"/>
    <n v="4.0199999999999996"/>
    <n v="4.3"/>
    <s v="No"/>
    <x v="1"/>
  </r>
  <r>
    <s v="INC103251"/>
    <d v="2025-03-03T00:00:00"/>
    <d v="2025-03-04T11:42:00"/>
    <x v="0"/>
    <x v="3"/>
    <s v="Monitor"/>
    <s v="Desktop Support"/>
    <s v="Delhi"/>
    <s v="Portal"/>
    <s v="Pending"/>
    <n v="48"/>
    <n v="35.700000000000003"/>
    <n v="4.8"/>
    <s v="No"/>
    <x v="0"/>
  </r>
  <r>
    <s v="INC103252"/>
    <d v="2025-05-16T00:00:00"/>
    <d v="2025-05-16T09:30:36"/>
    <x v="1"/>
    <x v="2"/>
    <s v="DNS"/>
    <s v="Application Support"/>
    <s v="Hyderabad"/>
    <s v="Chat"/>
    <s v="Closed"/>
    <n v="24"/>
    <n v="9.51"/>
    <n v="3.7"/>
    <s v="No"/>
    <x v="0"/>
  </r>
  <r>
    <s v="INC103253"/>
    <d v="2025-01-29T00:00:00"/>
    <d v="2025-01-29T01:10:48"/>
    <x v="3"/>
    <x v="0"/>
    <s v="License"/>
    <s v="Application Support"/>
    <s v="Noida"/>
    <s v="Portal"/>
    <s v="Resolved"/>
    <n v="8"/>
    <n v="1.18"/>
    <n v="5"/>
    <s v="No"/>
    <x v="0"/>
  </r>
  <r>
    <s v="INC103254"/>
    <d v="2025-03-09T00:00:00"/>
    <d v="2025-03-09T06:09:36"/>
    <x v="3"/>
    <x v="2"/>
    <s v="Link Down"/>
    <s v="Service Desk"/>
    <s v="Delhi"/>
    <s v="Email"/>
    <s v="Resolved"/>
    <n v="8"/>
    <n v="6.16"/>
    <n v="4.2"/>
    <s v="No"/>
    <x v="0"/>
  </r>
  <r>
    <s v="INC103255"/>
    <d v="2025-02-12T00:00:00"/>
    <d v="2025-02-12T16:50:24"/>
    <x v="0"/>
    <x v="0"/>
    <s v="Application Error"/>
    <s v="Application Support"/>
    <s v="Hyderabad"/>
    <s v="Portal"/>
    <s v="Resolved"/>
    <n v="48"/>
    <n v="16.84"/>
    <n v="4.8"/>
    <s v="No"/>
    <x v="0"/>
  </r>
  <r>
    <s v="INC103256"/>
    <d v="2025-02-04T00:00:00"/>
    <d v="2025-02-04T10:41:24"/>
    <x v="1"/>
    <x v="3"/>
    <s v="Printer"/>
    <s v="Desktop Support"/>
    <s v="Gurugram"/>
    <s v="Phone"/>
    <s v="Closed"/>
    <n v="24"/>
    <n v="10.69"/>
    <n v="4.5"/>
    <s v="No"/>
    <x v="0"/>
  </r>
  <r>
    <s v="INC103257"/>
    <d v="2025-02-01T00:00:00"/>
    <d v="2025-02-01T12:28:12"/>
    <x v="0"/>
    <x v="1"/>
    <s v="Account Lock"/>
    <s v="Service Desk"/>
    <s v="Bengaluru"/>
    <s v="Portal"/>
    <s v="Resolved"/>
    <n v="48"/>
    <n v="12.47"/>
    <n v="5"/>
    <s v="No"/>
    <x v="0"/>
  </r>
  <r>
    <s v="INC103258"/>
    <d v="2025-02-05T00:00:00"/>
    <d v="2025-02-05T11:36:00"/>
    <x v="1"/>
    <x v="0"/>
    <s v="License"/>
    <s v="Network Support"/>
    <s v="Gurugram"/>
    <s v="Phone"/>
    <s v="Resolved"/>
    <n v="24"/>
    <n v="11.6"/>
    <n v="3.8"/>
    <s v="Yes"/>
    <x v="0"/>
  </r>
  <r>
    <s v="INC103259"/>
    <d v="2025-04-13T00:00:00"/>
    <d v="2025-04-13T22:09:00"/>
    <x v="0"/>
    <x v="4"/>
    <s v="Spam"/>
    <s v="Service Desk"/>
    <s v="Bengaluru"/>
    <s v="Phone"/>
    <s v="In Progress"/>
    <n v="48"/>
    <n v="22.15"/>
    <n v="3.8"/>
    <s v="No"/>
    <x v="0"/>
  </r>
  <r>
    <s v="INC103260"/>
    <d v="2025-03-16T00:00:00"/>
    <d v="2025-03-16T10:00:00"/>
    <x v="0"/>
    <x v="4"/>
    <s v="Spam"/>
    <s v="Network Support"/>
    <s v="Mumbai"/>
    <s v="Portal"/>
    <s v="Closed"/>
    <n v="48"/>
    <n v="10"/>
    <n v="4.2"/>
    <s v="Yes"/>
    <x v="0"/>
  </r>
  <r>
    <s v="INC103261"/>
    <d v="2025-03-20T00:00:00"/>
    <d v="2025-03-21T09:32:24"/>
    <x v="0"/>
    <x v="2"/>
    <s v="Link Down"/>
    <s v="Application Support"/>
    <s v="Mumbai"/>
    <s v="Phone"/>
    <s v="Closed"/>
    <n v="48"/>
    <n v="33.54"/>
    <n v="4"/>
    <s v="No"/>
    <x v="0"/>
  </r>
  <r>
    <s v="INC103262"/>
    <d v="2025-03-28T00:00:00"/>
    <d v="2025-03-28T11:31:12"/>
    <x v="3"/>
    <x v="0"/>
    <s v="License"/>
    <s v="Network Support"/>
    <s v="Noida"/>
    <s v="Email"/>
    <s v="Pending"/>
    <n v="8"/>
    <n v="11.52"/>
    <n v="3.5"/>
    <s v="No"/>
    <x v="1"/>
  </r>
  <r>
    <s v="INC103263"/>
    <d v="2025-05-15T00:00:00"/>
    <d v="2025-05-15T08:30:00"/>
    <x v="3"/>
    <x v="2"/>
    <s v="Connectivity"/>
    <s v="Network Support"/>
    <s v="Bengaluru"/>
    <s v="Portal"/>
    <s v="Resolved"/>
    <n v="8"/>
    <n v="8.5"/>
    <n v="3.4"/>
    <s v="Yes"/>
    <x v="1"/>
  </r>
  <r>
    <s v="INC103264"/>
    <d v="2025-06-05T00:00:00"/>
    <d v="2025-06-05T12:10:48"/>
    <x v="3"/>
    <x v="1"/>
    <s v="VPN Access"/>
    <s v="Network Support"/>
    <s v="Hyderabad"/>
    <s v="Portal"/>
    <s v="Resolved"/>
    <n v="8"/>
    <n v="12.18"/>
    <n v="3.8"/>
    <s v="No"/>
    <x v="1"/>
  </r>
  <r>
    <s v="INC103265"/>
    <d v="2025-04-06T00:00:00"/>
    <d v="2025-04-06T08:01:12"/>
    <x v="1"/>
    <x v="0"/>
    <s v="Application Error"/>
    <s v="Service Desk"/>
    <s v="Hyderabad"/>
    <s v="Portal"/>
    <s v="In Progress"/>
    <n v="24"/>
    <n v="8.02"/>
    <n v="4.5999999999999996"/>
    <s v="No"/>
    <x v="0"/>
  </r>
  <r>
    <s v="INC103266"/>
    <d v="2025-04-27T00:00:00"/>
    <d v="2025-04-27T05:35:24"/>
    <x v="1"/>
    <x v="3"/>
    <s v="Peripheral"/>
    <s v="Network Support"/>
    <s v="Mumbai"/>
    <s v="Portal"/>
    <s v="Pending"/>
    <n v="24"/>
    <n v="5.59"/>
    <n v="4.7"/>
    <s v="No"/>
    <x v="0"/>
  </r>
  <r>
    <s v="INC103267"/>
    <d v="2025-05-14T00:00:00"/>
    <d v="2025-05-14T01:55:48"/>
    <x v="1"/>
    <x v="2"/>
    <s v="Packet Loss"/>
    <s v="Application Support"/>
    <s v="Noida"/>
    <s v="Email"/>
    <s v="Resolved"/>
    <n v="24"/>
    <n v="1.93"/>
    <n v="4"/>
    <s v="No"/>
    <x v="0"/>
  </r>
  <r>
    <s v="INC103268"/>
    <d v="2025-05-05T00:00:00"/>
    <d v="2025-05-05T09:51:36"/>
    <x v="1"/>
    <x v="3"/>
    <s v="Printer"/>
    <s v="Network Support"/>
    <s v="Bengaluru"/>
    <s v="Email"/>
    <s v="Resolved"/>
    <n v="24"/>
    <n v="9.86"/>
    <n v="5"/>
    <s v="No"/>
    <x v="0"/>
  </r>
  <r>
    <s v="INC103269"/>
    <d v="2025-01-25T00:00:00"/>
    <d v="2025-01-25T10:57:36"/>
    <x v="1"/>
    <x v="1"/>
    <s v="Password Reset"/>
    <s v="Access Management"/>
    <s v="Hyderabad"/>
    <s v="Portal"/>
    <s v="Resolved"/>
    <n v="24"/>
    <n v="10.96"/>
    <n v="4.4000000000000004"/>
    <s v="No"/>
    <x v="0"/>
  </r>
  <r>
    <s v="INC103270"/>
    <d v="2025-06-27T00:00:00"/>
    <d v="2025-06-27T04:18:00"/>
    <x v="3"/>
    <x v="1"/>
    <s v="Permission"/>
    <s v="Desktop Support"/>
    <s v="Gurugram"/>
    <s v="Chat"/>
    <s v="Resolved"/>
    <n v="8"/>
    <n v="4.3"/>
    <n v="5"/>
    <s v="No"/>
    <x v="0"/>
  </r>
  <r>
    <s v="INC103271"/>
    <d v="2025-01-30T00:00:00"/>
    <d v="2025-01-30T01:35:24"/>
    <x v="3"/>
    <x v="2"/>
    <s v="Packet Loss"/>
    <s v="Network Support"/>
    <s v="Mumbai"/>
    <s v="Portal"/>
    <s v="Resolved"/>
    <n v="8"/>
    <n v="1.59"/>
    <n v="4.4000000000000004"/>
    <s v="No"/>
    <x v="0"/>
  </r>
  <r>
    <s v="INC103272"/>
    <d v="2025-03-16T00:00:00"/>
    <d v="2025-03-16T04:54:00"/>
    <x v="3"/>
    <x v="3"/>
    <s v="Monitor"/>
    <s v="Desktop Support"/>
    <s v="Mumbai"/>
    <s v="Phone"/>
    <s v="Resolved"/>
    <n v="8"/>
    <n v="4.9000000000000004"/>
    <n v="4.8"/>
    <s v="No"/>
    <x v="0"/>
  </r>
  <r>
    <s v="INC103273"/>
    <d v="2025-04-29T00:00:00"/>
    <d v="2025-04-30T00:24:36"/>
    <x v="0"/>
    <x v="3"/>
    <s v="Monitor"/>
    <s v="Network Support"/>
    <s v="Noida"/>
    <s v="Phone"/>
    <s v="Closed"/>
    <n v="48"/>
    <n v="24.41"/>
    <n v="4"/>
    <s v="No"/>
    <x v="0"/>
  </r>
  <r>
    <s v="INC103274"/>
    <d v="2025-03-15T00:00:00"/>
    <d v="2025-03-15T14:53:24"/>
    <x v="1"/>
    <x v="0"/>
    <s v="Performance"/>
    <s v="Access Management"/>
    <s v="Hyderabad"/>
    <s v="Phone"/>
    <s v="Resolved"/>
    <n v="24"/>
    <n v="14.89"/>
    <n v="5"/>
    <s v="No"/>
    <x v="0"/>
  </r>
  <r>
    <s v="INC103275"/>
    <d v="2025-02-14T00:00:00"/>
    <d v="2025-02-15T10:38:24"/>
    <x v="0"/>
    <x v="2"/>
    <s v="Link Down"/>
    <s v="Desktop Support"/>
    <s v="Noida"/>
    <s v="Email"/>
    <s v="In Progress"/>
    <n v="48"/>
    <n v="34.64"/>
    <n v="4.9000000000000004"/>
    <s v="No"/>
    <x v="0"/>
  </r>
  <r>
    <s v="INC103276"/>
    <d v="2025-06-17T00:00:00"/>
    <d v="2025-06-18T02:41:24"/>
    <x v="0"/>
    <x v="3"/>
    <s v="Peripheral"/>
    <s v="Access Management"/>
    <s v="Hyderabad"/>
    <s v="Portal"/>
    <s v="Resolved"/>
    <n v="48"/>
    <n v="26.69"/>
    <n v="4.9000000000000004"/>
    <s v="No"/>
    <x v="0"/>
  </r>
  <r>
    <s v="INC103277"/>
    <d v="2025-01-13T00:00:00"/>
    <d v="2025-01-14T00:58:48"/>
    <x v="1"/>
    <x v="4"/>
    <s v="Mailbox"/>
    <s v="Service Desk"/>
    <s v="Bengaluru"/>
    <s v="Phone"/>
    <s v="Resolved"/>
    <n v="24"/>
    <n v="24.98"/>
    <n v="3.3"/>
    <s v="No"/>
    <x v="1"/>
  </r>
  <r>
    <s v="INC103278"/>
    <d v="2025-02-14T00:00:00"/>
    <d v="2025-02-14T16:27:00"/>
    <x v="1"/>
    <x v="3"/>
    <s v="Monitor"/>
    <s v="Network Support"/>
    <s v="Delhi"/>
    <s v="Phone"/>
    <s v="Closed"/>
    <n v="24"/>
    <n v="16.45"/>
    <n v="5"/>
    <s v="Yes"/>
    <x v="0"/>
  </r>
  <r>
    <s v="INC103279"/>
    <d v="2025-06-29T00:00:00"/>
    <d v="2025-06-29T04:09:36"/>
    <x v="3"/>
    <x v="1"/>
    <s v="VPN Access"/>
    <s v="Service Desk"/>
    <s v="Mumbai"/>
    <s v="Phone"/>
    <s v="Closed"/>
    <n v="8"/>
    <n v="4.16"/>
    <n v="5"/>
    <s v="No"/>
    <x v="0"/>
  </r>
  <r>
    <s v="INC103280"/>
    <d v="2025-05-13T00:00:00"/>
    <d v="2025-05-13T13:58:12"/>
    <x v="0"/>
    <x v="0"/>
    <s v="License"/>
    <s v="Desktop Support"/>
    <s v="Mumbai"/>
    <s v="Portal"/>
    <s v="Closed"/>
    <n v="48"/>
    <n v="13.97"/>
    <n v="4.4000000000000004"/>
    <s v="No"/>
    <x v="0"/>
  </r>
  <r>
    <s v="INC103281"/>
    <d v="2025-01-16T00:00:00"/>
    <d v="2025-01-16T01:40:48"/>
    <x v="2"/>
    <x v="3"/>
    <s v="Monitor"/>
    <s v="Application Support"/>
    <s v="Gurugram"/>
    <s v="Email"/>
    <s v="In Progress"/>
    <n v="4"/>
    <n v="1.68"/>
    <n v="4.5999999999999996"/>
    <s v="No"/>
    <x v="0"/>
  </r>
  <r>
    <s v="INC103282"/>
    <d v="2025-05-17T00:00:00"/>
    <d v="2025-05-17T00:33:36"/>
    <x v="2"/>
    <x v="0"/>
    <s v="Performance"/>
    <s v="Desktop Support"/>
    <s v="Mumbai"/>
    <s v="Portal"/>
    <s v="Closed"/>
    <n v="4"/>
    <n v="0.56000000000000005"/>
    <n v="5"/>
    <s v="No"/>
    <x v="0"/>
  </r>
  <r>
    <s v="INC103283"/>
    <d v="2025-06-25T00:00:00"/>
    <d v="2025-06-25T21:36:36"/>
    <x v="1"/>
    <x v="2"/>
    <s v="Connectivity"/>
    <s v="Access Management"/>
    <s v="Bengaluru"/>
    <s v="Email"/>
    <s v="Closed"/>
    <n v="24"/>
    <n v="21.61"/>
    <n v="2.6"/>
    <s v="No"/>
    <x v="0"/>
  </r>
  <r>
    <s v="INC103284"/>
    <d v="2025-01-18T00:00:00"/>
    <d v="2025-01-18T02:20:24"/>
    <x v="3"/>
    <x v="2"/>
    <s v="Connectivity"/>
    <s v="Service Desk"/>
    <s v="Hyderabad"/>
    <s v="Phone"/>
    <s v="Closed"/>
    <n v="8"/>
    <n v="2.34"/>
    <n v="5"/>
    <s v="No"/>
    <x v="0"/>
  </r>
  <r>
    <s v="INC103285"/>
    <d v="2025-03-16T00:00:00"/>
    <d v="2025-03-16T10:57:36"/>
    <x v="0"/>
    <x v="4"/>
    <s v="Configuration"/>
    <s v="Service Desk"/>
    <s v="Gurugram"/>
    <s v="Portal"/>
    <s v="Resolved"/>
    <n v="48"/>
    <n v="10.96"/>
    <n v="5"/>
    <s v="No"/>
    <x v="0"/>
  </r>
  <r>
    <s v="INC103286"/>
    <d v="2025-03-26T00:00:00"/>
    <d v="2025-03-26T01:16:48"/>
    <x v="3"/>
    <x v="1"/>
    <s v="Permission"/>
    <s v="Desktop Support"/>
    <s v="Gurugram"/>
    <s v="Portal"/>
    <s v="Closed"/>
    <n v="8"/>
    <n v="1.28"/>
    <n v="4.4000000000000004"/>
    <s v="No"/>
    <x v="0"/>
  </r>
  <r>
    <s v="INC103287"/>
    <d v="2025-01-24T00:00:00"/>
    <d v="2025-01-24T02:11:24"/>
    <x v="3"/>
    <x v="1"/>
    <s v="Password Reset"/>
    <s v="Network Support"/>
    <s v="Delhi"/>
    <s v="Portal"/>
    <s v="Resolved"/>
    <n v="8"/>
    <n v="2.19"/>
    <n v="3.2"/>
    <s v="No"/>
    <x v="0"/>
  </r>
  <r>
    <s v="INC103288"/>
    <d v="2025-02-06T00:00:00"/>
    <d v="2025-02-06T02:45:36"/>
    <x v="3"/>
    <x v="2"/>
    <s v="DNS"/>
    <s v="Application Support"/>
    <s v="Mumbai"/>
    <s v="Portal"/>
    <s v="Pending"/>
    <n v="8"/>
    <n v="2.76"/>
    <n v="4.8"/>
    <s v="No"/>
    <x v="0"/>
  </r>
  <r>
    <s v="INC103289"/>
    <d v="2025-02-01T00:00:00"/>
    <d v="2025-02-01T09:28:48"/>
    <x v="3"/>
    <x v="2"/>
    <s v="Link Down"/>
    <s v="Network Support"/>
    <s v="Hyderabad"/>
    <s v="Portal"/>
    <s v="Resolved"/>
    <n v="8"/>
    <n v="9.48"/>
    <n v="2.8"/>
    <s v="No"/>
    <x v="1"/>
  </r>
  <r>
    <s v="INC103290"/>
    <d v="2025-02-03T00:00:00"/>
    <d v="2025-02-03T06:54:00"/>
    <x v="1"/>
    <x v="2"/>
    <s v="Packet Loss"/>
    <s v="Application Support"/>
    <s v="Mumbai"/>
    <s v="Portal"/>
    <s v="Resolved"/>
    <n v="24"/>
    <n v="6.9"/>
    <n v="3.6"/>
    <s v="No"/>
    <x v="0"/>
  </r>
  <r>
    <s v="INC103291"/>
    <d v="2025-03-15T00:00:00"/>
    <d v="2025-03-15T10:57:36"/>
    <x v="3"/>
    <x v="4"/>
    <s v="Configuration"/>
    <s v="Service Desk"/>
    <s v="Noida"/>
    <s v="Portal"/>
    <s v="Resolved"/>
    <n v="8"/>
    <n v="10.96"/>
    <n v="3.6"/>
    <s v="No"/>
    <x v="1"/>
  </r>
  <r>
    <s v="INC103292"/>
    <d v="2025-03-25T00:00:00"/>
    <d v="2025-03-26T04:39:36"/>
    <x v="1"/>
    <x v="1"/>
    <s v="VPN Access"/>
    <s v="Service Desk"/>
    <s v="Hyderabad"/>
    <s v="Email"/>
    <s v="Resolved"/>
    <n v="24"/>
    <n v="28.66"/>
    <n v="4.4000000000000004"/>
    <s v="No"/>
    <x v="1"/>
  </r>
  <r>
    <s v="INC103293"/>
    <d v="2025-02-13T00:00:00"/>
    <d v="2025-02-15T07:50:24"/>
    <x v="0"/>
    <x v="0"/>
    <s v="Application Error"/>
    <s v="Application Support"/>
    <s v="Gurugram"/>
    <s v="Phone"/>
    <s v="Resolved"/>
    <n v="48"/>
    <n v="55.84"/>
    <n v="3.5"/>
    <s v="No"/>
    <x v="1"/>
  </r>
  <r>
    <s v="INC103294"/>
    <d v="2025-02-22T00:00:00"/>
    <d v="2025-02-23T13:21:00"/>
    <x v="0"/>
    <x v="4"/>
    <s v="Spam"/>
    <s v="Application Support"/>
    <s v="Mumbai"/>
    <s v="Portal"/>
    <s v="Resolved"/>
    <n v="48"/>
    <n v="37.35"/>
    <n v="4.8"/>
    <s v="No"/>
    <x v="0"/>
  </r>
  <r>
    <s v="INC103295"/>
    <d v="2025-02-04T00:00:00"/>
    <d v="2025-02-04T00:51:36"/>
    <x v="3"/>
    <x v="2"/>
    <s v="Link Down"/>
    <s v="Access Management"/>
    <s v="Bengaluru"/>
    <s v="Portal"/>
    <s v="Pending"/>
    <n v="8"/>
    <n v="0.86"/>
    <n v="5"/>
    <s v="No"/>
    <x v="0"/>
  </r>
  <r>
    <s v="INC103296"/>
    <d v="2025-05-25T00:00:00"/>
    <d v="2025-05-26T01:47:24"/>
    <x v="1"/>
    <x v="0"/>
    <s v="License"/>
    <s v="Service Desk"/>
    <s v="Hyderabad"/>
    <s v="Phone"/>
    <s v="Resolved"/>
    <n v="24"/>
    <n v="25.79"/>
    <n v="2.8"/>
    <s v="No"/>
    <x v="1"/>
  </r>
  <r>
    <s v="INC103297"/>
    <d v="2025-02-08T00:00:00"/>
    <d v="2025-02-08T02:55:48"/>
    <x v="1"/>
    <x v="2"/>
    <s v="DNS"/>
    <s v="Access Management"/>
    <s v="Hyderabad"/>
    <s v="Portal"/>
    <s v="Pending"/>
    <n v="24"/>
    <n v="2.93"/>
    <n v="4.5"/>
    <s v="No"/>
    <x v="0"/>
  </r>
  <r>
    <s v="INC103298"/>
    <d v="2025-06-14T00:00:00"/>
    <d v="2025-06-14T01:39:36"/>
    <x v="3"/>
    <x v="3"/>
    <s v="Printer"/>
    <s v="Access Management"/>
    <s v="Noida"/>
    <s v="Portal"/>
    <s v="Closed"/>
    <n v="8"/>
    <n v="1.66"/>
    <n v="5"/>
    <s v="No"/>
    <x v="0"/>
  </r>
  <r>
    <s v="INC103299"/>
    <d v="2025-04-08T00:00:00"/>
    <d v="2025-04-08T08:14:24"/>
    <x v="1"/>
    <x v="4"/>
    <s v="Mailbox"/>
    <s v="Access Management"/>
    <s v="Delhi"/>
    <s v="Email"/>
    <s v="Resolved"/>
    <n v="24"/>
    <n v="8.24"/>
    <n v="4.2"/>
    <s v="No"/>
    <x v="0"/>
  </r>
  <r>
    <s v="INC103300"/>
    <d v="2025-05-26T00:00:00"/>
    <d v="2025-05-26T07:06:36"/>
    <x v="1"/>
    <x v="1"/>
    <s v="VPN Access"/>
    <s v="Access Management"/>
    <s v="Delhi"/>
    <s v="Chat"/>
    <s v="Resolved"/>
    <n v="24"/>
    <n v="7.11"/>
    <n v="5"/>
    <s v="No"/>
    <x v="0"/>
  </r>
  <r>
    <s v="INC103301"/>
    <d v="2025-04-26T00:00:00"/>
    <d v="2025-04-26T22:24:36"/>
    <x v="1"/>
    <x v="2"/>
    <s v="Packet Loss"/>
    <s v="Application Support"/>
    <s v="Mumbai"/>
    <s v="Portal"/>
    <s v="In Progress"/>
    <n v="24"/>
    <n v="22.41"/>
    <n v="3.6"/>
    <s v="No"/>
    <x v="0"/>
  </r>
  <r>
    <s v="INC103302"/>
    <d v="2025-02-18T00:00:00"/>
    <d v="2025-02-18T20:28:48"/>
    <x v="1"/>
    <x v="2"/>
    <s v="Link Down"/>
    <s v="Service Desk"/>
    <s v="Noida"/>
    <s v="Chat"/>
    <s v="Closed"/>
    <n v="24"/>
    <n v="20.48"/>
    <n v="4.4000000000000004"/>
    <s v="No"/>
    <x v="0"/>
  </r>
  <r>
    <s v="INC103303"/>
    <d v="2025-04-19T00:00:00"/>
    <d v="2025-04-19T03:43:48"/>
    <x v="3"/>
    <x v="0"/>
    <s v="Installation"/>
    <s v="Application Support"/>
    <s v="Delhi"/>
    <s v="Portal"/>
    <s v="Resolved"/>
    <n v="8"/>
    <n v="3.73"/>
    <n v="4.7"/>
    <s v="No"/>
    <x v="0"/>
  </r>
  <r>
    <s v="INC103304"/>
    <d v="2025-02-19T00:00:00"/>
    <d v="2025-02-19T18:28:48"/>
    <x v="1"/>
    <x v="2"/>
    <s v="Link Down"/>
    <s v="Application Support"/>
    <s v="Mumbai"/>
    <s v="Portal"/>
    <s v="Resolved"/>
    <n v="24"/>
    <n v="18.48"/>
    <n v="3.9"/>
    <s v="No"/>
    <x v="0"/>
  </r>
  <r>
    <s v="INC103305"/>
    <d v="2025-01-22T00:00:00"/>
    <d v="2025-01-22T13:41:24"/>
    <x v="1"/>
    <x v="0"/>
    <s v="Installation"/>
    <s v="Service Desk"/>
    <s v="Bengaluru"/>
    <s v="Portal"/>
    <s v="Resolved"/>
    <n v="24"/>
    <n v="13.69"/>
    <n v="4.8"/>
    <s v="No"/>
    <x v="0"/>
  </r>
  <r>
    <s v="INC103306"/>
    <d v="2025-02-16T00:00:00"/>
    <d v="2025-02-16T04:01:48"/>
    <x v="3"/>
    <x v="0"/>
    <s v="License"/>
    <s v="Access Management"/>
    <s v="Delhi"/>
    <s v="Phone"/>
    <s v="Closed"/>
    <n v="8"/>
    <n v="4.03"/>
    <n v="3"/>
    <s v="No"/>
    <x v="0"/>
  </r>
  <r>
    <s v="INC103307"/>
    <d v="2025-02-19T00:00:00"/>
    <d v="2025-02-19T09:00:36"/>
    <x v="1"/>
    <x v="3"/>
    <s v="Peripheral"/>
    <s v="Application Support"/>
    <s v="Mumbai"/>
    <s v="Email"/>
    <s v="Resolved"/>
    <n v="24"/>
    <n v="9.01"/>
    <n v="3.8"/>
    <s v="No"/>
    <x v="0"/>
  </r>
  <r>
    <s v="INC103308"/>
    <d v="2025-01-25T00:00:00"/>
    <d v="2025-01-25T02:05:24"/>
    <x v="3"/>
    <x v="3"/>
    <s v="Laptop"/>
    <s v="Desktop Support"/>
    <s v="Bengaluru"/>
    <s v="Email"/>
    <s v="Resolved"/>
    <n v="8"/>
    <n v="2.09"/>
    <n v="4.4000000000000004"/>
    <s v="No"/>
    <x v="0"/>
  </r>
  <r>
    <s v="INC103309"/>
    <d v="2025-01-05T00:00:00"/>
    <d v="2025-01-05T01:18:36"/>
    <x v="0"/>
    <x v="2"/>
    <s v="DNS"/>
    <s v="Access Management"/>
    <s v="Hyderabad"/>
    <s v="Chat"/>
    <s v="Resolved"/>
    <n v="48"/>
    <n v="1.31"/>
    <n v="5"/>
    <s v="No"/>
    <x v="0"/>
  </r>
  <r>
    <s v="INC103310"/>
    <d v="2025-06-20T00:00:00"/>
    <d v="2025-06-20T07:20:24"/>
    <x v="3"/>
    <x v="4"/>
    <s v="Spam"/>
    <s v="Network Support"/>
    <s v="Hyderabad"/>
    <s v="Email"/>
    <s v="Resolved"/>
    <n v="8"/>
    <n v="7.34"/>
    <n v="3"/>
    <s v="No"/>
    <x v="0"/>
  </r>
  <r>
    <s v="INC103311"/>
    <d v="2025-04-03T00:00:00"/>
    <d v="2025-04-03T06:43:12"/>
    <x v="1"/>
    <x v="3"/>
    <s v="Peripheral"/>
    <s v="Application Support"/>
    <s v="Hyderabad"/>
    <s v="Portal"/>
    <s v="Resolved"/>
    <n v="24"/>
    <n v="6.72"/>
    <n v="4.5999999999999996"/>
    <s v="Yes"/>
    <x v="0"/>
  </r>
  <r>
    <s v="INC103312"/>
    <d v="2025-03-14T00:00:00"/>
    <d v="2025-03-14T14:33:00"/>
    <x v="0"/>
    <x v="0"/>
    <s v="License"/>
    <s v="Application Support"/>
    <s v="Hyderabad"/>
    <s v="Phone"/>
    <s v="Closed"/>
    <n v="48"/>
    <n v="14.55"/>
    <n v="4.8"/>
    <s v="No"/>
    <x v="0"/>
  </r>
  <r>
    <s v="INC103313"/>
    <d v="2025-06-18T00:00:00"/>
    <d v="2025-06-18T06:21:00"/>
    <x v="1"/>
    <x v="3"/>
    <s v="Printer"/>
    <s v="Network Support"/>
    <s v="Mumbai"/>
    <s v="Portal"/>
    <s v="Closed"/>
    <n v="24"/>
    <n v="6.35"/>
    <n v="4.8"/>
    <s v="No"/>
    <x v="0"/>
  </r>
  <r>
    <s v="INC103314"/>
    <d v="2025-02-10T00:00:00"/>
    <d v="2025-02-10T14:55:12"/>
    <x v="1"/>
    <x v="0"/>
    <s v="Performance"/>
    <s v="Desktop Support"/>
    <s v="Mumbai"/>
    <s v="Email"/>
    <s v="Closed"/>
    <n v="24"/>
    <n v="14.92"/>
    <n v="4.2"/>
    <s v="No"/>
    <x v="0"/>
  </r>
  <r>
    <s v="INC103315"/>
    <d v="2025-03-14T00:00:00"/>
    <d v="2025-03-14T17:34:47"/>
    <x v="1"/>
    <x v="2"/>
    <s v="Packet Loss"/>
    <s v="Desktop Support"/>
    <s v="Bengaluru"/>
    <s v="Phone"/>
    <s v="In Progress"/>
    <n v="24"/>
    <n v="17.579999999999998"/>
    <n v="3.7"/>
    <s v="No"/>
    <x v="0"/>
  </r>
  <r>
    <s v="INC103316"/>
    <d v="2025-06-03T00:00:00"/>
    <d v="2025-06-03T02:31:48"/>
    <x v="3"/>
    <x v="2"/>
    <s v="DNS"/>
    <s v="Service Desk"/>
    <s v="Mumbai"/>
    <s v="Email"/>
    <s v="Closed"/>
    <n v="8"/>
    <n v="2.5299999999999998"/>
    <n v="4.5"/>
    <s v="No"/>
    <x v="0"/>
  </r>
  <r>
    <s v="INC103317"/>
    <d v="2025-04-25T00:00:00"/>
    <d v="2025-04-25T12:27:36"/>
    <x v="1"/>
    <x v="1"/>
    <s v="Account Lock"/>
    <s v="Access Management"/>
    <s v="Hyderabad"/>
    <s v="Portal"/>
    <s v="Resolved"/>
    <n v="24"/>
    <n v="12.46"/>
    <n v="5"/>
    <s v="No"/>
    <x v="0"/>
  </r>
  <r>
    <s v="INC103318"/>
    <d v="2025-03-14T00:00:00"/>
    <d v="2025-03-14T16:00:00"/>
    <x v="0"/>
    <x v="1"/>
    <s v="Permission"/>
    <s v="Application Support"/>
    <s v="Delhi"/>
    <s v="Email"/>
    <s v="Resolved"/>
    <n v="48"/>
    <n v="16"/>
    <n v="4.2"/>
    <s v="No"/>
    <x v="0"/>
  </r>
  <r>
    <s v="INC103319"/>
    <d v="2025-02-16T00:00:00"/>
    <d v="2025-02-16T22:02:24"/>
    <x v="1"/>
    <x v="2"/>
    <s v="DNS"/>
    <s v="Service Desk"/>
    <s v="Delhi"/>
    <s v="Portal"/>
    <s v="Closed"/>
    <n v="24"/>
    <n v="22.04"/>
    <n v="2.5"/>
    <s v="No"/>
    <x v="0"/>
  </r>
  <r>
    <s v="INC103320"/>
    <d v="2025-01-07T00:00:00"/>
    <d v="2025-01-07T15:54:36"/>
    <x v="1"/>
    <x v="3"/>
    <s v="Peripheral"/>
    <s v="Desktop Support"/>
    <s v="Noida"/>
    <s v="Portal"/>
    <s v="Closed"/>
    <n v="24"/>
    <n v="15.91"/>
    <n v="4.5"/>
    <s v="No"/>
    <x v="0"/>
  </r>
  <r>
    <s v="INC103321"/>
    <d v="2025-01-16T00:00:00"/>
    <d v="2025-01-16T01:28:48"/>
    <x v="1"/>
    <x v="4"/>
    <s v="Mailbox"/>
    <s v="Network Support"/>
    <s v="Gurugram"/>
    <s v="Email"/>
    <s v="Pending"/>
    <n v="24"/>
    <n v="1.48"/>
    <n v="5"/>
    <s v="No"/>
    <x v="0"/>
  </r>
  <r>
    <s v="INC103322"/>
    <d v="2025-01-30T00:00:00"/>
    <d v="2025-01-30T05:42:36"/>
    <x v="3"/>
    <x v="2"/>
    <s v="Link Down"/>
    <s v="Network Support"/>
    <s v="Bengaluru"/>
    <s v="Portal"/>
    <s v="Resolved"/>
    <n v="8"/>
    <n v="5.71"/>
    <n v="3.5"/>
    <s v="No"/>
    <x v="0"/>
  </r>
  <r>
    <s v="INC103323"/>
    <d v="2025-05-23T00:00:00"/>
    <d v="2025-05-23T04:22:12"/>
    <x v="3"/>
    <x v="2"/>
    <s v="Packet Loss"/>
    <s v="Application Support"/>
    <s v="Gurugram"/>
    <s v="Portal"/>
    <s v="Resolved"/>
    <n v="8"/>
    <n v="4.37"/>
    <n v="5"/>
    <s v="No"/>
    <x v="0"/>
  </r>
  <r>
    <s v="INC103324"/>
    <d v="2025-04-26T00:00:00"/>
    <d v="2025-04-26T11:42:00"/>
    <x v="0"/>
    <x v="3"/>
    <s v="Printer"/>
    <s v="Access Management"/>
    <s v="Mumbai"/>
    <s v="Email"/>
    <s v="Closed"/>
    <n v="48"/>
    <n v="11.7"/>
    <n v="5"/>
    <s v="No"/>
    <x v="0"/>
  </r>
  <r>
    <s v="INC103325"/>
    <d v="2025-03-20T00:00:00"/>
    <d v="2025-03-20T05:10:12"/>
    <x v="1"/>
    <x v="3"/>
    <s v="Printer"/>
    <s v="Service Desk"/>
    <s v="Hyderabad"/>
    <s v="Portal"/>
    <s v="In Progress"/>
    <n v="24"/>
    <n v="5.17"/>
    <n v="4"/>
    <s v="No"/>
    <x v="0"/>
  </r>
  <r>
    <s v="INC103326"/>
    <d v="2025-05-22T00:00:00"/>
    <d v="2025-05-23T16:38:24"/>
    <x v="0"/>
    <x v="0"/>
    <s v="License"/>
    <s v="Service Desk"/>
    <s v="Gurugram"/>
    <s v="Portal"/>
    <s v="Resolved"/>
    <n v="48"/>
    <n v="40.64"/>
    <n v="3.5"/>
    <s v="No"/>
    <x v="0"/>
  </r>
  <r>
    <s v="INC103327"/>
    <d v="2025-01-30T00:00:00"/>
    <d v="2025-01-30T21:15:00"/>
    <x v="1"/>
    <x v="0"/>
    <s v="Performance"/>
    <s v="Application Support"/>
    <s v="Mumbai"/>
    <s v="Chat"/>
    <s v="Resolved"/>
    <n v="24"/>
    <n v="21.25"/>
    <n v="3.5"/>
    <s v="No"/>
    <x v="0"/>
  </r>
  <r>
    <s v="INC103328"/>
    <d v="2025-02-08T00:00:00"/>
    <d v="2025-02-09T03:21:36"/>
    <x v="0"/>
    <x v="0"/>
    <s v="Performance"/>
    <s v="Desktop Support"/>
    <s v="Delhi"/>
    <s v="Portal"/>
    <s v="In Progress"/>
    <n v="48"/>
    <n v="27.36"/>
    <n v="4.4000000000000004"/>
    <s v="No"/>
    <x v="0"/>
  </r>
  <r>
    <s v="INC103329"/>
    <d v="2025-03-13T00:00:00"/>
    <d v="2025-03-13T07:42:36"/>
    <x v="1"/>
    <x v="0"/>
    <s v="License"/>
    <s v="Network Support"/>
    <s v="Mumbai"/>
    <s v="Portal"/>
    <s v="Resolved"/>
    <n v="24"/>
    <n v="7.71"/>
    <n v="4.5"/>
    <s v="No"/>
    <x v="0"/>
  </r>
  <r>
    <s v="INC103330"/>
    <d v="2025-06-16T00:00:00"/>
    <d v="2025-06-16T02:00:00"/>
    <x v="3"/>
    <x v="3"/>
    <s v="Laptop"/>
    <s v="Application Support"/>
    <s v="Mumbai"/>
    <s v="Phone"/>
    <s v="Closed"/>
    <n v="8"/>
    <n v="2"/>
    <n v="5"/>
    <s v="No"/>
    <x v="0"/>
  </r>
  <r>
    <s v="INC103331"/>
    <d v="2025-04-22T00:00:00"/>
    <d v="2025-04-22T06:13:12"/>
    <x v="1"/>
    <x v="1"/>
    <s v="Permission"/>
    <s v="Service Desk"/>
    <s v="Mumbai"/>
    <s v="Portal"/>
    <s v="Pending"/>
    <n v="24"/>
    <n v="6.22"/>
    <n v="5"/>
    <s v="No"/>
    <x v="0"/>
  </r>
  <r>
    <s v="INC103332"/>
    <d v="2025-06-04T00:00:00"/>
    <d v="2025-06-04T18:23:24"/>
    <x v="0"/>
    <x v="2"/>
    <s v="Link Down"/>
    <s v="Network Support"/>
    <s v="Noida"/>
    <s v="Chat"/>
    <s v="Resolved"/>
    <n v="48"/>
    <n v="18.39"/>
    <n v="3.5"/>
    <s v="No"/>
    <x v="0"/>
  </r>
  <r>
    <s v="INC103333"/>
    <d v="2025-02-14T00:00:00"/>
    <d v="2025-02-15T00:37:48"/>
    <x v="1"/>
    <x v="3"/>
    <s v="Peripheral"/>
    <s v="Desktop Support"/>
    <s v="Delhi"/>
    <s v="Email"/>
    <s v="Resolved"/>
    <n v="24"/>
    <n v="24.63"/>
    <n v="2.8"/>
    <s v="No"/>
    <x v="1"/>
  </r>
  <r>
    <s v="INC103334"/>
    <d v="2025-06-03T00:00:00"/>
    <d v="2025-06-03T02:15:36"/>
    <x v="1"/>
    <x v="0"/>
    <s v="Performance"/>
    <s v="Application Support"/>
    <s v="Hyderabad"/>
    <s v="Email"/>
    <s v="Pending"/>
    <n v="24"/>
    <n v="2.2599999999999998"/>
    <n v="5"/>
    <s v="No"/>
    <x v="0"/>
  </r>
  <r>
    <s v="INC103335"/>
    <d v="2025-01-14T00:00:00"/>
    <d v="2025-01-14T12:11:24"/>
    <x v="1"/>
    <x v="3"/>
    <s v="Printer"/>
    <s v="Desktop Support"/>
    <s v="Delhi"/>
    <s v="Portal"/>
    <s v="Resolved"/>
    <n v="24"/>
    <n v="12.19"/>
    <n v="4.0999999999999996"/>
    <s v="No"/>
    <x v="0"/>
  </r>
  <r>
    <s v="INC103336"/>
    <d v="2025-02-11T00:00:00"/>
    <d v="2025-02-11T18:31:48"/>
    <x v="0"/>
    <x v="2"/>
    <s v="DNS"/>
    <s v="Application Support"/>
    <s v="Noida"/>
    <s v="Portal"/>
    <s v="Resolved"/>
    <n v="48"/>
    <n v="18.53"/>
    <n v="4.4000000000000004"/>
    <s v="No"/>
    <x v="0"/>
  </r>
  <r>
    <s v="INC103337"/>
    <d v="2025-04-05T00:00:00"/>
    <d v="2025-04-05T05:22:12"/>
    <x v="3"/>
    <x v="3"/>
    <s v="Laptop"/>
    <s v="Service Desk"/>
    <s v="Gurugram"/>
    <s v="Phone"/>
    <s v="Resolved"/>
    <n v="8"/>
    <n v="5.37"/>
    <n v="4.5"/>
    <s v="No"/>
    <x v="0"/>
  </r>
  <r>
    <s v="INC103338"/>
    <d v="2025-01-10T00:00:00"/>
    <d v="2025-01-10T04:53:24"/>
    <x v="1"/>
    <x v="0"/>
    <s v="Performance"/>
    <s v="Desktop Support"/>
    <s v="Hyderabad"/>
    <s v="Portal"/>
    <s v="Closed"/>
    <n v="24"/>
    <n v="4.8899999999999997"/>
    <n v="5"/>
    <s v="No"/>
    <x v="0"/>
  </r>
  <r>
    <s v="INC103339"/>
    <d v="2025-06-05T00:00:00"/>
    <d v="2025-06-05T10:09:36"/>
    <x v="1"/>
    <x v="2"/>
    <s v="DNS"/>
    <s v="Application Support"/>
    <s v="Bengaluru"/>
    <s v="Phone"/>
    <s v="Resolved"/>
    <n v="24"/>
    <n v="10.16"/>
    <n v="3.7"/>
    <s v="Yes"/>
    <x v="0"/>
  </r>
  <r>
    <s v="INC103340"/>
    <d v="2025-06-07T00:00:00"/>
    <d v="2025-06-08T17:53:24"/>
    <x v="0"/>
    <x v="1"/>
    <s v="VPN Access"/>
    <s v="Desktop Support"/>
    <s v="Bengaluru"/>
    <s v="Phone"/>
    <s v="Closed"/>
    <n v="48"/>
    <n v="41.89"/>
    <n v="2.5"/>
    <s v="No"/>
    <x v="0"/>
  </r>
  <r>
    <s v="INC103341"/>
    <d v="2025-04-09T00:00:00"/>
    <d v="2025-04-09T13:47:24"/>
    <x v="1"/>
    <x v="1"/>
    <s v="Password Reset"/>
    <s v="Service Desk"/>
    <s v="Gurugram"/>
    <s v="Phone"/>
    <s v="Resolved"/>
    <n v="24"/>
    <n v="13.79"/>
    <n v="4.2"/>
    <s v="No"/>
    <x v="0"/>
  </r>
  <r>
    <s v="INC103342"/>
    <d v="2025-02-25T00:00:00"/>
    <d v="2025-02-25T08:10:12"/>
    <x v="1"/>
    <x v="0"/>
    <s v="License"/>
    <s v="Access Management"/>
    <s v="Mumbai"/>
    <s v="Portal"/>
    <s v="Resolved"/>
    <n v="24"/>
    <n v="8.17"/>
    <n v="4"/>
    <s v="Yes"/>
    <x v="0"/>
  </r>
  <r>
    <s v="INC103343"/>
    <d v="2025-01-18T00:00:00"/>
    <d v="2025-01-18T11:27:36"/>
    <x v="0"/>
    <x v="2"/>
    <s v="Connectivity"/>
    <s v="Network Support"/>
    <s v="Gurugram"/>
    <s v="Phone"/>
    <s v="Resolved"/>
    <n v="48"/>
    <n v="11.46"/>
    <n v="4.8"/>
    <s v="No"/>
    <x v="0"/>
  </r>
  <r>
    <s v="INC103344"/>
    <d v="2025-04-23T00:00:00"/>
    <d v="2025-04-24T04:42:00"/>
    <x v="1"/>
    <x v="1"/>
    <s v="Account Lock"/>
    <s v="Access Management"/>
    <s v="Mumbai"/>
    <s v="Phone"/>
    <s v="Resolved"/>
    <n v="24"/>
    <n v="28.7"/>
    <n v="3.5"/>
    <s v="No"/>
    <x v="1"/>
  </r>
  <r>
    <s v="INC103345"/>
    <d v="2025-04-08T00:00:00"/>
    <d v="2025-04-08T03:29:24"/>
    <x v="1"/>
    <x v="2"/>
    <s v="DNS"/>
    <s v="Application Support"/>
    <s v="Hyderabad"/>
    <s v="Portal"/>
    <s v="In Progress"/>
    <n v="24"/>
    <n v="3.49"/>
    <n v="4.2"/>
    <s v="No"/>
    <x v="0"/>
  </r>
  <r>
    <s v="INC103346"/>
    <d v="2025-05-18T00:00:00"/>
    <d v="2025-05-18T10:28:12"/>
    <x v="3"/>
    <x v="4"/>
    <s v="Delivery"/>
    <s v="Network Support"/>
    <s v="Gurugram"/>
    <s v="Phone"/>
    <s v="Resolved"/>
    <n v="8"/>
    <n v="10.47"/>
    <n v="4.8"/>
    <s v="Yes"/>
    <x v="1"/>
  </r>
  <r>
    <s v="INC103347"/>
    <d v="2025-04-20T00:00:00"/>
    <d v="2025-04-20T04:30:36"/>
    <x v="3"/>
    <x v="0"/>
    <s v="Performance"/>
    <s v="Service Desk"/>
    <s v="Mumbai"/>
    <s v="Portal"/>
    <s v="Closed"/>
    <n v="8"/>
    <n v="4.51"/>
    <n v="4.3"/>
    <s v="No"/>
    <x v="0"/>
  </r>
  <r>
    <s v="INC103348"/>
    <d v="2025-01-24T00:00:00"/>
    <d v="2025-01-24T21:53:24"/>
    <x v="0"/>
    <x v="2"/>
    <s v="Packet Loss"/>
    <s v="Service Desk"/>
    <s v="Gurugram"/>
    <s v="Chat"/>
    <s v="Resolved"/>
    <n v="48"/>
    <n v="21.89"/>
    <n v="4.0999999999999996"/>
    <s v="No"/>
    <x v="0"/>
  </r>
  <r>
    <s v="INC103349"/>
    <d v="2025-01-23T00:00:00"/>
    <d v="2025-01-25T00:35:24"/>
    <x v="0"/>
    <x v="1"/>
    <s v="VPN Access"/>
    <s v="Access Management"/>
    <s v="Hyderabad"/>
    <s v="Portal"/>
    <s v="Resolved"/>
    <n v="48"/>
    <n v="48.59"/>
    <n v="3.9"/>
    <s v="No"/>
    <x v="1"/>
  </r>
  <r>
    <s v="INC103350"/>
    <d v="2025-05-22T00:00:00"/>
    <d v="2025-05-22T08:21:00"/>
    <x v="3"/>
    <x v="0"/>
    <s v="Application Error"/>
    <s v="Desktop Support"/>
    <s v="Hyderabad"/>
    <s v="Portal"/>
    <s v="Resolved"/>
    <n v="8"/>
    <n v="8.35"/>
    <n v="4.0999999999999996"/>
    <s v="No"/>
    <x v="1"/>
  </r>
  <r>
    <s v="INC103351"/>
    <d v="2025-01-29T00:00:00"/>
    <d v="2025-01-29T02:07:48"/>
    <x v="2"/>
    <x v="3"/>
    <s v="Monitor"/>
    <s v="Service Desk"/>
    <s v="Gurugram"/>
    <s v="Email"/>
    <s v="Closed"/>
    <n v="4"/>
    <n v="2.13"/>
    <n v="3.9"/>
    <s v="No"/>
    <x v="0"/>
  </r>
  <r>
    <s v="INC103352"/>
    <d v="2025-06-19T00:00:00"/>
    <d v="2025-06-19T05:30:36"/>
    <x v="3"/>
    <x v="3"/>
    <s v="Monitor"/>
    <s v="Access Management"/>
    <s v="Gurugram"/>
    <s v="Portal"/>
    <s v="Closed"/>
    <n v="8"/>
    <n v="5.51"/>
    <n v="5"/>
    <s v="No"/>
    <x v="0"/>
  </r>
  <r>
    <s v="INC103353"/>
    <d v="2025-01-20T00:00:00"/>
    <d v="2025-01-20T08:39:36"/>
    <x v="0"/>
    <x v="0"/>
    <s v="License"/>
    <s v="Network Support"/>
    <s v="Delhi"/>
    <s v="Portal"/>
    <s v="Closed"/>
    <n v="48"/>
    <n v="8.66"/>
    <n v="3.8"/>
    <s v="No"/>
    <x v="0"/>
  </r>
  <r>
    <s v="INC103354"/>
    <d v="2025-05-12T00:00:00"/>
    <d v="2025-05-12T20:24:00"/>
    <x v="0"/>
    <x v="1"/>
    <s v="Permission"/>
    <s v="Access Management"/>
    <s v="Mumbai"/>
    <s v="Portal"/>
    <s v="Resolved"/>
    <n v="48"/>
    <n v="20.399999999999999"/>
    <n v="3.5"/>
    <s v="No"/>
    <x v="0"/>
  </r>
  <r>
    <s v="INC103355"/>
    <d v="2025-06-26T00:00:00"/>
    <d v="2025-06-26T13:51:36"/>
    <x v="0"/>
    <x v="4"/>
    <s v="Delivery"/>
    <s v="Access Management"/>
    <s v="Hyderabad"/>
    <s v="Phone"/>
    <s v="Pending"/>
    <n v="48"/>
    <n v="13.86"/>
    <n v="3.6"/>
    <s v="No"/>
    <x v="0"/>
  </r>
  <r>
    <s v="INC103356"/>
    <d v="2025-03-21T00:00:00"/>
    <d v="2025-03-21T09:40:48"/>
    <x v="3"/>
    <x v="2"/>
    <s v="DNS"/>
    <s v="Service Desk"/>
    <s v="Delhi"/>
    <s v="Portal"/>
    <s v="Closed"/>
    <n v="8"/>
    <n v="9.68"/>
    <n v="3.6"/>
    <s v="No"/>
    <x v="1"/>
  </r>
  <r>
    <s v="INC103357"/>
    <d v="2025-01-11T00:00:00"/>
    <d v="2025-01-12T03:10:12"/>
    <x v="1"/>
    <x v="0"/>
    <s v="License"/>
    <s v="Network Support"/>
    <s v="Mumbai"/>
    <s v="Email"/>
    <s v="In Progress"/>
    <n v="24"/>
    <n v="27.17"/>
    <n v="3.9"/>
    <s v="No"/>
    <x v="1"/>
  </r>
  <r>
    <s v="INC103358"/>
    <d v="2025-06-08T00:00:00"/>
    <d v="2025-06-08T04:25:48"/>
    <x v="1"/>
    <x v="0"/>
    <s v="Installation"/>
    <s v="Access Management"/>
    <s v="Mumbai"/>
    <s v="Email"/>
    <s v="Resolved"/>
    <n v="24"/>
    <n v="4.43"/>
    <n v="4.5999999999999996"/>
    <s v="No"/>
    <x v="0"/>
  </r>
  <r>
    <s v="INC103359"/>
    <d v="2025-02-03T00:00:00"/>
    <d v="2025-02-03T04:10:12"/>
    <x v="1"/>
    <x v="0"/>
    <s v="Installation"/>
    <s v="Access Management"/>
    <s v="Noida"/>
    <s v="Email"/>
    <s v="Resolved"/>
    <n v="24"/>
    <n v="4.17"/>
    <n v="5"/>
    <s v="No"/>
    <x v="0"/>
  </r>
  <r>
    <s v="INC103360"/>
    <d v="2025-04-06T00:00:00"/>
    <d v="2025-04-06T21:11:24"/>
    <x v="0"/>
    <x v="0"/>
    <s v="Application Error"/>
    <s v="Service Desk"/>
    <s v="Gurugram"/>
    <s v="Portal"/>
    <s v="Closed"/>
    <n v="48"/>
    <n v="21.19"/>
    <n v="4.8"/>
    <s v="Yes"/>
    <x v="0"/>
  </r>
  <r>
    <s v="INC103361"/>
    <d v="2025-06-28T00:00:00"/>
    <d v="2025-06-29T08:09:00"/>
    <x v="1"/>
    <x v="3"/>
    <s v="Laptop"/>
    <s v="Network Support"/>
    <s v="Bengaluru"/>
    <s v="Portal"/>
    <s v="Resolved"/>
    <n v="24"/>
    <n v="32.15"/>
    <n v="3.2"/>
    <s v="No"/>
    <x v="1"/>
  </r>
  <r>
    <s v="INC103362"/>
    <d v="2025-05-15T00:00:00"/>
    <d v="2025-05-15T17:05:24"/>
    <x v="0"/>
    <x v="1"/>
    <s v="Account Lock"/>
    <s v="Service Desk"/>
    <s v="Bengaluru"/>
    <s v="Chat"/>
    <s v="Closed"/>
    <n v="48"/>
    <n v="17.09"/>
    <n v="4.9000000000000004"/>
    <s v="No"/>
    <x v="0"/>
  </r>
  <r>
    <s v="INC103363"/>
    <d v="2025-01-09T00:00:00"/>
    <d v="2025-01-10T23:12:36"/>
    <x v="1"/>
    <x v="3"/>
    <s v="Printer"/>
    <s v="Network Support"/>
    <s v="Mumbai"/>
    <s v="Phone"/>
    <s v="Resolved"/>
    <n v="24"/>
    <n v="47.21"/>
    <n v="2.5"/>
    <s v="No"/>
    <x v="1"/>
  </r>
  <r>
    <s v="INC103364"/>
    <d v="2025-05-29T00:00:00"/>
    <d v="2025-05-29T01:12:00"/>
    <x v="3"/>
    <x v="2"/>
    <s v="DNS"/>
    <s v="Application Support"/>
    <s v="Bengaluru"/>
    <s v="Chat"/>
    <s v="Resolved"/>
    <n v="8"/>
    <n v="1.2"/>
    <n v="4.5999999999999996"/>
    <s v="No"/>
    <x v="0"/>
  </r>
  <r>
    <s v="INC103365"/>
    <d v="2025-01-30T00:00:00"/>
    <d v="2025-01-30T06:42:36"/>
    <x v="1"/>
    <x v="0"/>
    <s v="Installation"/>
    <s v="Desktop Support"/>
    <s v="Delhi"/>
    <s v="Phone"/>
    <s v="Resolved"/>
    <n v="24"/>
    <n v="6.71"/>
    <n v="4.3"/>
    <s v="No"/>
    <x v="0"/>
  </r>
  <r>
    <s v="INC103366"/>
    <d v="2025-05-16T00:00:00"/>
    <d v="2025-05-16T04:18:00"/>
    <x v="1"/>
    <x v="2"/>
    <s v="Packet Loss"/>
    <s v="Service Desk"/>
    <s v="Gurugram"/>
    <s v="Phone"/>
    <s v="Resolved"/>
    <n v="24"/>
    <n v="4.3"/>
    <n v="4.9000000000000004"/>
    <s v="No"/>
    <x v="0"/>
  </r>
  <r>
    <s v="INC103367"/>
    <d v="2025-04-23T00:00:00"/>
    <d v="2025-04-23T04:19:12"/>
    <x v="3"/>
    <x v="2"/>
    <s v="DNS"/>
    <s v="Application Support"/>
    <s v="Noida"/>
    <s v="Chat"/>
    <s v="Resolved"/>
    <n v="8"/>
    <n v="4.32"/>
    <n v="5"/>
    <s v="No"/>
    <x v="0"/>
  </r>
  <r>
    <s v="INC103368"/>
    <d v="2025-02-22T00:00:00"/>
    <d v="2025-02-22T08:22:12"/>
    <x v="1"/>
    <x v="2"/>
    <s v="Link Down"/>
    <s v="Application Support"/>
    <s v="Noida"/>
    <s v="Email"/>
    <s v="In Progress"/>
    <n v="24"/>
    <n v="8.3699999999999992"/>
    <n v="3.8"/>
    <s v="No"/>
    <x v="0"/>
  </r>
  <r>
    <s v="INC103369"/>
    <d v="2025-03-18T00:00:00"/>
    <d v="2025-03-20T12:24:00"/>
    <x v="0"/>
    <x v="0"/>
    <s v="Application Error"/>
    <s v="Network Support"/>
    <s v="Noida"/>
    <s v="Chat"/>
    <s v="Resolved"/>
    <n v="48"/>
    <n v="60.4"/>
    <n v="3.2"/>
    <s v="No"/>
    <x v="1"/>
  </r>
  <r>
    <s v="INC103370"/>
    <d v="2025-01-22T00:00:00"/>
    <d v="2025-01-22T15:36:00"/>
    <x v="0"/>
    <x v="4"/>
    <s v="Configuration"/>
    <s v="Desktop Support"/>
    <s v="Hyderabad"/>
    <s v="Portal"/>
    <s v="Resolved"/>
    <n v="48"/>
    <n v="15.6"/>
    <n v="4.7"/>
    <s v="No"/>
    <x v="0"/>
  </r>
  <r>
    <s v="INC103371"/>
    <d v="2025-06-28T00:00:00"/>
    <d v="2025-06-28T21:31:48"/>
    <x v="1"/>
    <x v="3"/>
    <s v="Printer"/>
    <s v="Access Management"/>
    <s v="Gurugram"/>
    <s v="Portal"/>
    <s v="Resolved"/>
    <n v="24"/>
    <n v="21.53"/>
    <n v="5"/>
    <s v="No"/>
    <x v="0"/>
  </r>
  <r>
    <s v="INC103372"/>
    <d v="2025-02-13T00:00:00"/>
    <d v="2025-02-13T09:07:48"/>
    <x v="0"/>
    <x v="2"/>
    <s v="Connectivity"/>
    <s v="Application Support"/>
    <s v="Mumbai"/>
    <s v="Email"/>
    <s v="Resolved"/>
    <n v="48"/>
    <n v="9.1300000000000008"/>
    <n v="5"/>
    <s v="No"/>
    <x v="0"/>
  </r>
  <r>
    <s v="INC103373"/>
    <d v="2025-02-25T00:00:00"/>
    <d v="2025-02-25T19:25:12"/>
    <x v="0"/>
    <x v="1"/>
    <s v="Account Lock"/>
    <s v="Access Management"/>
    <s v="Noida"/>
    <s v="Email"/>
    <s v="Resolved"/>
    <n v="48"/>
    <n v="19.420000000000002"/>
    <n v="4"/>
    <s v="No"/>
    <x v="0"/>
  </r>
  <r>
    <s v="INC103374"/>
    <d v="2025-04-02T00:00:00"/>
    <d v="2025-04-02T03:42:36"/>
    <x v="0"/>
    <x v="2"/>
    <s v="Link Down"/>
    <s v="Access Management"/>
    <s v="Hyderabad"/>
    <s v="Portal"/>
    <s v="Resolved"/>
    <n v="48"/>
    <n v="3.71"/>
    <n v="4.3"/>
    <s v="No"/>
    <x v="0"/>
  </r>
  <r>
    <s v="INC103375"/>
    <d v="2025-05-02T00:00:00"/>
    <d v="2025-05-04T17:01:48"/>
    <x v="0"/>
    <x v="4"/>
    <s v="Mailbox"/>
    <s v="Network Support"/>
    <s v="Hyderabad"/>
    <s v="Email"/>
    <s v="Resolved"/>
    <n v="48"/>
    <n v="65.03"/>
    <n v="4"/>
    <s v="No"/>
    <x v="1"/>
  </r>
  <r>
    <s v="INC103376"/>
    <d v="2025-04-02T00:00:00"/>
    <d v="2025-04-02T10:33:36"/>
    <x v="1"/>
    <x v="0"/>
    <s v="Installation"/>
    <s v="Service Desk"/>
    <s v="Mumbai"/>
    <s v="Email"/>
    <s v="Resolved"/>
    <n v="24"/>
    <n v="10.56"/>
    <n v="4.3"/>
    <s v="Yes"/>
    <x v="0"/>
  </r>
  <r>
    <s v="INC103377"/>
    <d v="2025-04-02T00:00:00"/>
    <d v="2025-04-02T21:25:48"/>
    <x v="1"/>
    <x v="2"/>
    <s v="DNS"/>
    <s v="Desktop Support"/>
    <s v="Mumbai"/>
    <s v="Phone"/>
    <s v="Closed"/>
    <n v="24"/>
    <n v="21.43"/>
    <n v="3.1"/>
    <s v="No"/>
    <x v="0"/>
  </r>
  <r>
    <s v="INC103378"/>
    <d v="2025-04-16T00:00:00"/>
    <d v="2025-04-16T05:22:48"/>
    <x v="0"/>
    <x v="0"/>
    <s v="Performance"/>
    <s v="Desktop Support"/>
    <s v="Bengaluru"/>
    <s v="Portal"/>
    <s v="In Progress"/>
    <n v="48"/>
    <n v="5.38"/>
    <n v="5"/>
    <s v="No"/>
    <x v="0"/>
  </r>
  <r>
    <s v="INC103379"/>
    <d v="2025-06-05T00:00:00"/>
    <d v="2025-06-05T03:18:00"/>
    <x v="1"/>
    <x v="3"/>
    <s v="Peripheral"/>
    <s v="Application Support"/>
    <s v="Bengaluru"/>
    <s v="Portal"/>
    <s v="Closed"/>
    <n v="24"/>
    <n v="3.3"/>
    <n v="5"/>
    <s v="No"/>
    <x v="0"/>
  </r>
  <r>
    <s v="INC103380"/>
    <d v="2025-03-13T00:00:00"/>
    <d v="2025-03-13T09:21:00"/>
    <x v="0"/>
    <x v="1"/>
    <s v="VPN Access"/>
    <s v="Application Support"/>
    <s v="Bengaluru"/>
    <s v="Phone"/>
    <s v="Resolved"/>
    <n v="48"/>
    <n v="9.35"/>
    <n v="4"/>
    <s v="No"/>
    <x v="0"/>
  </r>
  <r>
    <s v="INC103381"/>
    <d v="2025-05-31T00:00:00"/>
    <d v="2025-05-31T07:10:48"/>
    <x v="1"/>
    <x v="2"/>
    <s v="Link Down"/>
    <s v="Application Support"/>
    <s v="Delhi"/>
    <s v="Email"/>
    <s v="Resolved"/>
    <n v="24"/>
    <n v="7.18"/>
    <n v="3.8"/>
    <s v="No"/>
    <x v="0"/>
  </r>
  <r>
    <s v="INC103382"/>
    <d v="2025-05-23T00:00:00"/>
    <d v="2025-05-25T01:40:48"/>
    <x v="0"/>
    <x v="1"/>
    <s v="Password Reset"/>
    <s v="Network Support"/>
    <s v="Hyderabad"/>
    <s v="Phone"/>
    <s v="Resolved"/>
    <n v="48"/>
    <n v="49.68"/>
    <n v="2.2999999999999998"/>
    <s v="Yes"/>
    <x v="1"/>
  </r>
  <r>
    <s v="INC103383"/>
    <d v="2025-06-23T00:00:00"/>
    <d v="2025-06-23T02:42:00"/>
    <x v="3"/>
    <x v="1"/>
    <s v="Password Reset"/>
    <s v="Application Support"/>
    <s v="Hyderabad"/>
    <s v="Portal"/>
    <s v="Resolved"/>
    <n v="8"/>
    <n v="2.7"/>
    <n v="4.2"/>
    <s v="No"/>
    <x v="0"/>
  </r>
  <r>
    <s v="INC103384"/>
    <d v="2025-06-15T00:00:00"/>
    <d v="2025-06-15T02:52:12"/>
    <x v="2"/>
    <x v="1"/>
    <s v="VPN Access"/>
    <s v="Application Support"/>
    <s v="Bengaluru"/>
    <s v="Portal"/>
    <s v="Closed"/>
    <n v="4"/>
    <n v="2.87"/>
    <n v="4.3"/>
    <s v="No"/>
    <x v="0"/>
  </r>
  <r>
    <s v="INC103385"/>
    <d v="2025-05-25T00:00:00"/>
    <d v="2025-05-26T13:45:36"/>
    <x v="1"/>
    <x v="4"/>
    <s v="Spam"/>
    <s v="Application Support"/>
    <s v="Hyderabad"/>
    <s v="Chat"/>
    <s v="Resolved"/>
    <n v="24"/>
    <n v="37.76"/>
    <n v="3.7"/>
    <s v="No"/>
    <x v="1"/>
  </r>
  <r>
    <s v="INC103386"/>
    <d v="2025-02-14T00:00:00"/>
    <d v="2025-02-14T18:41:24"/>
    <x v="0"/>
    <x v="2"/>
    <s v="Packet Loss"/>
    <s v="Desktop Support"/>
    <s v="Noida"/>
    <s v="Portal"/>
    <s v="Resolved"/>
    <n v="48"/>
    <n v="18.690000000000001"/>
    <n v="4.8"/>
    <s v="No"/>
    <x v="0"/>
  </r>
  <r>
    <s v="INC103387"/>
    <d v="2025-05-21T00:00:00"/>
    <d v="2025-05-21T06:03:00"/>
    <x v="0"/>
    <x v="0"/>
    <s v="Installation"/>
    <s v="Network Support"/>
    <s v="Delhi"/>
    <s v="Email"/>
    <s v="Closed"/>
    <n v="48"/>
    <n v="6.05"/>
    <n v="4"/>
    <s v="No"/>
    <x v="0"/>
  </r>
  <r>
    <s v="INC103388"/>
    <d v="2025-05-14T00:00:00"/>
    <d v="2025-05-14T09:31:12"/>
    <x v="0"/>
    <x v="1"/>
    <s v="VPN Access"/>
    <s v="Network Support"/>
    <s v="Hyderabad"/>
    <s v="Portal"/>
    <s v="Resolved"/>
    <n v="48"/>
    <n v="9.52"/>
    <n v="4.5999999999999996"/>
    <s v="No"/>
    <x v="0"/>
  </r>
  <r>
    <s v="INC103389"/>
    <d v="2025-02-22T00:00:00"/>
    <d v="2025-02-22T06:08:24"/>
    <x v="3"/>
    <x v="3"/>
    <s v="Printer"/>
    <s v="Application Support"/>
    <s v="Bengaluru"/>
    <s v="Portal"/>
    <s v="Resolved"/>
    <n v="8"/>
    <n v="6.14"/>
    <n v="5"/>
    <s v="Yes"/>
    <x v="0"/>
  </r>
  <r>
    <s v="INC103390"/>
    <d v="2025-05-03T00:00:00"/>
    <d v="2025-05-03T13:57:36"/>
    <x v="0"/>
    <x v="2"/>
    <s v="DNS"/>
    <s v="Access Management"/>
    <s v="Hyderabad"/>
    <s v="Phone"/>
    <s v="Pending"/>
    <n v="48"/>
    <n v="13.96"/>
    <n v="4.3"/>
    <s v="No"/>
    <x v="0"/>
  </r>
  <r>
    <s v="INC103391"/>
    <d v="2025-02-15T00:00:00"/>
    <d v="2025-02-15T00:30:00"/>
    <x v="2"/>
    <x v="3"/>
    <s v="Monitor"/>
    <s v="Access Management"/>
    <s v="Gurugram"/>
    <s v="Portal"/>
    <s v="Resolved"/>
    <n v="4"/>
    <n v="0.5"/>
    <n v="5"/>
    <s v="No"/>
    <x v="0"/>
  </r>
  <r>
    <s v="INC103392"/>
    <d v="2025-04-05T00:00:00"/>
    <d v="2025-04-07T12:02:24"/>
    <x v="1"/>
    <x v="2"/>
    <s v="DNS"/>
    <s v="Desktop Support"/>
    <s v="Noida"/>
    <s v="Portal"/>
    <s v="Closed"/>
    <n v="24"/>
    <n v="60.04"/>
    <n v="2.4"/>
    <s v="No"/>
    <x v="1"/>
  </r>
  <r>
    <s v="INC103393"/>
    <d v="2025-05-25T00:00:00"/>
    <d v="2025-05-26T02:11:24"/>
    <x v="1"/>
    <x v="1"/>
    <s v="Permission"/>
    <s v="Desktop Support"/>
    <s v="Mumbai"/>
    <s v="Phone"/>
    <s v="Resolved"/>
    <n v="24"/>
    <n v="26.19"/>
    <n v="4.2"/>
    <s v="No"/>
    <x v="1"/>
  </r>
  <r>
    <s v="INC103394"/>
    <d v="2025-02-04T00:00:00"/>
    <d v="2025-02-04T01:52:12"/>
    <x v="3"/>
    <x v="3"/>
    <s v="Laptop"/>
    <s v="Network Support"/>
    <s v="Delhi"/>
    <s v="Portal"/>
    <s v="Pending"/>
    <n v="8"/>
    <n v="1.87"/>
    <n v="5"/>
    <s v="No"/>
    <x v="0"/>
  </r>
  <r>
    <s v="INC103395"/>
    <d v="2025-03-02T00:00:00"/>
    <d v="2025-03-05T17:49:12"/>
    <x v="0"/>
    <x v="0"/>
    <s v="Application Error"/>
    <s v="Desktop Support"/>
    <s v="Hyderabad"/>
    <s v="Portal"/>
    <s v="Closed"/>
    <n v="48"/>
    <n v="89.82"/>
    <n v="3.2"/>
    <s v="No"/>
    <x v="1"/>
  </r>
  <r>
    <s v="INC103396"/>
    <d v="2025-05-24T00:00:00"/>
    <d v="2025-05-24T17:24:36"/>
    <x v="3"/>
    <x v="4"/>
    <s v="Spam"/>
    <s v="Network Support"/>
    <s v="Bengaluru"/>
    <s v="Email"/>
    <s v="Resolved"/>
    <n v="8"/>
    <n v="17.41"/>
    <n v="1.4"/>
    <s v="No"/>
    <x v="1"/>
  </r>
  <r>
    <s v="INC103397"/>
    <d v="2025-03-24T00:00:00"/>
    <d v="2025-03-27T06:27:00"/>
    <x v="0"/>
    <x v="3"/>
    <s v="Laptop"/>
    <s v="Application Support"/>
    <s v="Gurugram"/>
    <s v="Portal"/>
    <s v="Pending"/>
    <n v="48"/>
    <n v="78.45"/>
    <n v="4"/>
    <s v="Yes"/>
    <x v="1"/>
  </r>
  <r>
    <s v="INC103398"/>
    <d v="2025-06-23T00:00:00"/>
    <d v="2025-06-23T03:12:00"/>
    <x v="3"/>
    <x v="1"/>
    <s v="VPN Access"/>
    <s v="Application Support"/>
    <s v="Mumbai"/>
    <s v="Email"/>
    <s v="Resolved"/>
    <n v="8"/>
    <n v="3.2"/>
    <n v="3.3"/>
    <s v="No"/>
    <x v="0"/>
  </r>
  <r>
    <s v="INC103399"/>
    <d v="2025-01-02T00:00:00"/>
    <d v="2025-01-02T11:27:00"/>
    <x v="1"/>
    <x v="2"/>
    <s v="Connectivity"/>
    <s v="Network Support"/>
    <s v="Hyderabad"/>
    <s v="Portal"/>
    <s v="In Progress"/>
    <n v="24"/>
    <n v="11.45"/>
    <n v="4.5999999999999996"/>
    <s v="No"/>
    <x v="0"/>
  </r>
  <r>
    <s v="INC103400"/>
    <d v="2025-05-11T00:00:00"/>
    <d v="2025-05-12T11:37:12"/>
    <x v="0"/>
    <x v="2"/>
    <s v="Packet Loss"/>
    <s v="Access Management"/>
    <s v="Noida"/>
    <s v="Portal"/>
    <s v="Closed"/>
    <n v="48"/>
    <n v="35.619999999999997"/>
    <n v="4.0999999999999996"/>
    <s v="Yes"/>
    <x v="0"/>
  </r>
  <r>
    <s v="INC103401"/>
    <d v="2025-05-28T00:00:00"/>
    <d v="2025-05-28T02:04:48"/>
    <x v="3"/>
    <x v="2"/>
    <s v="Packet Loss"/>
    <s v="Application Support"/>
    <s v="Bengaluru"/>
    <s v="Portal"/>
    <s v="Resolved"/>
    <n v="8"/>
    <n v="2.08"/>
    <n v="4.3"/>
    <s v="No"/>
    <x v="0"/>
  </r>
  <r>
    <s v="INC103402"/>
    <d v="2025-06-16T00:00:00"/>
    <d v="2025-06-18T01:32:24"/>
    <x v="0"/>
    <x v="3"/>
    <s v="Printer"/>
    <s v="Service Desk"/>
    <s v="Mumbai"/>
    <s v="Phone"/>
    <s v="Resolved"/>
    <n v="48"/>
    <n v="49.54"/>
    <n v="3.1"/>
    <s v="No"/>
    <x v="1"/>
  </r>
  <r>
    <s v="INC103403"/>
    <d v="2025-01-29T00:00:00"/>
    <d v="2025-01-30T06:43:48"/>
    <x v="0"/>
    <x v="3"/>
    <s v="Printer"/>
    <s v="Desktop Support"/>
    <s v="Delhi"/>
    <s v="Portal"/>
    <s v="Resolved"/>
    <n v="48"/>
    <n v="30.73"/>
    <n v="4.5999999999999996"/>
    <s v="No"/>
    <x v="0"/>
  </r>
  <r>
    <s v="INC103404"/>
    <d v="2025-06-28T00:00:00"/>
    <d v="2025-06-28T08:05:24"/>
    <x v="3"/>
    <x v="3"/>
    <s v="Peripheral"/>
    <s v="Network Support"/>
    <s v="Bengaluru"/>
    <s v="Chat"/>
    <s v="Resolved"/>
    <n v="8"/>
    <n v="8.09"/>
    <n v="4.3"/>
    <s v="Yes"/>
    <x v="1"/>
  </r>
  <r>
    <s v="INC103405"/>
    <d v="2025-03-13T00:00:00"/>
    <d v="2025-03-13T08:11:24"/>
    <x v="1"/>
    <x v="2"/>
    <s v="DNS"/>
    <s v="Access Management"/>
    <s v="Bengaluru"/>
    <s v="Portal"/>
    <s v="Resolved"/>
    <n v="24"/>
    <n v="8.19"/>
    <n v="4.5"/>
    <s v="No"/>
    <x v="0"/>
  </r>
  <r>
    <s v="INC103406"/>
    <d v="2025-03-05T00:00:00"/>
    <d v="2025-03-05T04:49:48"/>
    <x v="3"/>
    <x v="2"/>
    <s v="DNS"/>
    <s v="Network Support"/>
    <s v="Gurugram"/>
    <s v="Portal"/>
    <s v="Resolved"/>
    <n v="8"/>
    <n v="4.83"/>
    <n v="4.0999999999999996"/>
    <s v="No"/>
    <x v="0"/>
  </r>
  <r>
    <s v="INC103407"/>
    <d v="2025-03-06T00:00:00"/>
    <d v="2025-03-06T03:51:00"/>
    <x v="1"/>
    <x v="0"/>
    <s v="Installation"/>
    <s v="Access Management"/>
    <s v="Gurugram"/>
    <s v="Phone"/>
    <s v="Closed"/>
    <n v="24"/>
    <n v="3.85"/>
    <n v="5"/>
    <s v="No"/>
    <x v="0"/>
  </r>
  <r>
    <s v="INC103408"/>
    <d v="2025-04-26T00:00:00"/>
    <d v="2025-04-26T07:31:12"/>
    <x v="1"/>
    <x v="2"/>
    <s v="Packet Loss"/>
    <s v="Application Support"/>
    <s v="Bengaluru"/>
    <s v="Portal"/>
    <s v="Pending"/>
    <n v="24"/>
    <n v="7.52"/>
    <n v="4.3"/>
    <s v="No"/>
    <x v="0"/>
  </r>
  <r>
    <s v="INC103409"/>
    <d v="2025-04-30T00:00:00"/>
    <d v="2025-04-30T17:43:48"/>
    <x v="0"/>
    <x v="1"/>
    <s v="Password Reset"/>
    <s v="Access Management"/>
    <s v="Mumbai"/>
    <s v="Email"/>
    <s v="Resolved"/>
    <n v="48"/>
    <n v="17.73"/>
    <n v="4.5"/>
    <s v="Yes"/>
    <x v="0"/>
  </r>
  <r>
    <s v="INC103410"/>
    <d v="2025-03-27T00:00:00"/>
    <d v="2025-03-28T12:42:00"/>
    <x v="0"/>
    <x v="4"/>
    <s v="Configuration"/>
    <s v="Service Desk"/>
    <s v="Noida"/>
    <s v="Chat"/>
    <s v="Closed"/>
    <n v="48"/>
    <n v="36.700000000000003"/>
    <n v="4"/>
    <s v="No"/>
    <x v="0"/>
  </r>
  <r>
    <s v="INC103411"/>
    <d v="2025-01-13T00:00:00"/>
    <d v="2025-01-13T03:51:00"/>
    <x v="2"/>
    <x v="0"/>
    <s v="Application Error"/>
    <s v="Access Management"/>
    <s v="Delhi"/>
    <s v="Phone"/>
    <s v="Resolved"/>
    <n v="4"/>
    <n v="3.85"/>
    <n v="5"/>
    <s v="No"/>
    <x v="0"/>
  </r>
  <r>
    <s v="INC103412"/>
    <d v="2025-06-28T00:00:00"/>
    <d v="2025-06-28T09:01:48"/>
    <x v="0"/>
    <x v="0"/>
    <s v="Application Error"/>
    <s v="Desktop Support"/>
    <s v="Mumbai"/>
    <s v="Email"/>
    <s v="Pending"/>
    <n v="48"/>
    <n v="9.0299999999999994"/>
    <n v="4.2"/>
    <s v="Yes"/>
    <x v="0"/>
  </r>
  <r>
    <s v="INC103413"/>
    <d v="2025-02-10T00:00:00"/>
    <d v="2025-02-11T04:42:36"/>
    <x v="1"/>
    <x v="0"/>
    <s v="License"/>
    <s v="Service Desk"/>
    <s v="Gurugram"/>
    <s v="Phone"/>
    <s v="In Progress"/>
    <n v="24"/>
    <n v="28.71"/>
    <n v="4.0999999999999996"/>
    <s v="No"/>
    <x v="1"/>
  </r>
  <r>
    <s v="INC103414"/>
    <d v="2025-01-17T00:00:00"/>
    <d v="2025-01-18T09:28:12"/>
    <x v="0"/>
    <x v="0"/>
    <s v="License"/>
    <s v="Service Desk"/>
    <s v="Delhi"/>
    <s v="Portal"/>
    <s v="Pending"/>
    <n v="48"/>
    <n v="33.47"/>
    <n v="3.1"/>
    <s v="No"/>
    <x v="0"/>
  </r>
  <r>
    <s v="INC103415"/>
    <d v="2025-04-19T00:00:00"/>
    <d v="2025-04-20T15:00:36"/>
    <x v="0"/>
    <x v="4"/>
    <s v="Mailbox"/>
    <s v="Access Management"/>
    <s v="Gurugram"/>
    <s v="Phone"/>
    <s v="Closed"/>
    <n v="48"/>
    <n v="39.01"/>
    <n v="3.4"/>
    <s v="No"/>
    <x v="0"/>
  </r>
  <r>
    <s v="INC103416"/>
    <d v="2025-03-16T00:00:00"/>
    <d v="2025-03-16T22:58:48"/>
    <x v="1"/>
    <x v="4"/>
    <s v="Configuration"/>
    <s v="Desktop Support"/>
    <s v="Mumbai"/>
    <s v="Portal"/>
    <s v="Resolved"/>
    <n v="24"/>
    <n v="22.98"/>
    <n v="3.7"/>
    <s v="No"/>
    <x v="0"/>
  </r>
  <r>
    <s v="INC103417"/>
    <d v="2025-04-22T00:00:00"/>
    <d v="2025-04-22T01:48:00"/>
    <x v="3"/>
    <x v="3"/>
    <s v="Laptop"/>
    <s v="Desktop Support"/>
    <s v="Mumbai"/>
    <s v="Portal"/>
    <s v="Resolved"/>
    <n v="8"/>
    <n v="1.8"/>
    <n v="4.5999999999999996"/>
    <s v="No"/>
    <x v="0"/>
  </r>
  <r>
    <s v="INC103418"/>
    <d v="2025-06-08T00:00:00"/>
    <d v="2025-06-08T09:27:00"/>
    <x v="3"/>
    <x v="0"/>
    <s v="Application Error"/>
    <s v="Application Support"/>
    <s v="Gurugram"/>
    <s v="Email"/>
    <s v="Resolved"/>
    <n v="8"/>
    <n v="9.4499999999999993"/>
    <n v="3.4"/>
    <s v="No"/>
    <x v="1"/>
  </r>
  <r>
    <s v="INC103419"/>
    <d v="2025-01-18T00:00:00"/>
    <d v="2025-01-18T02:21:36"/>
    <x v="3"/>
    <x v="1"/>
    <s v="VPN Access"/>
    <s v="Desktop Support"/>
    <s v="Bengaluru"/>
    <s v="Portal"/>
    <s v="Resolved"/>
    <n v="8"/>
    <n v="2.36"/>
    <n v="4.5999999999999996"/>
    <s v="No"/>
    <x v="0"/>
  </r>
  <r>
    <s v="INC103420"/>
    <d v="2025-02-21T00:00:00"/>
    <d v="2025-02-21T22:01:12"/>
    <x v="0"/>
    <x v="2"/>
    <s v="Connectivity"/>
    <s v="Desktop Support"/>
    <s v="Hyderabad"/>
    <s v="Phone"/>
    <s v="Resolved"/>
    <n v="48"/>
    <n v="22.02"/>
    <n v="4"/>
    <s v="No"/>
    <x v="0"/>
  </r>
  <r>
    <s v="INC103421"/>
    <d v="2025-04-04T00:00:00"/>
    <d v="2025-04-04T09:39:00"/>
    <x v="1"/>
    <x v="0"/>
    <s v="Application Error"/>
    <s v="Service Desk"/>
    <s v="Mumbai"/>
    <s v="Portal"/>
    <s v="Resolved"/>
    <n v="24"/>
    <n v="9.65"/>
    <n v="5"/>
    <s v="No"/>
    <x v="0"/>
  </r>
  <r>
    <s v="INC103422"/>
    <d v="2025-05-23T00:00:00"/>
    <d v="2025-05-26T18:00:00"/>
    <x v="0"/>
    <x v="0"/>
    <s v="License"/>
    <s v="Network Support"/>
    <s v="Mumbai"/>
    <s v="Portal"/>
    <s v="Closed"/>
    <n v="48"/>
    <n v="90"/>
    <n v="2.1"/>
    <s v="No"/>
    <x v="1"/>
  </r>
  <r>
    <s v="INC103423"/>
    <d v="2025-04-19T00:00:00"/>
    <d v="2025-04-19T01:51:36"/>
    <x v="3"/>
    <x v="0"/>
    <s v="Performance"/>
    <s v="Access Management"/>
    <s v="Delhi"/>
    <s v="Email"/>
    <s v="Closed"/>
    <n v="8"/>
    <n v="1.86"/>
    <n v="5"/>
    <s v="No"/>
    <x v="0"/>
  </r>
  <r>
    <s v="INC103424"/>
    <d v="2025-03-11T00:00:00"/>
    <d v="2025-03-12T15:19:12"/>
    <x v="1"/>
    <x v="3"/>
    <s v="Printer"/>
    <s v="Desktop Support"/>
    <s v="Gurugram"/>
    <s v="Email"/>
    <s v="Resolved"/>
    <n v="24"/>
    <n v="39.32"/>
    <n v="3.5"/>
    <s v="No"/>
    <x v="1"/>
  </r>
  <r>
    <s v="INC103425"/>
    <d v="2025-04-21T00:00:00"/>
    <d v="2025-04-22T08:42:36"/>
    <x v="1"/>
    <x v="3"/>
    <s v="Peripheral"/>
    <s v="Access Management"/>
    <s v="Delhi"/>
    <s v="Chat"/>
    <s v="Closed"/>
    <n v="24"/>
    <n v="32.71"/>
    <n v="2.7"/>
    <s v="No"/>
    <x v="1"/>
  </r>
  <r>
    <s v="INC103426"/>
    <d v="2025-06-27T00:00:00"/>
    <d v="2025-06-27T07:10:12"/>
    <x v="0"/>
    <x v="2"/>
    <s v="Connectivity"/>
    <s v="Desktop Support"/>
    <s v="Hyderabad"/>
    <s v="Portal"/>
    <s v="Resolved"/>
    <n v="48"/>
    <n v="7.17"/>
    <n v="4.5999999999999996"/>
    <s v="No"/>
    <x v="0"/>
  </r>
  <r>
    <s v="INC103427"/>
    <d v="2025-03-28T00:00:00"/>
    <d v="2025-03-28T02:18:00"/>
    <x v="3"/>
    <x v="0"/>
    <s v="License"/>
    <s v="Desktop Support"/>
    <s v="Noida"/>
    <s v="Portal"/>
    <s v="Resolved"/>
    <n v="8"/>
    <n v="2.2999999999999998"/>
    <n v="4.7"/>
    <s v="No"/>
    <x v="0"/>
  </r>
  <r>
    <s v="INC103428"/>
    <d v="2025-06-09T00:00:00"/>
    <d v="2025-06-09T02:20:24"/>
    <x v="3"/>
    <x v="4"/>
    <s v="Spam"/>
    <s v="Desktop Support"/>
    <s v="Noida"/>
    <s v="Portal"/>
    <s v="Resolved"/>
    <n v="8"/>
    <n v="2.34"/>
    <n v="5"/>
    <s v="No"/>
    <x v="0"/>
  </r>
  <r>
    <s v="INC103429"/>
    <d v="2025-05-22T00:00:00"/>
    <d v="2025-05-22T06:35:24"/>
    <x v="3"/>
    <x v="4"/>
    <s v="Delivery"/>
    <s v="Access Management"/>
    <s v="Bengaluru"/>
    <s v="Portal"/>
    <s v="Resolved"/>
    <n v="8"/>
    <n v="6.59"/>
    <n v="3.8"/>
    <s v="Yes"/>
    <x v="0"/>
  </r>
  <r>
    <s v="INC103430"/>
    <d v="2025-02-24T00:00:00"/>
    <d v="2025-02-26T08:50:24"/>
    <x v="0"/>
    <x v="3"/>
    <s v="Monitor"/>
    <s v="Network Support"/>
    <s v="Bengaluru"/>
    <s v="Portal"/>
    <s v="Resolved"/>
    <n v="48"/>
    <n v="56.84"/>
    <n v="5"/>
    <s v="No"/>
    <x v="1"/>
  </r>
  <r>
    <s v="INC103431"/>
    <d v="2025-02-15T00:00:00"/>
    <d v="2025-02-15T01:10:12"/>
    <x v="2"/>
    <x v="2"/>
    <s v="Link Down"/>
    <s v="Desktop Support"/>
    <s v="Delhi"/>
    <s v="Phone"/>
    <s v="Resolved"/>
    <n v="4"/>
    <n v="1.17"/>
    <n v="5"/>
    <s v="No"/>
    <x v="0"/>
  </r>
  <r>
    <s v="INC103432"/>
    <d v="2025-05-20T00:00:00"/>
    <d v="2025-05-20T05:40:12"/>
    <x v="0"/>
    <x v="1"/>
    <s v="Account Lock"/>
    <s v="Network Support"/>
    <s v="Hyderabad"/>
    <s v="Portal"/>
    <s v="Resolved"/>
    <n v="48"/>
    <n v="5.67"/>
    <n v="5"/>
    <s v="Yes"/>
    <x v="0"/>
  </r>
  <r>
    <s v="INC103433"/>
    <d v="2025-02-07T00:00:00"/>
    <d v="2025-02-07T19:49:12"/>
    <x v="1"/>
    <x v="1"/>
    <s v="Permission"/>
    <s v="Access Management"/>
    <s v="Noida"/>
    <s v="Chat"/>
    <s v="Resolved"/>
    <n v="24"/>
    <n v="19.82"/>
    <n v="4.5999999999999996"/>
    <s v="Yes"/>
    <x v="0"/>
  </r>
  <r>
    <s v="INC103434"/>
    <d v="2025-03-02T00:00:00"/>
    <d v="2025-03-03T02:25:12"/>
    <x v="0"/>
    <x v="0"/>
    <s v="License"/>
    <s v="Desktop Support"/>
    <s v="Hyderabad"/>
    <s v="Email"/>
    <s v="Resolved"/>
    <n v="48"/>
    <n v="26.42"/>
    <n v="3.2"/>
    <s v="No"/>
    <x v="0"/>
  </r>
  <r>
    <s v="INC103435"/>
    <d v="2025-02-12T00:00:00"/>
    <d v="2025-02-12T06:58:48"/>
    <x v="0"/>
    <x v="3"/>
    <s v="Laptop"/>
    <s v="Access Management"/>
    <s v="Mumbai"/>
    <s v="Email"/>
    <s v="Closed"/>
    <n v="48"/>
    <n v="6.98"/>
    <n v="5"/>
    <s v="No"/>
    <x v="0"/>
  </r>
  <r>
    <s v="INC103436"/>
    <d v="2025-04-20T00:00:00"/>
    <d v="2025-04-20T17:54:00"/>
    <x v="1"/>
    <x v="2"/>
    <s v="Packet Loss"/>
    <s v="Service Desk"/>
    <s v="Mumbai"/>
    <s v="Portal"/>
    <s v="Resolved"/>
    <n v="24"/>
    <n v="17.899999999999999"/>
    <n v="3.2"/>
    <s v="No"/>
    <x v="0"/>
  </r>
  <r>
    <s v="INC103437"/>
    <d v="2025-02-23T00:00:00"/>
    <d v="2025-02-24T00:54:36"/>
    <x v="0"/>
    <x v="1"/>
    <s v="VPN Access"/>
    <s v="Network Support"/>
    <s v="Mumbai"/>
    <s v="Portal"/>
    <s v="Resolved"/>
    <n v="48"/>
    <n v="24.91"/>
    <n v="4.9000000000000004"/>
    <s v="No"/>
    <x v="0"/>
  </r>
  <r>
    <s v="INC103438"/>
    <d v="2025-04-30T00:00:00"/>
    <d v="2025-04-30T04:31:12"/>
    <x v="1"/>
    <x v="0"/>
    <s v="Performance"/>
    <s v="Application Support"/>
    <s v="Hyderabad"/>
    <s v="Portal"/>
    <s v="Resolved"/>
    <n v="24"/>
    <n v="4.5199999999999996"/>
    <n v="4.4000000000000004"/>
    <s v="No"/>
    <x v="0"/>
  </r>
  <r>
    <s v="INC103439"/>
    <d v="2025-06-19T00:00:00"/>
    <d v="2025-06-19T07:58:48"/>
    <x v="1"/>
    <x v="3"/>
    <s v="Peripheral"/>
    <s v="Network Support"/>
    <s v="Gurugram"/>
    <s v="Email"/>
    <s v="Resolved"/>
    <n v="24"/>
    <n v="7.98"/>
    <n v="4.0999999999999996"/>
    <s v="No"/>
    <x v="0"/>
  </r>
  <r>
    <s v="INC103440"/>
    <d v="2025-05-31T00:00:00"/>
    <d v="2025-05-31T12:31:48"/>
    <x v="3"/>
    <x v="4"/>
    <s v="Mailbox"/>
    <s v="Service Desk"/>
    <s v="Gurugram"/>
    <s v="Email"/>
    <s v="Resolved"/>
    <n v="8"/>
    <n v="12.53"/>
    <n v="4.3"/>
    <s v="Yes"/>
    <x v="1"/>
  </r>
  <r>
    <s v="INC103441"/>
    <d v="2025-06-21T00:00:00"/>
    <d v="2025-06-21T00:37:12"/>
    <x v="1"/>
    <x v="0"/>
    <s v="Installation"/>
    <s v="Service Desk"/>
    <s v="Mumbai"/>
    <s v="Portal"/>
    <s v="Resolved"/>
    <n v="24"/>
    <n v="0.62"/>
    <n v="4.9000000000000004"/>
    <s v="No"/>
    <x v="0"/>
  </r>
  <r>
    <s v="INC103442"/>
    <d v="2025-01-05T00:00:00"/>
    <d v="2025-01-05T05:05:24"/>
    <x v="1"/>
    <x v="4"/>
    <s v="Spam"/>
    <s v="Service Desk"/>
    <s v="Gurugram"/>
    <s v="Portal"/>
    <s v="Closed"/>
    <n v="24"/>
    <n v="5.09"/>
    <n v="3.8"/>
    <s v="No"/>
    <x v="0"/>
  </r>
  <r>
    <s v="INC103443"/>
    <d v="2025-03-24T00:00:00"/>
    <d v="2025-03-24T06:19:12"/>
    <x v="0"/>
    <x v="3"/>
    <s v="Printer"/>
    <s v="Network Support"/>
    <s v="Mumbai"/>
    <s v="Chat"/>
    <s v="Closed"/>
    <n v="48"/>
    <n v="6.32"/>
    <n v="5"/>
    <s v="No"/>
    <x v="0"/>
  </r>
  <r>
    <s v="INC103444"/>
    <d v="2025-02-09T00:00:00"/>
    <d v="2025-02-09T03:16:48"/>
    <x v="3"/>
    <x v="3"/>
    <s v="Monitor"/>
    <s v="Application Support"/>
    <s v="Delhi"/>
    <s v="Portal"/>
    <s v="In Progress"/>
    <n v="8"/>
    <n v="3.28"/>
    <n v="3.7"/>
    <s v="No"/>
    <x v="0"/>
  </r>
  <r>
    <s v="INC103445"/>
    <d v="2025-06-16T00:00:00"/>
    <d v="2025-06-17T04:00:36"/>
    <x v="0"/>
    <x v="4"/>
    <s v="Spam"/>
    <s v="Application Support"/>
    <s v="Hyderabad"/>
    <s v="Portal"/>
    <s v="In Progress"/>
    <n v="48"/>
    <n v="28.01"/>
    <n v="5"/>
    <s v="No"/>
    <x v="0"/>
  </r>
  <r>
    <s v="INC103446"/>
    <d v="2025-05-09T00:00:00"/>
    <d v="2025-05-09T22:28:48"/>
    <x v="0"/>
    <x v="4"/>
    <s v="Configuration"/>
    <s v="Service Desk"/>
    <s v="Noida"/>
    <s v="Portal"/>
    <s v="Resolved"/>
    <n v="48"/>
    <n v="22.48"/>
    <n v="4.4000000000000004"/>
    <s v="No"/>
    <x v="0"/>
  </r>
  <r>
    <s v="INC103447"/>
    <d v="2025-02-27T00:00:00"/>
    <d v="2025-02-28T00:36:36"/>
    <x v="0"/>
    <x v="4"/>
    <s v="Mailbox"/>
    <s v="Service Desk"/>
    <s v="Delhi"/>
    <s v="Portal"/>
    <s v="Resolved"/>
    <n v="48"/>
    <n v="24.61"/>
    <n v="3.6"/>
    <s v="No"/>
    <x v="0"/>
  </r>
  <r>
    <s v="INC103448"/>
    <d v="2025-04-12T00:00:00"/>
    <d v="2025-04-12T14:43:48"/>
    <x v="1"/>
    <x v="1"/>
    <s v="VPN Access"/>
    <s v="Network Support"/>
    <s v="Bengaluru"/>
    <s v="Portal"/>
    <s v="Resolved"/>
    <n v="24"/>
    <n v="14.73"/>
    <n v="4.8"/>
    <s v="No"/>
    <x v="0"/>
  </r>
  <r>
    <s v="INC103449"/>
    <d v="2025-04-20T00:00:00"/>
    <d v="2025-04-20T07:55:12"/>
    <x v="1"/>
    <x v="3"/>
    <s v="Laptop"/>
    <s v="Application Support"/>
    <s v="Gurugram"/>
    <s v="Email"/>
    <s v="Resolved"/>
    <n v="24"/>
    <n v="7.92"/>
    <n v="4.9000000000000004"/>
    <s v="No"/>
    <x v="0"/>
  </r>
  <r>
    <s v="INC103450"/>
    <d v="2025-03-31T00:00:00"/>
    <d v="2025-04-02T06:17:23"/>
    <x v="1"/>
    <x v="2"/>
    <s v="Link Down"/>
    <s v="Access Management"/>
    <s v="Gurugram"/>
    <s v="Email"/>
    <s v="Resolved"/>
    <n v="24"/>
    <n v="54.29"/>
    <n v="1"/>
    <s v="No"/>
    <x v="1"/>
  </r>
  <r>
    <s v="INC103451"/>
    <d v="2025-03-27T00:00:00"/>
    <d v="2025-03-27T13:06:00"/>
    <x v="1"/>
    <x v="3"/>
    <s v="Printer"/>
    <s v="Desktop Support"/>
    <s v="Noida"/>
    <s v="Email"/>
    <s v="Resolved"/>
    <n v="24"/>
    <n v="13.1"/>
    <n v="4.3"/>
    <s v="No"/>
    <x v="0"/>
  </r>
  <r>
    <s v="INC103452"/>
    <d v="2025-01-10T00:00:00"/>
    <d v="2025-01-10T03:49:12"/>
    <x v="1"/>
    <x v="4"/>
    <s v="Configuration"/>
    <s v="Desktop Support"/>
    <s v="Bengaluru"/>
    <s v="Portal"/>
    <s v="Pending"/>
    <n v="24"/>
    <n v="3.82"/>
    <n v="5"/>
    <s v="Yes"/>
    <x v="0"/>
  </r>
  <r>
    <s v="INC103453"/>
    <d v="2025-03-23T00:00:00"/>
    <d v="2025-03-23T11:30:00"/>
    <x v="1"/>
    <x v="3"/>
    <s v="Peripheral"/>
    <s v="Application Support"/>
    <s v="Delhi"/>
    <s v="Portal"/>
    <s v="Resolved"/>
    <n v="24"/>
    <n v="11.5"/>
    <n v="4.5999999999999996"/>
    <s v="No"/>
    <x v="0"/>
  </r>
  <r>
    <s v="INC103454"/>
    <d v="2025-03-05T00:00:00"/>
    <d v="2025-03-06T15:48:00"/>
    <x v="0"/>
    <x v="1"/>
    <s v="Password Reset"/>
    <s v="Access Management"/>
    <s v="Delhi"/>
    <s v="Phone"/>
    <s v="Pending"/>
    <n v="48"/>
    <n v="39.799999999999997"/>
    <n v="3.9"/>
    <s v="No"/>
    <x v="0"/>
  </r>
  <r>
    <s v="INC103455"/>
    <d v="2025-05-29T00:00:00"/>
    <d v="2025-05-29T22:00:36"/>
    <x v="1"/>
    <x v="4"/>
    <s v="Delivery"/>
    <s v="Access Management"/>
    <s v="Noida"/>
    <s v="Portal"/>
    <s v="Pending"/>
    <n v="24"/>
    <n v="22.01"/>
    <n v="4.4000000000000004"/>
    <s v="No"/>
    <x v="0"/>
  </r>
  <r>
    <s v="INC103456"/>
    <d v="2025-06-06T00:00:00"/>
    <d v="2025-06-06T17:51:36"/>
    <x v="1"/>
    <x v="4"/>
    <s v="Spam"/>
    <s v="Network Support"/>
    <s v="Noida"/>
    <s v="Portal"/>
    <s v="Resolved"/>
    <n v="24"/>
    <n v="17.86"/>
    <n v="4.5"/>
    <s v="No"/>
    <x v="0"/>
  </r>
  <r>
    <s v="INC103457"/>
    <d v="2025-05-16T00:00:00"/>
    <d v="2025-05-16T13:45:00"/>
    <x v="1"/>
    <x v="4"/>
    <s v="Configuration"/>
    <s v="Desktop Support"/>
    <s v="Bengaluru"/>
    <s v="Email"/>
    <s v="Resolved"/>
    <n v="24"/>
    <n v="13.75"/>
    <n v="4.3"/>
    <s v="No"/>
    <x v="0"/>
  </r>
  <r>
    <s v="INC103458"/>
    <d v="2025-01-06T00:00:00"/>
    <d v="2025-01-06T10:42:36"/>
    <x v="0"/>
    <x v="0"/>
    <s v="License"/>
    <s v="Access Management"/>
    <s v="Mumbai"/>
    <s v="Phone"/>
    <s v="Resolved"/>
    <n v="48"/>
    <n v="10.71"/>
    <n v="4.5999999999999996"/>
    <s v="No"/>
    <x v="0"/>
  </r>
  <r>
    <s v="INC103459"/>
    <d v="2025-06-02T00:00:00"/>
    <d v="2025-06-02T15:52:12"/>
    <x v="1"/>
    <x v="0"/>
    <s v="Application Error"/>
    <s v="Application Support"/>
    <s v="Bengaluru"/>
    <s v="Portal"/>
    <s v="Resolved"/>
    <n v="24"/>
    <n v="15.87"/>
    <n v="4.3"/>
    <s v="No"/>
    <x v="0"/>
  </r>
  <r>
    <s v="INC103460"/>
    <d v="2025-03-13T00:00:00"/>
    <d v="2025-03-13T11:17:23"/>
    <x v="1"/>
    <x v="4"/>
    <s v="Spam"/>
    <s v="Access Management"/>
    <s v="Delhi"/>
    <s v="Chat"/>
    <s v="In Progress"/>
    <n v="24"/>
    <n v="11.29"/>
    <n v="4"/>
    <s v="No"/>
    <x v="0"/>
  </r>
  <r>
    <s v="INC103461"/>
    <d v="2025-03-17T00:00:00"/>
    <d v="2025-03-17T13:29:24"/>
    <x v="0"/>
    <x v="2"/>
    <s v="DNS"/>
    <s v="Access Management"/>
    <s v="Hyderabad"/>
    <s v="Portal"/>
    <s v="Pending"/>
    <n v="48"/>
    <n v="13.49"/>
    <n v="4"/>
    <s v="No"/>
    <x v="0"/>
  </r>
  <r>
    <s v="INC103462"/>
    <d v="2025-06-21T00:00:00"/>
    <d v="2025-06-22T02:11:24"/>
    <x v="0"/>
    <x v="2"/>
    <s v="DNS"/>
    <s v="Network Support"/>
    <s v="Mumbai"/>
    <s v="Chat"/>
    <s v="Resolved"/>
    <n v="48"/>
    <n v="26.19"/>
    <n v="3.6"/>
    <s v="No"/>
    <x v="0"/>
  </r>
  <r>
    <s v="INC103463"/>
    <d v="2025-06-06T00:00:00"/>
    <d v="2025-06-06T22:54:00"/>
    <x v="1"/>
    <x v="4"/>
    <s v="Delivery"/>
    <s v="Application Support"/>
    <s v="Delhi"/>
    <s v="Portal"/>
    <s v="Resolved"/>
    <n v="24"/>
    <n v="22.9"/>
    <n v="3.8"/>
    <s v="No"/>
    <x v="0"/>
  </r>
  <r>
    <s v="INC103464"/>
    <d v="2025-01-10T00:00:00"/>
    <d v="2025-01-10T02:45:00"/>
    <x v="1"/>
    <x v="0"/>
    <s v="Application Error"/>
    <s v="Desktop Support"/>
    <s v="Mumbai"/>
    <s v="Phone"/>
    <s v="Closed"/>
    <n v="24"/>
    <n v="2.75"/>
    <n v="4.3"/>
    <s v="Yes"/>
    <x v="0"/>
  </r>
  <r>
    <s v="INC103465"/>
    <d v="2025-03-07T00:00:00"/>
    <d v="2025-03-07T05:19:48"/>
    <x v="1"/>
    <x v="0"/>
    <s v="Installation"/>
    <s v="Service Desk"/>
    <s v="Hyderabad"/>
    <s v="Portal"/>
    <s v="Resolved"/>
    <n v="24"/>
    <n v="5.33"/>
    <n v="4.5999999999999996"/>
    <s v="No"/>
    <x v="0"/>
  </r>
  <r>
    <s v="INC103466"/>
    <d v="2025-05-16T00:00:00"/>
    <d v="2025-05-17T17:28:48"/>
    <x v="0"/>
    <x v="2"/>
    <s v="DNS"/>
    <s v="Application Support"/>
    <s v="Bengaluru"/>
    <s v="Phone"/>
    <s v="Closed"/>
    <n v="48"/>
    <n v="41.48"/>
    <n v="4.8"/>
    <s v="No"/>
    <x v="0"/>
  </r>
  <r>
    <s v="INC103467"/>
    <d v="2025-04-08T00:00:00"/>
    <d v="2025-04-08T01:25:12"/>
    <x v="3"/>
    <x v="0"/>
    <s v="Performance"/>
    <s v="Network Support"/>
    <s v="Mumbai"/>
    <s v="Email"/>
    <s v="Resolved"/>
    <n v="8"/>
    <n v="1.42"/>
    <n v="4.7"/>
    <s v="No"/>
    <x v="0"/>
  </r>
  <r>
    <s v="INC103468"/>
    <d v="2025-02-16T00:00:00"/>
    <d v="2025-02-18T06:43:48"/>
    <x v="0"/>
    <x v="4"/>
    <s v="Mailbox"/>
    <s v="Desktop Support"/>
    <s v="Hyderabad"/>
    <s v="Phone"/>
    <s v="Resolved"/>
    <n v="48"/>
    <n v="54.73"/>
    <n v="3.7"/>
    <s v="No"/>
    <x v="1"/>
  </r>
  <r>
    <s v="INC103469"/>
    <d v="2025-04-05T00:00:00"/>
    <d v="2025-04-05T10:08:24"/>
    <x v="1"/>
    <x v="0"/>
    <s v="Installation"/>
    <s v="Desktop Support"/>
    <s v="Hyderabad"/>
    <s v="Phone"/>
    <s v="Resolved"/>
    <n v="24"/>
    <n v="10.14"/>
    <n v="4.3"/>
    <s v="No"/>
    <x v="0"/>
  </r>
  <r>
    <s v="INC103470"/>
    <d v="2025-06-06T00:00:00"/>
    <d v="2025-06-06T05:53:24"/>
    <x v="3"/>
    <x v="3"/>
    <s v="Laptop"/>
    <s v="Service Desk"/>
    <s v="Hyderabad"/>
    <s v="Email"/>
    <s v="Resolved"/>
    <n v="8"/>
    <n v="5.89"/>
    <n v="5"/>
    <s v="No"/>
    <x v="0"/>
  </r>
  <r>
    <s v="INC103471"/>
    <d v="2025-02-10T00:00:00"/>
    <d v="2025-02-10T20:07:48"/>
    <x v="1"/>
    <x v="0"/>
    <s v="Installation"/>
    <s v="Application Support"/>
    <s v="Gurugram"/>
    <s v="Portal"/>
    <s v="Resolved"/>
    <n v="24"/>
    <n v="20.13"/>
    <n v="5"/>
    <s v="Yes"/>
    <x v="0"/>
  </r>
  <r>
    <s v="INC103472"/>
    <d v="2025-05-16T00:00:00"/>
    <d v="2025-05-16T23:39:36"/>
    <x v="0"/>
    <x v="4"/>
    <s v="Spam"/>
    <s v="Access Management"/>
    <s v="Delhi"/>
    <s v="Portal"/>
    <s v="Resolved"/>
    <n v="48"/>
    <n v="23.66"/>
    <n v="4.0999999999999996"/>
    <s v="No"/>
    <x v="0"/>
  </r>
  <r>
    <s v="INC103473"/>
    <d v="2025-05-13T00:00:00"/>
    <d v="2025-05-14T04:54:36"/>
    <x v="1"/>
    <x v="4"/>
    <s v="Delivery"/>
    <s v="Access Management"/>
    <s v="Bengaluru"/>
    <s v="Chat"/>
    <s v="Resolved"/>
    <n v="24"/>
    <n v="28.91"/>
    <n v="4"/>
    <s v="No"/>
    <x v="1"/>
  </r>
  <r>
    <s v="INC103474"/>
    <d v="2025-06-10T00:00:00"/>
    <d v="2025-06-10T02:14:24"/>
    <x v="2"/>
    <x v="3"/>
    <s v="Peripheral"/>
    <s v="Application Support"/>
    <s v="Mumbai"/>
    <s v="Chat"/>
    <s v="Closed"/>
    <n v="4"/>
    <n v="2.2400000000000002"/>
    <n v="5"/>
    <s v="No"/>
    <x v="0"/>
  </r>
  <r>
    <s v="INC103475"/>
    <d v="2025-02-23T00:00:00"/>
    <d v="2025-02-23T02:24:36"/>
    <x v="2"/>
    <x v="0"/>
    <s v="Performance"/>
    <s v="Service Desk"/>
    <s v="Bengaluru"/>
    <s v="Portal"/>
    <s v="Resolved"/>
    <n v="4"/>
    <n v="2.41"/>
    <n v="3.5"/>
    <s v="No"/>
    <x v="0"/>
  </r>
  <r>
    <s v="INC103476"/>
    <d v="2025-02-09T00:00:00"/>
    <d v="2025-02-09T07:05:24"/>
    <x v="0"/>
    <x v="2"/>
    <s v="Packet Loss"/>
    <s v="Access Management"/>
    <s v="Gurugram"/>
    <s v="Portal"/>
    <s v="In Progress"/>
    <n v="48"/>
    <n v="7.09"/>
    <n v="5"/>
    <s v="No"/>
    <x v="0"/>
  </r>
  <r>
    <s v="INC103477"/>
    <d v="2025-04-10T00:00:00"/>
    <d v="2025-04-10T12:48:36"/>
    <x v="3"/>
    <x v="3"/>
    <s v="Monitor"/>
    <s v="Access Management"/>
    <s v="Hyderabad"/>
    <s v="Portal"/>
    <s v="Resolved"/>
    <n v="8"/>
    <n v="12.81"/>
    <n v="1.9"/>
    <s v="No"/>
    <x v="1"/>
  </r>
  <r>
    <s v="INC103478"/>
    <d v="2025-04-07T00:00:00"/>
    <d v="2025-04-07T22:56:24"/>
    <x v="1"/>
    <x v="2"/>
    <s v="Packet Loss"/>
    <s v="Access Management"/>
    <s v="Noida"/>
    <s v="Portal"/>
    <s v="Closed"/>
    <n v="24"/>
    <n v="22.94"/>
    <n v="3.9"/>
    <s v="No"/>
    <x v="0"/>
  </r>
  <r>
    <s v="INC103479"/>
    <d v="2025-03-16T00:00:00"/>
    <d v="2025-03-16T09:42:36"/>
    <x v="0"/>
    <x v="0"/>
    <s v="License"/>
    <s v="Access Management"/>
    <s v="Mumbai"/>
    <s v="Portal"/>
    <s v="Resolved"/>
    <n v="48"/>
    <n v="9.7100000000000009"/>
    <n v="4.7"/>
    <s v="No"/>
    <x v="0"/>
  </r>
  <r>
    <s v="INC103480"/>
    <d v="2025-05-22T00:00:00"/>
    <d v="2025-05-22T03:35:24"/>
    <x v="1"/>
    <x v="0"/>
    <s v="Application Error"/>
    <s v="Access Management"/>
    <s v="Bengaluru"/>
    <s v="Phone"/>
    <s v="Closed"/>
    <n v="24"/>
    <n v="3.59"/>
    <n v="3.7"/>
    <s v="Yes"/>
    <x v="0"/>
  </r>
  <r>
    <s v="INC103481"/>
    <d v="2025-05-25T00:00:00"/>
    <d v="2025-05-25T08:54:00"/>
    <x v="1"/>
    <x v="3"/>
    <s v="Monitor"/>
    <s v="Application Support"/>
    <s v="Hyderabad"/>
    <s v="Portal"/>
    <s v="Resolved"/>
    <n v="24"/>
    <n v="8.9"/>
    <n v="5"/>
    <s v="No"/>
    <x v="0"/>
  </r>
  <r>
    <s v="INC103482"/>
    <d v="2025-02-14T00:00:00"/>
    <d v="2025-02-14T09:52:48"/>
    <x v="1"/>
    <x v="2"/>
    <s v="Connectivity"/>
    <s v="Application Support"/>
    <s v="Mumbai"/>
    <s v="Phone"/>
    <s v="Resolved"/>
    <n v="24"/>
    <n v="9.8800000000000008"/>
    <n v="4.5999999999999996"/>
    <s v="No"/>
    <x v="0"/>
  </r>
  <r>
    <s v="INC103483"/>
    <d v="2025-05-24T00:00:00"/>
    <d v="2025-05-24T04:10:48"/>
    <x v="3"/>
    <x v="2"/>
    <s v="Connectivity"/>
    <s v="Application Support"/>
    <s v="Bengaluru"/>
    <s v="Chat"/>
    <s v="Pending"/>
    <n v="8"/>
    <n v="4.18"/>
    <n v="3.8"/>
    <s v="No"/>
    <x v="0"/>
  </r>
  <r>
    <s v="INC103484"/>
    <d v="2025-02-11T00:00:00"/>
    <d v="2025-02-12T03:42:36"/>
    <x v="1"/>
    <x v="2"/>
    <s v="Connectivity"/>
    <s v="Application Support"/>
    <s v="Hyderabad"/>
    <s v="Portal"/>
    <s v="Resolved"/>
    <n v="24"/>
    <n v="27.71"/>
    <n v="3.8"/>
    <s v="Yes"/>
    <x v="1"/>
  </r>
  <r>
    <s v="INC103485"/>
    <d v="2025-03-15T00:00:00"/>
    <d v="2025-03-16T04:43:48"/>
    <x v="1"/>
    <x v="0"/>
    <s v="Performance"/>
    <s v="Service Desk"/>
    <s v="Delhi"/>
    <s v="Email"/>
    <s v="Closed"/>
    <n v="24"/>
    <n v="28.73"/>
    <n v="4.2"/>
    <s v="Yes"/>
    <x v="1"/>
  </r>
  <r>
    <s v="INC103486"/>
    <d v="2025-01-05T00:00:00"/>
    <d v="2025-01-05T22:32:24"/>
    <x v="1"/>
    <x v="2"/>
    <s v="DNS"/>
    <s v="Access Management"/>
    <s v="Mumbai"/>
    <s v="Email"/>
    <s v="Closed"/>
    <n v="24"/>
    <n v="22.54"/>
    <n v="2.7"/>
    <s v="No"/>
    <x v="0"/>
  </r>
  <r>
    <s v="INC103487"/>
    <d v="2025-03-03T00:00:00"/>
    <d v="2025-03-03T03:16:48"/>
    <x v="0"/>
    <x v="2"/>
    <s v="DNS"/>
    <s v="Application Support"/>
    <s v="Bengaluru"/>
    <s v="Portal"/>
    <s v="Resolved"/>
    <n v="48"/>
    <n v="3.28"/>
    <n v="2.9"/>
    <s v="No"/>
    <x v="0"/>
  </r>
  <r>
    <s v="INC103488"/>
    <d v="2025-06-23T00:00:00"/>
    <d v="2025-06-24T10:55:12"/>
    <x v="1"/>
    <x v="4"/>
    <s v="Mailbox"/>
    <s v="Application Support"/>
    <s v="Mumbai"/>
    <s v="Phone"/>
    <s v="Resolved"/>
    <n v="24"/>
    <n v="34.92"/>
    <n v="3.2"/>
    <s v="No"/>
    <x v="1"/>
  </r>
  <r>
    <s v="INC103489"/>
    <d v="2025-03-22T00:00:00"/>
    <d v="2025-03-22T04:07:12"/>
    <x v="2"/>
    <x v="2"/>
    <s v="Packet Loss"/>
    <s v="Application Support"/>
    <s v="Gurugram"/>
    <s v="Email"/>
    <s v="Closed"/>
    <n v="4"/>
    <n v="4.12"/>
    <n v="3.3"/>
    <s v="No"/>
    <x v="1"/>
  </r>
  <r>
    <s v="INC103490"/>
    <d v="2025-05-09T00:00:00"/>
    <d v="2025-05-09T18:49:12"/>
    <x v="1"/>
    <x v="4"/>
    <s v="Spam"/>
    <s v="Network Support"/>
    <s v="Bengaluru"/>
    <s v="Portal"/>
    <s v="In Progress"/>
    <n v="24"/>
    <n v="18.82"/>
    <n v="4.9000000000000004"/>
    <s v="No"/>
    <x v="0"/>
  </r>
  <r>
    <s v="INC103491"/>
    <d v="2025-01-20T00:00:00"/>
    <d v="2025-01-20T20:31:12"/>
    <x v="0"/>
    <x v="0"/>
    <s v="Installation"/>
    <s v="Access Management"/>
    <s v="Gurugram"/>
    <s v="Phone"/>
    <s v="Resolved"/>
    <n v="48"/>
    <n v="20.52"/>
    <n v="4.2"/>
    <s v="No"/>
    <x v="0"/>
  </r>
  <r>
    <s v="INC103492"/>
    <d v="2025-04-26T00:00:00"/>
    <d v="2025-04-26T17:42:36"/>
    <x v="1"/>
    <x v="0"/>
    <s v="Performance"/>
    <s v="Desktop Support"/>
    <s v="Delhi"/>
    <s v="Portal"/>
    <s v="Closed"/>
    <n v="24"/>
    <n v="17.71"/>
    <n v="4.3"/>
    <s v="No"/>
    <x v="0"/>
  </r>
  <r>
    <s v="INC103493"/>
    <d v="2025-03-09T00:00:00"/>
    <d v="2025-03-09T00:30:00"/>
    <x v="2"/>
    <x v="0"/>
    <s v="Performance"/>
    <s v="Access Management"/>
    <s v="Bengaluru"/>
    <s v="Portal"/>
    <s v="Closed"/>
    <n v="4"/>
    <n v="0.5"/>
    <n v="4.7"/>
    <s v="No"/>
    <x v="0"/>
  </r>
  <r>
    <s v="INC103494"/>
    <d v="2025-05-15T00:00:00"/>
    <d v="2025-05-15T05:43:12"/>
    <x v="3"/>
    <x v="2"/>
    <s v="Packet Loss"/>
    <s v="Network Support"/>
    <s v="Delhi"/>
    <s v="Chat"/>
    <s v="Resolved"/>
    <n v="8"/>
    <n v="5.72"/>
    <n v="3.1"/>
    <s v="No"/>
    <x v="0"/>
  </r>
  <r>
    <s v="INC103495"/>
    <d v="2025-06-17T00:00:00"/>
    <d v="2025-06-17T23:52:48"/>
    <x v="1"/>
    <x v="1"/>
    <s v="Password Reset"/>
    <s v="Service Desk"/>
    <s v="Delhi"/>
    <s v="Portal"/>
    <s v="Closed"/>
    <n v="24"/>
    <n v="23.88"/>
    <n v="3.8"/>
    <s v="No"/>
    <x v="0"/>
  </r>
  <r>
    <s v="INC103496"/>
    <d v="2025-04-07T00:00:00"/>
    <d v="2025-04-07T15:25:48"/>
    <x v="1"/>
    <x v="1"/>
    <s v="Account Lock"/>
    <s v="Access Management"/>
    <s v="Bengaluru"/>
    <s v="Portal"/>
    <s v="Resolved"/>
    <n v="24"/>
    <n v="15.43"/>
    <n v="3.4"/>
    <s v="No"/>
    <x v="0"/>
  </r>
  <r>
    <s v="INC103497"/>
    <d v="2025-01-19T00:00:00"/>
    <d v="2025-01-19T10:09:36"/>
    <x v="1"/>
    <x v="3"/>
    <s v="Monitor"/>
    <s v="Application Support"/>
    <s v="Hyderabad"/>
    <s v="Portal"/>
    <s v="Resolved"/>
    <n v="24"/>
    <n v="10.16"/>
    <n v="3.6"/>
    <s v="No"/>
    <x v="0"/>
  </r>
  <r>
    <s v="INC103498"/>
    <d v="2025-03-28T00:00:00"/>
    <d v="2025-03-28T09:49:12"/>
    <x v="3"/>
    <x v="1"/>
    <s v="Password Reset"/>
    <s v="Application Support"/>
    <s v="Mumbai"/>
    <s v="Portal"/>
    <s v="Pending"/>
    <n v="8"/>
    <n v="9.82"/>
    <n v="2.8"/>
    <s v="No"/>
    <x v="1"/>
  </r>
  <r>
    <s v="INC103499"/>
    <d v="2025-01-23T00:00:00"/>
    <d v="2025-01-23T16:36:00"/>
    <x v="3"/>
    <x v="0"/>
    <s v="Application Error"/>
    <s v="Desktop Support"/>
    <s v="Delhi"/>
    <s v="Portal"/>
    <s v="Closed"/>
    <n v="8"/>
    <n v="16.600000000000001"/>
    <n v="1.7"/>
    <s v="No"/>
    <x v="1"/>
  </r>
  <r>
    <s v="INC103500"/>
    <d v="2025-03-23T00:00:00"/>
    <d v="2025-03-23T06:12:00"/>
    <x v="3"/>
    <x v="4"/>
    <s v="Spam"/>
    <s v="Desktop Support"/>
    <s v="Delhi"/>
    <s v="Email"/>
    <s v="Resolved"/>
    <n v="8"/>
    <n v="6.2"/>
    <n v="3.9"/>
    <s v="No"/>
    <x v="0"/>
  </r>
  <r>
    <s v="INC103501"/>
    <d v="2025-01-12T00:00:00"/>
    <d v="2025-01-12T23:33:00"/>
    <x v="1"/>
    <x v="1"/>
    <s v="Password Reset"/>
    <s v="Desktop Support"/>
    <s v="Noida"/>
    <s v="Portal"/>
    <s v="Closed"/>
    <n v="24"/>
    <n v="23.55"/>
    <n v="3.6"/>
    <s v="No"/>
    <x v="0"/>
  </r>
  <r>
    <s v="INC103502"/>
    <d v="2025-04-26T00:00:00"/>
    <d v="2025-04-27T00:10:12"/>
    <x v="0"/>
    <x v="2"/>
    <s v="Packet Loss"/>
    <s v="Network Support"/>
    <s v="Noida"/>
    <s v="Email"/>
    <s v="Resolved"/>
    <n v="48"/>
    <n v="24.17"/>
    <n v="4.5999999999999996"/>
    <s v="No"/>
    <x v="0"/>
  </r>
  <r>
    <s v="INC103503"/>
    <d v="2025-02-26T00:00:00"/>
    <d v="2025-02-26T08:45:36"/>
    <x v="1"/>
    <x v="1"/>
    <s v="Password Reset"/>
    <s v="Desktop Support"/>
    <s v="Delhi"/>
    <s v="Portal"/>
    <s v="Resolved"/>
    <n v="24"/>
    <n v="8.76"/>
    <n v="3.5"/>
    <s v="No"/>
    <x v="0"/>
  </r>
  <r>
    <s v="INC103504"/>
    <d v="2025-02-06T00:00:00"/>
    <d v="2025-02-08T01:46:48"/>
    <x v="0"/>
    <x v="4"/>
    <s v="Mailbox"/>
    <s v="Desktop Support"/>
    <s v="Gurugram"/>
    <s v="Portal"/>
    <s v="Resolved"/>
    <n v="48"/>
    <n v="49.78"/>
    <n v="3.6"/>
    <s v="No"/>
    <x v="1"/>
  </r>
  <r>
    <s v="INC103505"/>
    <d v="2025-01-04T00:00:00"/>
    <d v="2025-01-07T12:18:36"/>
    <x v="0"/>
    <x v="1"/>
    <s v="VPN Access"/>
    <s v="Service Desk"/>
    <s v="Delhi"/>
    <s v="Chat"/>
    <s v="Resolved"/>
    <n v="48"/>
    <n v="84.31"/>
    <n v="2.6"/>
    <s v="No"/>
    <x v="1"/>
  </r>
  <r>
    <s v="INC103506"/>
    <d v="2025-06-10T00:00:00"/>
    <d v="2025-06-10T07:04:48"/>
    <x v="1"/>
    <x v="2"/>
    <s v="Packet Loss"/>
    <s v="Service Desk"/>
    <s v="Bengaluru"/>
    <s v="Phone"/>
    <s v="Resolved"/>
    <n v="24"/>
    <n v="7.08"/>
    <n v="4.8"/>
    <s v="No"/>
    <x v="0"/>
  </r>
  <r>
    <s v="INC103507"/>
    <d v="2025-06-01T00:00:00"/>
    <d v="2025-06-01T05:00:00"/>
    <x v="1"/>
    <x v="1"/>
    <s v="Permission"/>
    <s v="Application Support"/>
    <s v="Bengaluru"/>
    <s v="Phone"/>
    <s v="Resolved"/>
    <n v="24"/>
    <n v="5"/>
    <n v="4.9000000000000004"/>
    <s v="No"/>
    <x v="0"/>
  </r>
  <r>
    <s v="INC103508"/>
    <d v="2025-05-27T00:00:00"/>
    <d v="2025-05-27T02:42:36"/>
    <x v="3"/>
    <x v="0"/>
    <s v="Application Error"/>
    <s v="Application Support"/>
    <s v="Noida"/>
    <s v="Portal"/>
    <s v="Closed"/>
    <n v="8"/>
    <n v="2.71"/>
    <n v="4.7"/>
    <s v="No"/>
    <x v="0"/>
  </r>
  <r>
    <s v="INC103509"/>
    <d v="2025-01-11T00:00:00"/>
    <d v="2025-01-11T02:15:00"/>
    <x v="3"/>
    <x v="3"/>
    <s v="Laptop"/>
    <s v="Desktop Support"/>
    <s v="Bengaluru"/>
    <s v="Email"/>
    <s v="In Progress"/>
    <n v="8"/>
    <n v="2.25"/>
    <n v="4"/>
    <s v="No"/>
    <x v="0"/>
  </r>
  <r>
    <s v="INC103510"/>
    <d v="2025-03-05T00:00:00"/>
    <d v="2025-03-05T10:19:12"/>
    <x v="3"/>
    <x v="4"/>
    <s v="Configuration"/>
    <s v="Application Support"/>
    <s v="Gurugram"/>
    <s v="Phone"/>
    <s v="Resolved"/>
    <n v="8"/>
    <n v="10.32"/>
    <n v="3.5"/>
    <s v="No"/>
    <x v="1"/>
  </r>
  <r>
    <s v="INC103511"/>
    <d v="2025-06-25T00:00:00"/>
    <d v="2025-06-25T09:31:48"/>
    <x v="3"/>
    <x v="0"/>
    <s v="License"/>
    <s v="Service Desk"/>
    <s v="Hyderabad"/>
    <s v="Phone"/>
    <s v="Resolved"/>
    <n v="8"/>
    <n v="9.5299999999999994"/>
    <n v="3.2"/>
    <s v="No"/>
    <x v="1"/>
  </r>
  <r>
    <s v="INC103512"/>
    <d v="2025-04-15T00:00:00"/>
    <d v="2025-04-15T07:50:24"/>
    <x v="1"/>
    <x v="1"/>
    <s v="VPN Access"/>
    <s v="Desktop Support"/>
    <s v="Delhi"/>
    <s v="Phone"/>
    <s v="Pending"/>
    <n v="24"/>
    <n v="7.84"/>
    <n v="5"/>
    <s v="No"/>
    <x v="0"/>
  </r>
  <r>
    <s v="INC103513"/>
    <d v="2025-01-24T00:00:00"/>
    <d v="2025-01-25T05:34:47"/>
    <x v="0"/>
    <x v="0"/>
    <s v="License"/>
    <s v="Desktop Support"/>
    <s v="Bengaluru"/>
    <s v="Email"/>
    <s v="Resolved"/>
    <n v="48"/>
    <n v="29.58"/>
    <n v="4.3"/>
    <s v="No"/>
    <x v="0"/>
  </r>
  <r>
    <s v="INC103514"/>
    <d v="2025-01-26T00:00:00"/>
    <d v="2025-01-26T05:06:36"/>
    <x v="1"/>
    <x v="3"/>
    <s v="Laptop"/>
    <s v="Service Desk"/>
    <s v="Gurugram"/>
    <s v="Portal"/>
    <s v="Resolved"/>
    <n v="24"/>
    <n v="5.1100000000000003"/>
    <n v="4.8"/>
    <s v="No"/>
    <x v="0"/>
  </r>
  <r>
    <s v="INC103515"/>
    <d v="2025-02-17T00:00:00"/>
    <d v="2025-02-17T23:23:24"/>
    <x v="0"/>
    <x v="4"/>
    <s v="Configuration"/>
    <s v="Network Support"/>
    <s v="Noida"/>
    <s v="Portal"/>
    <s v="Resolved"/>
    <n v="48"/>
    <n v="23.39"/>
    <n v="3.6"/>
    <s v="No"/>
    <x v="0"/>
  </r>
  <r>
    <s v="INC103516"/>
    <d v="2025-06-25T00:00:00"/>
    <d v="2025-06-25T09:45:36"/>
    <x v="0"/>
    <x v="0"/>
    <s v="Installation"/>
    <s v="Desktop Support"/>
    <s v="Bengaluru"/>
    <s v="Portal"/>
    <s v="Pending"/>
    <n v="48"/>
    <n v="9.76"/>
    <n v="4.4000000000000004"/>
    <s v="No"/>
    <x v="0"/>
  </r>
  <r>
    <s v="INC103517"/>
    <d v="2025-01-31T00:00:00"/>
    <d v="2025-01-31T20:32:24"/>
    <x v="0"/>
    <x v="0"/>
    <s v="Performance"/>
    <s v="Access Management"/>
    <s v="Bengaluru"/>
    <s v="Portal"/>
    <s v="Resolved"/>
    <n v="48"/>
    <n v="20.54"/>
    <n v="4.7"/>
    <s v="No"/>
    <x v="0"/>
  </r>
  <r>
    <s v="INC103518"/>
    <d v="2025-06-13T00:00:00"/>
    <d v="2025-06-13T01:40:12"/>
    <x v="3"/>
    <x v="3"/>
    <s v="Monitor"/>
    <s v="Desktop Support"/>
    <s v="Hyderabad"/>
    <s v="Portal"/>
    <s v="Pending"/>
    <n v="8"/>
    <n v="1.67"/>
    <n v="4.7"/>
    <s v="No"/>
    <x v="0"/>
  </r>
  <r>
    <s v="INC103519"/>
    <d v="2025-05-03T00:00:00"/>
    <d v="2025-05-03T09:46:12"/>
    <x v="3"/>
    <x v="2"/>
    <s v="Packet Loss"/>
    <s v="Access Management"/>
    <s v="Bengaluru"/>
    <s v="Portal"/>
    <s v="Pending"/>
    <n v="8"/>
    <n v="9.77"/>
    <n v="3.5"/>
    <s v="No"/>
    <x v="1"/>
  </r>
  <r>
    <s v="INC103520"/>
    <d v="2025-06-16T00:00:00"/>
    <d v="2025-06-16T05:03:36"/>
    <x v="3"/>
    <x v="0"/>
    <s v="License"/>
    <s v="Access Management"/>
    <s v="Gurugram"/>
    <s v="Email"/>
    <s v="Pending"/>
    <n v="8"/>
    <n v="5.0599999999999996"/>
    <n v="3.1"/>
    <s v="No"/>
    <x v="0"/>
  </r>
  <r>
    <s v="INC103521"/>
    <d v="2025-05-30T00:00:00"/>
    <d v="2025-05-30T02:49:12"/>
    <x v="2"/>
    <x v="3"/>
    <s v="Peripheral"/>
    <s v="Application Support"/>
    <s v="Bengaluru"/>
    <s v="Email"/>
    <s v="Closed"/>
    <n v="4"/>
    <n v="2.82"/>
    <n v="3.6"/>
    <s v="No"/>
    <x v="0"/>
  </r>
  <r>
    <s v="INC103522"/>
    <d v="2025-03-02T00:00:00"/>
    <d v="2025-03-02T02:20:24"/>
    <x v="3"/>
    <x v="4"/>
    <s v="Delivery"/>
    <s v="Access Management"/>
    <s v="Bengaluru"/>
    <s v="Email"/>
    <s v="Closed"/>
    <n v="8"/>
    <n v="2.34"/>
    <n v="4.5"/>
    <s v="No"/>
    <x v="0"/>
  </r>
  <r>
    <s v="INC103523"/>
    <d v="2025-05-30T00:00:00"/>
    <d v="2025-05-30T18:25:48"/>
    <x v="0"/>
    <x v="4"/>
    <s v="Spam"/>
    <s v="Desktop Support"/>
    <s v="Hyderabad"/>
    <s v="Portal"/>
    <s v="Pending"/>
    <n v="48"/>
    <n v="18.43"/>
    <n v="5"/>
    <s v="No"/>
    <x v="0"/>
  </r>
  <r>
    <s v="INC103524"/>
    <d v="2025-01-31T00:00:00"/>
    <d v="2025-01-31T04:45:36"/>
    <x v="3"/>
    <x v="1"/>
    <s v="Permission"/>
    <s v="Application Support"/>
    <s v="Bengaluru"/>
    <s v="Email"/>
    <s v="Resolved"/>
    <n v="8"/>
    <n v="4.76"/>
    <n v="3.1"/>
    <s v="No"/>
    <x v="0"/>
  </r>
  <r>
    <s v="INC103525"/>
    <d v="2025-02-22T00:00:00"/>
    <d v="2025-02-22T14:00:00"/>
    <x v="3"/>
    <x v="2"/>
    <s v="Link Down"/>
    <s v="Network Support"/>
    <s v="Hyderabad"/>
    <s v="Chat"/>
    <s v="Closed"/>
    <n v="8"/>
    <n v="14"/>
    <n v="2.2000000000000002"/>
    <s v="No"/>
    <x v="1"/>
  </r>
  <r>
    <s v="INC103526"/>
    <d v="2025-02-08T00:00:00"/>
    <d v="2025-02-08T04:20:24"/>
    <x v="3"/>
    <x v="0"/>
    <s v="Application Error"/>
    <s v="Service Desk"/>
    <s v="Bengaluru"/>
    <s v="Portal"/>
    <s v="Resolved"/>
    <n v="8"/>
    <n v="4.34"/>
    <n v="3.1"/>
    <s v="Yes"/>
    <x v="0"/>
  </r>
  <r>
    <s v="INC103527"/>
    <d v="2025-01-25T00:00:00"/>
    <d v="2025-01-27T18:03:36"/>
    <x v="0"/>
    <x v="2"/>
    <s v="Packet Loss"/>
    <s v="Desktop Support"/>
    <s v="Bengaluru"/>
    <s v="Phone"/>
    <s v="Resolved"/>
    <n v="48"/>
    <n v="66.06"/>
    <n v="3.6"/>
    <s v="No"/>
    <x v="1"/>
  </r>
  <r>
    <s v="INC103528"/>
    <d v="2025-01-17T00:00:00"/>
    <d v="2025-01-17T19:37:48"/>
    <x v="0"/>
    <x v="1"/>
    <s v="Password Reset"/>
    <s v="Network Support"/>
    <s v="Gurugram"/>
    <s v="Portal"/>
    <s v="Resolved"/>
    <n v="48"/>
    <n v="19.63"/>
    <n v="5"/>
    <s v="No"/>
    <x v="0"/>
  </r>
  <r>
    <s v="INC103529"/>
    <d v="2025-02-03T00:00:00"/>
    <d v="2025-02-03T04:30:36"/>
    <x v="3"/>
    <x v="0"/>
    <s v="Installation"/>
    <s v="Application Support"/>
    <s v="Gurugram"/>
    <s v="Email"/>
    <s v="Pending"/>
    <n v="8"/>
    <n v="4.51"/>
    <n v="4.5999999999999996"/>
    <s v="No"/>
    <x v="0"/>
  </r>
  <r>
    <s v="INC103530"/>
    <d v="2025-01-22T00:00:00"/>
    <d v="2025-01-24T07:46:48"/>
    <x v="0"/>
    <x v="4"/>
    <s v="Delivery"/>
    <s v="Access Management"/>
    <s v="Delhi"/>
    <s v="Email"/>
    <s v="Resolved"/>
    <n v="48"/>
    <n v="55.78"/>
    <n v="4"/>
    <s v="No"/>
    <x v="1"/>
  </r>
  <r>
    <s v="INC103531"/>
    <d v="2025-03-10T00:00:00"/>
    <d v="2025-03-10T21:43:48"/>
    <x v="1"/>
    <x v="3"/>
    <s v="Peripheral"/>
    <s v="Network Support"/>
    <s v="Bengaluru"/>
    <s v="Email"/>
    <s v="Resolved"/>
    <n v="24"/>
    <n v="21.73"/>
    <n v="3.2"/>
    <s v="Yes"/>
    <x v="0"/>
  </r>
  <r>
    <s v="INC103532"/>
    <d v="2025-01-13T00:00:00"/>
    <d v="2025-01-13T06:39:00"/>
    <x v="1"/>
    <x v="2"/>
    <s v="Packet Loss"/>
    <s v="Access Management"/>
    <s v="Hyderabad"/>
    <s v="Phone"/>
    <s v="Closed"/>
    <n v="24"/>
    <n v="6.65"/>
    <n v="4.9000000000000004"/>
    <s v="No"/>
    <x v="0"/>
  </r>
  <r>
    <s v="INC103533"/>
    <d v="2025-01-12T00:00:00"/>
    <d v="2025-01-13T10:26:24"/>
    <x v="0"/>
    <x v="4"/>
    <s v="Configuration"/>
    <s v="Network Support"/>
    <s v="Delhi"/>
    <s v="Portal"/>
    <s v="Closed"/>
    <n v="48"/>
    <n v="34.44"/>
    <n v="3.6"/>
    <s v="Yes"/>
    <x v="0"/>
  </r>
  <r>
    <s v="INC103534"/>
    <d v="2025-06-29T00:00:00"/>
    <d v="2025-06-30T12:01:48"/>
    <x v="0"/>
    <x v="0"/>
    <s v="License"/>
    <s v="Network Support"/>
    <s v="Hyderabad"/>
    <s v="Phone"/>
    <s v="Resolved"/>
    <n v="48"/>
    <n v="36.03"/>
    <n v="4.0999999999999996"/>
    <s v="No"/>
    <x v="0"/>
  </r>
  <r>
    <s v="INC103535"/>
    <d v="2025-01-16T00:00:00"/>
    <d v="2025-01-16T03:21:36"/>
    <x v="2"/>
    <x v="1"/>
    <s v="Password Reset"/>
    <s v="Application Support"/>
    <s v="Hyderabad"/>
    <s v="Phone"/>
    <s v="Resolved"/>
    <n v="4"/>
    <n v="3.36"/>
    <n v="4.3"/>
    <s v="No"/>
    <x v="0"/>
  </r>
  <r>
    <s v="INC103536"/>
    <d v="2025-01-14T00:00:00"/>
    <d v="2025-01-14T02:22:48"/>
    <x v="3"/>
    <x v="4"/>
    <s v="Configuration"/>
    <s v="Application Support"/>
    <s v="Noida"/>
    <s v="Phone"/>
    <s v="Closed"/>
    <n v="8"/>
    <n v="2.38"/>
    <n v="4.5"/>
    <s v="No"/>
    <x v="0"/>
  </r>
  <r>
    <s v="INC103537"/>
    <d v="2025-01-06T00:00:00"/>
    <d v="2025-01-06T01:24:36"/>
    <x v="3"/>
    <x v="0"/>
    <s v="Installation"/>
    <s v="Access Management"/>
    <s v="Gurugram"/>
    <s v="Portal"/>
    <s v="In Progress"/>
    <n v="8"/>
    <n v="1.41"/>
    <n v="5"/>
    <s v="No"/>
    <x v="0"/>
  </r>
  <r>
    <s v="INC103538"/>
    <d v="2025-01-24T00:00:00"/>
    <d v="2025-01-26T20:42:36"/>
    <x v="0"/>
    <x v="3"/>
    <s v="Printer"/>
    <s v="Desktop Support"/>
    <s v="Bengaluru"/>
    <s v="Portal"/>
    <s v="Pending"/>
    <n v="48"/>
    <n v="68.709999999999994"/>
    <n v="3.2"/>
    <s v="No"/>
    <x v="1"/>
  </r>
  <r>
    <s v="INC103539"/>
    <d v="2025-04-06T00:00:00"/>
    <d v="2025-04-10T04:43:12"/>
    <x v="0"/>
    <x v="0"/>
    <s v="Application Error"/>
    <s v="Desktop Support"/>
    <s v="Hyderabad"/>
    <s v="Phone"/>
    <s v="Resolved"/>
    <n v="48"/>
    <n v="100.72"/>
    <n v="2.7"/>
    <s v="No"/>
    <x v="1"/>
  </r>
  <r>
    <s v="INC103540"/>
    <d v="2025-05-30T00:00:00"/>
    <d v="2025-05-30T19:50:24"/>
    <x v="1"/>
    <x v="1"/>
    <s v="Permission"/>
    <s v="Network Support"/>
    <s v="Delhi"/>
    <s v="Phone"/>
    <s v="Resolved"/>
    <n v="24"/>
    <n v="19.84"/>
    <n v="5"/>
    <s v="No"/>
    <x v="0"/>
  </r>
  <r>
    <s v="INC103541"/>
    <d v="2025-05-14T00:00:00"/>
    <d v="2025-05-14T09:24:00"/>
    <x v="1"/>
    <x v="4"/>
    <s v="Delivery"/>
    <s v="Application Support"/>
    <s v="Noida"/>
    <s v="Chat"/>
    <s v="Closed"/>
    <n v="24"/>
    <n v="9.4"/>
    <n v="4.9000000000000004"/>
    <s v="No"/>
    <x v="0"/>
  </r>
  <r>
    <s v="INC103542"/>
    <d v="2025-04-16T00:00:00"/>
    <d v="2025-04-18T13:44:24"/>
    <x v="0"/>
    <x v="3"/>
    <s v="Peripheral"/>
    <s v="Access Management"/>
    <s v="Delhi"/>
    <s v="Portal"/>
    <s v="Resolved"/>
    <n v="48"/>
    <n v="61.74"/>
    <n v="3"/>
    <s v="No"/>
    <x v="1"/>
  </r>
  <r>
    <s v="INC103543"/>
    <d v="2025-01-16T00:00:00"/>
    <d v="2025-01-16T02:00:00"/>
    <x v="3"/>
    <x v="1"/>
    <s v="VPN Access"/>
    <s v="Desktop Support"/>
    <s v="Bengaluru"/>
    <s v="Phone"/>
    <s v="Closed"/>
    <n v="8"/>
    <n v="2"/>
    <n v="4.4000000000000004"/>
    <s v="No"/>
    <x v="0"/>
  </r>
  <r>
    <s v="INC103544"/>
    <d v="2025-05-21T00:00:00"/>
    <d v="2025-05-21T01:04:12"/>
    <x v="2"/>
    <x v="3"/>
    <s v="Peripheral"/>
    <s v="Access Management"/>
    <s v="Delhi"/>
    <s v="Phone"/>
    <s v="Closed"/>
    <n v="4"/>
    <n v="1.07"/>
    <n v="5"/>
    <s v="No"/>
    <x v="0"/>
  </r>
  <r>
    <s v="INC103545"/>
    <d v="2025-01-07T00:00:00"/>
    <d v="2025-01-08T11:58:48"/>
    <x v="1"/>
    <x v="0"/>
    <s v="Performance"/>
    <s v="Service Desk"/>
    <s v="Gurugram"/>
    <s v="Phone"/>
    <s v="Resolved"/>
    <n v="24"/>
    <n v="35.979999999999997"/>
    <n v="3.9"/>
    <s v="No"/>
    <x v="1"/>
  </r>
  <r>
    <s v="INC103546"/>
    <d v="2025-04-25T00:00:00"/>
    <d v="2025-04-26T23:27:00"/>
    <x v="1"/>
    <x v="1"/>
    <s v="VPN Access"/>
    <s v="Access Management"/>
    <s v="Mumbai"/>
    <s v="Email"/>
    <s v="In Progress"/>
    <n v="24"/>
    <n v="47.45"/>
    <n v="2.6"/>
    <s v="No"/>
    <x v="1"/>
  </r>
  <r>
    <s v="INC103547"/>
    <d v="2025-03-16T00:00:00"/>
    <d v="2025-03-16T08:30:36"/>
    <x v="1"/>
    <x v="4"/>
    <s v="Mailbox"/>
    <s v="Desktop Support"/>
    <s v="Mumbai"/>
    <s v="Portal"/>
    <s v="Resolved"/>
    <n v="24"/>
    <n v="8.51"/>
    <n v="3.6"/>
    <s v="No"/>
    <x v="0"/>
  </r>
  <r>
    <s v="INC103548"/>
    <d v="2025-06-09T00:00:00"/>
    <d v="2025-06-09T13:56:24"/>
    <x v="0"/>
    <x v="3"/>
    <s v="Peripheral"/>
    <s v="Network Support"/>
    <s v="Gurugram"/>
    <s v="Email"/>
    <s v="Pending"/>
    <n v="48"/>
    <n v="13.94"/>
    <n v="4"/>
    <s v="No"/>
    <x v="0"/>
  </r>
  <r>
    <s v="INC103549"/>
    <d v="2025-02-25T00:00:00"/>
    <d v="2025-02-26T02:27:00"/>
    <x v="0"/>
    <x v="3"/>
    <s v="Laptop"/>
    <s v="Service Desk"/>
    <s v="Bengaluru"/>
    <s v="Email"/>
    <s v="Resolved"/>
    <n v="48"/>
    <n v="26.45"/>
    <n v="4.5"/>
    <s v="No"/>
    <x v="0"/>
  </r>
  <r>
    <s v="INC103550"/>
    <d v="2025-04-26T00:00:00"/>
    <d v="2025-04-26T05:28:12"/>
    <x v="1"/>
    <x v="2"/>
    <s v="Link Down"/>
    <s v="Desktop Support"/>
    <s v="Gurugram"/>
    <s v="Portal"/>
    <s v="In Progress"/>
    <n v="24"/>
    <n v="5.47"/>
    <n v="5"/>
    <s v="No"/>
    <x v="0"/>
  </r>
  <r>
    <s v="INC103551"/>
    <d v="2025-03-21T00:00:00"/>
    <d v="2025-03-21T03:36:00"/>
    <x v="1"/>
    <x v="2"/>
    <s v="DNS"/>
    <s v="Network Support"/>
    <s v="Bengaluru"/>
    <s v="Portal"/>
    <s v="Resolved"/>
    <n v="24"/>
    <n v="3.6"/>
    <n v="5"/>
    <s v="No"/>
    <x v="0"/>
  </r>
  <r>
    <s v="INC103552"/>
    <d v="2025-04-05T00:00:00"/>
    <d v="2025-04-05T03:44:24"/>
    <x v="1"/>
    <x v="3"/>
    <s v="Printer"/>
    <s v="Access Management"/>
    <s v="Delhi"/>
    <s v="Phone"/>
    <s v="Resolved"/>
    <n v="24"/>
    <n v="3.74"/>
    <n v="3.5"/>
    <s v="No"/>
    <x v="0"/>
  </r>
  <r>
    <s v="INC103553"/>
    <d v="2025-06-19T00:00:00"/>
    <d v="2025-06-19T05:37:12"/>
    <x v="3"/>
    <x v="1"/>
    <s v="VPN Access"/>
    <s v="Service Desk"/>
    <s v="Mumbai"/>
    <s v="Portal"/>
    <s v="Resolved"/>
    <n v="8"/>
    <n v="5.62"/>
    <n v="4.7"/>
    <s v="No"/>
    <x v="0"/>
  </r>
  <r>
    <s v="INC103554"/>
    <d v="2025-05-10T00:00:00"/>
    <d v="2025-05-11T01:13:12"/>
    <x v="0"/>
    <x v="3"/>
    <s v="Printer"/>
    <s v="Application Support"/>
    <s v="Delhi"/>
    <s v="Portal"/>
    <s v="Closed"/>
    <n v="48"/>
    <n v="25.22"/>
    <n v="5"/>
    <s v="No"/>
    <x v="0"/>
  </r>
  <r>
    <s v="INC103555"/>
    <d v="2025-03-17T00:00:00"/>
    <d v="2025-03-19T07:22:48"/>
    <x v="0"/>
    <x v="3"/>
    <s v="Printer"/>
    <s v="Access Management"/>
    <s v="Bengaluru"/>
    <s v="Email"/>
    <s v="Pending"/>
    <n v="48"/>
    <n v="55.38"/>
    <n v="2.1"/>
    <s v="No"/>
    <x v="1"/>
  </r>
  <r>
    <s v="INC103556"/>
    <d v="2025-03-22T00:00:00"/>
    <d v="2025-03-25T00:07:12"/>
    <x v="0"/>
    <x v="1"/>
    <s v="Password Reset"/>
    <s v="Desktop Support"/>
    <s v="Noida"/>
    <s v="Chat"/>
    <s v="Closed"/>
    <n v="48"/>
    <n v="72.12"/>
    <n v="3.2"/>
    <s v="No"/>
    <x v="1"/>
  </r>
  <r>
    <s v="INC103557"/>
    <d v="2025-05-08T00:00:00"/>
    <d v="2025-05-09T14:28:48"/>
    <x v="0"/>
    <x v="2"/>
    <s v="DNS"/>
    <s v="Application Support"/>
    <s v="Gurugram"/>
    <s v="Email"/>
    <s v="Closed"/>
    <n v="48"/>
    <n v="38.479999999999997"/>
    <n v="4.5"/>
    <s v="No"/>
    <x v="0"/>
  </r>
  <r>
    <s v="INC103558"/>
    <d v="2025-03-04T00:00:00"/>
    <d v="2025-03-04T05:28:12"/>
    <x v="1"/>
    <x v="2"/>
    <s v="Packet Loss"/>
    <s v="Desktop Support"/>
    <s v="Bengaluru"/>
    <s v="Portal"/>
    <s v="Resolved"/>
    <n v="24"/>
    <n v="5.47"/>
    <n v="3.8"/>
    <s v="No"/>
    <x v="0"/>
  </r>
  <r>
    <s v="INC103559"/>
    <d v="2025-01-31T00:00:00"/>
    <d v="2025-01-31T00:36:00"/>
    <x v="3"/>
    <x v="4"/>
    <s v="Delivery"/>
    <s v="Application Support"/>
    <s v="Delhi"/>
    <s v="Portal"/>
    <s v="Pending"/>
    <n v="8"/>
    <n v="0.6"/>
    <n v="4.5999999999999996"/>
    <s v="No"/>
    <x v="0"/>
  </r>
  <r>
    <s v="INC103560"/>
    <d v="2025-03-26T00:00:00"/>
    <d v="2025-03-26T03:19:48"/>
    <x v="3"/>
    <x v="2"/>
    <s v="Link Down"/>
    <s v="Network Support"/>
    <s v="Bengaluru"/>
    <s v="Portal"/>
    <s v="Resolved"/>
    <n v="8"/>
    <n v="3.33"/>
    <n v="4.9000000000000004"/>
    <s v="No"/>
    <x v="0"/>
  </r>
  <r>
    <s v="INC103561"/>
    <d v="2025-01-13T00:00:00"/>
    <d v="2025-01-13T08:57:00"/>
    <x v="1"/>
    <x v="3"/>
    <s v="Peripheral"/>
    <s v="Service Desk"/>
    <s v="Bengaluru"/>
    <s v="Portal"/>
    <s v="Closed"/>
    <n v="24"/>
    <n v="8.9499999999999993"/>
    <n v="4.2"/>
    <s v="No"/>
    <x v="0"/>
  </r>
  <r>
    <s v="INC103562"/>
    <d v="2025-01-31T00:00:00"/>
    <d v="2025-01-31T05:44:24"/>
    <x v="1"/>
    <x v="0"/>
    <s v="Installation"/>
    <s v="Application Support"/>
    <s v="Noida"/>
    <s v="Phone"/>
    <s v="Resolved"/>
    <n v="24"/>
    <n v="5.74"/>
    <n v="4.5"/>
    <s v="No"/>
    <x v="0"/>
  </r>
  <r>
    <s v="INC103563"/>
    <d v="2025-03-18T00:00:00"/>
    <d v="2025-03-19T13:40:48"/>
    <x v="0"/>
    <x v="2"/>
    <s v="Connectivity"/>
    <s v="Network Support"/>
    <s v="Noida"/>
    <s v="Portal"/>
    <s v="Closed"/>
    <n v="48"/>
    <n v="37.68"/>
    <n v="4.2"/>
    <s v="No"/>
    <x v="0"/>
  </r>
  <r>
    <s v="INC103564"/>
    <d v="2025-05-25T00:00:00"/>
    <d v="2025-05-25T19:52:12"/>
    <x v="1"/>
    <x v="3"/>
    <s v="Laptop"/>
    <s v="Access Management"/>
    <s v="Noida"/>
    <s v="Portal"/>
    <s v="Resolved"/>
    <n v="24"/>
    <n v="19.87"/>
    <n v="3.2"/>
    <s v="No"/>
    <x v="0"/>
  </r>
  <r>
    <s v="INC103565"/>
    <d v="2025-05-22T00:00:00"/>
    <d v="2025-05-22T16:25:48"/>
    <x v="1"/>
    <x v="2"/>
    <s v="Packet Loss"/>
    <s v="Application Support"/>
    <s v="Hyderabad"/>
    <s v="Phone"/>
    <s v="Resolved"/>
    <n v="24"/>
    <n v="16.43"/>
    <n v="3.5"/>
    <s v="No"/>
    <x v="0"/>
  </r>
  <r>
    <s v="INC103566"/>
    <d v="2025-02-17T00:00:00"/>
    <d v="2025-02-17T16:21:36"/>
    <x v="3"/>
    <x v="3"/>
    <s v="Printer"/>
    <s v="Network Support"/>
    <s v="Mumbai"/>
    <s v="Portal"/>
    <s v="Resolved"/>
    <n v="8"/>
    <n v="16.36"/>
    <n v="2.9"/>
    <s v="No"/>
    <x v="1"/>
  </r>
  <r>
    <s v="INC103567"/>
    <d v="2025-03-18T00:00:00"/>
    <d v="2025-03-18T03:53:24"/>
    <x v="1"/>
    <x v="4"/>
    <s v="Mailbox"/>
    <s v="Network Support"/>
    <s v="Delhi"/>
    <s v="Portal"/>
    <s v="Resolved"/>
    <n v="24"/>
    <n v="3.89"/>
    <n v="5"/>
    <s v="No"/>
    <x v="0"/>
  </r>
  <r>
    <s v="INC103568"/>
    <d v="2025-01-28T00:00:00"/>
    <d v="2025-01-28T20:58:12"/>
    <x v="0"/>
    <x v="3"/>
    <s v="Printer"/>
    <s v="Network Support"/>
    <s v="Gurugram"/>
    <s v="Email"/>
    <s v="Resolved"/>
    <n v="48"/>
    <n v="20.97"/>
    <n v="4.7"/>
    <s v="No"/>
    <x v="0"/>
  </r>
  <r>
    <s v="INC103569"/>
    <d v="2025-05-17T00:00:00"/>
    <d v="2025-05-18T02:04:12"/>
    <x v="0"/>
    <x v="3"/>
    <s v="Peripheral"/>
    <s v="Application Support"/>
    <s v="Delhi"/>
    <s v="Portal"/>
    <s v="In Progress"/>
    <n v="48"/>
    <n v="26.07"/>
    <n v="5"/>
    <s v="Yes"/>
    <x v="0"/>
  </r>
  <r>
    <s v="INC103570"/>
    <d v="2025-02-14T00:00:00"/>
    <d v="2025-02-14T18:49:12"/>
    <x v="0"/>
    <x v="3"/>
    <s v="Printer"/>
    <s v="Desktop Support"/>
    <s v="Gurugram"/>
    <s v="Portal"/>
    <s v="Closed"/>
    <n v="48"/>
    <n v="18.82"/>
    <n v="4.8"/>
    <s v="No"/>
    <x v="0"/>
  </r>
  <r>
    <s v="INC103571"/>
    <d v="2025-05-25T00:00:00"/>
    <d v="2025-05-25T02:48:36"/>
    <x v="3"/>
    <x v="4"/>
    <s v="Configuration"/>
    <s v="Desktop Support"/>
    <s v="Mumbai"/>
    <s v="Chat"/>
    <s v="Pending"/>
    <n v="8"/>
    <n v="2.81"/>
    <n v="5"/>
    <s v="No"/>
    <x v="0"/>
  </r>
  <r>
    <s v="INC103572"/>
    <d v="2025-06-02T00:00:00"/>
    <d v="2025-06-03T20:29:24"/>
    <x v="0"/>
    <x v="2"/>
    <s v="Connectivity"/>
    <s v="Desktop Support"/>
    <s v="Hyderabad"/>
    <s v="Phone"/>
    <s v="Resolved"/>
    <n v="48"/>
    <n v="44.49"/>
    <n v="3.9"/>
    <s v="No"/>
    <x v="0"/>
  </r>
  <r>
    <s v="INC103573"/>
    <d v="2025-05-05T00:00:00"/>
    <d v="2025-05-05T14:25:48"/>
    <x v="0"/>
    <x v="1"/>
    <s v="Account Lock"/>
    <s v="Desktop Support"/>
    <s v="Noida"/>
    <s v="Phone"/>
    <s v="Closed"/>
    <n v="48"/>
    <n v="14.43"/>
    <n v="4.8"/>
    <s v="No"/>
    <x v="0"/>
  </r>
  <r>
    <s v="INC103574"/>
    <d v="2025-03-01T00:00:00"/>
    <d v="2025-03-01T12:12:36"/>
    <x v="0"/>
    <x v="3"/>
    <s v="Printer"/>
    <s v="Service Desk"/>
    <s v="Mumbai"/>
    <s v="Email"/>
    <s v="Resolved"/>
    <n v="48"/>
    <n v="12.21"/>
    <n v="5"/>
    <s v="No"/>
    <x v="0"/>
  </r>
  <r>
    <s v="INC103575"/>
    <d v="2025-06-22T00:00:00"/>
    <d v="2025-06-22T06:35:24"/>
    <x v="3"/>
    <x v="4"/>
    <s v="Spam"/>
    <s v="Network Support"/>
    <s v="Noida"/>
    <s v="Portal"/>
    <s v="In Progress"/>
    <n v="8"/>
    <n v="6.59"/>
    <n v="3.6"/>
    <s v="No"/>
    <x v="0"/>
  </r>
  <r>
    <s v="INC103576"/>
    <d v="2025-05-05T00:00:00"/>
    <d v="2025-05-05T19:22:48"/>
    <x v="1"/>
    <x v="3"/>
    <s v="Laptop"/>
    <s v="Network Support"/>
    <s v="Noida"/>
    <s v="Phone"/>
    <s v="Resolved"/>
    <n v="24"/>
    <n v="19.38"/>
    <n v="3.5"/>
    <s v="No"/>
    <x v="0"/>
  </r>
  <r>
    <s v="INC103577"/>
    <d v="2025-04-27T00:00:00"/>
    <d v="2025-04-27T03:19:12"/>
    <x v="1"/>
    <x v="2"/>
    <s v="Link Down"/>
    <s v="Application Support"/>
    <s v="Mumbai"/>
    <s v="Email"/>
    <s v="Resolved"/>
    <n v="24"/>
    <n v="3.32"/>
    <n v="4.2"/>
    <s v="No"/>
    <x v="0"/>
  </r>
  <r>
    <s v="INC103578"/>
    <d v="2025-06-05T00:00:00"/>
    <d v="2025-06-06T04:00:00"/>
    <x v="1"/>
    <x v="0"/>
    <s v="Installation"/>
    <s v="Application Support"/>
    <s v="Gurugram"/>
    <s v="Portal"/>
    <s v="Resolved"/>
    <n v="24"/>
    <n v="28"/>
    <n v="3.2"/>
    <s v="No"/>
    <x v="1"/>
  </r>
  <r>
    <s v="INC103579"/>
    <d v="2025-06-09T00:00:00"/>
    <d v="2025-06-12T15:24:00"/>
    <x v="0"/>
    <x v="2"/>
    <s v="Connectivity"/>
    <s v="Service Desk"/>
    <s v="Gurugram"/>
    <s v="Portal"/>
    <s v="Resolved"/>
    <n v="48"/>
    <n v="87.4"/>
    <n v="4.2"/>
    <s v="No"/>
    <x v="1"/>
  </r>
  <r>
    <s v="INC103580"/>
    <d v="2025-01-15T00:00:00"/>
    <d v="2025-01-15T00:47:24"/>
    <x v="3"/>
    <x v="1"/>
    <s v="Account Lock"/>
    <s v="Service Desk"/>
    <s v="Delhi"/>
    <s v="Email"/>
    <s v="In Progress"/>
    <n v="8"/>
    <n v="0.79"/>
    <n v="5"/>
    <s v="No"/>
    <x v="0"/>
  </r>
  <r>
    <s v="INC103581"/>
    <d v="2025-06-09T00:00:00"/>
    <d v="2025-06-10T20:47:24"/>
    <x v="0"/>
    <x v="0"/>
    <s v="Installation"/>
    <s v="Desktop Support"/>
    <s v="Gurugram"/>
    <s v="Portal"/>
    <s v="Resolved"/>
    <n v="48"/>
    <n v="44.79"/>
    <n v="3.7"/>
    <s v="No"/>
    <x v="0"/>
  </r>
  <r>
    <s v="INC103582"/>
    <d v="2025-05-19T00:00:00"/>
    <d v="2025-05-20T07:31:48"/>
    <x v="0"/>
    <x v="0"/>
    <s v="License"/>
    <s v="Application Support"/>
    <s v="Delhi"/>
    <s v="Portal"/>
    <s v="Closed"/>
    <n v="48"/>
    <n v="31.53"/>
    <n v="3.9"/>
    <s v="No"/>
    <x v="0"/>
  </r>
  <r>
    <s v="INC103583"/>
    <d v="2025-02-07T00:00:00"/>
    <d v="2025-02-07T14:36:00"/>
    <x v="1"/>
    <x v="2"/>
    <s v="Link Down"/>
    <s v="Desktop Support"/>
    <s v="Mumbai"/>
    <s v="Portal"/>
    <s v="Resolved"/>
    <n v="24"/>
    <n v="14.6"/>
    <n v="2.9"/>
    <s v="No"/>
    <x v="0"/>
  </r>
  <r>
    <s v="INC103584"/>
    <d v="2025-02-25T00:00:00"/>
    <d v="2025-02-27T10:21:36"/>
    <x v="0"/>
    <x v="0"/>
    <s v="Installation"/>
    <s v="Desktop Support"/>
    <s v="Hyderabad"/>
    <s v="Email"/>
    <s v="Resolved"/>
    <n v="48"/>
    <n v="58.36"/>
    <n v="2.9"/>
    <s v="No"/>
    <x v="1"/>
  </r>
  <r>
    <s v="INC103585"/>
    <d v="2025-05-17T00:00:00"/>
    <d v="2025-05-18T07:04:48"/>
    <x v="0"/>
    <x v="3"/>
    <s v="Monitor"/>
    <s v="Network Support"/>
    <s v="Noida"/>
    <s v="Portal"/>
    <s v="Pending"/>
    <n v="48"/>
    <n v="31.08"/>
    <n v="3.7"/>
    <s v="No"/>
    <x v="0"/>
  </r>
  <r>
    <s v="INC103586"/>
    <d v="2025-02-09T00:00:00"/>
    <d v="2025-02-09T05:01:48"/>
    <x v="3"/>
    <x v="4"/>
    <s v="Delivery"/>
    <s v="Desktop Support"/>
    <s v="Bengaluru"/>
    <s v="Email"/>
    <s v="Closed"/>
    <n v="8"/>
    <n v="5.03"/>
    <n v="4"/>
    <s v="No"/>
    <x v="0"/>
  </r>
  <r>
    <s v="INC103587"/>
    <d v="2025-03-23T00:00:00"/>
    <d v="2025-03-23T08:58:48"/>
    <x v="1"/>
    <x v="1"/>
    <s v="Account Lock"/>
    <s v="Application Support"/>
    <s v="Gurugram"/>
    <s v="Portal"/>
    <s v="Pending"/>
    <n v="24"/>
    <n v="8.98"/>
    <n v="4.2"/>
    <s v="No"/>
    <x v="0"/>
  </r>
  <r>
    <s v="INC103588"/>
    <d v="2025-05-05T00:00:00"/>
    <d v="2025-05-07T12:18:36"/>
    <x v="0"/>
    <x v="0"/>
    <s v="License"/>
    <s v="Desktop Support"/>
    <s v="Delhi"/>
    <s v="Email"/>
    <s v="Resolved"/>
    <n v="48"/>
    <n v="60.31"/>
    <n v="3.6"/>
    <s v="No"/>
    <x v="1"/>
  </r>
  <r>
    <s v="INC103589"/>
    <d v="2025-04-28T00:00:00"/>
    <d v="2025-04-28T03:11:24"/>
    <x v="1"/>
    <x v="1"/>
    <s v="Account Lock"/>
    <s v="Access Management"/>
    <s v="Bengaluru"/>
    <s v="Portal"/>
    <s v="Closed"/>
    <n v="24"/>
    <n v="3.19"/>
    <n v="5"/>
    <s v="No"/>
    <x v="0"/>
  </r>
  <r>
    <s v="INC103590"/>
    <d v="2025-06-14T00:00:00"/>
    <d v="2025-06-14T08:26:24"/>
    <x v="3"/>
    <x v="0"/>
    <s v="Installation"/>
    <s v="Application Support"/>
    <s v="Delhi"/>
    <s v="Portal"/>
    <s v="Closed"/>
    <n v="8"/>
    <n v="8.44"/>
    <n v="3.3"/>
    <s v="No"/>
    <x v="1"/>
  </r>
  <r>
    <s v="INC103591"/>
    <d v="2025-01-21T00:00:00"/>
    <d v="2025-01-21T13:49:48"/>
    <x v="0"/>
    <x v="0"/>
    <s v="Application Error"/>
    <s v="Access Management"/>
    <s v="Hyderabad"/>
    <s v="Email"/>
    <s v="Closed"/>
    <n v="48"/>
    <n v="13.83"/>
    <n v="5"/>
    <s v="Yes"/>
    <x v="0"/>
  </r>
  <r>
    <s v="INC103592"/>
    <d v="2025-02-23T00:00:00"/>
    <d v="2025-02-24T01:17:23"/>
    <x v="0"/>
    <x v="2"/>
    <s v="DNS"/>
    <s v="Desktop Support"/>
    <s v="Gurugram"/>
    <s v="Email"/>
    <s v="Resolved"/>
    <n v="48"/>
    <n v="25.29"/>
    <n v="4.5999999999999996"/>
    <s v="Yes"/>
    <x v="0"/>
  </r>
  <r>
    <s v="INC103593"/>
    <d v="2025-06-28T00:00:00"/>
    <d v="2025-06-28T05:32:24"/>
    <x v="1"/>
    <x v="0"/>
    <s v="Installation"/>
    <s v="Desktop Support"/>
    <s v="Mumbai"/>
    <s v="Portal"/>
    <s v="Resolved"/>
    <n v="24"/>
    <n v="5.54"/>
    <n v="5"/>
    <s v="No"/>
    <x v="0"/>
  </r>
  <r>
    <s v="INC103594"/>
    <d v="2025-04-13T00:00:00"/>
    <d v="2025-04-13T09:49:48"/>
    <x v="1"/>
    <x v="3"/>
    <s v="Laptop"/>
    <s v="Desktop Support"/>
    <s v="Gurugram"/>
    <s v="Email"/>
    <s v="Resolved"/>
    <n v="24"/>
    <n v="9.83"/>
    <n v="4.2"/>
    <s v="No"/>
    <x v="0"/>
  </r>
  <r>
    <s v="INC103595"/>
    <d v="2025-02-15T00:00:00"/>
    <d v="2025-02-15T01:03:36"/>
    <x v="2"/>
    <x v="2"/>
    <s v="Connectivity"/>
    <s v="Service Desk"/>
    <s v="Delhi"/>
    <s v="Phone"/>
    <s v="Closed"/>
    <n v="4"/>
    <n v="1.06"/>
    <n v="5"/>
    <s v="No"/>
    <x v="0"/>
  </r>
  <r>
    <s v="INC103596"/>
    <d v="2025-02-22T00:00:00"/>
    <d v="2025-02-22T10:36:36"/>
    <x v="1"/>
    <x v="1"/>
    <s v="Account Lock"/>
    <s v="Desktop Support"/>
    <s v="Bengaluru"/>
    <s v="Portal"/>
    <s v="Closed"/>
    <n v="24"/>
    <n v="10.61"/>
    <n v="4.8"/>
    <s v="No"/>
    <x v="0"/>
  </r>
  <r>
    <s v="INC103597"/>
    <d v="2025-03-03T00:00:00"/>
    <d v="2025-03-05T05:07:12"/>
    <x v="0"/>
    <x v="2"/>
    <s v="DNS"/>
    <s v="Network Support"/>
    <s v="Gurugram"/>
    <s v="Email"/>
    <s v="Closed"/>
    <n v="48"/>
    <n v="53.12"/>
    <n v="4.5999999999999996"/>
    <s v="No"/>
    <x v="1"/>
  </r>
  <r>
    <s v="INC103598"/>
    <d v="2025-04-11T00:00:00"/>
    <d v="2025-04-11T08:47:24"/>
    <x v="1"/>
    <x v="0"/>
    <s v="Application Error"/>
    <s v="Desktop Support"/>
    <s v="Noida"/>
    <s v="Portal"/>
    <s v="Resolved"/>
    <n v="24"/>
    <n v="8.7899999999999991"/>
    <n v="5"/>
    <s v="No"/>
    <x v="0"/>
  </r>
  <r>
    <s v="INC103599"/>
    <d v="2025-02-21T00:00:00"/>
    <d v="2025-02-21T18:42:00"/>
    <x v="1"/>
    <x v="2"/>
    <s v="Connectivity"/>
    <s v="Network Support"/>
    <s v="Gurugram"/>
    <s v="Phone"/>
    <s v="Closed"/>
    <n v="24"/>
    <n v="18.7"/>
    <n v="4.5999999999999996"/>
    <s v="No"/>
    <x v="0"/>
  </r>
  <r>
    <s v="INC103600"/>
    <d v="2025-04-23T00:00:00"/>
    <d v="2025-04-23T16:01:12"/>
    <x v="0"/>
    <x v="3"/>
    <s v="Printer"/>
    <s v="Desktop Support"/>
    <s v="Hyderabad"/>
    <s v="Portal"/>
    <s v="Resolved"/>
    <n v="48"/>
    <n v="16.02"/>
    <n v="4.3"/>
    <s v="No"/>
    <x v="0"/>
  </r>
  <r>
    <s v="INC103601"/>
    <d v="2025-03-22T00:00:00"/>
    <d v="2025-03-22T06:22:12"/>
    <x v="1"/>
    <x v="1"/>
    <s v="Account Lock"/>
    <s v="Access Management"/>
    <s v="Bengaluru"/>
    <s v="Chat"/>
    <s v="In Progress"/>
    <n v="24"/>
    <n v="6.37"/>
    <n v="5"/>
    <s v="No"/>
    <x v="0"/>
  </r>
  <r>
    <s v="INC103602"/>
    <d v="2025-04-21T00:00:00"/>
    <d v="2025-04-22T02:51:00"/>
    <x v="0"/>
    <x v="2"/>
    <s v="DNS"/>
    <s v="Desktop Support"/>
    <s v="Mumbai"/>
    <s v="Email"/>
    <s v="Resolved"/>
    <n v="48"/>
    <n v="26.85"/>
    <n v="3.5"/>
    <s v="No"/>
    <x v="0"/>
  </r>
  <r>
    <s v="INC103603"/>
    <d v="2025-01-29T00:00:00"/>
    <d v="2025-01-29T00:30:00"/>
    <x v="3"/>
    <x v="0"/>
    <s v="License"/>
    <s v="Application Support"/>
    <s v="Bengaluru"/>
    <s v="Email"/>
    <s v="Closed"/>
    <n v="8"/>
    <n v="0.5"/>
    <n v="4.5999999999999996"/>
    <s v="No"/>
    <x v="0"/>
  </r>
  <r>
    <s v="INC103604"/>
    <d v="2025-04-23T00:00:00"/>
    <d v="2025-04-23T02:47:24"/>
    <x v="3"/>
    <x v="0"/>
    <s v="Performance"/>
    <s v="Desktop Support"/>
    <s v="Hyderabad"/>
    <s v="Portal"/>
    <s v="Resolved"/>
    <n v="8"/>
    <n v="2.79"/>
    <n v="4.8"/>
    <s v="No"/>
    <x v="0"/>
  </r>
  <r>
    <s v="INC103605"/>
    <d v="2025-06-17T00:00:00"/>
    <d v="2025-06-18T06:42:36"/>
    <x v="1"/>
    <x v="1"/>
    <s v="Account Lock"/>
    <s v="Access Management"/>
    <s v="Noida"/>
    <s v="Email"/>
    <s v="Resolved"/>
    <n v="24"/>
    <n v="30.71"/>
    <n v="2.7"/>
    <s v="No"/>
    <x v="1"/>
  </r>
  <r>
    <s v="INC103606"/>
    <d v="2025-01-25T00:00:00"/>
    <d v="2025-01-25T02:58:48"/>
    <x v="2"/>
    <x v="2"/>
    <s v="Packet Loss"/>
    <s v="Service Desk"/>
    <s v="Hyderabad"/>
    <s v="Portal"/>
    <s v="Resolved"/>
    <n v="4"/>
    <n v="2.98"/>
    <n v="3.5"/>
    <s v="No"/>
    <x v="0"/>
  </r>
  <r>
    <s v="INC103607"/>
    <d v="2025-03-01T00:00:00"/>
    <d v="2025-03-01T02:08:24"/>
    <x v="2"/>
    <x v="1"/>
    <s v="Permission"/>
    <s v="Access Management"/>
    <s v="Hyderabad"/>
    <s v="Portal"/>
    <s v="Resolved"/>
    <n v="4"/>
    <n v="2.14"/>
    <n v="3.8"/>
    <s v="No"/>
    <x v="0"/>
  </r>
  <r>
    <s v="INC103608"/>
    <d v="2025-05-06T00:00:00"/>
    <d v="2025-05-06T23:54:36"/>
    <x v="0"/>
    <x v="3"/>
    <s v="Monitor"/>
    <s v="Application Support"/>
    <s v="Hyderabad"/>
    <s v="Portal"/>
    <s v="Resolved"/>
    <n v="48"/>
    <n v="23.91"/>
    <n v="4.5999999999999996"/>
    <s v="No"/>
    <x v="0"/>
  </r>
  <r>
    <s v="INC103609"/>
    <d v="2025-04-22T00:00:00"/>
    <d v="2025-04-23T02:33:36"/>
    <x v="1"/>
    <x v="3"/>
    <s v="Monitor"/>
    <s v="Access Management"/>
    <s v="Mumbai"/>
    <s v="Email"/>
    <s v="Resolved"/>
    <n v="24"/>
    <n v="26.56"/>
    <n v="3.6"/>
    <s v="No"/>
    <x v="1"/>
  </r>
  <r>
    <s v="INC103610"/>
    <d v="2025-05-03T00:00:00"/>
    <d v="2025-05-03T08:03:00"/>
    <x v="1"/>
    <x v="3"/>
    <s v="Peripheral"/>
    <s v="Network Support"/>
    <s v="Hyderabad"/>
    <s v="Phone"/>
    <s v="Resolved"/>
    <n v="24"/>
    <n v="8.0500000000000007"/>
    <n v="5"/>
    <s v="No"/>
    <x v="0"/>
  </r>
  <r>
    <s v="INC103611"/>
    <d v="2025-04-12T00:00:00"/>
    <d v="2025-04-12T20:24:00"/>
    <x v="0"/>
    <x v="3"/>
    <s v="Printer"/>
    <s v="Access Management"/>
    <s v="Mumbai"/>
    <s v="Chat"/>
    <s v="In Progress"/>
    <n v="48"/>
    <n v="20.399999999999999"/>
    <n v="5"/>
    <s v="No"/>
    <x v="0"/>
  </r>
  <r>
    <s v="INC103612"/>
    <d v="2025-05-04T00:00:00"/>
    <d v="2025-05-04T01:05:24"/>
    <x v="1"/>
    <x v="0"/>
    <s v="Installation"/>
    <s v="Access Management"/>
    <s v="Gurugram"/>
    <s v="Portal"/>
    <s v="Resolved"/>
    <n v="24"/>
    <n v="1.0900000000000001"/>
    <n v="5"/>
    <s v="No"/>
    <x v="0"/>
  </r>
  <r>
    <s v="INC103613"/>
    <d v="2025-04-21T00:00:00"/>
    <d v="2025-04-22T00:03:36"/>
    <x v="0"/>
    <x v="2"/>
    <s v="DNS"/>
    <s v="Service Desk"/>
    <s v="Delhi"/>
    <s v="Phone"/>
    <s v="Resolved"/>
    <n v="48"/>
    <n v="24.06"/>
    <n v="4.0999999999999996"/>
    <s v="No"/>
    <x v="0"/>
  </r>
  <r>
    <s v="INC103614"/>
    <d v="2025-01-14T00:00:00"/>
    <d v="2025-01-14T03:06:36"/>
    <x v="2"/>
    <x v="3"/>
    <s v="Monitor"/>
    <s v="Application Support"/>
    <s v="Gurugram"/>
    <s v="Phone"/>
    <s v="Resolved"/>
    <n v="4"/>
    <n v="3.11"/>
    <n v="4.3"/>
    <s v="No"/>
    <x v="0"/>
  </r>
  <r>
    <s v="INC103615"/>
    <d v="2025-05-16T00:00:00"/>
    <d v="2025-05-16T08:37:48"/>
    <x v="1"/>
    <x v="0"/>
    <s v="Application Error"/>
    <s v="Desktop Support"/>
    <s v="Bengaluru"/>
    <s v="Phone"/>
    <s v="Closed"/>
    <n v="24"/>
    <n v="8.6300000000000008"/>
    <n v="4"/>
    <s v="No"/>
    <x v="0"/>
  </r>
  <r>
    <s v="INC103616"/>
    <d v="2025-03-22T00:00:00"/>
    <d v="2025-03-22T05:36:36"/>
    <x v="3"/>
    <x v="0"/>
    <s v="License"/>
    <s v="Network Support"/>
    <s v="Delhi"/>
    <s v="Phone"/>
    <s v="Resolved"/>
    <n v="8"/>
    <n v="5.61"/>
    <n v="4.0999999999999996"/>
    <s v="No"/>
    <x v="0"/>
  </r>
  <r>
    <s v="INC103617"/>
    <d v="2025-01-10T00:00:00"/>
    <d v="2025-01-10T10:09:36"/>
    <x v="1"/>
    <x v="2"/>
    <s v="DNS"/>
    <s v="Desktop Support"/>
    <s v="Gurugram"/>
    <s v="Portal"/>
    <s v="Closed"/>
    <n v="24"/>
    <n v="10.16"/>
    <n v="5"/>
    <s v="No"/>
    <x v="0"/>
  </r>
  <r>
    <s v="INC103618"/>
    <d v="2025-03-16T00:00:00"/>
    <d v="2025-03-17T10:46:48"/>
    <x v="0"/>
    <x v="3"/>
    <s v="Monitor"/>
    <s v="Application Support"/>
    <s v="Bengaluru"/>
    <s v="Phone"/>
    <s v="In Progress"/>
    <n v="48"/>
    <n v="34.78"/>
    <n v="4"/>
    <s v="No"/>
    <x v="0"/>
  </r>
  <r>
    <s v="INC103619"/>
    <d v="2025-03-20T00:00:00"/>
    <d v="2025-03-20T04:43:12"/>
    <x v="3"/>
    <x v="3"/>
    <s v="Peripheral"/>
    <s v="Service Desk"/>
    <s v="Gurugram"/>
    <s v="Email"/>
    <s v="Resolved"/>
    <n v="8"/>
    <n v="4.72"/>
    <n v="4.5"/>
    <s v="No"/>
    <x v="0"/>
  </r>
  <r>
    <s v="INC103620"/>
    <d v="2025-01-16T00:00:00"/>
    <d v="2025-01-16T13:52:48"/>
    <x v="0"/>
    <x v="0"/>
    <s v="Installation"/>
    <s v="Service Desk"/>
    <s v="Mumbai"/>
    <s v="Phone"/>
    <s v="Resolved"/>
    <n v="48"/>
    <n v="13.88"/>
    <n v="4.5"/>
    <s v="No"/>
    <x v="0"/>
  </r>
  <r>
    <s v="INC103621"/>
    <d v="2025-06-30T00:00:00"/>
    <d v="2025-06-30T20:43:48"/>
    <x v="0"/>
    <x v="4"/>
    <s v="Delivery"/>
    <s v="Desktop Support"/>
    <s v="Hyderabad"/>
    <s v="Portal"/>
    <s v="Resolved"/>
    <n v="48"/>
    <n v="20.73"/>
    <n v="4.2"/>
    <s v="No"/>
    <x v="0"/>
  </r>
  <r>
    <s v="INC103622"/>
    <d v="2025-02-10T00:00:00"/>
    <d v="2025-02-10T12:04:12"/>
    <x v="1"/>
    <x v="0"/>
    <s v="Application Error"/>
    <s v="Access Management"/>
    <s v="Delhi"/>
    <s v="Portal"/>
    <s v="Pending"/>
    <n v="24"/>
    <n v="12.07"/>
    <n v="4.7"/>
    <s v="No"/>
    <x v="0"/>
  </r>
  <r>
    <s v="INC103623"/>
    <d v="2025-03-01T00:00:00"/>
    <d v="2025-03-01T11:51:00"/>
    <x v="1"/>
    <x v="0"/>
    <s v="Performance"/>
    <s v="Network Support"/>
    <s v="Bengaluru"/>
    <s v="Portal"/>
    <s v="Resolved"/>
    <n v="24"/>
    <n v="11.85"/>
    <n v="3.6"/>
    <s v="No"/>
    <x v="0"/>
  </r>
  <r>
    <s v="INC103624"/>
    <d v="2025-03-21T00:00:00"/>
    <d v="2025-03-22T12:18:36"/>
    <x v="1"/>
    <x v="2"/>
    <s v="Connectivity"/>
    <s v="Access Management"/>
    <s v="Mumbai"/>
    <s v="Email"/>
    <s v="Resolved"/>
    <n v="24"/>
    <n v="36.31"/>
    <n v="3.1"/>
    <s v="No"/>
    <x v="1"/>
  </r>
  <r>
    <s v="INC103625"/>
    <d v="2025-05-31T00:00:00"/>
    <d v="2025-05-31T23:10:12"/>
    <x v="0"/>
    <x v="4"/>
    <s v="Mailbox"/>
    <s v="Access Management"/>
    <s v="Delhi"/>
    <s v="Portal"/>
    <s v="Pending"/>
    <n v="48"/>
    <n v="23.17"/>
    <n v="3.5"/>
    <s v="No"/>
    <x v="0"/>
  </r>
  <r>
    <s v="INC103626"/>
    <d v="2025-05-15T00:00:00"/>
    <d v="2025-05-16T07:07:12"/>
    <x v="1"/>
    <x v="3"/>
    <s v="Peripheral"/>
    <s v="Access Management"/>
    <s v="Mumbai"/>
    <s v="Phone"/>
    <s v="In Progress"/>
    <n v="24"/>
    <n v="31.12"/>
    <n v="4.4000000000000004"/>
    <s v="No"/>
    <x v="1"/>
  </r>
  <r>
    <s v="INC103627"/>
    <d v="2025-05-20T00:00:00"/>
    <d v="2025-05-20T10:34:47"/>
    <x v="0"/>
    <x v="3"/>
    <s v="Laptop"/>
    <s v="Network Support"/>
    <s v="Bengaluru"/>
    <s v="Portal"/>
    <s v="Resolved"/>
    <n v="48"/>
    <n v="10.58"/>
    <n v="5"/>
    <s v="No"/>
    <x v="0"/>
  </r>
  <r>
    <s v="INC103628"/>
    <d v="2025-02-12T00:00:00"/>
    <d v="2025-02-13T09:54:00"/>
    <x v="0"/>
    <x v="2"/>
    <s v="Link Down"/>
    <s v="Desktop Support"/>
    <s v="Bengaluru"/>
    <s v="Portal"/>
    <s v="Resolved"/>
    <n v="48"/>
    <n v="33.9"/>
    <n v="3.7"/>
    <s v="No"/>
    <x v="0"/>
  </r>
  <r>
    <s v="INC103629"/>
    <d v="2025-06-03T00:00:00"/>
    <d v="2025-06-03T22:21:00"/>
    <x v="1"/>
    <x v="2"/>
    <s v="DNS"/>
    <s v="Service Desk"/>
    <s v="Delhi"/>
    <s v="Portal"/>
    <s v="Resolved"/>
    <n v="24"/>
    <n v="22.35"/>
    <n v="2.7"/>
    <s v="No"/>
    <x v="0"/>
  </r>
  <r>
    <s v="INC103630"/>
    <d v="2025-05-31T00:00:00"/>
    <d v="2025-05-31T06:26:24"/>
    <x v="0"/>
    <x v="1"/>
    <s v="VPN Access"/>
    <s v="Access Management"/>
    <s v="Noida"/>
    <s v="Portal"/>
    <s v="Closed"/>
    <n v="48"/>
    <n v="6.44"/>
    <n v="5"/>
    <s v="No"/>
    <x v="0"/>
  </r>
  <r>
    <s v="INC103631"/>
    <d v="2025-03-25T00:00:00"/>
    <d v="2025-03-26T14:02:24"/>
    <x v="0"/>
    <x v="2"/>
    <s v="Link Down"/>
    <s v="Application Support"/>
    <s v="Noida"/>
    <s v="Portal"/>
    <s v="Resolved"/>
    <n v="48"/>
    <n v="38.04"/>
    <n v="4"/>
    <s v="No"/>
    <x v="0"/>
  </r>
  <r>
    <s v="INC103632"/>
    <d v="2025-04-09T00:00:00"/>
    <d v="2025-04-09T01:34:11"/>
    <x v="1"/>
    <x v="3"/>
    <s v="Laptop"/>
    <s v="Application Support"/>
    <s v="Delhi"/>
    <s v="Phone"/>
    <s v="Resolved"/>
    <n v="24"/>
    <n v="1.57"/>
    <n v="5"/>
    <s v="No"/>
    <x v="0"/>
  </r>
  <r>
    <s v="INC103633"/>
    <d v="2025-01-07T00:00:00"/>
    <d v="2025-01-07T02:35:24"/>
    <x v="3"/>
    <x v="2"/>
    <s v="Link Down"/>
    <s v="Network Support"/>
    <s v="Mumbai"/>
    <s v="Chat"/>
    <s v="In Progress"/>
    <n v="8"/>
    <n v="2.59"/>
    <n v="5"/>
    <s v="No"/>
    <x v="0"/>
  </r>
  <r>
    <s v="INC103634"/>
    <d v="2025-05-18T00:00:00"/>
    <d v="2025-05-19T02:28:12"/>
    <x v="0"/>
    <x v="4"/>
    <s v="Delivery"/>
    <s v="Access Management"/>
    <s v="Bengaluru"/>
    <s v="Portal"/>
    <s v="Closed"/>
    <n v="48"/>
    <n v="26.47"/>
    <n v="4.8"/>
    <s v="Yes"/>
    <x v="0"/>
  </r>
  <r>
    <s v="INC103635"/>
    <d v="2025-06-23T00:00:00"/>
    <d v="2025-06-24T12:45:36"/>
    <x v="1"/>
    <x v="1"/>
    <s v="Account Lock"/>
    <s v="Desktop Support"/>
    <s v="Hyderabad"/>
    <s v="Portal"/>
    <s v="Resolved"/>
    <n v="24"/>
    <n v="36.76"/>
    <n v="2.8"/>
    <s v="No"/>
    <x v="1"/>
  </r>
  <r>
    <s v="INC103636"/>
    <d v="2025-03-27T00:00:00"/>
    <d v="2025-03-28T14:09:00"/>
    <x v="0"/>
    <x v="4"/>
    <s v="Delivery"/>
    <s v="Network Support"/>
    <s v="Delhi"/>
    <s v="Phone"/>
    <s v="In Progress"/>
    <n v="48"/>
    <n v="38.15"/>
    <n v="3.9"/>
    <s v="No"/>
    <x v="0"/>
  </r>
  <r>
    <s v="INC103637"/>
    <d v="2025-04-08T00:00:00"/>
    <d v="2025-04-08T01:15:36"/>
    <x v="2"/>
    <x v="1"/>
    <s v="VPN Access"/>
    <s v="Access Management"/>
    <s v="Mumbai"/>
    <s v="Portal"/>
    <s v="Closed"/>
    <n v="4"/>
    <n v="1.26"/>
    <n v="4.8"/>
    <s v="No"/>
    <x v="0"/>
  </r>
  <r>
    <s v="INC103638"/>
    <d v="2025-04-01T00:00:00"/>
    <d v="2025-04-03T04:19:12"/>
    <x v="0"/>
    <x v="4"/>
    <s v="Delivery"/>
    <s v="Access Management"/>
    <s v="Bengaluru"/>
    <s v="Phone"/>
    <s v="Pending"/>
    <n v="48"/>
    <n v="52.32"/>
    <n v="3.9"/>
    <s v="No"/>
    <x v="1"/>
  </r>
  <r>
    <s v="INC103639"/>
    <d v="2025-01-15T00:00:00"/>
    <d v="2025-01-15T08:16:48"/>
    <x v="0"/>
    <x v="3"/>
    <s v="Printer"/>
    <s v="Desktop Support"/>
    <s v="Bengaluru"/>
    <s v="Email"/>
    <s v="Resolved"/>
    <n v="48"/>
    <n v="8.2799999999999994"/>
    <n v="4.3"/>
    <s v="No"/>
    <x v="0"/>
  </r>
  <r>
    <s v="INC103640"/>
    <d v="2025-04-23T00:00:00"/>
    <d v="2025-04-23T02:06:36"/>
    <x v="1"/>
    <x v="2"/>
    <s v="Packet Loss"/>
    <s v="Application Support"/>
    <s v="Gurugram"/>
    <s v="Phone"/>
    <s v="Resolved"/>
    <n v="24"/>
    <n v="2.11"/>
    <n v="4"/>
    <s v="No"/>
    <x v="0"/>
  </r>
  <r>
    <s v="INC103641"/>
    <d v="2025-05-11T00:00:00"/>
    <d v="2025-05-12T09:31:48"/>
    <x v="0"/>
    <x v="3"/>
    <s v="Laptop"/>
    <s v="Application Support"/>
    <s v="Mumbai"/>
    <s v="Portal"/>
    <s v="Closed"/>
    <n v="48"/>
    <n v="33.53"/>
    <n v="5"/>
    <s v="No"/>
    <x v="0"/>
  </r>
  <r>
    <s v="INC103642"/>
    <d v="2025-06-17T00:00:00"/>
    <d v="2025-06-17T16:54:36"/>
    <x v="0"/>
    <x v="3"/>
    <s v="Printer"/>
    <s v="Service Desk"/>
    <s v="Gurugram"/>
    <s v="Chat"/>
    <s v="Resolved"/>
    <n v="48"/>
    <n v="16.91"/>
    <n v="4.5999999999999996"/>
    <s v="No"/>
    <x v="0"/>
  </r>
  <r>
    <s v="INC103643"/>
    <d v="2025-06-18T00:00:00"/>
    <d v="2025-06-19T03:15:36"/>
    <x v="0"/>
    <x v="0"/>
    <s v="License"/>
    <s v="Application Support"/>
    <s v="Mumbai"/>
    <s v="Chat"/>
    <s v="Resolved"/>
    <n v="48"/>
    <n v="27.26"/>
    <n v="4.5999999999999996"/>
    <s v="No"/>
    <x v="0"/>
  </r>
  <r>
    <s v="INC103644"/>
    <d v="2025-03-31T00:00:00"/>
    <d v="2025-03-31T04:03:36"/>
    <x v="1"/>
    <x v="2"/>
    <s v="Packet Loss"/>
    <s v="Access Management"/>
    <s v="Noida"/>
    <s v="Portal"/>
    <s v="Closed"/>
    <n v="24"/>
    <n v="4.0599999999999996"/>
    <n v="4.2"/>
    <s v="No"/>
    <x v="0"/>
  </r>
  <r>
    <s v="INC103645"/>
    <d v="2025-06-23T00:00:00"/>
    <d v="2025-06-24T04:06:00"/>
    <x v="1"/>
    <x v="2"/>
    <s v="DNS"/>
    <s v="Access Management"/>
    <s v="Noida"/>
    <s v="Email"/>
    <s v="Closed"/>
    <n v="24"/>
    <n v="28.1"/>
    <n v="4.5"/>
    <s v="Yes"/>
    <x v="1"/>
  </r>
  <r>
    <s v="INC103646"/>
    <d v="2025-04-06T00:00:00"/>
    <d v="2025-04-07T02:14:24"/>
    <x v="1"/>
    <x v="0"/>
    <s v="License"/>
    <s v="Application Support"/>
    <s v="Bengaluru"/>
    <s v="Portal"/>
    <s v="Resolved"/>
    <n v="24"/>
    <n v="26.24"/>
    <n v="4.4000000000000004"/>
    <s v="No"/>
    <x v="1"/>
  </r>
  <r>
    <s v="INC103647"/>
    <d v="2025-04-27T00:00:00"/>
    <d v="2025-04-27T01:03:00"/>
    <x v="3"/>
    <x v="2"/>
    <s v="Link Down"/>
    <s v="Service Desk"/>
    <s v="Delhi"/>
    <s v="Portal"/>
    <s v="Resolved"/>
    <n v="8"/>
    <n v="1.05"/>
    <n v="4.9000000000000004"/>
    <s v="No"/>
    <x v="0"/>
  </r>
  <r>
    <s v="INC103648"/>
    <d v="2025-04-19T00:00:00"/>
    <d v="2025-04-19T05:09:36"/>
    <x v="1"/>
    <x v="2"/>
    <s v="Link Down"/>
    <s v="Access Management"/>
    <s v="Noida"/>
    <s v="Chat"/>
    <s v="Closed"/>
    <n v="24"/>
    <n v="5.16"/>
    <n v="4.9000000000000004"/>
    <s v="No"/>
    <x v="0"/>
  </r>
  <r>
    <s v="INC103649"/>
    <d v="2025-06-30T00:00:00"/>
    <d v="2025-06-30T10:26:24"/>
    <x v="3"/>
    <x v="2"/>
    <s v="DNS"/>
    <s v="Access Management"/>
    <s v="Gurugram"/>
    <s v="Portal"/>
    <s v="Closed"/>
    <n v="8"/>
    <n v="10.44"/>
    <n v="3.6"/>
    <s v="No"/>
    <x v="1"/>
  </r>
  <r>
    <s v="INC103650"/>
    <d v="2025-05-14T00:00:00"/>
    <d v="2025-05-14T02:46:48"/>
    <x v="3"/>
    <x v="0"/>
    <s v="Installation"/>
    <s v="Network Support"/>
    <s v="Hyderabad"/>
    <s v="Portal"/>
    <s v="Resolved"/>
    <n v="8"/>
    <n v="2.78"/>
    <n v="4.5999999999999996"/>
    <s v="No"/>
    <x v="0"/>
  </r>
  <r>
    <s v="INC103651"/>
    <d v="2025-01-22T00:00:00"/>
    <d v="2025-01-22T01:25:12"/>
    <x v="3"/>
    <x v="2"/>
    <s v="Packet Loss"/>
    <s v="Service Desk"/>
    <s v="Noida"/>
    <s v="Portal"/>
    <s v="Resolved"/>
    <n v="8"/>
    <n v="1.42"/>
    <n v="5"/>
    <s v="No"/>
    <x v="0"/>
  </r>
  <r>
    <s v="INC103652"/>
    <d v="2025-01-14T00:00:00"/>
    <d v="2025-01-14T04:57:36"/>
    <x v="3"/>
    <x v="2"/>
    <s v="Packet Loss"/>
    <s v="Desktop Support"/>
    <s v="Delhi"/>
    <s v="Email"/>
    <s v="Resolved"/>
    <n v="8"/>
    <n v="4.96"/>
    <n v="4.5"/>
    <s v="No"/>
    <x v="0"/>
  </r>
  <r>
    <s v="INC103653"/>
    <d v="2025-03-16T00:00:00"/>
    <d v="2025-03-16T08:49:12"/>
    <x v="1"/>
    <x v="2"/>
    <s v="Connectivity"/>
    <s v="Desktop Support"/>
    <s v="Delhi"/>
    <s v="Phone"/>
    <s v="Closed"/>
    <n v="24"/>
    <n v="8.82"/>
    <n v="4.4000000000000004"/>
    <s v="Yes"/>
    <x v="0"/>
  </r>
  <r>
    <s v="INC103654"/>
    <d v="2025-04-04T00:00:00"/>
    <d v="2025-04-04T08:10:48"/>
    <x v="0"/>
    <x v="1"/>
    <s v="Account Lock"/>
    <s v="Application Support"/>
    <s v="Hyderabad"/>
    <s v="Email"/>
    <s v="Closed"/>
    <n v="48"/>
    <n v="8.18"/>
    <n v="4"/>
    <s v="No"/>
    <x v="0"/>
  </r>
  <r>
    <s v="INC103655"/>
    <d v="2025-05-02T00:00:00"/>
    <d v="2025-05-03T13:36:36"/>
    <x v="1"/>
    <x v="2"/>
    <s v="Link Down"/>
    <s v="Desktop Support"/>
    <s v="Delhi"/>
    <s v="Email"/>
    <s v="Closed"/>
    <n v="24"/>
    <n v="37.61"/>
    <n v="3.1"/>
    <s v="No"/>
    <x v="1"/>
  </r>
  <r>
    <s v="INC103656"/>
    <d v="2025-03-29T00:00:00"/>
    <d v="2025-03-29T04:06:00"/>
    <x v="0"/>
    <x v="2"/>
    <s v="Connectivity"/>
    <s v="Network Support"/>
    <s v="Delhi"/>
    <s v="Portal"/>
    <s v="Resolved"/>
    <n v="48"/>
    <n v="4.0999999999999996"/>
    <n v="5"/>
    <s v="No"/>
    <x v="0"/>
  </r>
  <r>
    <s v="INC103657"/>
    <d v="2025-04-04T00:00:00"/>
    <d v="2025-04-04T11:07:48"/>
    <x v="1"/>
    <x v="4"/>
    <s v="Configuration"/>
    <s v="Network Support"/>
    <s v="Gurugram"/>
    <s v="Phone"/>
    <s v="Resolved"/>
    <n v="24"/>
    <n v="11.13"/>
    <n v="4.9000000000000004"/>
    <s v="No"/>
    <x v="0"/>
  </r>
  <r>
    <s v="INC103658"/>
    <d v="2025-06-16T00:00:00"/>
    <d v="2025-06-17T21:28:12"/>
    <x v="0"/>
    <x v="1"/>
    <s v="VPN Access"/>
    <s v="Application Support"/>
    <s v="Gurugram"/>
    <s v="Portal"/>
    <s v="Resolved"/>
    <n v="48"/>
    <n v="45.47"/>
    <n v="4.7"/>
    <s v="No"/>
    <x v="0"/>
  </r>
  <r>
    <s v="INC103659"/>
    <d v="2025-03-02T00:00:00"/>
    <d v="2025-03-04T10:53:24"/>
    <x v="0"/>
    <x v="2"/>
    <s v="DNS"/>
    <s v="Application Support"/>
    <s v="Delhi"/>
    <s v="Email"/>
    <s v="Resolved"/>
    <n v="48"/>
    <n v="58.89"/>
    <n v="4.4000000000000004"/>
    <s v="No"/>
    <x v="1"/>
  </r>
  <r>
    <s v="INC103660"/>
    <d v="2025-03-31T00:00:00"/>
    <d v="2025-03-31T06:27:00"/>
    <x v="3"/>
    <x v="2"/>
    <s v="Connectivity"/>
    <s v="Application Support"/>
    <s v="Hyderabad"/>
    <s v="Email"/>
    <s v="Resolved"/>
    <n v="8"/>
    <n v="6.45"/>
    <n v="4.5"/>
    <s v="Yes"/>
    <x v="0"/>
  </r>
  <r>
    <s v="INC103661"/>
    <d v="2025-04-11T00:00:00"/>
    <d v="2025-04-11T23:43:48"/>
    <x v="1"/>
    <x v="2"/>
    <s v="Link Down"/>
    <s v="Desktop Support"/>
    <s v="Delhi"/>
    <s v="Chat"/>
    <s v="Resolved"/>
    <n v="24"/>
    <n v="23.73"/>
    <n v="3.9"/>
    <s v="No"/>
    <x v="0"/>
  </r>
  <r>
    <s v="INC103662"/>
    <d v="2025-03-26T00:00:00"/>
    <d v="2025-03-26T21:06:00"/>
    <x v="1"/>
    <x v="0"/>
    <s v="Application Error"/>
    <s v="Service Desk"/>
    <s v="Mumbai"/>
    <s v="Phone"/>
    <s v="Resolved"/>
    <n v="24"/>
    <n v="21.1"/>
    <n v="4.2"/>
    <s v="No"/>
    <x v="0"/>
  </r>
  <r>
    <s v="INC103663"/>
    <d v="2025-06-25T00:00:00"/>
    <d v="2025-06-25T13:13:12"/>
    <x v="1"/>
    <x v="2"/>
    <s v="Connectivity"/>
    <s v="Service Desk"/>
    <s v="Hyderabad"/>
    <s v="Email"/>
    <s v="Pending"/>
    <n v="24"/>
    <n v="13.22"/>
    <n v="4"/>
    <s v="No"/>
    <x v="0"/>
  </r>
  <r>
    <s v="INC103664"/>
    <d v="2025-06-24T00:00:00"/>
    <d v="2025-06-24T06:13:12"/>
    <x v="1"/>
    <x v="4"/>
    <s v="Delivery"/>
    <s v="Application Support"/>
    <s v="Bengaluru"/>
    <s v="Portal"/>
    <s v="Resolved"/>
    <n v="24"/>
    <n v="6.22"/>
    <n v="5"/>
    <s v="Yes"/>
    <x v="0"/>
  </r>
  <r>
    <s v="INC103665"/>
    <d v="2025-04-03T00:00:00"/>
    <d v="2025-04-03T03:04:48"/>
    <x v="3"/>
    <x v="1"/>
    <s v="VPN Access"/>
    <s v="Desktop Support"/>
    <s v="Delhi"/>
    <s v="Portal"/>
    <s v="In Progress"/>
    <n v="8"/>
    <n v="3.08"/>
    <n v="5"/>
    <s v="No"/>
    <x v="0"/>
  </r>
  <r>
    <s v="INC103666"/>
    <d v="2025-03-23T00:00:00"/>
    <d v="2025-03-23T04:50:24"/>
    <x v="1"/>
    <x v="0"/>
    <s v="Application Error"/>
    <s v="Network Support"/>
    <s v="Mumbai"/>
    <s v="Email"/>
    <s v="Closed"/>
    <n v="24"/>
    <n v="4.84"/>
    <n v="5"/>
    <s v="No"/>
    <x v="0"/>
  </r>
  <r>
    <s v="INC103667"/>
    <d v="2025-04-17T00:00:00"/>
    <d v="2025-04-17T14:05:24"/>
    <x v="1"/>
    <x v="2"/>
    <s v="Packet Loss"/>
    <s v="Service Desk"/>
    <s v="Gurugram"/>
    <s v="Email"/>
    <s v="Closed"/>
    <n v="24"/>
    <n v="14.09"/>
    <n v="4.7"/>
    <s v="No"/>
    <x v="0"/>
  </r>
  <r>
    <s v="INC103668"/>
    <d v="2025-02-02T00:00:00"/>
    <d v="2025-02-02T06:07:48"/>
    <x v="1"/>
    <x v="4"/>
    <s v="Mailbox"/>
    <s v="Access Management"/>
    <s v="Noida"/>
    <s v="Phone"/>
    <s v="Resolved"/>
    <n v="24"/>
    <n v="6.13"/>
    <n v="4.5"/>
    <s v="No"/>
    <x v="0"/>
  </r>
  <r>
    <s v="INC103669"/>
    <d v="2025-03-19T00:00:00"/>
    <d v="2025-03-19T11:23:24"/>
    <x v="1"/>
    <x v="1"/>
    <s v="VPN Access"/>
    <s v="Desktop Support"/>
    <s v="Gurugram"/>
    <s v="Email"/>
    <s v="Resolved"/>
    <n v="24"/>
    <n v="11.39"/>
    <n v="4.2"/>
    <s v="No"/>
    <x v="0"/>
  </r>
  <r>
    <s v="INC103670"/>
    <d v="2025-02-09T00:00:00"/>
    <d v="2025-02-09T10:26:24"/>
    <x v="1"/>
    <x v="1"/>
    <s v="Password Reset"/>
    <s v="Access Management"/>
    <s v="Mumbai"/>
    <s v="Portal"/>
    <s v="Closed"/>
    <n v="24"/>
    <n v="10.44"/>
    <n v="4.4000000000000004"/>
    <s v="No"/>
    <x v="0"/>
  </r>
  <r>
    <s v="INC103671"/>
    <d v="2025-01-27T00:00:00"/>
    <d v="2025-01-27T02:39:36"/>
    <x v="2"/>
    <x v="2"/>
    <s v="Link Down"/>
    <s v="Desktop Support"/>
    <s v="Bengaluru"/>
    <s v="Portal"/>
    <s v="Resolved"/>
    <n v="4"/>
    <n v="2.66"/>
    <n v="3.7"/>
    <s v="No"/>
    <x v="0"/>
  </r>
  <r>
    <s v="INC103672"/>
    <d v="2025-01-18T00:00:00"/>
    <d v="2025-01-18T11:21:00"/>
    <x v="1"/>
    <x v="0"/>
    <s v="Application Error"/>
    <s v="Desktop Support"/>
    <s v="Delhi"/>
    <s v="Portal"/>
    <s v="Resolved"/>
    <n v="24"/>
    <n v="11.35"/>
    <n v="4.5999999999999996"/>
    <s v="No"/>
    <x v="0"/>
  </r>
  <r>
    <s v="INC103673"/>
    <d v="2025-04-17T00:00:00"/>
    <d v="2025-04-17T12:10:48"/>
    <x v="1"/>
    <x v="1"/>
    <s v="Account Lock"/>
    <s v="Access Management"/>
    <s v="Noida"/>
    <s v="Phone"/>
    <s v="Closed"/>
    <n v="24"/>
    <n v="12.18"/>
    <n v="2.6"/>
    <s v="No"/>
    <x v="0"/>
  </r>
  <r>
    <s v="INC103674"/>
    <d v="2025-01-01T00:00:00"/>
    <d v="2025-01-01T03:36:00"/>
    <x v="1"/>
    <x v="4"/>
    <s v="Spam"/>
    <s v="Desktop Support"/>
    <s v="Mumbai"/>
    <s v="Chat"/>
    <s v="Resolved"/>
    <n v="24"/>
    <n v="3.6"/>
    <n v="4.5"/>
    <s v="Yes"/>
    <x v="0"/>
  </r>
  <r>
    <s v="INC103675"/>
    <d v="2025-04-27T00:00:00"/>
    <d v="2025-04-27T07:34:47"/>
    <x v="1"/>
    <x v="0"/>
    <s v="Performance"/>
    <s v="Network Support"/>
    <s v="Hyderabad"/>
    <s v="Email"/>
    <s v="Resolved"/>
    <n v="24"/>
    <n v="7.58"/>
    <n v="4.7"/>
    <s v="No"/>
    <x v="0"/>
  </r>
  <r>
    <s v="INC103676"/>
    <d v="2025-03-20T00:00:00"/>
    <d v="2025-03-20T00:30:00"/>
    <x v="2"/>
    <x v="0"/>
    <s v="License"/>
    <s v="Desktop Support"/>
    <s v="Hyderabad"/>
    <s v="Email"/>
    <s v="Pending"/>
    <n v="4"/>
    <n v="0.5"/>
    <n v="5"/>
    <s v="No"/>
    <x v="0"/>
  </r>
  <r>
    <s v="INC103677"/>
    <d v="2025-03-08T00:00:00"/>
    <d v="2025-03-08T18:44:24"/>
    <x v="1"/>
    <x v="3"/>
    <s v="Peripheral"/>
    <s v="Application Support"/>
    <s v="Delhi"/>
    <s v="Email"/>
    <s v="Resolved"/>
    <n v="24"/>
    <n v="18.739999999999998"/>
    <n v="4.0999999999999996"/>
    <s v="No"/>
    <x v="0"/>
  </r>
  <r>
    <s v="INC103678"/>
    <d v="2025-05-20T00:00:00"/>
    <d v="2025-05-20T09:55:48"/>
    <x v="1"/>
    <x v="0"/>
    <s v="Installation"/>
    <s v="Service Desk"/>
    <s v="Hyderabad"/>
    <s v="Portal"/>
    <s v="Resolved"/>
    <n v="24"/>
    <n v="9.93"/>
    <n v="4.5"/>
    <s v="No"/>
    <x v="0"/>
  </r>
  <r>
    <s v="INC103679"/>
    <d v="2025-04-08T00:00:00"/>
    <d v="2025-04-08T08:50:24"/>
    <x v="1"/>
    <x v="4"/>
    <s v="Configuration"/>
    <s v="Desktop Support"/>
    <s v="Bengaluru"/>
    <s v="Portal"/>
    <s v="Resolved"/>
    <n v="24"/>
    <n v="8.84"/>
    <n v="4"/>
    <s v="No"/>
    <x v="0"/>
  </r>
  <r>
    <s v="INC103680"/>
    <d v="2025-05-13T00:00:00"/>
    <d v="2025-05-13T14:25:12"/>
    <x v="1"/>
    <x v="0"/>
    <s v="Installation"/>
    <s v="Access Management"/>
    <s v="Mumbai"/>
    <s v="Portal"/>
    <s v="In Progress"/>
    <n v="24"/>
    <n v="14.42"/>
    <n v="5"/>
    <s v="No"/>
    <x v="0"/>
  </r>
  <r>
    <s v="INC103681"/>
    <d v="2025-05-09T00:00:00"/>
    <d v="2025-05-10T01:45:36"/>
    <x v="0"/>
    <x v="2"/>
    <s v="Connectivity"/>
    <s v="Desktop Support"/>
    <s v="Noida"/>
    <s v="Chat"/>
    <s v="Pending"/>
    <n v="48"/>
    <n v="25.76"/>
    <n v="3.8"/>
    <s v="No"/>
    <x v="0"/>
  </r>
  <r>
    <s v="INC103682"/>
    <d v="2025-01-06T00:00:00"/>
    <d v="2025-01-06T14:11:24"/>
    <x v="1"/>
    <x v="2"/>
    <s v="Packet Loss"/>
    <s v="Service Desk"/>
    <s v="Bengaluru"/>
    <s v="Portal"/>
    <s v="Resolved"/>
    <n v="24"/>
    <n v="14.19"/>
    <n v="5"/>
    <s v="No"/>
    <x v="0"/>
  </r>
  <r>
    <s v="INC103683"/>
    <d v="2025-02-09T00:00:00"/>
    <d v="2025-02-09T05:21:00"/>
    <x v="3"/>
    <x v="0"/>
    <s v="Performance"/>
    <s v="Network Support"/>
    <s v="Gurugram"/>
    <s v="Email"/>
    <s v="Resolved"/>
    <n v="8"/>
    <n v="5.35"/>
    <n v="3.7"/>
    <s v="No"/>
    <x v="0"/>
  </r>
  <r>
    <s v="INC103684"/>
    <d v="2025-04-14T00:00:00"/>
    <d v="2025-04-14T11:09:00"/>
    <x v="1"/>
    <x v="1"/>
    <s v="Account Lock"/>
    <s v="Desktop Support"/>
    <s v="Bengaluru"/>
    <s v="Portal"/>
    <s v="Closed"/>
    <n v="24"/>
    <n v="11.15"/>
    <n v="5"/>
    <s v="No"/>
    <x v="0"/>
  </r>
  <r>
    <s v="INC103685"/>
    <d v="2025-06-26T00:00:00"/>
    <d v="2025-06-26T09:31:12"/>
    <x v="0"/>
    <x v="2"/>
    <s v="Packet Loss"/>
    <s v="Application Support"/>
    <s v="Gurugram"/>
    <s v="Email"/>
    <s v="Resolved"/>
    <n v="48"/>
    <n v="9.52"/>
    <n v="4.7"/>
    <s v="No"/>
    <x v="0"/>
  </r>
  <r>
    <s v="INC103686"/>
    <d v="2025-01-28T00:00:00"/>
    <d v="2025-01-28T01:21:00"/>
    <x v="3"/>
    <x v="3"/>
    <s v="Monitor"/>
    <s v="Service Desk"/>
    <s v="Noida"/>
    <s v="Portal"/>
    <s v="Resolved"/>
    <n v="8"/>
    <n v="1.35"/>
    <n v="4.4000000000000004"/>
    <s v="No"/>
    <x v="0"/>
  </r>
  <r>
    <s v="INC103687"/>
    <d v="2025-01-20T00:00:00"/>
    <d v="2025-01-20T07:04:12"/>
    <x v="1"/>
    <x v="4"/>
    <s v="Mailbox"/>
    <s v="Desktop Support"/>
    <s v="Noida"/>
    <s v="Chat"/>
    <s v="Resolved"/>
    <n v="24"/>
    <n v="7.07"/>
    <n v="5"/>
    <s v="No"/>
    <x v="0"/>
  </r>
  <r>
    <s v="INC103688"/>
    <d v="2025-06-20T00:00:00"/>
    <d v="2025-06-22T20:37:48"/>
    <x v="0"/>
    <x v="0"/>
    <s v="Installation"/>
    <s v="Application Support"/>
    <s v="Hyderabad"/>
    <s v="Portal"/>
    <s v="Resolved"/>
    <n v="48"/>
    <n v="68.63"/>
    <n v="4.0999999999999996"/>
    <s v="No"/>
    <x v="1"/>
  </r>
  <r>
    <s v="INC103689"/>
    <d v="2025-06-24T00:00:00"/>
    <d v="2025-06-24T12:27:36"/>
    <x v="1"/>
    <x v="2"/>
    <s v="Link Down"/>
    <s v="Access Management"/>
    <s v="Bengaluru"/>
    <s v="Chat"/>
    <s v="Closed"/>
    <n v="24"/>
    <n v="12.46"/>
    <n v="4.3"/>
    <s v="No"/>
    <x v="0"/>
  </r>
  <r>
    <s v="INC103690"/>
    <d v="2025-01-31T00:00:00"/>
    <d v="2025-01-31T17:33:36"/>
    <x v="1"/>
    <x v="3"/>
    <s v="Monitor"/>
    <s v="Access Management"/>
    <s v="Bengaluru"/>
    <s v="Email"/>
    <s v="Resolved"/>
    <n v="24"/>
    <n v="17.559999999999999"/>
    <n v="4.0999999999999996"/>
    <s v="No"/>
    <x v="0"/>
  </r>
  <r>
    <s v="INC103691"/>
    <d v="2025-03-14T00:00:00"/>
    <d v="2025-03-14T03:02:24"/>
    <x v="3"/>
    <x v="3"/>
    <s v="Peripheral"/>
    <s v="Service Desk"/>
    <s v="Gurugram"/>
    <s v="Portal"/>
    <s v="Resolved"/>
    <n v="8"/>
    <n v="3.04"/>
    <n v="4.3"/>
    <s v="No"/>
    <x v="0"/>
  </r>
  <r>
    <s v="INC103692"/>
    <d v="2025-04-24T00:00:00"/>
    <d v="2025-04-24T21:04:12"/>
    <x v="0"/>
    <x v="2"/>
    <s v="Link Down"/>
    <s v="Network Support"/>
    <s v="Noida"/>
    <s v="Phone"/>
    <s v="Resolved"/>
    <n v="48"/>
    <n v="21.07"/>
    <n v="4.5999999999999996"/>
    <s v="No"/>
    <x v="0"/>
  </r>
  <r>
    <s v="INC103693"/>
    <d v="2025-02-05T00:00:00"/>
    <d v="2025-02-05T12:34:11"/>
    <x v="0"/>
    <x v="0"/>
    <s v="Performance"/>
    <s v="Application Support"/>
    <s v="Noida"/>
    <s v="Email"/>
    <s v="Resolved"/>
    <n v="48"/>
    <n v="12.57"/>
    <n v="4"/>
    <s v="Yes"/>
    <x v="0"/>
  </r>
  <r>
    <s v="INC103694"/>
    <d v="2025-03-01T00:00:00"/>
    <d v="2025-03-01T18:06:36"/>
    <x v="1"/>
    <x v="0"/>
    <s v="Application Error"/>
    <s v="Service Desk"/>
    <s v="Mumbai"/>
    <s v="Portal"/>
    <s v="Pending"/>
    <n v="24"/>
    <n v="18.11"/>
    <n v="2.2999999999999998"/>
    <s v="No"/>
    <x v="0"/>
  </r>
  <r>
    <s v="INC103695"/>
    <d v="2025-03-13T00:00:00"/>
    <d v="2025-03-13T19:39:36"/>
    <x v="0"/>
    <x v="0"/>
    <s v="Installation"/>
    <s v="Service Desk"/>
    <s v="Gurugram"/>
    <s v="Phone"/>
    <s v="Resolved"/>
    <n v="48"/>
    <n v="19.66"/>
    <n v="3.3"/>
    <s v="No"/>
    <x v="0"/>
  </r>
  <r>
    <s v="INC103696"/>
    <d v="2025-04-27T00:00:00"/>
    <d v="2025-04-27T19:24:00"/>
    <x v="1"/>
    <x v="0"/>
    <s v="License"/>
    <s v="Network Support"/>
    <s v="Delhi"/>
    <s v="Email"/>
    <s v="Resolved"/>
    <n v="24"/>
    <n v="19.399999999999999"/>
    <n v="3.9"/>
    <s v="No"/>
    <x v="0"/>
  </r>
  <r>
    <s v="INC103697"/>
    <d v="2025-02-25T00:00:00"/>
    <d v="2025-02-25T00:30:00"/>
    <x v="3"/>
    <x v="2"/>
    <s v="DNS"/>
    <s v="Application Support"/>
    <s v="Bengaluru"/>
    <s v="Email"/>
    <s v="Resolved"/>
    <n v="8"/>
    <n v="0.5"/>
    <n v="4.2"/>
    <s v="No"/>
    <x v="0"/>
  </r>
  <r>
    <s v="INC103698"/>
    <d v="2025-03-16T00:00:00"/>
    <d v="2025-03-17T16:10:48"/>
    <x v="0"/>
    <x v="2"/>
    <s v="DNS"/>
    <s v="Network Support"/>
    <s v="Mumbai"/>
    <s v="Phone"/>
    <s v="In Progress"/>
    <n v="48"/>
    <n v="40.18"/>
    <n v="3.9"/>
    <s v="No"/>
    <x v="0"/>
  </r>
  <r>
    <s v="INC103699"/>
    <d v="2025-02-22T00:00:00"/>
    <d v="2025-02-22T05:26:24"/>
    <x v="1"/>
    <x v="2"/>
    <s v="Connectivity"/>
    <s v="Service Desk"/>
    <s v="Mumbai"/>
    <s v="Email"/>
    <s v="Closed"/>
    <n v="24"/>
    <n v="5.44"/>
    <n v="4.4000000000000004"/>
    <s v="No"/>
    <x v="0"/>
  </r>
  <r>
    <s v="INC103700"/>
    <d v="2025-05-18T00:00:00"/>
    <d v="2025-05-18T01:03:36"/>
    <x v="2"/>
    <x v="2"/>
    <s v="DNS"/>
    <s v="Desktop Support"/>
    <s v="Mumbai"/>
    <s v="Portal"/>
    <s v="Resolved"/>
    <n v="4"/>
    <n v="1.06"/>
    <n v="4.2"/>
    <s v="No"/>
    <x v="0"/>
  </r>
  <r>
    <s v="INC103701"/>
    <d v="2025-01-28T00:00:00"/>
    <d v="2025-01-28T23:27:36"/>
    <x v="1"/>
    <x v="1"/>
    <s v="Account Lock"/>
    <s v="Network Support"/>
    <s v="Noida"/>
    <s v="Portal"/>
    <s v="Resolved"/>
    <n v="24"/>
    <n v="23.46"/>
    <n v="3.4"/>
    <s v="No"/>
    <x v="0"/>
  </r>
  <r>
    <s v="INC103702"/>
    <d v="2025-02-11T00:00:00"/>
    <d v="2025-02-12T01:44:24"/>
    <x v="1"/>
    <x v="2"/>
    <s v="Connectivity"/>
    <s v="Application Support"/>
    <s v="Gurugram"/>
    <s v="Portal"/>
    <s v="Resolved"/>
    <n v="24"/>
    <n v="25.74"/>
    <n v="4.3"/>
    <s v="No"/>
    <x v="1"/>
  </r>
  <r>
    <s v="INC103703"/>
    <d v="2025-02-15T00:00:00"/>
    <d v="2025-02-15T13:15:00"/>
    <x v="1"/>
    <x v="0"/>
    <s v="Application Error"/>
    <s v="Application Support"/>
    <s v="Bengaluru"/>
    <s v="Email"/>
    <s v="Closed"/>
    <n v="24"/>
    <n v="13.25"/>
    <n v="4.5"/>
    <s v="No"/>
    <x v="0"/>
  </r>
  <r>
    <s v="INC103704"/>
    <d v="2025-06-13T00:00:00"/>
    <d v="2025-06-15T01:05:24"/>
    <x v="0"/>
    <x v="2"/>
    <s v="DNS"/>
    <s v="Desktop Support"/>
    <s v="Delhi"/>
    <s v="Portal"/>
    <s v="Resolved"/>
    <n v="48"/>
    <n v="49.09"/>
    <n v="4.8"/>
    <s v="No"/>
    <x v="1"/>
  </r>
  <r>
    <s v="INC103705"/>
    <d v="2025-06-20T00:00:00"/>
    <d v="2025-06-20T15:13:48"/>
    <x v="0"/>
    <x v="2"/>
    <s v="Packet Loss"/>
    <s v="Network Support"/>
    <s v="Hyderabad"/>
    <s v="Portal"/>
    <s v="Resolved"/>
    <n v="48"/>
    <n v="15.23"/>
    <n v="4.7"/>
    <s v="No"/>
    <x v="0"/>
  </r>
  <r>
    <s v="INC103706"/>
    <d v="2025-04-01T00:00:00"/>
    <d v="2025-04-01T08:48:36"/>
    <x v="1"/>
    <x v="2"/>
    <s v="Packet Loss"/>
    <s v="Network Support"/>
    <s v="Mumbai"/>
    <s v="Phone"/>
    <s v="Closed"/>
    <n v="24"/>
    <n v="8.81"/>
    <n v="3.3"/>
    <s v="No"/>
    <x v="0"/>
  </r>
  <r>
    <s v="INC103707"/>
    <d v="2025-01-29T00:00:00"/>
    <d v="2025-01-30T05:58:12"/>
    <x v="1"/>
    <x v="0"/>
    <s v="License"/>
    <s v="Network Support"/>
    <s v="Bengaluru"/>
    <s v="Portal"/>
    <s v="Resolved"/>
    <n v="24"/>
    <n v="29.97"/>
    <n v="2.8"/>
    <s v="No"/>
    <x v="1"/>
  </r>
  <r>
    <s v="INC103708"/>
    <d v="2025-05-17T00:00:00"/>
    <d v="2025-05-17T03:31:48"/>
    <x v="0"/>
    <x v="0"/>
    <s v="Application Error"/>
    <s v="Application Support"/>
    <s v="Gurugram"/>
    <s v="Portal"/>
    <s v="Closed"/>
    <n v="48"/>
    <n v="3.53"/>
    <n v="5"/>
    <s v="No"/>
    <x v="0"/>
  </r>
  <r>
    <s v="INC103709"/>
    <d v="2025-03-31T00:00:00"/>
    <d v="2025-04-01T11:41:24"/>
    <x v="0"/>
    <x v="1"/>
    <s v="Password Reset"/>
    <s v="Application Support"/>
    <s v="Gurugram"/>
    <s v="Phone"/>
    <s v="Resolved"/>
    <n v="48"/>
    <n v="35.69"/>
    <n v="4.3"/>
    <s v="No"/>
    <x v="0"/>
  </r>
  <r>
    <s v="INC103710"/>
    <d v="2025-06-03T00:00:00"/>
    <d v="2025-06-03T03:40:12"/>
    <x v="3"/>
    <x v="2"/>
    <s v="DNS"/>
    <s v="Application Support"/>
    <s v="Hyderabad"/>
    <s v="Phone"/>
    <s v="Closed"/>
    <n v="8"/>
    <n v="3.67"/>
    <n v="4.0999999999999996"/>
    <s v="No"/>
    <x v="0"/>
  </r>
  <r>
    <s v="INC103711"/>
    <d v="2025-03-07T00:00:00"/>
    <d v="2025-03-08T05:15:36"/>
    <x v="0"/>
    <x v="0"/>
    <s v="Performance"/>
    <s v="Access Management"/>
    <s v="Delhi"/>
    <s v="Phone"/>
    <s v="Closed"/>
    <n v="48"/>
    <n v="29.26"/>
    <n v="3.8"/>
    <s v="No"/>
    <x v="0"/>
  </r>
  <r>
    <s v="INC103712"/>
    <d v="2025-06-30T00:00:00"/>
    <d v="2025-06-30T04:20:24"/>
    <x v="3"/>
    <x v="1"/>
    <s v="VPN Access"/>
    <s v="Service Desk"/>
    <s v="Delhi"/>
    <s v="Portal"/>
    <s v="Pending"/>
    <n v="8"/>
    <n v="4.34"/>
    <n v="4"/>
    <s v="Yes"/>
    <x v="0"/>
  </r>
  <r>
    <s v="INC103713"/>
    <d v="2025-05-27T00:00:00"/>
    <d v="2025-05-27T14:25:12"/>
    <x v="1"/>
    <x v="3"/>
    <s v="Printer"/>
    <s v="Network Support"/>
    <s v="Noida"/>
    <s v="Email"/>
    <s v="Closed"/>
    <n v="24"/>
    <n v="14.42"/>
    <n v="4.2"/>
    <s v="No"/>
    <x v="0"/>
  </r>
  <r>
    <s v="INC103714"/>
    <d v="2025-02-10T00:00:00"/>
    <d v="2025-02-10T10:48:36"/>
    <x v="1"/>
    <x v="2"/>
    <s v="Connectivity"/>
    <s v="Service Desk"/>
    <s v="Gurugram"/>
    <s v="Chat"/>
    <s v="Resolved"/>
    <n v="24"/>
    <n v="10.81"/>
    <n v="4.4000000000000004"/>
    <s v="No"/>
    <x v="0"/>
  </r>
  <r>
    <s v="INC103715"/>
    <d v="2025-05-12T00:00:00"/>
    <d v="2025-05-13T04:30:00"/>
    <x v="0"/>
    <x v="2"/>
    <s v="Packet Loss"/>
    <s v="Application Support"/>
    <s v="Mumbai"/>
    <s v="Portal"/>
    <s v="Closed"/>
    <n v="48"/>
    <n v="28.5"/>
    <n v="3.6"/>
    <s v="No"/>
    <x v="0"/>
  </r>
  <r>
    <s v="INC103716"/>
    <d v="2025-02-21T00:00:00"/>
    <d v="2025-02-22T11:23:24"/>
    <x v="0"/>
    <x v="2"/>
    <s v="DNS"/>
    <s v="Application Support"/>
    <s v="Delhi"/>
    <s v="Portal"/>
    <s v="Closed"/>
    <n v="48"/>
    <n v="35.39"/>
    <n v="4.3"/>
    <s v="No"/>
    <x v="0"/>
  </r>
  <r>
    <s v="INC103717"/>
    <d v="2025-03-05T00:00:00"/>
    <d v="2025-03-05T09:12:36"/>
    <x v="1"/>
    <x v="4"/>
    <s v="Mailbox"/>
    <s v="Desktop Support"/>
    <s v="Mumbai"/>
    <s v="Portal"/>
    <s v="Resolved"/>
    <n v="24"/>
    <n v="9.2100000000000009"/>
    <n v="4.7"/>
    <s v="No"/>
    <x v="0"/>
  </r>
  <r>
    <s v="INC103718"/>
    <d v="2025-02-15T00:00:00"/>
    <d v="2025-02-15T11:03:36"/>
    <x v="1"/>
    <x v="3"/>
    <s v="Laptop"/>
    <s v="Network Support"/>
    <s v="Mumbai"/>
    <s v="Phone"/>
    <s v="Resolved"/>
    <n v="24"/>
    <n v="11.06"/>
    <n v="4.4000000000000004"/>
    <s v="No"/>
    <x v="0"/>
  </r>
  <r>
    <s v="INC103719"/>
    <d v="2025-05-04T00:00:00"/>
    <d v="2025-05-05T03:43:12"/>
    <x v="0"/>
    <x v="0"/>
    <s v="Installation"/>
    <s v="Application Support"/>
    <s v="Gurugram"/>
    <s v="Portal"/>
    <s v="Resolved"/>
    <n v="48"/>
    <n v="27.72"/>
    <n v="3.9"/>
    <s v="No"/>
    <x v="0"/>
  </r>
  <r>
    <s v="INC103720"/>
    <d v="2025-02-17T00:00:00"/>
    <d v="2025-02-18T00:41:24"/>
    <x v="1"/>
    <x v="1"/>
    <s v="Account Lock"/>
    <s v="Access Management"/>
    <s v="Bengaluru"/>
    <s v="Email"/>
    <s v="Closed"/>
    <n v="24"/>
    <n v="24.69"/>
    <n v="4.2"/>
    <s v="No"/>
    <x v="1"/>
  </r>
  <r>
    <s v="INC103721"/>
    <d v="2025-04-26T00:00:00"/>
    <d v="2025-04-26T02:45:00"/>
    <x v="1"/>
    <x v="3"/>
    <s v="Printer"/>
    <s v="Service Desk"/>
    <s v="Mumbai"/>
    <s v="Email"/>
    <s v="Resolved"/>
    <n v="24"/>
    <n v="2.75"/>
    <n v="5"/>
    <s v="No"/>
    <x v="0"/>
  </r>
  <r>
    <s v="INC103722"/>
    <d v="2025-04-16T00:00:00"/>
    <d v="2025-04-16T10:15:36"/>
    <x v="0"/>
    <x v="0"/>
    <s v="Application Error"/>
    <s v="Access Management"/>
    <s v="Hyderabad"/>
    <s v="Chat"/>
    <s v="Resolved"/>
    <n v="48"/>
    <n v="10.26"/>
    <n v="4.5"/>
    <s v="No"/>
    <x v="0"/>
  </r>
  <r>
    <s v="INC103723"/>
    <d v="2025-05-16T00:00:00"/>
    <d v="2025-05-17T14:19:48"/>
    <x v="1"/>
    <x v="2"/>
    <s v="DNS"/>
    <s v="Application Support"/>
    <s v="Mumbai"/>
    <s v="Portal"/>
    <s v="Resolved"/>
    <n v="24"/>
    <n v="38.33"/>
    <n v="2.7"/>
    <s v="No"/>
    <x v="1"/>
  </r>
  <r>
    <s v="INC103724"/>
    <d v="2025-06-29T00:00:00"/>
    <d v="2025-06-30T08:34:47"/>
    <x v="0"/>
    <x v="0"/>
    <s v="Application Error"/>
    <s v="Access Management"/>
    <s v="Hyderabad"/>
    <s v="Email"/>
    <s v="Pending"/>
    <n v="48"/>
    <n v="32.58"/>
    <n v="4.5"/>
    <s v="No"/>
    <x v="0"/>
  </r>
  <r>
    <s v="INC103725"/>
    <d v="2025-01-02T00:00:00"/>
    <d v="2025-01-02T15:52:48"/>
    <x v="1"/>
    <x v="2"/>
    <s v="Connectivity"/>
    <s v="Application Support"/>
    <s v="Delhi"/>
    <s v="Chat"/>
    <s v="Resolved"/>
    <n v="24"/>
    <n v="15.88"/>
    <n v="3.4"/>
    <s v="No"/>
    <x v="0"/>
  </r>
  <r>
    <s v="INC103726"/>
    <d v="2025-06-29T00:00:00"/>
    <d v="2025-07-03T07:28:48"/>
    <x v="0"/>
    <x v="2"/>
    <s v="DNS"/>
    <s v="Network Support"/>
    <s v="Bengaluru"/>
    <s v="Portal"/>
    <s v="Resolved"/>
    <n v="48"/>
    <n v="103.48"/>
    <n v="1.6"/>
    <s v="No"/>
    <x v="1"/>
  </r>
  <r>
    <s v="INC103727"/>
    <d v="2025-01-20T00:00:00"/>
    <d v="2025-01-20T15:41:24"/>
    <x v="1"/>
    <x v="3"/>
    <s v="Monitor"/>
    <s v="Application Support"/>
    <s v="Mumbai"/>
    <s v="Email"/>
    <s v="Pending"/>
    <n v="24"/>
    <n v="15.69"/>
    <n v="3.8"/>
    <s v="No"/>
    <x v="0"/>
  </r>
  <r>
    <s v="INC103728"/>
    <d v="2025-04-06T00:00:00"/>
    <d v="2025-04-06T08:19:12"/>
    <x v="1"/>
    <x v="0"/>
    <s v="Performance"/>
    <s v="Network Support"/>
    <s v="Gurugram"/>
    <s v="Portal"/>
    <s v="Pending"/>
    <n v="24"/>
    <n v="8.32"/>
    <n v="4.8"/>
    <s v="Yes"/>
    <x v="0"/>
  </r>
  <r>
    <s v="INC103729"/>
    <d v="2025-03-03T00:00:00"/>
    <d v="2025-03-03T00:58:48"/>
    <x v="1"/>
    <x v="0"/>
    <s v="Installation"/>
    <s v="Service Desk"/>
    <s v="Gurugram"/>
    <s v="Portal"/>
    <s v="Resolved"/>
    <n v="24"/>
    <n v="0.98"/>
    <n v="4.4000000000000004"/>
    <s v="No"/>
    <x v="0"/>
  </r>
  <r>
    <s v="INC103730"/>
    <d v="2025-04-26T00:00:00"/>
    <d v="2025-04-26T10:35:24"/>
    <x v="1"/>
    <x v="1"/>
    <s v="Account Lock"/>
    <s v="Access Management"/>
    <s v="Delhi"/>
    <s v="Portal"/>
    <s v="Resolved"/>
    <n v="24"/>
    <n v="10.59"/>
    <n v="4.5"/>
    <s v="No"/>
    <x v="0"/>
  </r>
  <r>
    <s v="INC103731"/>
    <d v="2025-05-11T00:00:00"/>
    <d v="2025-05-11T04:12:36"/>
    <x v="3"/>
    <x v="2"/>
    <s v="Packet Loss"/>
    <s v="Access Management"/>
    <s v="Hyderabad"/>
    <s v="Portal"/>
    <s v="Resolved"/>
    <n v="8"/>
    <n v="4.21"/>
    <n v="3.1"/>
    <s v="No"/>
    <x v="0"/>
  </r>
  <r>
    <s v="INC103732"/>
    <d v="2025-06-05T00:00:00"/>
    <d v="2025-06-05T22:06:36"/>
    <x v="1"/>
    <x v="4"/>
    <s v="Configuration"/>
    <s v="Desktop Support"/>
    <s v="Hyderabad"/>
    <s v="Portal"/>
    <s v="Resolved"/>
    <n v="24"/>
    <n v="22.11"/>
    <n v="4.3"/>
    <s v="No"/>
    <x v="0"/>
  </r>
  <r>
    <s v="INC103733"/>
    <d v="2025-03-14T00:00:00"/>
    <d v="2025-03-14T07:39:00"/>
    <x v="3"/>
    <x v="2"/>
    <s v="Connectivity"/>
    <s v="Service Desk"/>
    <s v="Delhi"/>
    <s v="Phone"/>
    <s v="Resolved"/>
    <n v="8"/>
    <n v="7.65"/>
    <n v="4.8"/>
    <s v="No"/>
    <x v="0"/>
  </r>
  <r>
    <s v="INC103734"/>
    <d v="2025-06-18T00:00:00"/>
    <d v="2025-06-19T12:25:12"/>
    <x v="0"/>
    <x v="1"/>
    <s v="VPN Access"/>
    <s v="Service Desk"/>
    <s v="Gurugram"/>
    <s v="Email"/>
    <s v="Resolved"/>
    <n v="48"/>
    <n v="36.42"/>
    <n v="3.5"/>
    <s v="No"/>
    <x v="0"/>
  </r>
  <r>
    <s v="INC103735"/>
    <d v="2025-02-28T00:00:00"/>
    <d v="2025-03-01T01:21:00"/>
    <x v="1"/>
    <x v="1"/>
    <s v="Password Reset"/>
    <s v="Service Desk"/>
    <s v="Noida"/>
    <s v="Portal"/>
    <s v="Closed"/>
    <n v="24"/>
    <n v="25.35"/>
    <n v="4"/>
    <s v="No"/>
    <x v="1"/>
  </r>
  <r>
    <s v="INC103736"/>
    <d v="2025-02-06T00:00:00"/>
    <d v="2025-02-07T04:37:12"/>
    <x v="0"/>
    <x v="0"/>
    <s v="License"/>
    <s v="Desktop Support"/>
    <s v="Hyderabad"/>
    <s v="Email"/>
    <s v="Closed"/>
    <n v="48"/>
    <n v="28.62"/>
    <n v="4.0999999999999996"/>
    <s v="No"/>
    <x v="0"/>
  </r>
  <r>
    <s v="INC103737"/>
    <d v="2025-03-10T00:00:00"/>
    <d v="2025-03-10T02:52:12"/>
    <x v="1"/>
    <x v="3"/>
    <s v="Peripheral"/>
    <s v="Desktop Support"/>
    <s v="Mumbai"/>
    <s v="Chat"/>
    <s v="In Progress"/>
    <n v="24"/>
    <n v="2.87"/>
    <n v="4.9000000000000004"/>
    <s v="Yes"/>
    <x v="0"/>
  </r>
  <r>
    <s v="INC103738"/>
    <d v="2025-04-06T00:00:00"/>
    <d v="2025-04-06T09:59:24"/>
    <x v="1"/>
    <x v="1"/>
    <s v="VPN Access"/>
    <s v="Network Support"/>
    <s v="Hyderabad"/>
    <s v="Portal"/>
    <s v="Closed"/>
    <n v="24"/>
    <n v="9.99"/>
    <n v="4.3"/>
    <s v="No"/>
    <x v="0"/>
  </r>
  <r>
    <s v="INC103739"/>
    <d v="2025-05-01T00:00:00"/>
    <d v="2025-05-01T03:21:00"/>
    <x v="3"/>
    <x v="1"/>
    <s v="Permission"/>
    <s v="Application Support"/>
    <s v="Mumbai"/>
    <s v="Portal"/>
    <s v="Resolved"/>
    <n v="8"/>
    <n v="3.35"/>
    <n v="4.3"/>
    <s v="No"/>
    <x v="0"/>
  </r>
  <r>
    <s v="INC103740"/>
    <d v="2025-05-31T00:00:00"/>
    <d v="2025-05-31T13:21:36"/>
    <x v="1"/>
    <x v="2"/>
    <s v="DNS"/>
    <s v="Application Support"/>
    <s v="Bengaluru"/>
    <s v="Portal"/>
    <s v="Resolved"/>
    <n v="24"/>
    <n v="13.36"/>
    <n v="3.8"/>
    <s v="Yes"/>
    <x v="0"/>
  </r>
  <r>
    <s v="INC103741"/>
    <d v="2025-02-10T00:00:00"/>
    <d v="2025-02-11T01:58:48"/>
    <x v="1"/>
    <x v="1"/>
    <s v="VPN Access"/>
    <s v="Application Support"/>
    <s v="Gurugram"/>
    <s v="Phone"/>
    <s v="Closed"/>
    <n v="24"/>
    <n v="25.98"/>
    <n v="3"/>
    <s v="Yes"/>
    <x v="1"/>
  </r>
  <r>
    <s v="INC103742"/>
    <d v="2025-02-24T00:00:00"/>
    <d v="2025-02-24T23:39:00"/>
    <x v="0"/>
    <x v="2"/>
    <s v="Packet Loss"/>
    <s v="Access Management"/>
    <s v="Bengaluru"/>
    <s v="Phone"/>
    <s v="Closed"/>
    <n v="48"/>
    <n v="23.65"/>
    <n v="5"/>
    <s v="No"/>
    <x v="0"/>
  </r>
  <r>
    <s v="INC103743"/>
    <d v="2025-06-19T00:00:00"/>
    <d v="2025-06-20T00:05:24"/>
    <x v="0"/>
    <x v="0"/>
    <s v="License"/>
    <s v="Application Support"/>
    <s v="Noida"/>
    <s v="Email"/>
    <s v="Resolved"/>
    <n v="48"/>
    <n v="24.09"/>
    <n v="3.3"/>
    <s v="No"/>
    <x v="0"/>
  </r>
  <r>
    <s v="INC103744"/>
    <d v="2025-03-21T00:00:00"/>
    <d v="2025-03-21T18:43:48"/>
    <x v="3"/>
    <x v="0"/>
    <s v="Installation"/>
    <s v="Application Support"/>
    <s v="Hyderabad"/>
    <s v="Portal"/>
    <s v="Resolved"/>
    <n v="8"/>
    <n v="18.73"/>
    <n v="2.2000000000000002"/>
    <s v="No"/>
    <x v="1"/>
  </r>
  <r>
    <s v="INC103745"/>
    <d v="2025-02-13T00:00:00"/>
    <d v="2025-02-13T11:00:36"/>
    <x v="0"/>
    <x v="1"/>
    <s v="VPN Access"/>
    <s v="Service Desk"/>
    <s v="Noida"/>
    <s v="Email"/>
    <s v="Closed"/>
    <n v="48"/>
    <n v="11.01"/>
    <n v="4.7"/>
    <s v="No"/>
    <x v="0"/>
  </r>
  <r>
    <s v="INC103746"/>
    <d v="2025-06-28T00:00:00"/>
    <d v="2025-06-29T06:35:24"/>
    <x v="0"/>
    <x v="3"/>
    <s v="Peripheral"/>
    <s v="Desktop Support"/>
    <s v="Mumbai"/>
    <s v="Email"/>
    <s v="Resolved"/>
    <n v="48"/>
    <n v="30.59"/>
    <n v="4.2"/>
    <s v="No"/>
    <x v="0"/>
  </r>
  <r>
    <s v="INC103747"/>
    <d v="2025-03-23T00:00:00"/>
    <d v="2025-03-23T02:34:47"/>
    <x v="3"/>
    <x v="2"/>
    <s v="Packet Loss"/>
    <s v="Desktop Support"/>
    <s v="Gurugram"/>
    <s v="Portal"/>
    <s v="Closed"/>
    <n v="8"/>
    <n v="2.58"/>
    <n v="5"/>
    <s v="No"/>
    <x v="0"/>
  </r>
  <r>
    <s v="INC103748"/>
    <d v="2025-06-28T00:00:00"/>
    <d v="2025-06-28T02:44:24"/>
    <x v="2"/>
    <x v="0"/>
    <s v="Application Error"/>
    <s v="Access Management"/>
    <s v="Mumbai"/>
    <s v="Portal"/>
    <s v="Resolved"/>
    <n v="4"/>
    <n v="2.74"/>
    <n v="3.9"/>
    <s v="No"/>
    <x v="0"/>
  </r>
  <r>
    <s v="INC103749"/>
    <d v="2025-06-16T00:00:00"/>
    <d v="2025-06-17T04:09:00"/>
    <x v="1"/>
    <x v="2"/>
    <s v="Connectivity"/>
    <s v="Desktop Support"/>
    <s v="Noida"/>
    <s v="Portal"/>
    <s v="Resolved"/>
    <n v="24"/>
    <n v="28.15"/>
    <n v="4"/>
    <s v="No"/>
    <x v="1"/>
  </r>
  <r>
    <s v="INC103750"/>
    <d v="2025-06-14T00:00:00"/>
    <d v="2025-06-14T20:22:48"/>
    <x v="1"/>
    <x v="0"/>
    <s v="Application Error"/>
    <s v="Application Support"/>
    <s v="Noida"/>
    <s v="Email"/>
    <s v="Resolved"/>
    <n v="24"/>
    <n v="20.38"/>
    <n v="5"/>
    <s v="No"/>
    <x v="0"/>
  </r>
  <r>
    <s v="INC103751"/>
    <d v="2025-04-16T00:00:00"/>
    <d v="2025-04-16T05:01:12"/>
    <x v="3"/>
    <x v="3"/>
    <s v="Printer"/>
    <s v="Desktop Support"/>
    <s v="Mumbai"/>
    <s v="Chat"/>
    <s v="Resolved"/>
    <n v="8"/>
    <n v="5.0199999999999996"/>
    <n v="4.0999999999999996"/>
    <s v="No"/>
    <x v="0"/>
  </r>
  <r>
    <s v="INC103752"/>
    <d v="2025-05-25T00:00:00"/>
    <d v="2025-05-26T00:25:12"/>
    <x v="0"/>
    <x v="1"/>
    <s v="Account Lock"/>
    <s v="Network Support"/>
    <s v="Noida"/>
    <s v="Portal"/>
    <s v="Closed"/>
    <n v="48"/>
    <n v="24.42"/>
    <n v="3.1"/>
    <s v="No"/>
    <x v="0"/>
  </r>
  <r>
    <s v="INC103753"/>
    <d v="2025-06-23T00:00:00"/>
    <d v="2025-06-24T01:22:12"/>
    <x v="1"/>
    <x v="2"/>
    <s v="DNS"/>
    <s v="Access Management"/>
    <s v="Delhi"/>
    <s v="Chat"/>
    <s v="Resolved"/>
    <n v="24"/>
    <n v="25.37"/>
    <n v="3.6"/>
    <s v="No"/>
    <x v="1"/>
  </r>
  <r>
    <s v="INC103754"/>
    <d v="2025-02-18T00:00:00"/>
    <d v="2025-02-18T21:16:12"/>
    <x v="1"/>
    <x v="2"/>
    <s v="Link Down"/>
    <s v="Application Support"/>
    <s v="Noida"/>
    <s v="Email"/>
    <s v="Resolved"/>
    <n v="24"/>
    <n v="21.27"/>
    <n v="3.8"/>
    <s v="No"/>
    <x v="0"/>
  </r>
  <r>
    <s v="INC103755"/>
    <d v="2025-01-07T00:00:00"/>
    <d v="2025-01-07T04:06:36"/>
    <x v="3"/>
    <x v="3"/>
    <s v="Laptop"/>
    <s v="Service Desk"/>
    <s v="Hyderabad"/>
    <s v="Email"/>
    <s v="Resolved"/>
    <n v="8"/>
    <n v="4.1100000000000003"/>
    <n v="4.5999999999999996"/>
    <s v="No"/>
    <x v="0"/>
  </r>
  <r>
    <s v="INC103756"/>
    <d v="2025-02-28T00:00:00"/>
    <d v="2025-02-28T17:22:48"/>
    <x v="3"/>
    <x v="2"/>
    <s v="Packet Loss"/>
    <s v="Network Support"/>
    <s v="Hyderabad"/>
    <s v="Phone"/>
    <s v="Resolved"/>
    <n v="8"/>
    <n v="17.38"/>
    <n v="1.1000000000000001"/>
    <s v="No"/>
    <x v="1"/>
  </r>
  <r>
    <s v="INC103757"/>
    <d v="2025-04-26T00:00:00"/>
    <d v="2025-04-26T06:50:24"/>
    <x v="1"/>
    <x v="2"/>
    <s v="Connectivity"/>
    <s v="Access Management"/>
    <s v="Bengaluru"/>
    <s v="Email"/>
    <s v="Resolved"/>
    <n v="24"/>
    <n v="6.84"/>
    <n v="4.9000000000000004"/>
    <s v="No"/>
    <x v="0"/>
  </r>
  <r>
    <s v="INC103758"/>
    <d v="2025-04-10T00:00:00"/>
    <d v="2025-04-14T03:01:48"/>
    <x v="0"/>
    <x v="3"/>
    <s v="Peripheral"/>
    <s v="Service Desk"/>
    <s v="Bengaluru"/>
    <s v="Portal"/>
    <s v="Resolved"/>
    <n v="48"/>
    <n v="99.03"/>
    <n v="2.2999999999999998"/>
    <s v="No"/>
    <x v="1"/>
  </r>
  <r>
    <s v="INC103759"/>
    <d v="2025-01-15T00:00:00"/>
    <d v="2025-01-16T02:03:36"/>
    <x v="1"/>
    <x v="0"/>
    <s v="Application Error"/>
    <s v="Network Support"/>
    <s v="Gurugram"/>
    <s v="Portal"/>
    <s v="Resolved"/>
    <n v="24"/>
    <n v="26.06"/>
    <n v="4.2"/>
    <s v="Yes"/>
    <x v="1"/>
  </r>
  <r>
    <s v="INC103760"/>
    <d v="2025-04-12T00:00:00"/>
    <d v="2025-04-12T08:13:48"/>
    <x v="0"/>
    <x v="2"/>
    <s v="Link Down"/>
    <s v="Application Support"/>
    <s v="Mumbai"/>
    <s v="Phone"/>
    <s v="Closed"/>
    <n v="48"/>
    <n v="8.23"/>
    <n v="4.5"/>
    <s v="No"/>
    <x v="0"/>
  </r>
  <r>
    <s v="INC103761"/>
    <d v="2025-02-01T00:00:00"/>
    <d v="2025-02-01T02:28:48"/>
    <x v="3"/>
    <x v="0"/>
    <s v="License"/>
    <s v="Network Support"/>
    <s v="Bengaluru"/>
    <s v="Email"/>
    <s v="In Progress"/>
    <n v="8"/>
    <n v="2.48"/>
    <n v="5"/>
    <s v="No"/>
    <x v="0"/>
  </r>
  <r>
    <s v="INC103762"/>
    <d v="2025-04-02T00:00:00"/>
    <d v="2025-04-03T06:19:48"/>
    <x v="0"/>
    <x v="1"/>
    <s v="Permission"/>
    <s v="Service Desk"/>
    <s v="Delhi"/>
    <s v="Portal"/>
    <s v="Resolved"/>
    <n v="48"/>
    <n v="30.33"/>
    <n v="3.3"/>
    <s v="No"/>
    <x v="0"/>
  </r>
  <r>
    <s v="INC103763"/>
    <d v="2025-04-15T00:00:00"/>
    <d v="2025-04-15T06:22:12"/>
    <x v="0"/>
    <x v="0"/>
    <s v="License"/>
    <s v="Access Management"/>
    <s v="Hyderabad"/>
    <s v="Email"/>
    <s v="In Progress"/>
    <n v="48"/>
    <n v="6.37"/>
    <n v="4.9000000000000004"/>
    <s v="No"/>
    <x v="0"/>
  </r>
  <r>
    <s v="INC103764"/>
    <d v="2025-04-26T00:00:00"/>
    <d v="2025-04-26T21:39:36"/>
    <x v="1"/>
    <x v="3"/>
    <s v="Monitor"/>
    <s v="Network Support"/>
    <s v="Hyderabad"/>
    <s v="Portal"/>
    <s v="Pending"/>
    <n v="24"/>
    <n v="21.66"/>
    <n v="3.3"/>
    <s v="No"/>
    <x v="0"/>
  </r>
  <r>
    <s v="INC103765"/>
    <d v="2025-03-16T00:00:00"/>
    <d v="2025-03-16T11:53:24"/>
    <x v="1"/>
    <x v="2"/>
    <s v="DNS"/>
    <s v="Application Support"/>
    <s v="Delhi"/>
    <s v="Portal"/>
    <s v="Closed"/>
    <n v="24"/>
    <n v="11.89"/>
    <n v="4.0999999999999996"/>
    <s v="No"/>
    <x v="0"/>
  </r>
  <r>
    <s v="INC103766"/>
    <d v="2025-03-15T00:00:00"/>
    <d v="2025-03-15T07:26:24"/>
    <x v="3"/>
    <x v="2"/>
    <s v="Packet Loss"/>
    <s v="Application Support"/>
    <s v="Noida"/>
    <s v="Phone"/>
    <s v="Closed"/>
    <n v="8"/>
    <n v="7.44"/>
    <n v="5"/>
    <s v="No"/>
    <x v="0"/>
  </r>
  <r>
    <s v="INC103767"/>
    <d v="2025-05-03T00:00:00"/>
    <d v="2025-05-04T16:42:36"/>
    <x v="0"/>
    <x v="0"/>
    <s v="Performance"/>
    <s v="Service Desk"/>
    <s v="Mumbai"/>
    <s v="Portal"/>
    <s v="Resolved"/>
    <n v="48"/>
    <n v="40.71"/>
    <n v="3.4"/>
    <s v="No"/>
    <x v="0"/>
  </r>
  <r>
    <s v="INC103768"/>
    <d v="2025-05-16T00:00:00"/>
    <d v="2025-05-16T03:28:12"/>
    <x v="3"/>
    <x v="0"/>
    <s v="Application Error"/>
    <s v="Service Desk"/>
    <s v="Mumbai"/>
    <s v="Portal"/>
    <s v="Resolved"/>
    <n v="8"/>
    <n v="3.47"/>
    <n v="4.2"/>
    <s v="No"/>
    <x v="0"/>
  </r>
  <r>
    <s v="INC103769"/>
    <d v="2025-05-27T00:00:00"/>
    <d v="2025-05-27T15:13:48"/>
    <x v="0"/>
    <x v="2"/>
    <s v="DNS"/>
    <s v="Desktop Support"/>
    <s v="Gurugram"/>
    <s v="Portal"/>
    <s v="Pending"/>
    <n v="48"/>
    <n v="15.23"/>
    <n v="3.9"/>
    <s v="No"/>
    <x v="0"/>
  </r>
  <r>
    <s v="INC103770"/>
    <d v="2025-03-02T00:00:00"/>
    <d v="2025-03-02T02:57:36"/>
    <x v="0"/>
    <x v="2"/>
    <s v="Connectivity"/>
    <s v="Desktop Support"/>
    <s v="Delhi"/>
    <s v="Chat"/>
    <s v="Pending"/>
    <n v="48"/>
    <n v="2.96"/>
    <n v="4.7"/>
    <s v="No"/>
    <x v="0"/>
  </r>
  <r>
    <s v="INC103771"/>
    <d v="2025-03-18T00:00:00"/>
    <d v="2025-03-20T03:00:00"/>
    <x v="1"/>
    <x v="3"/>
    <s v="Monitor"/>
    <s v="Access Management"/>
    <s v="Hyderabad"/>
    <s v="Portal"/>
    <s v="Resolved"/>
    <n v="24"/>
    <n v="51"/>
    <n v="2.4"/>
    <s v="No"/>
    <x v="1"/>
  </r>
  <r>
    <s v="INC103772"/>
    <d v="2025-03-01T00:00:00"/>
    <d v="2025-03-02T14:48:36"/>
    <x v="0"/>
    <x v="3"/>
    <s v="Printer"/>
    <s v="Service Desk"/>
    <s v="Hyderabad"/>
    <s v="Portal"/>
    <s v="Resolved"/>
    <n v="48"/>
    <n v="38.81"/>
    <n v="3.6"/>
    <s v="No"/>
    <x v="0"/>
  </r>
  <r>
    <s v="INC103773"/>
    <d v="2025-04-06T00:00:00"/>
    <d v="2025-04-06T04:37:12"/>
    <x v="1"/>
    <x v="4"/>
    <s v="Configuration"/>
    <s v="Desktop Support"/>
    <s v="Mumbai"/>
    <s v="Portal"/>
    <s v="Resolved"/>
    <n v="24"/>
    <n v="4.62"/>
    <n v="5"/>
    <s v="No"/>
    <x v="0"/>
  </r>
  <r>
    <s v="INC103774"/>
    <d v="2025-01-24T00:00:00"/>
    <d v="2025-01-24T23:43:12"/>
    <x v="0"/>
    <x v="2"/>
    <s v="Packet Loss"/>
    <s v="Application Support"/>
    <s v="Bengaluru"/>
    <s v="Portal"/>
    <s v="Resolved"/>
    <n v="48"/>
    <n v="23.72"/>
    <n v="5"/>
    <s v="No"/>
    <x v="0"/>
  </r>
  <r>
    <s v="INC103775"/>
    <d v="2025-03-19T00:00:00"/>
    <d v="2025-03-21T02:22:48"/>
    <x v="0"/>
    <x v="2"/>
    <s v="Link Down"/>
    <s v="Network Support"/>
    <s v="Mumbai"/>
    <s v="Portal"/>
    <s v="In Progress"/>
    <n v="48"/>
    <n v="50.38"/>
    <n v="3.1"/>
    <s v="Yes"/>
    <x v="1"/>
  </r>
  <r>
    <s v="INC103776"/>
    <d v="2025-02-04T00:00:00"/>
    <d v="2025-02-04T04:22:48"/>
    <x v="3"/>
    <x v="3"/>
    <s v="Monitor"/>
    <s v="Access Management"/>
    <s v="Noida"/>
    <s v="Portal"/>
    <s v="Resolved"/>
    <n v="8"/>
    <n v="4.38"/>
    <n v="4.9000000000000004"/>
    <s v="Yes"/>
    <x v="0"/>
  </r>
  <r>
    <s v="INC103777"/>
    <d v="2025-04-07T00:00:00"/>
    <d v="2025-04-07T07:10:12"/>
    <x v="0"/>
    <x v="2"/>
    <s v="DNS"/>
    <s v="Access Management"/>
    <s v="Mumbai"/>
    <s v="Portal"/>
    <s v="Closed"/>
    <n v="48"/>
    <n v="7.17"/>
    <n v="4.5"/>
    <s v="No"/>
    <x v="0"/>
  </r>
  <r>
    <s v="INC103778"/>
    <d v="2025-06-03T00:00:00"/>
    <d v="2025-06-03T21:10:12"/>
    <x v="1"/>
    <x v="2"/>
    <s v="Link Down"/>
    <s v="Network Support"/>
    <s v="Gurugram"/>
    <s v="Email"/>
    <s v="Closed"/>
    <n v="24"/>
    <n v="21.17"/>
    <n v="3.1"/>
    <s v="No"/>
    <x v="0"/>
  </r>
  <r>
    <s v="INC103779"/>
    <d v="2025-06-28T00:00:00"/>
    <d v="2025-06-28T01:12:00"/>
    <x v="3"/>
    <x v="3"/>
    <s v="Peripheral"/>
    <s v="Service Desk"/>
    <s v="Delhi"/>
    <s v="Portal"/>
    <s v="Resolved"/>
    <n v="8"/>
    <n v="1.2"/>
    <n v="4.4000000000000004"/>
    <s v="No"/>
    <x v="0"/>
  </r>
  <r>
    <s v="INC103780"/>
    <d v="2025-03-22T00:00:00"/>
    <d v="2025-03-23T22:36:36"/>
    <x v="0"/>
    <x v="3"/>
    <s v="Laptop"/>
    <s v="Application Support"/>
    <s v="Gurugram"/>
    <s v="Portal"/>
    <s v="Closed"/>
    <n v="48"/>
    <n v="46.61"/>
    <n v="3"/>
    <s v="No"/>
    <x v="0"/>
  </r>
  <r>
    <s v="INC103781"/>
    <d v="2025-01-11T00:00:00"/>
    <d v="2025-01-11T05:36:00"/>
    <x v="3"/>
    <x v="2"/>
    <s v="Packet Loss"/>
    <s v="Access Management"/>
    <s v="Gurugram"/>
    <s v="Phone"/>
    <s v="Resolved"/>
    <n v="8"/>
    <n v="5.6"/>
    <n v="4.8"/>
    <s v="No"/>
    <x v="0"/>
  </r>
  <r>
    <s v="INC103782"/>
    <d v="2025-02-11T00:00:00"/>
    <d v="2025-02-12T00:20:24"/>
    <x v="0"/>
    <x v="0"/>
    <s v="Performance"/>
    <s v="Network Support"/>
    <s v="Gurugram"/>
    <s v="Portal"/>
    <s v="Resolved"/>
    <n v="48"/>
    <n v="24.34"/>
    <n v="3.8"/>
    <s v="No"/>
    <x v="0"/>
  </r>
  <r>
    <s v="INC103783"/>
    <d v="2025-01-19T00:00:00"/>
    <d v="2025-01-19T11:46:12"/>
    <x v="1"/>
    <x v="0"/>
    <s v="Performance"/>
    <s v="Access Management"/>
    <s v="Noida"/>
    <s v="Portal"/>
    <s v="Resolved"/>
    <n v="24"/>
    <n v="11.77"/>
    <n v="5"/>
    <s v="No"/>
    <x v="0"/>
  </r>
  <r>
    <s v="INC103784"/>
    <d v="2025-05-18T00:00:00"/>
    <d v="2025-05-18T20:01:48"/>
    <x v="0"/>
    <x v="2"/>
    <s v="Link Down"/>
    <s v="Service Desk"/>
    <s v="Delhi"/>
    <s v="Chat"/>
    <s v="Resolved"/>
    <n v="48"/>
    <n v="20.03"/>
    <n v="4.5999999999999996"/>
    <s v="No"/>
    <x v="0"/>
  </r>
  <r>
    <s v="INC103785"/>
    <d v="2025-06-28T00:00:00"/>
    <d v="2025-06-28T06:27:00"/>
    <x v="3"/>
    <x v="1"/>
    <s v="Permission"/>
    <s v="Service Desk"/>
    <s v="Noida"/>
    <s v="Email"/>
    <s v="Closed"/>
    <n v="8"/>
    <n v="6.45"/>
    <n v="3.8"/>
    <s v="No"/>
    <x v="0"/>
  </r>
  <r>
    <s v="INC103786"/>
    <d v="2025-04-11T00:00:00"/>
    <d v="2025-04-11T04:24:00"/>
    <x v="1"/>
    <x v="3"/>
    <s v="Monitor"/>
    <s v="Service Desk"/>
    <s v="Noida"/>
    <s v="Email"/>
    <s v="Resolved"/>
    <n v="24"/>
    <n v="4.4000000000000004"/>
    <n v="4.5"/>
    <s v="No"/>
    <x v="0"/>
  </r>
  <r>
    <s v="INC103787"/>
    <d v="2025-02-02T00:00:00"/>
    <d v="2025-02-02T08:04:48"/>
    <x v="1"/>
    <x v="4"/>
    <s v="Delivery"/>
    <s v="Application Support"/>
    <s v="Gurugram"/>
    <s v="Email"/>
    <s v="Closed"/>
    <n v="24"/>
    <n v="8.08"/>
    <n v="5"/>
    <s v="Yes"/>
    <x v="0"/>
  </r>
  <r>
    <s v="INC103788"/>
    <d v="2025-01-04T00:00:00"/>
    <d v="2025-01-04T05:21:36"/>
    <x v="2"/>
    <x v="4"/>
    <s v="Configuration"/>
    <s v="Service Desk"/>
    <s v="Noida"/>
    <s v="Chat"/>
    <s v="Resolved"/>
    <n v="4"/>
    <n v="5.36"/>
    <n v="3.4"/>
    <s v="No"/>
    <x v="1"/>
  </r>
  <r>
    <s v="INC103789"/>
    <d v="2025-06-26T00:00:00"/>
    <d v="2025-06-27T23:21:00"/>
    <x v="1"/>
    <x v="3"/>
    <s v="Printer"/>
    <s v="Desktop Support"/>
    <s v="Mumbai"/>
    <s v="Portal"/>
    <s v="Pending"/>
    <n v="24"/>
    <n v="47.35"/>
    <n v="2.2999999999999998"/>
    <s v="No"/>
    <x v="1"/>
  </r>
  <r>
    <s v="INC103790"/>
    <d v="2025-02-27T00:00:00"/>
    <d v="2025-02-27T03:39:00"/>
    <x v="3"/>
    <x v="2"/>
    <s v="Packet Loss"/>
    <s v="Network Support"/>
    <s v="Noida"/>
    <s v="Portal"/>
    <s v="Closed"/>
    <n v="8"/>
    <n v="3.65"/>
    <n v="5"/>
    <s v="No"/>
    <x v="0"/>
  </r>
  <r>
    <s v="INC103791"/>
    <d v="2025-01-21T00:00:00"/>
    <d v="2025-01-21T13:55:48"/>
    <x v="1"/>
    <x v="1"/>
    <s v="VPN Access"/>
    <s v="Network Support"/>
    <s v="Delhi"/>
    <s v="Phone"/>
    <s v="Closed"/>
    <n v="24"/>
    <n v="13.93"/>
    <n v="4.7"/>
    <s v="No"/>
    <x v="0"/>
  </r>
  <r>
    <s v="INC103792"/>
    <d v="2025-02-02T00:00:00"/>
    <d v="2025-02-02T01:43:12"/>
    <x v="3"/>
    <x v="3"/>
    <s v="Laptop"/>
    <s v="Application Support"/>
    <s v="Mumbai"/>
    <s v="Portal"/>
    <s v="Resolved"/>
    <n v="8"/>
    <n v="1.72"/>
    <n v="4.0999999999999996"/>
    <s v="No"/>
    <x v="0"/>
  </r>
  <r>
    <s v="INC103793"/>
    <d v="2025-02-16T00:00:00"/>
    <d v="2025-02-16T02:14:24"/>
    <x v="3"/>
    <x v="2"/>
    <s v="Packet Loss"/>
    <s v="Service Desk"/>
    <s v="Bengaluru"/>
    <s v="Email"/>
    <s v="Resolved"/>
    <n v="8"/>
    <n v="2.2400000000000002"/>
    <n v="4.7"/>
    <s v="No"/>
    <x v="0"/>
  </r>
  <r>
    <s v="INC103794"/>
    <d v="2025-04-29T00:00:00"/>
    <d v="2025-04-29T00:30:00"/>
    <x v="2"/>
    <x v="0"/>
    <s v="Performance"/>
    <s v="Application Support"/>
    <s v="Noida"/>
    <s v="Portal"/>
    <s v="Closed"/>
    <n v="4"/>
    <n v="0.5"/>
    <n v="3.7"/>
    <s v="No"/>
    <x v="0"/>
  </r>
  <r>
    <s v="INC103795"/>
    <d v="2025-06-11T00:00:00"/>
    <d v="2025-06-11T05:37:12"/>
    <x v="0"/>
    <x v="0"/>
    <s v="Performance"/>
    <s v="Application Support"/>
    <s v="Delhi"/>
    <s v="Portal"/>
    <s v="Closed"/>
    <n v="48"/>
    <n v="5.62"/>
    <n v="4.8"/>
    <s v="No"/>
    <x v="0"/>
  </r>
  <r>
    <s v="INC103796"/>
    <d v="2025-02-19T00:00:00"/>
    <d v="2025-02-19T03:00:36"/>
    <x v="3"/>
    <x v="1"/>
    <s v="Password Reset"/>
    <s v="Access Management"/>
    <s v="Delhi"/>
    <s v="Email"/>
    <s v="Closed"/>
    <n v="8"/>
    <n v="3.01"/>
    <n v="4.8"/>
    <s v="No"/>
    <x v="0"/>
  </r>
  <r>
    <s v="INC103797"/>
    <d v="2025-05-05T00:00:00"/>
    <d v="2025-05-05T08:00:36"/>
    <x v="3"/>
    <x v="1"/>
    <s v="VPN Access"/>
    <s v="Network Support"/>
    <s v="Delhi"/>
    <s v="Email"/>
    <s v="Resolved"/>
    <n v="8"/>
    <n v="8.01"/>
    <n v="4.0999999999999996"/>
    <s v="No"/>
    <x v="1"/>
  </r>
  <r>
    <s v="INC103798"/>
    <d v="2025-01-12T00:00:00"/>
    <d v="2025-01-12T12:12:00"/>
    <x v="1"/>
    <x v="1"/>
    <s v="Password Reset"/>
    <s v="Access Management"/>
    <s v="Hyderabad"/>
    <s v="Email"/>
    <s v="Resolved"/>
    <n v="24"/>
    <n v="12.2"/>
    <n v="3.7"/>
    <s v="No"/>
    <x v="0"/>
  </r>
  <r>
    <s v="INC103799"/>
    <d v="2025-01-02T00:00:00"/>
    <d v="2025-01-04T14:15:36"/>
    <x v="0"/>
    <x v="1"/>
    <s v="Account Lock"/>
    <s v="Access Management"/>
    <s v="Gurugram"/>
    <s v="Portal"/>
    <s v="Resolved"/>
    <n v="48"/>
    <n v="62.26"/>
    <n v="3"/>
    <s v="No"/>
    <x v="1"/>
  </r>
  <r>
    <s v="INC103800"/>
    <d v="2025-01-10T00:00:00"/>
    <d v="2025-01-10T01:21:36"/>
    <x v="2"/>
    <x v="0"/>
    <s v="Performance"/>
    <s v="Desktop Support"/>
    <s v="Noida"/>
    <s v="Portal"/>
    <s v="Resolved"/>
    <n v="4"/>
    <n v="1.36"/>
    <n v="4.8"/>
    <s v="No"/>
    <x v="0"/>
  </r>
  <r>
    <s v="INC103801"/>
    <d v="2025-06-17T00:00:00"/>
    <d v="2025-06-19T06:34:47"/>
    <x v="0"/>
    <x v="0"/>
    <s v="Installation"/>
    <s v="Network Support"/>
    <s v="Mumbai"/>
    <s v="Phone"/>
    <s v="Closed"/>
    <n v="48"/>
    <n v="54.58"/>
    <n v="4.4000000000000004"/>
    <s v="No"/>
    <x v="1"/>
  </r>
  <r>
    <s v="INC103802"/>
    <d v="2025-04-16T00:00:00"/>
    <d v="2025-04-18T09:19:12"/>
    <x v="1"/>
    <x v="4"/>
    <s v="Mailbox"/>
    <s v="Network Support"/>
    <s v="Bengaluru"/>
    <s v="Portal"/>
    <s v="Resolved"/>
    <n v="24"/>
    <n v="57.32"/>
    <n v="2.2000000000000002"/>
    <s v="No"/>
    <x v="1"/>
  </r>
  <r>
    <s v="INC103803"/>
    <d v="2025-05-26T00:00:00"/>
    <d v="2025-05-26T16:27:36"/>
    <x v="1"/>
    <x v="4"/>
    <s v="Delivery"/>
    <s v="Desktop Support"/>
    <s v="Delhi"/>
    <s v="Email"/>
    <s v="Resolved"/>
    <n v="24"/>
    <n v="16.46"/>
    <n v="3.8"/>
    <s v="No"/>
    <x v="0"/>
  </r>
  <r>
    <s v="INC103804"/>
    <d v="2025-01-04T00:00:00"/>
    <d v="2025-01-04T02:56:24"/>
    <x v="0"/>
    <x v="1"/>
    <s v="Account Lock"/>
    <s v="Network Support"/>
    <s v="Hyderabad"/>
    <s v="Email"/>
    <s v="Resolved"/>
    <n v="48"/>
    <n v="2.94"/>
    <n v="5"/>
    <s v="No"/>
    <x v="0"/>
  </r>
  <r>
    <s v="INC103805"/>
    <d v="2025-01-05T00:00:00"/>
    <d v="2025-01-05T00:30:00"/>
    <x v="3"/>
    <x v="1"/>
    <s v="VPN Access"/>
    <s v="Network Support"/>
    <s v="Gurugram"/>
    <s v="Portal"/>
    <s v="Closed"/>
    <n v="8"/>
    <n v="0.5"/>
    <n v="5"/>
    <s v="No"/>
    <x v="0"/>
  </r>
  <r>
    <s v="INC103806"/>
    <d v="2025-06-03T00:00:00"/>
    <d v="2025-06-03T05:58:48"/>
    <x v="0"/>
    <x v="0"/>
    <s v="License"/>
    <s v="Desktop Support"/>
    <s v="Mumbai"/>
    <s v="Portal"/>
    <s v="Resolved"/>
    <n v="48"/>
    <n v="5.98"/>
    <n v="5"/>
    <s v="No"/>
    <x v="0"/>
  </r>
  <r>
    <s v="INC103807"/>
    <d v="2025-01-19T00:00:00"/>
    <d v="2025-01-19T06:22:48"/>
    <x v="1"/>
    <x v="2"/>
    <s v="Link Down"/>
    <s v="Desktop Support"/>
    <s v="Mumbai"/>
    <s v="Phone"/>
    <s v="Resolved"/>
    <n v="24"/>
    <n v="6.38"/>
    <n v="5"/>
    <s v="No"/>
    <x v="0"/>
  </r>
  <r>
    <s v="INC103808"/>
    <d v="2025-01-29T00:00:00"/>
    <d v="2025-01-29T07:37:48"/>
    <x v="3"/>
    <x v="1"/>
    <s v="Permission"/>
    <s v="Access Management"/>
    <s v="Bengaluru"/>
    <s v="Portal"/>
    <s v="Closed"/>
    <n v="8"/>
    <n v="7.63"/>
    <n v="3.8"/>
    <s v="No"/>
    <x v="0"/>
  </r>
  <r>
    <s v="INC103809"/>
    <d v="2025-04-04T00:00:00"/>
    <d v="2025-04-04T08:46:12"/>
    <x v="1"/>
    <x v="2"/>
    <s v="Connectivity"/>
    <s v="Access Management"/>
    <s v="Delhi"/>
    <s v="Portal"/>
    <s v="Closed"/>
    <n v="24"/>
    <n v="8.77"/>
    <n v="4"/>
    <s v="No"/>
    <x v="0"/>
  </r>
  <r>
    <s v="INC103810"/>
    <d v="2025-04-20T00:00:00"/>
    <d v="2025-04-21T03:15:00"/>
    <x v="1"/>
    <x v="2"/>
    <s v="DNS"/>
    <s v="Service Desk"/>
    <s v="Bengaluru"/>
    <s v="Chat"/>
    <s v="Resolved"/>
    <n v="24"/>
    <n v="27.25"/>
    <n v="3.5"/>
    <s v="No"/>
    <x v="1"/>
  </r>
  <r>
    <s v="INC103811"/>
    <d v="2025-02-11T00:00:00"/>
    <d v="2025-02-11T14:54:36"/>
    <x v="0"/>
    <x v="3"/>
    <s v="Laptop"/>
    <s v="Service Desk"/>
    <s v="Gurugram"/>
    <s v="Portal"/>
    <s v="Resolved"/>
    <n v="48"/>
    <n v="14.91"/>
    <n v="5"/>
    <s v="No"/>
    <x v="0"/>
  </r>
  <r>
    <s v="INC103812"/>
    <d v="2025-03-22T00:00:00"/>
    <d v="2025-03-22T18:39:36"/>
    <x v="3"/>
    <x v="0"/>
    <s v="License"/>
    <s v="Network Support"/>
    <s v="Hyderabad"/>
    <s v="Phone"/>
    <s v="Resolved"/>
    <n v="8"/>
    <n v="18.66"/>
    <n v="3.4"/>
    <s v="No"/>
    <x v="1"/>
  </r>
  <r>
    <s v="INC103813"/>
    <d v="2025-05-03T00:00:00"/>
    <d v="2025-05-03T05:23:24"/>
    <x v="2"/>
    <x v="0"/>
    <s v="License"/>
    <s v="Service Desk"/>
    <s v="Mumbai"/>
    <s v="Portal"/>
    <s v="Closed"/>
    <n v="4"/>
    <n v="5.39"/>
    <n v="2.6"/>
    <s v="No"/>
    <x v="1"/>
  </r>
  <r>
    <s v="INC103814"/>
    <d v="2025-03-22T00:00:00"/>
    <d v="2025-03-22T16:30:00"/>
    <x v="0"/>
    <x v="2"/>
    <s v="Link Down"/>
    <s v="Desktop Support"/>
    <s v="Mumbai"/>
    <s v="Portal"/>
    <s v="Resolved"/>
    <n v="48"/>
    <n v="16.5"/>
    <n v="5"/>
    <s v="No"/>
    <x v="0"/>
  </r>
  <r>
    <s v="INC103815"/>
    <d v="2025-03-11T00:00:00"/>
    <d v="2025-03-11T05:41:24"/>
    <x v="1"/>
    <x v="2"/>
    <s v="DNS"/>
    <s v="Access Management"/>
    <s v="Mumbai"/>
    <s v="Email"/>
    <s v="Resolved"/>
    <n v="24"/>
    <n v="5.69"/>
    <n v="4.5"/>
    <s v="No"/>
    <x v="0"/>
  </r>
  <r>
    <s v="INC103816"/>
    <d v="2025-01-13T00:00:00"/>
    <d v="2025-01-14T08:36:36"/>
    <x v="1"/>
    <x v="2"/>
    <s v="Packet Loss"/>
    <s v="Access Management"/>
    <s v="Gurugram"/>
    <s v="Portal"/>
    <s v="Resolved"/>
    <n v="24"/>
    <n v="32.61"/>
    <n v="3.4"/>
    <s v="Yes"/>
    <x v="1"/>
  </r>
  <r>
    <s v="INC103817"/>
    <d v="2025-03-23T00:00:00"/>
    <d v="2025-03-23T04:29:24"/>
    <x v="1"/>
    <x v="3"/>
    <s v="Printer"/>
    <s v="Access Management"/>
    <s v="Delhi"/>
    <s v="Phone"/>
    <s v="Resolved"/>
    <n v="24"/>
    <n v="4.49"/>
    <n v="5"/>
    <s v="No"/>
    <x v="0"/>
  </r>
  <r>
    <s v="INC103818"/>
    <d v="2025-05-26T00:00:00"/>
    <d v="2025-05-26T07:43:48"/>
    <x v="1"/>
    <x v="2"/>
    <s v="Link Down"/>
    <s v="Desktop Support"/>
    <s v="Bengaluru"/>
    <s v="Portal"/>
    <s v="Closed"/>
    <n v="24"/>
    <n v="7.73"/>
    <n v="4.3"/>
    <s v="No"/>
    <x v="0"/>
  </r>
  <r>
    <s v="INC103819"/>
    <d v="2025-04-24T00:00:00"/>
    <d v="2025-04-24T04:25:12"/>
    <x v="1"/>
    <x v="0"/>
    <s v="Application Error"/>
    <s v="Application Support"/>
    <s v="Bengaluru"/>
    <s v="Email"/>
    <s v="Closed"/>
    <n v="24"/>
    <n v="4.42"/>
    <n v="4.5999999999999996"/>
    <s v="No"/>
    <x v="0"/>
  </r>
  <r>
    <s v="INC103820"/>
    <d v="2025-06-11T00:00:00"/>
    <d v="2025-06-11T14:45:00"/>
    <x v="1"/>
    <x v="2"/>
    <s v="Packet Loss"/>
    <s v="Application Support"/>
    <s v="Hyderabad"/>
    <s v="Phone"/>
    <s v="Resolved"/>
    <n v="24"/>
    <n v="14.75"/>
    <n v="3.8"/>
    <s v="No"/>
    <x v="0"/>
  </r>
  <r>
    <s v="INC103821"/>
    <d v="2025-01-23T00:00:00"/>
    <d v="2025-01-25T09:06:36"/>
    <x v="0"/>
    <x v="3"/>
    <s v="Laptop"/>
    <s v="Service Desk"/>
    <s v="Bengaluru"/>
    <s v="Email"/>
    <s v="Resolved"/>
    <n v="48"/>
    <n v="57.11"/>
    <n v="3.6"/>
    <s v="No"/>
    <x v="1"/>
  </r>
  <r>
    <s v="INC103822"/>
    <d v="2025-01-02T00:00:00"/>
    <d v="2025-01-02T08:30:36"/>
    <x v="1"/>
    <x v="3"/>
    <s v="Monitor"/>
    <s v="Desktop Support"/>
    <s v="Mumbai"/>
    <s v="Email"/>
    <s v="Resolved"/>
    <n v="24"/>
    <n v="8.51"/>
    <n v="4.8"/>
    <s v="Yes"/>
    <x v="0"/>
  </r>
  <r>
    <s v="INC103823"/>
    <d v="2025-04-10T00:00:00"/>
    <d v="2025-04-10T08:11:24"/>
    <x v="3"/>
    <x v="0"/>
    <s v="Application Error"/>
    <s v="Desktop Support"/>
    <s v="Noida"/>
    <s v="Portal"/>
    <s v="Resolved"/>
    <n v="8"/>
    <n v="8.19"/>
    <n v="3.3"/>
    <s v="No"/>
    <x v="1"/>
  </r>
  <r>
    <s v="INC103824"/>
    <d v="2025-02-02T00:00:00"/>
    <d v="2025-02-03T07:05:24"/>
    <x v="0"/>
    <x v="1"/>
    <s v="Password Reset"/>
    <s v="Service Desk"/>
    <s v="Delhi"/>
    <s v="Portal"/>
    <s v="Resolved"/>
    <n v="48"/>
    <n v="31.09"/>
    <n v="5"/>
    <s v="No"/>
    <x v="0"/>
  </r>
  <r>
    <s v="INC103825"/>
    <d v="2025-04-18T00:00:00"/>
    <d v="2025-04-18T04:17:23"/>
    <x v="1"/>
    <x v="2"/>
    <s v="Connectivity"/>
    <s v="Desktop Support"/>
    <s v="Delhi"/>
    <s v="Chat"/>
    <s v="Resolved"/>
    <n v="24"/>
    <n v="4.29"/>
    <n v="4.3"/>
    <s v="Yes"/>
    <x v="0"/>
  </r>
  <r>
    <s v="INC103826"/>
    <d v="2025-06-13T00:00:00"/>
    <d v="2025-06-13T15:54:36"/>
    <x v="0"/>
    <x v="3"/>
    <s v="Laptop"/>
    <s v="Desktop Support"/>
    <s v="Noida"/>
    <s v="Email"/>
    <s v="Closed"/>
    <n v="48"/>
    <n v="15.91"/>
    <n v="4.9000000000000004"/>
    <s v="No"/>
    <x v="0"/>
  </r>
  <r>
    <s v="INC103827"/>
    <d v="2025-03-03T00:00:00"/>
    <d v="2025-03-03T00:56:24"/>
    <x v="3"/>
    <x v="0"/>
    <s v="License"/>
    <s v="Network Support"/>
    <s v="Delhi"/>
    <s v="Email"/>
    <s v="Closed"/>
    <n v="8"/>
    <n v="0.94"/>
    <n v="4.9000000000000004"/>
    <s v="No"/>
    <x v="0"/>
  </r>
  <r>
    <s v="INC103828"/>
    <d v="2025-04-10T00:00:00"/>
    <d v="2025-04-11T15:13:48"/>
    <x v="1"/>
    <x v="2"/>
    <s v="DNS"/>
    <s v="Application Support"/>
    <s v="Bengaluru"/>
    <s v="Portal"/>
    <s v="Closed"/>
    <n v="24"/>
    <n v="39.229999999999997"/>
    <n v="3.8"/>
    <s v="No"/>
    <x v="1"/>
  </r>
  <r>
    <s v="INC103829"/>
    <d v="2025-05-04T00:00:00"/>
    <d v="2025-05-04T13:39:00"/>
    <x v="1"/>
    <x v="1"/>
    <s v="VPN Access"/>
    <s v="Access Management"/>
    <s v="Noida"/>
    <s v="Portal"/>
    <s v="Resolved"/>
    <n v="24"/>
    <n v="13.65"/>
    <n v="3.8"/>
    <s v="No"/>
    <x v="0"/>
  </r>
  <r>
    <s v="INC103830"/>
    <d v="2025-01-28T00:00:00"/>
    <d v="2025-01-29T00:05:24"/>
    <x v="0"/>
    <x v="4"/>
    <s v="Mailbox"/>
    <s v="Application Support"/>
    <s v="Gurugram"/>
    <s v="Portal"/>
    <s v="Closed"/>
    <n v="48"/>
    <n v="24.09"/>
    <n v="4.8"/>
    <s v="Yes"/>
    <x v="0"/>
  </r>
  <r>
    <s v="INC103831"/>
    <d v="2025-06-12T00:00:00"/>
    <d v="2025-06-12T13:23:24"/>
    <x v="1"/>
    <x v="0"/>
    <s v="License"/>
    <s v="Access Management"/>
    <s v="Bengaluru"/>
    <s v="Portal"/>
    <s v="Resolved"/>
    <n v="24"/>
    <n v="13.39"/>
    <n v="5"/>
    <s v="No"/>
    <x v="0"/>
  </r>
  <r>
    <s v="INC103832"/>
    <d v="2025-02-06T00:00:00"/>
    <d v="2025-02-06T00:55:48"/>
    <x v="2"/>
    <x v="4"/>
    <s v="Delivery"/>
    <s v="Desktop Support"/>
    <s v="Mumbai"/>
    <s v="Portal"/>
    <s v="Closed"/>
    <n v="4"/>
    <n v="0.93"/>
    <n v="3.8"/>
    <s v="No"/>
    <x v="0"/>
  </r>
  <r>
    <s v="INC103833"/>
    <d v="2025-05-27T00:00:00"/>
    <d v="2025-05-27T08:50:24"/>
    <x v="1"/>
    <x v="3"/>
    <s v="Peripheral"/>
    <s v="Network Support"/>
    <s v="Delhi"/>
    <s v="Portal"/>
    <s v="Resolved"/>
    <n v="24"/>
    <n v="8.84"/>
    <n v="4"/>
    <s v="No"/>
    <x v="0"/>
  </r>
  <r>
    <s v="INC103834"/>
    <d v="2025-04-30T00:00:00"/>
    <d v="2025-04-30T16:21:00"/>
    <x v="1"/>
    <x v="3"/>
    <s v="Peripheral"/>
    <s v="Service Desk"/>
    <s v="Noida"/>
    <s v="Portal"/>
    <s v="In Progress"/>
    <n v="24"/>
    <n v="16.350000000000001"/>
    <n v="5"/>
    <s v="No"/>
    <x v="0"/>
  </r>
  <r>
    <s v="INC103835"/>
    <d v="2025-01-26T00:00:00"/>
    <d v="2025-01-26T00:42:00"/>
    <x v="3"/>
    <x v="2"/>
    <s v="Link Down"/>
    <s v="Access Management"/>
    <s v="Hyderabad"/>
    <s v="Email"/>
    <s v="Resolved"/>
    <n v="8"/>
    <n v="0.7"/>
    <n v="4.8"/>
    <s v="Yes"/>
    <x v="0"/>
  </r>
  <r>
    <s v="INC103836"/>
    <d v="2025-05-12T00:00:00"/>
    <d v="2025-05-12T01:03:36"/>
    <x v="1"/>
    <x v="2"/>
    <s v="Packet Loss"/>
    <s v="Network Support"/>
    <s v="Gurugram"/>
    <s v="Email"/>
    <s v="Resolved"/>
    <n v="24"/>
    <n v="1.06"/>
    <n v="5"/>
    <s v="No"/>
    <x v="0"/>
  </r>
  <r>
    <s v="INC103837"/>
    <d v="2025-02-05T00:00:00"/>
    <d v="2025-02-05T07:19:12"/>
    <x v="1"/>
    <x v="2"/>
    <s v="Packet Loss"/>
    <s v="Desktop Support"/>
    <s v="Mumbai"/>
    <s v="Portal"/>
    <s v="Resolved"/>
    <n v="24"/>
    <n v="7.32"/>
    <n v="4.4000000000000004"/>
    <s v="No"/>
    <x v="0"/>
  </r>
  <r>
    <s v="INC103838"/>
    <d v="2025-04-19T00:00:00"/>
    <d v="2025-04-19T06:19:12"/>
    <x v="1"/>
    <x v="3"/>
    <s v="Monitor"/>
    <s v="Network Support"/>
    <s v="Noida"/>
    <s v="Phone"/>
    <s v="Resolved"/>
    <n v="24"/>
    <n v="6.32"/>
    <n v="5"/>
    <s v="No"/>
    <x v="0"/>
  </r>
  <r>
    <s v="INC103839"/>
    <d v="2025-06-23T00:00:00"/>
    <d v="2025-06-25T11:42:00"/>
    <x v="0"/>
    <x v="0"/>
    <s v="Installation"/>
    <s v="Service Desk"/>
    <s v="Gurugram"/>
    <s v="Email"/>
    <s v="Pending"/>
    <n v="48"/>
    <n v="59.7"/>
    <n v="2.5"/>
    <s v="No"/>
    <x v="1"/>
  </r>
  <r>
    <s v="INC103840"/>
    <d v="2025-06-22T00:00:00"/>
    <d v="2025-06-22T05:32:24"/>
    <x v="1"/>
    <x v="2"/>
    <s v="Connectivity"/>
    <s v="Network Support"/>
    <s v="Hyderabad"/>
    <s v="Portal"/>
    <s v="Closed"/>
    <n v="24"/>
    <n v="5.54"/>
    <n v="5"/>
    <s v="No"/>
    <x v="0"/>
  </r>
  <r>
    <s v="INC103841"/>
    <d v="2025-06-07T00:00:00"/>
    <d v="2025-06-07T05:33:00"/>
    <x v="3"/>
    <x v="0"/>
    <s v="Application Error"/>
    <s v="Network Support"/>
    <s v="Noida"/>
    <s v="Phone"/>
    <s v="In Progress"/>
    <n v="8"/>
    <n v="5.55"/>
    <n v="3.2"/>
    <s v="No"/>
    <x v="0"/>
  </r>
  <r>
    <s v="INC103842"/>
    <d v="2025-03-31T00:00:00"/>
    <d v="2025-03-31T02:06:00"/>
    <x v="3"/>
    <x v="2"/>
    <s v="DNS"/>
    <s v="Network Support"/>
    <s v="Hyderabad"/>
    <s v="Email"/>
    <s v="Pending"/>
    <n v="8"/>
    <n v="2.1"/>
    <n v="3.7"/>
    <s v="No"/>
    <x v="0"/>
  </r>
  <r>
    <s v="INC103843"/>
    <d v="2025-04-12T00:00:00"/>
    <d v="2025-04-12T05:18:00"/>
    <x v="3"/>
    <x v="3"/>
    <s v="Printer"/>
    <s v="Desktop Support"/>
    <s v="Bengaluru"/>
    <s v="Email"/>
    <s v="Resolved"/>
    <n v="8"/>
    <n v="5.3"/>
    <n v="3.5"/>
    <s v="No"/>
    <x v="0"/>
  </r>
  <r>
    <s v="INC103844"/>
    <d v="2025-02-24T00:00:00"/>
    <d v="2025-02-24T13:50:24"/>
    <x v="1"/>
    <x v="2"/>
    <s v="Packet Loss"/>
    <s v="Application Support"/>
    <s v="Mumbai"/>
    <s v="Phone"/>
    <s v="Closed"/>
    <n v="24"/>
    <n v="13.84"/>
    <n v="4.2"/>
    <s v="No"/>
    <x v="0"/>
  </r>
  <r>
    <s v="INC103845"/>
    <d v="2025-06-16T00:00:00"/>
    <d v="2025-06-18T22:16:48"/>
    <x v="0"/>
    <x v="0"/>
    <s v="Performance"/>
    <s v="Service Desk"/>
    <s v="Mumbai"/>
    <s v="Portal"/>
    <s v="In Progress"/>
    <n v="48"/>
    <n v="70.28"/>
    <n v="2.8"/>
    <s v="Yes"/>
    <x v="1"/>
  </r>
  <r>
    <s v="INC103846"/>
    <d v="2025-03-28T00:00:00"/>
    <d v="2025-03-28T05:03:36"/>
    <x v="1"/>
    <x v="0"/>
    <s v="Installation"/>
    <s v="Access Management"/>
    <s v="Hyderabad"/>
    <s v="Email"/>
    <s v="Resolved"/>
    <n v="24"/>
    <n v="5.0599999999999996"/>
    <n v="4.2"/>
    <s v="No"/>
    <x v="0"/>
  </r>
  <r>
    <s v="INC103847"/>
    <d v="2025-05-20T00:00:00"/>
    <d v="2025-05-20T00:51:00"/>
    <x v="2"/>
    <x v="1"/>
    <s v="Password Reset"/>
    <s v="Service Desk"/>
    <s v="Bengaluru"/>
    <s v="Portal"/>
    <s v="Resolved"/>
    <n v="4"/>
    <n v="0.85"/>
    <n v="4.0999999999999996"/>
    <s v="No"/>
    <x v="0"/>
  </r>
  <r>
    <s v="INC103848"/>
    <d v="2025-03-07T00:00:00"/>
    <d v="2025-03-07T20:42:00"/>
    <x v="3"/>
    <x v="2"/>
    <s v="DNS"/>
    <s v="Application Support"/>
    <s v="Hyderabad"/>
    <s v="Portal"/>
    <s v="Resolved"/>
    <n v="8"/>
    <n v="20.7"/>
    <n v="1.3"/>
    <s v="No"/>
    <x v="1"/>
  </r>
  <r>
    <s v="INC103849"/>
    <d v="2025-05-15T00:00:00"/>
    <d v="2025-05-16T03:49:48"/>
    <x v="1"/>
    <x v="3"/>
    <s v="Peripheral"/>
    <s v="Desktop Support"/>
    <s v="Delhi"/>
    <s v="Portal"/>
    <s v="Closed"/>
    <n v="24"/>
    <n v="27.83"/>
    <n v="3"/>
    <s v="No"/>
    <x v="1"/>
  </r>
  <r>
    <s v="INC103850"/>
    <d v="2025-02-10T00:00:00"/>
    <d v="2025-02-10T07:50:24"/>
    <x v="1"/>
    <x v="4"/>
    <s v="Mailbox"/>
    <s v="Application Support"/>
    <s v="Noida"/>
    <s v="Portal"/>
    <s v="Closed"/>
    <n v="24"/>
    <n v="7.84"/>
    <n v="4.8"/>
    <s v="No"/>
    <x v="0"/>
  </r>
  <r>
    <s v="INC103851"/>
    <d v="2025-05-13T00:00:00"/>
    <d v="2025-05-13T01:46:48"/>
    <x v="3"/>
    <x v="2"/>
    <s v="DNS"/>
    <s v="Access Management"/>
    <s v="Noida"/>
    <s v="Portal"/>
    <s v="Resolved"/>
    <n v="8"/>
    <n v="1.78"/>
    <n v="4.3"/>
    <s v="No"/>
    <x v="0"/>
  </r>
  <r>
    <s v="INC103852"/>
    <d v="2025-01-09T00:00:00"/>
    <d v="2025-01-09T01:33:00"/>
    <x v="3"/>
    <x v="3"/>
    <s v="Monitor"/>
    <s v="Access Management"/>
    <s v="Delhi"/>
    <s v="Email"/>
    <s v="Closed"/>
    <n v="8"/>
    <n v="1.55"/>
    <n v="3"/>
    <s v="No"/>
    <x v="0"/>
  </r>
  <r>
    <s v="INC103853"/>
    <d v="2025-01-19T00:00:00"/>
    <d v="2025-01-19T08:59:24"/>
    <x v="3"/>
    <x v="2"/>
    <s v="Packet Loss"/>
    <s v="Desktop Support"/>
    <s v="Hyderabad"/>
    <s v="Portal"/>
    <s v="Closed"/>
    <n v="8"/>
    <n v="8.99"/>
    <n v="3.6"/>
    <s v="Yes"/>
    <x v="1"/>
  </r>
  <r>
    <s v="INC103854"/>
    <d v="2025-03-05T00:00:00"/>
    <d v="2025-03-05T06:44:24"/>
    <x v="1"/>
    <x v="2"/>
    <s v="Connectivity"/>
    <s v="Access Management"/>
    <s v="Mumbai"/>
    <s v="Portal"/>
    <s v="Resolved"/>
    <n v="24"/>
    <n v="6.74"/>
    <n v="5"/>
    <s v="No"/>
    <x v="0"/>
  </r>
  <r>
    <s v="INC103855"/>
    <d v="2025-03-29T00:00:00"/>
    <d v="2025-03-29T11:23:24"/>
    <x v="0"/>
    <x v="3"/>
    <s v="Monitor"/>
    <s v="Application Support"/>
    <s v="Mumbai"/>
    <s v="Portal"/>
    <s v="Closed"/>
    <n v="48"/>
    <n v="11.39"/>
    <n v="4.5"/>
    <s v="No"/>
    <x v="0"/>
  </r>
  <r>
    <s v="INC103856"/>
    <d v="2025-05-09T00:00:00"/>
    <d v="2025-05-09T05:33:36"/>
    <x v="1"/>
    <x v="2"/>
    <s v="Connectivity"/>
    <s v="Service Desk"/>
    <s v="Bengaluru"/>
    <s v="Portal"/>
    <s v="In Progress"/>
    <n v="24"/>
    <n v="5.56"/>
    <n v="3.9"/>
    <s v="No"/>
    <x v="0"/>
  </r>
  <r>
    <s v="INC103857"/>
    <d v="2025-03-06T00:00:00"/>
    <d v="2025-03-06T18:34:47"/>
    <x v="1"/>
    <x v="0"/>
    <s v="License"/>
    <s v="Access Management"/>
    <s v="Bengaluru"/>
    <s v="Email"/>
    <s v="Resolved"/>
    <n v="24"/>
    <n v="18.579999999999998"/>
    <n v="4.5999999999999996"/>
    <s v="Yes"/>
    <x v="0"/>
  </r>
  <r>
    <s v="INC103858"/>
    <d v="2025-01-04T00:00:00"/>
    <d v="2025-01-04T03:17:23"/>
    <x v="3"/>
    <x v="4"/>
    <s v="Spam"/>
    <s v="Network Support"/>
    <s v="Noida"/>
    <s v="Email"/>
    <s v="Resolved"/>
    <n v="8"/>
    <n v="3.29"/>
    <n v="3.6"/>
    <s v="No"/>
    <x v="0"/>
  </r>
  <r>
    <s v="INC103859"/>
    <d v="2025-02-28T00:00:00"/>
    <d v="2025-03-01T03:36:36"/>
    <x v="1"/>
    <x v="2"/>
    <s v="Link Down"/>
    <s v="Desktop Support"/>
    <s v="Mumbai"/>
    <s v="Phone"/>
    <s v="Closed"/>
    <n v="24"/>
    <n v="27.61"/>
    <n v="3.4"/>
    <s v="No"/>
    <x v="1"/>
  </r>
  <r>
    <s v="INC103860"/>
    <d v="2025-03-21T00:00:00"/>
    <d v="2025-03-22T20:59:24"/>
    <x v="1"/>
    <x v="2"/>
    <s v="Packet Loss"/>
    <s v="Network Support"/>
    <s v="Hyderabad"/>
    <s v="Chat"/>
    <s v="Resolved"/>
    <n v="24"/>
    <n v="44.99"/>
    <n v="2.7"/>
    <s v="No"/>
    <x v="1"/>
  </r>
  <r>
    <s v="INC103861"/>
    <d v="2025-04-09T00:00:00"/>
    <d v="2025-04-09T13:51:36"/>
    <x v="1"/>
    <x v="1"/>
    <s v="VPN Access"/>
    <s v="Application Support"/>
    <s v="Gurugram"/>
    <s v="Portal"/>
    <s v="Resolved"/>
    <n v="24"/>
    <n v="13.86"/>
    <n v="5"/>
    <s v="No"/>
    <x v="0"/>
  </r>
  <r>
    <s v="INC103862"/>
    <d v="2025-04-27T00:00:00"/>
    <d v="2025-04-27T15:00:36"/>
    <x v="1"/>
    <x v="3"/>
    <s v="Monitor"/>
    <s v="Access Management"/>
    <s v="Noida"/>
    <s v="Portal"/>
    <s v="In Progress"/>
    <n v="24"/>
    <n v="15.01"/>
    <n v="4.5999999999999996"/>
    <s v="No"/>
    <x v="0"/>
  </r>
  <r>
    <s v="INC103863"/>
    <d v="2025-02-14T00:00:00"/>
    <d v="2025-02-14T09:25:12"/>
    <x v="1"/>
    <x v="4"/>
    <s v="Delivery"/>
    <s v="Access Management"/>
    <s v="Delhi"/>
    <s v="Phone"/>
    <s v="Resolved"/>
    <n v="24"/>
    <n v="9.42"/>
    <n v="4.7"/>
    <s v="No"/>
    <x v="0"/>
  </r>
  <r>
    <s v="INC103864"/>
    <d v="2025-04-21T00:00:00"/>
    <d v="2025-04-22T02:48:00"/>
    <x v="0"/>
    <x v="3"/>
    <s v="Printer"/>
    <s v="Network Support"/>
    <s v="Hyderabad"/>
    <s v="Email"/>
    <s v="Resolved"/>
    <n v="48"/>
    <n v="26.8"/>
    <n v="4.9000000000000004"/>
    <s v="No"/>
    <x v="0"/>
  </r>
  <r>
    <s v="INC103865"/>
    <d v="2025-04-25T00:00:00"/>
    <d v="2025-04-25T00:31:12"/>
    <x v="3"/>
    <x v="0"/>
    <s v="Installation"/>
    <s v="Service Desk"/>
    <s v="Bengaluru"/>
    <s v="Chat"/>
    <s v="In Progress"/>
    <n v="8"/>
    <n v="0.52"/>
    <n v="4.2"/>
    <s v="No"/>
    <x v="0"/>
  </r>
  <r>
    <s v="INC103866"/>
    <d v="2025-05-21T00:00:00"/>
    <d v="2025-05-21T16:06:00"/>
    <x v="1"/>
    <x v="4"/>
    <s v="Configuration"/>
    <s v="Service Desk"/>
    <s v="Bengaluru"/>
    <s v="Phone"/>
    <s v="Closed"/>
    <n v="24"/>
    <n v="16.100000000000001"/>
    <n v="5"/>
    <s v="No"/>
    <x v="0"/>
  </r>
  <r>
    <s v="INC103867"/>
    <d v="2025-04-05T00:00:00"/>
    <d v="2025-04-05T23:26:24"/>
    <x v="1"/>
    <x v="2"/>
    <s v="Connectivity"/>
    <s v="Network Support"/>
    <s v="Gurugram"/>
    <s v="Phone"/>
    <s v="Resolved"/>
    <n v="24"/>
    <n v="23.44"/>
    <n v="1.8"/>
    <s v="No"/>
    <x v="0"/>
  </r>
  <r>
    <s v="INC103868"/>
    <d v="2025-05-27T00:00:00"/>
    <d v="2025-05-27T08:42:36"/>
    <x v="0"/>
    <x v="1"/>
    <s v="VPN Access"/>
    <s v="Desktop Support"/>
    <s v="Delhi"/>
    <s v="Portal"/>
    <s v="Resolved"/>
    <n v="48"/>
    <n v="8.7100000000000009"/>
    <n v="5"/>
    <s v="No"/>
    <x v="0"/>
  </r>
  <r>
    <s v="INC103869"/>
    <d v="2025-02-10T00:00:00"/>
    <d v="2025-02-11T15:49:48"/>
    <x v="1"/>
    <x v="0"/>
    <s v="Installation"/>
    <s v="Network Support"/>
    <s v="Mumbai"/>
    <s v="Portal"/>
    <s v="Resolved"/>
    <n v="24"/>
    <n v="39.83"/>
    <n v="2.5"/>
    <s v="No"/>
    <x v="1"/>
  </r>
  <r>
    <s v="INC103870"/>
    <d v="2025-05-09T00:00:00"/>
    <d v="2025-05-09T07:27:00"/>
    <x v="1"/>
    <x v="1"/>
    <s v="Password Reset"/>
    <s v="Application Support"/>
    <s v="Hyderabad"/>
    <s v="Email"/>
    <s v="Resolved"/>
    <n v="24"/>
    <n v="7.45"/>
    <n v="4.9000000000000004"/>
    <s v="No"/>
    <x v="0"/>
  </r>
  <r>
    <s v="INC103871"/>
    <d v="2025-01-09T00:00:00"/>
    <d v="2025-01-09T10:54:36"/>
    <x v="3"/>
    <x v="2"/>
    <s v="DNS"/>
    <s v="Desktop Support"/>
    <s v="Noida"/>
    <s v="Email"/>
    <s v="In Progress"/>
    <n v="8"/>
    <n v="10.91"/>
    <n v="4.3"/>
    <s v="Yes"/>
    <x v="1"/>
  </r>
  <r>
    <s v="INC103872"/>
    <d v="2025-01-19T00:00:00"/>
    <d v="2025-01-20T15:40:12"/>
    <x v="0"/>
    <x v="3"/>
    <s v="Peripheral"/>
    <s v="Desktop Support"/>
    <s v="Mumbai"/>
    <s v="Phone"/>
    <s v="Resolved"/>
    <n v="48"/>
    <n v="39.67"/>
    <n v="4.4000000000000004"/>
    <s v="No"/>
    <x v="0"/>
  </r>
  <r>
    <s v="INC103873"/>
    <d v="2025-06-06T00:00:00"/>
    <d v="2025-06-06T00:38:24"/>
    <x v="2"/>
    <x v="2"/>
    <s v="DNS"/>
    <s v="Access Management"/>
    <s v="Bengaluru"/>
    <s v="Chat"/>
    <s v="Resolved"/>
    <n v="4"/>
    <n v="0.64"/>
    <n v="5"/>
    <s v="No"/>
    <x v="0"/>
  </r>
  <r>
    <s v="INC103874"/>
    <d v="2025-03-27T00:00:00"/>
    <d v="2025-03-28T02:30:36"/>
    <x v="1"/>
    <x v="4"/>
    <s v="Mailbox"/>
    <s v="Application Support"/>
    <s v="Bengaluru"/>
    <s v="Portal"/>
    <s v="Closed"/>
    <n v="24"/>
    <n v="26.51"/>
    <n v="4.2"/>
    <s v="No"/>
    <x v="1"/>
  </r>
  <r>
    <s v="INC103875"/>
    <d v="2025-04-23T00:00:00"/>
    <d v="2025-04-24T00:16:48"/>
    <x v="0"/>
    <x v="2"/>
    <s v="DNS"/>
    <s v="Service Desk"/>
    <s v="Gurugram"/>
    <s v="Portal"/>
    <s v="In Progress"/>
    <n v="48"/>
    <n v="24.28"/>
    <n v="3.4"/>
    <s v="No"/>
    <x v="0"/>
  </r>
  <r>
    <s v="INC103876"/>
    <d v="2025-04-20T00:00:00"/>
    <d v="2025-04-21T10:39:00"/>
    <x v="0"/>
    <x v="2"/>
    <s v="Packet Loss"/>
    <s v="Desktop Support"/>
    <s v="Bengaluru"/>
    <s v="Phone"/>
    <s v="Closed"/>
    <n v="48"/>
    <n v="34.65"/>
    <n v="3.3"/>
    <s v="No"/>
    <x v="0"/>
  </r>
  <r>
    <s v="INC103877"/>
    <d v="2025-05-06T00:00:00"/>
    <d v="2025-05-06T19:14:24"/>
    <x v="0"/>
    <x v="4"/>
    <s v="Configuration"/>
    <s v="Access Management"/>
    <s v="Delhi"/>
    <s v="Phone"/>
    <s v="Resolved"/>
    <n v="48"/>
    <n v="19.239999999999998"/>
    <n v="4.7"/>
    <s v="No"/>
    <x v="0"/>
  </r>
  <r>
    <s v="INC103878"/>
    <d v="2025-02-14T00:00:00"/>
    <d v="2025-02-14T03:37:48"/>
    <x v="3"/>
    <x v="3"/>
    <s v="Monitor"/>
    <s v="Access Management"/>
    <s v="Gurugram"/>
    <s v="Phone"/>
    <s v="Resolved"/>
    <n v="8"/>
    <n v="3.63"/>
    <n v="4.3"/>
    <s v="No"/>
    <x v="0"/>
  </r>
  <r>
    <s v="INC103879"/>
    <d v="2025-02-02T00:00:00"/>
    <d v="2025-02-02T04:16:48"/>
    <x v="0"/>
    <x v="0"/>
    <s v="License"/>
    <s v="Application Support"/>
    <s v="Noida"/>
    <s v="Email"/>
    <s v="Pending"/>
    <n v="48"/>
    <n v="4.28"/>
    <n v="4.7"/>
    <s v="No"/>
    <x v="0"/>
  </r>
  <r>
    <s v="INC103880"/>
    <d v="2025-01-08T00:00:00"/>
    <d v="2025-01-08T18:19:48"/>
    <x v="1"/>
    <x v="3"/>
    <s v="Printer"/>
    <s v="Network Support"/>
    <s v="Gurugram"/>
    <s v="Chat"/>
    <s v="Closed"/>
    <n v="24"/>
    <n v="18.329999999999998"/>
    <n v="4.9000000000000004"/>
    <s v="No"/>
    <x v="0"/>
  </r>
  <r>
    <s v="INC103881"/>
    <d v="2025-06-06T00:00:00"/>
    <d v="2025-06-06T11:54:00"/>
    <x v="1"/>
    <x v="0"/>
    <s v="Installation"/>
    <s v="Desktop Support"/>
    <s v="Hyderabad"/>
    <s v="Portal"/>
    <s v="Closed"/>
    <n v="24"/>
    <n v="11.9"/>
    <n v="5"/>
    <s v="No"/>
    <x v="0"/>
  </r>
  <r>
    <s v="INC103882"/>
    <d v="2025-02-10T00:00:00"/>
    <d v="2025-02-10T05:02:24"/>
    <x v="3"/>
    <x v="2"/>
    <s v="Connectivity"/>
    <s v="Access Management"/>
    <s v="Delhi"/>
    <s v="Portal"/>
    <s v="Resolved"/>
    <n v="8"/>
    <n v="5.04"/>
    <n v="3.6"/>
    <s v="No"/>
    <x v="0"/>
  </r>
  <r>
    <s v="INC103883"/>
    <d v="2025-04-15T00:00:00"/>
    <d v="2025-04-15T17:40:48"/>
    <x v="1"/>
    <x v="3"/>
    <s v="Peripheral"/>
    <s v="Network Support"/>
    <s v="Hyderabad"/>
    <s v="Portal"/>
    <s v="Closed"/>
    <n v="24"/>
    <n v="17.68"/>
    <n v="4.4000000000000004"/>
    <s v="No"/>
    <x v="0"/>
  </r>
  <r>
    <s v="INC103884"/>
    <d v="2025-03-24T00:00:00"/>
    <d v="2025-03-24T05:34:11"/>
    <x v="3"/>
    <x v="0"/>
    <s v="Performance"/>
    <s v="Desktop Support"/>
    <s v="Delhi"/>
    <s v="Portal"/>
    <s v="Pending"/>
    <n v="8"/>
    <n v="5.57"/>
    <n v="3.1"/>
    <s v="No"/>
    <x v="0"/>
  </r>
  <r>
    <s v="INC103885"/>
    <d v="2025-01-30T00:00:00"/>
    <d v="2025-01-31T13:48:00"/>
    <x v="0"/>
    <x v="3"/>
    <s v="Laptop"/>
    <s v="Desktop Support"/>
    <s v="Hyderabad"/>
    <s v="Phone"/>
    <s v="Resolved"/>
    <n v="48"/>
    <n v="37.799999999999997"/>
    <n v="3"/>
    <s v="No"/>
    <x v="0"/>
  </r>
  <r>
    <s v="INC103886"/>
    <d v="2025-03-16T00:00:00"/>
    <d v="2025-03-16T00:41:24"/>
    <x v="3"/>
    <x v="2"/>
    <s v="Connectivity"/>
    <s v="Service Desk"/>
    <s v="Noida"/>
    <s v="Email"/>
    <s v="Resolved"/>
    <n v="8"/>
    <n v="0.69"/>
    <n v="4.3"/>
    <s v="No"/>
    <x v="0"/>
  </r>
  <r>
    <s v="INC103887"/>
    <d v="2025-01-16T00:00:00"/>
    <d v="2025-01-16T19:39:36"/>
    <x v="0"/>
    <x v="2"/>
    <s v="DNS"/>
    <s v="Service Desk"/>
    <s v="Hyderabad"/>
    <s v="Email"/>
    <s v="Resolved"/>
    <n v="48"/>
    <n v="19.66"/>
    <n v="4.5"/>
    <s v="No"/>
    <x v="0"/>
  </r>
  <r>
    <s v="INC103888"/>
    <d v="2025-02-01T00:00:00"/>
    <d v="2025-02-01T07:33:36"/>
    <x v="0"/>
    <x v="0"/>
    <s v="Application Error"/>
    <s v="Access Management"/>
    <s v="Bengaluru"/>
    <s v="Portal"/>
    <s v="Closed"/>
    <n v="48"/>
    <n v="7.56"/>
    <n v="4.4000000000000004"/>
    <s v="Yes"/>
    <x v="0"/>
  </r>
  <r>
    <s v="INC103889"/>
    <d v="2025-01-26T00:00:00"/>
    <d v="2025-01-26T00:30:00"/>
    <x v="2"/>
    <x v="2"/>
    <s v="Connectivity"/>
    <s v="Desktop Support"/>
    <s v="Noida"/>
    <s v="Phone"/>
    <s v="Resolved"/>
    <n v="4"/>
    <n v="0.5"/>
    <n v="5"/>
    <s v="No"/>
    <x v="0"/>
  </r>
  <r>
    <s v="INC103890"/>
    <d v="2025-05-30T00:00:00"/>
    <d v="2025-05-31T10:10:12"/>
    <x v="0"/>
    <x v="3"/>
    <s v="Printer"/>
    <s v="Access Management"/>
    <s v="Delhi"/>
    <s v="Portal"/>
    <s v="Resolved"/>
    <n v="48"/>
    <n v="34.17"/>
    <n v="4.0999999999999996"/>
    <s v="No"/>
    <x v="0"/>
  </r>
  <r>
    <s v="INC103891"/>
    <d v="2025-04-13T00:00:00"/>
    <d v="2025-04-16T16:48:00"/>
    <x v="0"/>
    <x v="3"/>
    <s v="Peripheral"/>
    <s v="Desktop Support"/>
    <s v="Noida"/>
    <s v="Email"/>
    <s v="Closed"/>
    <n v="48"/>
    <n v="88.8"/>
    <n v="3.5"/>
    <s v="No"/>
    <x v="1"/>
  </r>
  <r>
    <s v="INC103892"/>
    <d v="2025-06-17T00:00:00"/>
    <d v="2025-06-17T00:45:00"/>
    <x v="1"/>
    <x v="3"/>
    <s v="Monitor"/>
    <s v="Access Management"/>
    <s v="Bengaluru"/>
    <s v="Portal"/>
    <s v="Closed"/>
    <n v="24"/>
    <n v="0.75"/>
    <n v="5"/>
    <s v="No"/>
    <x v="0"/>
  </r>
  <r>
    <s v="INC103893"/>
    <d v="2025-03-20T00:00:00"/>
    <d v="2025-03-20T18:25:12"/>
    <x v="1"/>
    <x v="0"/>
    <s v="Performance"/>
    <s v="Application Support"/>
    <s v="Hyderabad"/>
    <s v="Email"/>
    <s v="Resolved"/>
    <n v="24"/>
    <n v="18.420000000000002"/>
    <n v="3.4"/>
    <s v="No"/>
    <x v="0"/>
  </r>
  <r>
    <s v="INC103894"/>
    <d v="2025-02-06T00:00:00"/>
    <d v="2025-02-06T17:52:48"/>
    <x v="0"/>
    <x v="3"/>
    <s v="Printer"/>
    <s v="Access Management"/>
    <s v="Gurugram"/>
    <s v="Portal"/>
    <s v="Pending"/>
    <n v="48"/>
    <n v="17.88"/>
    <n v="5"/>
    <s v="No"/>
    <x v="0"/>
  </r>
  <r>
    <s v="INC103895"/>
    <d v="2025-04-21T00:00:00"/>
    <d v="2025-04-21T10:55:48"/>
    <x v="1"/>
    <x v="1"/>
    <s v="Permission"/>
    <s v="Service Desk"/>
    <s v="Delhi"/>
    <s v="Email"/>
    <s v="Resolved"/>
    <n v="24"/>
    <n v="10.93"/>
    <n v="3.9"/>
    <s v="No"/>
    <x v="0"/>
  </r>
  <r>
    <s v="INC103896"/>
    <d v="2025-06-18T00:00:00"/>
    <d v="2025-06-18T05:59:24"/>
    <x v="3"/>
    <x v="0"/>
    <s v="Performance"/>
    <s v="Service Desk"/>
    <s v="Gurugram"/>
    <s v="Email"/>
    <s v="Resolved"/>
    <n v="8"/>
    <n v="5.99"/>
    <n v="4.4000000000000004"/>
    <s v="No"/>
    <x v="0"/>
  </r>
  <r>
    <s v="INC103897"/>
    <d v="2025-04-07T00:00:00"/>
    <d v="2025-04-07T05:22:12"/>
    <x v="3"/>
    <x v="1"/>
    <s v="Password Reset"/>
    <s v="Network Support"/>
    <s v="Gurugram"/>
    <s v="Chat"/>
    <s v="Closed"/>
    <n v="8"/>
    <n v="5.37"/>
    <n v="3.9"/>
    <s v="No"/>
    <x v="0"/>
  </r>
  <r>
    <s v="INC103898"/>
    <d v="2025-01-04T00:00:00"/>
    <d v="2025-01-04T19:13:12"/>
    <x v="0"/>
    <x v="0"/>
    <s v="Performance"/>
    <s v="Service Desk"/>
    <s v="Hyderabad"/>
    <s v="Chat"/>
    <s v="Closed"/>
    <n v="48"/>
    <n v="19.22"/>
    <n v="5"/>
    <s v="No"/>
    <x v="0"/>
  </r>
  <r>
    <s v="INC103899"/>
    <d v="2025-02-24T00:00:00"/>
    <d v="2025-02-24T07:28:48"/>
    <x v="1"/>
    <x v="2"/>
    <s v="Connectivity"/>
    <s v="Network Support"/>
    <s v="Delhi"/>
    <s v="Portal"/>
    <s v="Closed"/>
    <n v="24"/>
    <n v="7.48"/>
    <n v="5"/>
    <s v="No"/>
    <x v="0"/>
  </r>
  <r>
    <s v="INC103900"/>
    <d v="2025-06-17T00:00:00"/>
    <d v="2025-06-17T05:25:12"/>
    <x v="3"/>
    <x v="4"/>
    <s v="Delivery"/>
    <s v="Network Support"/>
    <s v="Hyderabad"/>
    <s v="Portal"/>
    <s v="Closed"/>
    <n v="8"/>
    <n v="5.42"/>
    <n v="3.7"/>
    <s v="No"/>
    <x v="0"/>
  </r>
  <r>
    <s v="INC103901"/>
    <d v="2025-04-04T00:00:00"/>
    <d v="2025-04-04T02:12:36"/>
    <x v="0"/>
    <x v="1"/>
    <s v="VPN Access"/>
    <s v="Service Desk"/>
    <s v="Delhi"/>
    <s v="Portal"/>
    <s v="Closed"/>
    <n v="48"/>
    <n v="2.21"/>
    <n v="4.7"/>
    <s v="No"/>
    <x v="0"/>
  </r>
  <r>
    <s v="INC103902"/>
    <d v="2025-06-22T00:00:00"/>
    <d v="2025-06-23T11:41:24"/>
    <x v="0"/>
    <x v="0"/>
    <s v="License"/>
    <s v="Access Management"/>
    <s v="Mumbai"/>
    <s v="Portal"/>
    <s v="Closed"/>
    <n v="48"/>
    <n v="35.69"/>
    <n v="5"/>
    <s v="No"/>
    <x v="0"/>
  </r>
  <r>
    <s v="INC103903"/>
    <d v="2025-04-03T00:00:00"/>
    <d v="2025-04-03T17:57:00"/>
    <x v="0"/>
    <x v="2"/>
    <s v="Connectivity"/>
    <s v="Service Desk"/>
    <s v="Noida"/>
    <s v="Portal"/>
    <s v="Pending"/>
    <n v="48"/>
    <n v="17.95"/>
    <n v="3.7"/>
    <s v="No"/>
    <x v="0"/>
  </r>
  <r>
    <s v="INC103904"/>
    <d v="2025-01-03T00:00:00"/>
    <d v="2025-01-04T06:33:36"/>
    <x v="1"/>
    <x v="2"/>
    <s v="DNS"/>
    <s v="Access Management"/>
    <s v="Delhi"/>
    <s v="Phone"/>
    <s v="Pending"/>
    <n v="24"/>
    <n v="30.56"/>
    <n v="3"/>
    <s v="No"/>
    <x v="1"/>
  </r>
  <r>
    <s v="INC103905"/>
    <d v="2025-06-08T00:00:00"/>
    <d v="2025-06-08T23:25:48"/>
    <x v="0"/>
    <x v="0"/>
    <s v="Installation"/>
    <s v="Access Management"/>
    <s v="Bengaluru"/>
    <s v="Chat"/>
    <s v="Resolved"/>
    <n v="48"/>
    <n v="23.43"/>
    <n v="4"/>
    <s v="No"/>
    <x v="0"/>
  </r>
  <r>
    <s v="INC103906"/>
    <d v="2025-05-19T00:00:00"/>
    <d v="2025-05-19T09:49:48"/>
    <x v="3"/>
    <x v="3"/>
    <s v="Laptop"/>
    <s v="Access Management"/>
    <s v="Mumbai"/>
    <s v="Portal"/>
    <s v="Closed"/>
    <n v="8"/>
    <n v="9.83"/>
    <n v="2.8"/>
    <s v="No"/>
    <x v="1"/>
  </r>
  <r>
    <s v="INC103907"/>
    <d v="2025-05-10T00:00:00"/>
    <d v="2025-05-10T00:48:36"/>
    <x v="2"/>
    <x v="0"/>
    <s v="Performance"/>
    <s v="Desktop Support"/>
    <s v="Hyderabad"/>
    <s v="Phone"/>
    <s v="Resolved"/>
    <n v="4"/>
    <n v="0.81"/>
    <n v="4.0999999999999996"/>
    <s v="No"/>
    <x v="0"/>
  </r>
  <r>
    <s v="INC103908"/>
    <d v="2025-06-25T00:00:00"/>
    <d v="2025-06-25T08:56:24"/>
    <x v="0"/>
    <x v="3"/>
    <s v="Printer"/>
    <s v="Access Management"/>
    <s v="Gurugram"/>
    <s v="Phone"/>
    <s v="Closed"/>
    <n v="48"/>
    <n v="8.94"/>
    <n v="4.7"/>
    <s v="No"/>
    <x v="0"/>
  </r>
  <r>
    <s v="INC103909"/>
    <d v="2025-02-05T00:00:00"/>
    <d v="2025-02-05T06:07:12"/>
    <x v="1"/>
    <x v="0"/>
    <s v="Installation"/>
    <s v="Desktop Support"/>
    <s v="Bengaluru"/>
    <s v="Portal"/>
    <s v="Resolved"/>
    <n v="24"/>
    <n v="6.12"/>
    <n v="5"/>
    <s v="No"/>
    <x v="0"/>
  </r>
  <r>
    <s v="INC103910"/>
    <d v="2025-06-13T00:00:00"/>
    <d v="2025-06-15T20:46:12"/>
    <x v="0"/>
    <x v="2"/>
    <s v="Packet Loss"/>
    <s v="Application Support"/>
    <s v="Bengaluru"/>
    <s v="Phone"/>
    <s v="Resolved"/>
    <n v="48"/>
    <n v="68.77"/>
    <n v="2.2000000000000002"/>
    <s v="Yes"/>
    <x v="1"/>
  </r>
  <r>
    <s v="INC103911"/>
    <d v="2025-02-12T00:00:00"/>
    <d v="2025-02-12T22:40:12"/>
    <x v="0"/>
    <x v="2"/>
    <s v="Packet Loss"/>
    <s v="Access Management"/>
    <s v="Noida"/>
    <s v="Chat"/>
    <s v="In Progress"/>
    <n v="48"/>
    <n v="22.67"/>
    <n v="4.0999999999999996"/>
    <s v="No"/>
    <x v="0"/>
  </r>
  <r>
    <s v="INC103912"/>
    <d v="2025-06-25T00:00:00"/>
    <d v="2025-06-25T02:24:00"/>
    <x v="3"/>
    <x v="2"/>
    <s v="Connectivity"/>
    <s v="Network Support"/>
    <s v="Hyderabad"/>
    <s v="Chat"/>
    <s v="Closed"/>
    <n v="8"/>
    <n v="2.4"/>
    <n v="4.0999999999999996"/>
    <s v="No"/>
    <x v="0"/>
  </r>
  <r>
    <s v="INC103913"/>
    <d v="2025-02-04T00:00:00"/>
    <d v="2025-02-04T16:01:48"/>
    <x v="1"/>
    <x v="1"/>
    <s v="Permission"/>
    <s v="Network Support"/>
    <s v="Noida"/>
    <s v="Phone"/>
    <s v="Resolved"/>
    <n v="24"/>
    <n v="16.03"/>
    <n v="3.4"/>
    <s v="No"/>
    <x v="0"/>
  </r>
  <r>
    <s v="INC103914"/>
    <d v="2025-04-10T00:00:00"/>
    <d v="2025-04-10T02:09:00"/>
    <x v="3"/>
    <x v="0"/>
    <s v="Installation"/>
    <s v="Network Support"/>
    <s v="Noida"/>
    <s v="Portal"/>
    <s v="Resolved"/>
    <n v="8"/>
    <n v="2.15"/>
    <n v="5"/>
    <s v="No"/>
    <x v="0"/>
  </r>
  <r>
    <s v="INC103915"/>
    <d v="2025-05-23T00:00:00"/>
    <d v="2025-05-23T15:53:24"/>
    <x v="1"/>
    <x v="4"/>
    <s v="Mailbox"/>
    <s v="Application Support"/>
    <s v="Bengaluru"/>
    <s v="Portal"/>
    <s v="Resolved"/>
    <n v="24"/>
    <n v="15.89"/>
    <n v="3.7"/>
    <s v="No"/>
    <x v="0"/>
  </r>
  <r>
    <s v="INC103916"/>
    <d v="2025-01-15T00:00:00"/>
    <d v="2025-01-15T22:33:00"/>
    <x v="0"/>
    <x v="1"/>
    <s v="Account Lock"/>
    <s v="Desktop Support"/>
    <s v="Hyderabad"/>
    <s v="Chat"/>
    <s v="Closed"/>
    <n v="48"/>
    <n v="22.55"/>
    <n v="3.5"/>
    <s v="No"/>
    <x v="0"/>
  </r>
  <r>
    <s v="INC103917"/>
    <d v="2025-01-13T00:00:00"/>
    <d v="2025-01-13T06:58:48"/>
    <x v="1"/>
    <x v="1"/>
    <s v="VPN Access"/>
    <s v="Service Desk"/>
    <s v="Hyderabad"/>
    <s v="Portal"/>
    <s v="Resolved"/>
    <n v="24"/>
    <n v="6.98"/>
    <n v="5"/>
    <s v="No"/>
    <x v="0"/>
  </r>
  <r>
    <s v="INC103918"/>
    <d v="2025-06-03T00:00:00"/>
    <d v="2025-06-03T23:36:00"/>
    <x v="0"/>
    <x v="0"/>
    <s v="Performance"/>
    <s v="Application Support"/>
    <s v="Mumbai"/>
    <s v="Portal"/>
    <s v="Closed"/>
    <n v="48"/>
    <n v="23.6"/>
    <n v="5"/>
    <s v="No"/>
    <x v="0"/>
  </r>
  <r>
    <s v="INC103919"/>
    <d v="2025-01-11T00:00:00"/>
    <d v="2025-01-11T03:56:24"/>
    <x v="3"/>
    <x v="1"/>
    <s v="Account Lock"/>
    <s v="Network Support"/>
    <s v="Delhi"/>
    <s v="Portal"/>
    <s v="Closed"/>
    <n v="8"/>
    <n v="3.94"/>
    <n v="4.5999999999999996"/>
    <s v="Yes"/>
    <x v="0"/>
  </r>
  <r>
    <s v="INC103920"/>
    <d v="2025-04-22T00:00:00"/>
    <d v="2025-04-22T21:52:48"/>
    <x v="1"/>
    <x v="4"/>
    <s v="Spam"/>
    <s v="Network Support"/>
    <s v="Gurugram"/>
    <s v="Email"/>
    <s v="Resolved"/>
    <n v="24"/>
    <n v="21.88"/>
    <n v="3.3"/>
    <s v="No"/>
    <x v="0"/>
  </r>
  <r>
    <s v="INC103921"/>
    <d v="2025-06-19T00:00:00"/>
    <d v="2025-06-19T03:36:00"/>
    <x v="1"/>
    <x v="1"/>
    <s v="VPN Access"/>
    <s v="Desktop Support"/>
    <s v="Delhi"/>
    <s v="Portal"/>
    <s v="Resolved"/>
    <n v="24"/>
    <n v="3.6"/>
    <n v="4.5999999999999996"/>
    <s v="Yes"/>
    <x v="0"/>
  </r>
  <r>
    <s v="INC103922"/>
    <d v="2025-04-22T00:00:00"/>
    <d v="2025-04-22T08:01:12"/>
    <x v="1"/>
    <x v="2"/>
    <s v="Packet Loss"/>
    <s v="Access Management"/>
    <s v="Delhi"/>
    <s v="Phone"/>
    <s v="Closed"/>
    <n v="24"/>
    <n v="8.02"/>
    <n v="4.2"/>
    <s v="Yes"/>
    <x v="0"/>
  </r>
  <r>
    <s v="INC103923"/>
    <d v="2025-03-29T00:00:00"/>
    <d v="2025-03-29T14:04:12"/>
    <x v="1"/>
    <x v="0"/>
    <s v="License"/>
    <s v="Application Support"/>
    <s v="Mumbai"/>
    <s v="Email"/>
    <s v="Closed"/>
    <n v="24"/>
    <n v="14.07"/>
    <n v="4.3"/>
    <s v="No"/>
    <x v="0"/>
  </r>
  <r>
    <s v="INC103924"/>
    <d v="2025-03-17T00:00:00"/>
    <d v="2025-03-17T01:55:48"/>
    <x v="3"/>
    <x v="2"/>
    <s v="Packet Loss"/>
    <s v="Application Support"/>
    <s v="Mumbai"/>
    <s v="Portal"/>
    <s v="Resolved"/>
    <n v="8"/>
    <n v="1.93"/>
    <n v="5"/>
    <s v="No"/>
    <x v="0"/>
  </r>
  <r>
    <s v="INC103925"/>
    <d v="2025-04-26T00:00:00"/>
    <d v="2025-04-26T20:23:24"/>
    <x v="0"/>
    <x v="2"/>
    <s v="DNS"/>
    <s v="Application Support"/>
    <s v="Delhi"/>
    <s v="Portal"/>
    <s v="Resolved"/>
    <n v="48"/>
    <n v="20.39"/>
    <n v="4.5"/>
    <s v="No"/>
    <x v="0"/>
  </r>
  <r>
    <s v="INC103926"/>
    <d v="2025-04-14T00:00:00"/>
    <d v="2025-04-14T13:43:12"/>
    <x v="0"/>
    <x v="0"/>
    <s v="Performance"/>
    <s v="Service Desk"/>
    <s v="Noida"/>
    <s v="Email"/>
    <s v="Closed"/>
    <n v="48"/>
    <n v="13.72"/>
    <n v="4.7"/>
    <s v="No"/>
    <x v="0"/>
  </r>
  <r>
    <s v="INC103927"/>
    <d v="2025-04-01T00:00:00"/>
    <d v="2025-04-01T17:19:12"/>
    <x v="0"/>
    <x v="1"/>
    <s v="Account Lock"/>
    <s v="Desktop Support"/>
    <s v="Gurugram"/>
    <s v="Phone"/>
    <s v="Resolved"/>
    <n v="48"/>
    <n v="17.32"/>
    <n v="4.2"/>
    <s v="No"/>
    <x v="0"/>
  </r>
  <r>
    <s v="INC103928"/>
    <d v="2025-01-28T00:00:00"/>
    <d v="2025-01-28T04:30:36"/>
    <x v="1"/>
    <x v="2"/>
    <s v="Link Down"/>
    <s v="Access Management"/>
    <s v="Delhi"/>
    <s v="Chat"/>
    <s v="Resolved"/>
    <n v="24"/>
    <n v="4.51"/>
    <n v="5"/>
    <s v="No"/>
    <x v="0"/>
  </r>
  <r>
    <s v="INC103929"/>
    <d v="2025-04-30T00:00:00"/>
    <d v="2025-05-01T20:30:00"/>
    <x v="1"/>
    <x v="2"/>
    <s v="Connectivity"/>
    <s v="Application Support"/>
    <s v="Noida"/>
    <s v="Phone"/>
    <s v="Resolved"/>
    <n v="24"/>
    <n v="44.5"/>
    <n v="3"/>
    <s v="No"/>
    <x v="1"/>
  </r>
  <r>
    <s v="INC103930"/>
    <d v="2025-05-14T00:00:00"/>
    <d v="2025-05-14T02:22:12"/>
    <x v="0"/>
    <x v="4"/>
    <s v="Configuration"/>
    <s v="Desktop Support"/>
    <s v="Delhi"/>
    <s v="Portal"/>
    <s v="Resolved"/>
    <n v="48"/>
    <n v="2.37"/>
    <n v="3.7"/>
    <s v="No"/>
    <x v="0"/>
  </r>
  <r>
    <s v="INC103931"/>
    <d v="2025-05-09T00:00:00"/>
    <d v="2025-05-09T06:49:12"/>
    <x v="1"/>
    <x v="2"/>
    <s v="DNS"/>
    <s v="Network Support"/>
    <s v="Mumbai"/>
    <s v="Phone"/>
    <s v="Closed"/>
    <n v="24"/>
    <n v="6.82"/>
    <n v="3.5"/>
    <s v="No"/>
    <x v="0"/>
  </r>
  <r>
    <s v="INC103932"/>
    <d v="2025-01-14T00:00:00"/>
    <d v="2025-01-14T11:39:00"/>
    <x v="1"/>
    <x v="2"/>
    <s v="Packet Loss"/>
    <s v="Application Support"/>
    <s v="Hyderabad"/>
    <s v="Email"/>
    <s v="Pending"/>
    <n v="24"/>
    <n v="11.65"/>
    <n v="4.2"/>
    <s v="No"/>
    <x v="0"/>
  </r>
  <r>
    <s v="INC103933"/>
    <d v="2025-05-08T00:00:00"/>
    <d v="2025-05-08T23:07:12"/>
    <x v="0"/>
    <x v="1"/>
    <s v="Account Lock"/>
    <s v="Service Desk"/>
    <s v="Noida"/>
    <s v="Email"/>
    <s v="Closed"/>
    <n v="48"/>
    <n v="23.12"/>
    <n v="5"/>
    <s v="Yes"/>
    <x v="0"/>
  </r>
  <r>
    <s v="INC103934"/>
    <d v="2025-05-13T00:00:00"/>
    <d v="2025-05-13T09:04:48"/>
    <x v="3"/>
    <x v="1"/>
    <s v="Password Reset"/>
    <s v="Service Desk"/>
    <s v="Gurugram"/>
    <s v="Email"/>
    <s v="Resolved"/>
    <n v="8"/>
    <n v="9.08"/>
    <n v="4.4000000000000004"/>
    <s v="No"/>
    <x v="1"/>
  </r>
  <r>
    <s v="INC103935"/>
    <d v="2025-02-03T00:00:00"/>
    <d v="2025-02-03T03:33:36"/>
    <x v="1"/>
    <x v="0"/>
    <s v="Performance"/>
    <s v="Application Support"/>
    <s v="Noida"/>
    <s v="Portal"/>
    <s v="Resolved"/>
    <n v="24"/>
    <n v="3.56"/>
    <n v="5"/>
    <s v="No"/>
    <x v="0"/>
  </r>
  <r>
    <s v="INC103936"/>
    <d v="2025-06-03T00:00:00"/>
    <d v="2025-06-03T02:13:48"/>
    <x v="1"/>
    <x v="0"/>
    <s v="Application Error"/>
    <s v="Service Desk"/>
    <s v="Hyderabad"/>
    <s v="Email"/>
    <s v="Resolved"/>
    <n v="24"/>
    <n v="2.23"/>
    <n v="4.8"/>
    <s v="No"/>
    <x v="0"/>
  </r>
  <r>
    <s v="INC103937"/>
    <d v="2025-04-05T00:00:00"/>
    <d v="2025-04-05T07:42:00"/>
    <x v="1"/>
    <x v="3"/>
    <s v="Printer"/>
    <s v="Desktop Support"/>
    <s v="Delhi"/>
    <s v="Email"/>
    <s v="Closed"/>
    <n v="24"/>
    <n v="7.7"/>
    <n v="5"/>
    <s v="No"/>
    <x v="0"/>
  </r>
  <r>
    <s v="INC103938"/>
    <d v="2025-03-27T00:00:00"/>
    <d v="2025-03-27T11:39:36"/>
    <x v="1"/>
    <x v="2"/>
    <s v="Link Down"/>
    <s v="Network Support"/>
    <s v="Mumbai"/>
    <s v="Portal"/>
    <s v="Resolved"/>
    <n v="24"/>
    <n v="11.66"/>
    <n v="3.9"/>
    <s v="No"/>
    <x v="0"/>
  </r>
  <r>
    <s v="INC103939"/>
    <d v="2025-05-11T00:00:00"/>
    <d v="2025-05-11T03:03:36"/>
    <x v="3"/>
    <x v="1"/>
    <s v="VPN Access"/>
    <s v="Network Support"/>
    <s v="Delhi"/>
    <s v="Phone"/>
    <s v="Pending"/>
    <n v="8"/>
    <n v="3.06"/>
    <n v="4.3"/>
    <s v="No"/>
    <x v="0"/>
  </r>
  <r>
    <s v="INC103940"/>
    <d v="2025-04-03T00:00:00"/>
    <d v="2025-04-03T23:15:36"/>
    <x v="1"/>
    <x v="1"/>
    <s v="VPN Access"/>
    <s v="Desktop Support"/>
    <s v="Gurugram"/>
    <s v="Portal"/>
    <s v="Resolved"/>
    <n v="24"/>
    <n v="23.26"/>
    <n v="2.9"/>
    <s v="No"/>
    <x v="0"/>
  </r>
  <r>
    <s v="INC103941"/>
    <d v="2025-04-09T00:00:00"/>
    <d v="2025-04-09T04:03:00"/>
    <x v="1"/>
    <x v="3"/>
    <s v="Laptop"/>
    <s v="Access Management"/>
    <s v="Noida"/>
    <s v="Email"/>
    <s v="Resolved"/>
    <n v="24"/>
    <n v="4.05"/>
    <n v="4.5999999999999996"/>
    <s v="No"/>
    <x v="0"/>
  </r>
  <r>
    <s v="INC103942"/>
    <d v="2025-02-26T00:00:00"/>
    <d v="2025-02-26T02:21:00"/>
    <x v="3"/>
    <x v="2"/>
    <s v="Link Down"/>
    <s v="Application Support"/>
    <s v="Noida"/>
    <s v="Phone"/>
    <s v="Resolved"/>
    <n v="8"/>
    <n v="2.35"/>
    <n v="4.0999999999999996"/>
    <s v="No"/>
    <x v="0"/>
  </r>
  <r>
    <s v="INC103943"/>
    <d v="2025-06-17T00:00:00"/>
    <d v="2025-06-17T05:53:24"/>
    <x v="3"/>
    <x v="2"/>
    <s v="DNS"/>
    <s v="Desktop Support"/>
    <s v="Gurugram"/>
    <s v="Portal"/>
    <s v="Resolved"/>
    <n v="8"/>
    <n v="5.89"/>
    <n v="5"/>
    <s v="No"/>
    <x v="0"/>
  </r>
  <r>
    <s v="INC103944"/>
    <d v="2025-06-25T00:00:00"/>
    <d v="2025-06-25T03:56:24"/>
    <x v="3"/>
    <x v="2"/>
    <s v="Connectivity"/>
    <s v="Access Management"/>
    <s v="Mumbai"/>
    <s v="Portal"/>
    <s v="Resolved"/>
    <n v="8"/>
    <n v="3.94"/>
    <n v="5"/>
    <s v="No"/>
    <x v="0"/>
  </r>
  <r>
    <s v="INC103945"/>
    <d v="2025-01-24T00:00:00"/>
    <d v="2025-01-26T07:16:12"/>
    <x v="0"/>
    <x v="3"/>
    <s v="Printer"/>
    <s v="Service Desk"/>
    <s v="Mumbai"/>
    <s v="Email"/>
    <s v="Resolved"/>
    <n v="48"/>
    <n v="55.27"/>
    <n v="3.7"/>
    <s v="No"/>
    <x v="1"/>
  </r>
  <r>
    <s v="INC103946"/>
    <d v="2025-05-13T00:00:00"/>
    <d v="2025-05-13T23:41:24"/>
    <x v="0"/>
    <x v="2"/>
    <s v="Connectivity"/>
    <s v="Access Management"/>
    <s v="Noida"/>
    <s v="Portal"/>
    <s v="Resolved"/>
    <n v="48"/>
    <n v="23.69"/>
    <n v="4.7"/>
    <s v="No"/>
    <x v="0"/>
  </r>
  <r>
    <s v="INC103947"/>
    <d v="2025-01-05T00:00:00"/>
    <d v="2025-01-05T03:30:36"/>
    <x v="1"/>
    <x v="1"/>
    <s v="Account Lock"/>
    <s v="Desktop Support"/>
    <s v="Noida"/>
    <s v="Portal"/>
    <s v="Resolved"/>
    <n v="24"/>
    <n v="3.51"/>
    <n v="4.4000000000000004"/>
    <s v="No"/>
    <x v="0"/>
  </r>
  <r>
    <s v="INC103948"/>
    <d v="2025-03-08T00:00:00"/>
    <d v="2025-03-09T01:16:48"/>
    <x v="1"/>
    <x v="2"/>
    <s v="Connectivity"/>
    <s v="Network Support"/>
    <s v="Delhi"/>
    <s v="Phone"/>
    <s v="Resolved"/>
    <n v="24"/>
    <n v="25.28"/>
    <n v="2.1"/>
    <s v="No"/>
    <x v="1"/>
  </r>
  <r>
    <s v="INC103949"/>
    <d v="2025-06-25T00:00:00"/>
    <d v="2025-06-25T23:18:36"/>
    <x v="1"/>
    <x v="0"/>
    <s v="Application Error"/>
    <s v="Network Support"/>
    <s v="Bengaluru"/>
    <s v="Portal"/>
    <s v="Closed"/>
    <n v="24"/>
    <n v="23.31"/>
    <n v="3.3"/>
    <s v="No"/>
    <x v="0"/>
  </r>
  <r>
    <s v="INC103950"/>
    <d v="2025-02-01T00:00:00"/>
    <d v="2025-02-01T05:17:23"/>
    <x v="3"/>
    <x v="0"/>
    <s v="Installation"/>
    <s v="Access Management"/>
    <s v="Gurugram"/>
    <s v="Email"/>
    <s v="In Progress"/>
    <n v="8"/>
    <n v="5.29"/>
    <n v="4.7"/>
    <s v="No"/>
    <x v="0"/>
  </r>
  <r>
    <s v="INC103951"/>
    <d v="2025-03-10T00:00:00"/>
    <d v="2025-03-14T03:52:12"/>
    <x v="0"/>
    <x v="1"/>
    <s v="Password Reset"/>
    <s v="Application Support"/>
    <s v="Gurugram"/>
    <s v="Portal"/>
    <s v="Resolved"/>
    <n v="48"/>
    <n v="99.87"/>
    <n v="2.8"/>
    <s v="No"/>
    <x v="1"/>
  </r>
  <r>
    <s v="INC103952"/>
    <d v="2025-02-09T00:00:00"/>
    <d v="2025-02-10T00:34:11"/>
    <x v="0"/>
    <x v="4"/>
    <s v="Configuration"/>
    <s v="Network Support"/>
    <s v="Hyderabad"/>
    <s v="Portal"/>
    <s v="Resolved"/>
    <n v="48"/>
    <n v="24.57"/>
    <n v="4.0999999999999996"/>
    <s v="No"/>
    <x v="0"/>
  </r>
  <r>
    <s v="INC103953"/>
    <d v="2025-05-12T00:00:00"/>
    <d v="2025-05-12T13:01:48"/>
    <x v="1"/>
    <x v="3"/>
    <s v="Printer"/>
    <s v="Access Management"/>
    <s v="Bengaluru"/>
    <s v="Portal"/>
    <s v="Closed"/>
    <n v="24"/>
    <n v="13.03"/>
    <n v="4.8"/>
    <s v="No"/>
    <x v="0"/>
  </r>
  <r>
    <s v="INC103954"/>
    <d v="2025-03-25T00:00:00"/>
    <d v="2025-03-26T21:46:48"/>
    <x v="0"/>
    <x v="2"/>
    <s v="Link Down"/>
    <s v="Network Support"/>
    <s v="Mumbai"/>
    <s v="Chat"/>
    <s v="Pending"/>
    <n v="48"/>
    <n v="45.78"/>
    <n v="3.5"/>
    <s v="No"/>
    <x v="0"/>
  </r>
  <r>
    <s v="INC103955"/>
    <d v="2025-04-18T00:00:00"/>
    <d v="2025-04-18T14:35:24"/>
    <x v="1"/>
    <x v="1"/>
    <s v="Account Lock"/>
    <s v="Service Desk"/>
    <s v="Gurugram"/>
    <s v="Email"/>
    <s v="Closed"/>
    <n v="24"/>
    <n v="14.59"/>
    <n v="3.5"/>
    <s v="No"/>
    <x v="0"/>
  </r>
  <r>
    <s v="INC103956"/>
    <d v="2025-06-20T00:00:00"/>
    <d v="2025-06-20T04:18:36"/>
    <x v="3"/>
    <x v="2"/>
    <s v="DNS"/>
    <s v="Application Support"/>
    <s v="Bengaluru"/>
    <s v="Portal"/>
    <s v="Resolved"/>
    <n v="8"/>
    <n v="4.3099999999999996"/>
    <n v="4.8"/>
    <s v="No"/>
    <x v="0"/>
  </r>
  <r>
    <s v="INC103957"/>
    <d v="2025-04-05T00:00:00"/>
    <d v="2025-04-05T02:10:12"/>
    <x v="1"/>
    <x v="2"/>
    <s v="DNS"/>
    <s v="Network Support"/>
    <s v="Delhi"/>
    <s v="Portal"/>
    <s v="In Progress"/>
    <n v="24"/>
    <n v="2.17"/>
    <n v="4.5"/>
    <s v="Yes"/>
    <x v="0"/>
  </r>
  <r>
    <s v="INC103958"/>
    <d v="2025-05-13T00:00:00"/>
    <d v="2025-05-13T01:01:48"/>
    <x v="3"/>
    <x v="2"/>
    <s v="Connectivity"/>
    <s v="Access Management"/>
    <s v="Gurugram"/>
    <s v="Email"/>
    <s v="Closed"/>
    <n v="8"/>
    <n v="1.03"/>
    <n v="5"/>
    <s v="No"/>
    <x v="0"/>
  </r>
  <r>
    <s v="INC103959"/>
    <d v="2025-01-18T00:00:00"/>
    <d v="2025-01-18T03:05:24"/>
    <x v="1"/>
    <x v="4"/>
    <s v="Delivery"/>
    <s v="Application Support"/>
    <s v="Mumbai"/>
    <s v="Email"/>
    <s v="Resolved"/>
    <n v="24"/>
    <n v="3.09"/>
    <n v="3.5"/>
    <s v="No"/>
    <x v="0"/>
  </r>
  <r>
    <s v="INC103960"/>
    <d v="2025-02-08T00:00:00"/>
    <d v="2025-02-08T08:48:36"/>
    <x v="1"/>
    <x v="2"/>
    <s v="Link Down"/>
    <s v="Access Management"/>
    <s v="Noida"/>
    <s v="Portal"/>
    <s v="Resolved"/>
    <n v="24"/>
    <n v="8.81"/>
    <n v="4.2"/>
    <s v="No"/>
    <x v="0"/>
  </r>
  <r>
    <s v="INC103961"/>
    <d v="2025-06-21T00:00:00"/>
    <d v="2025-06-23T09:08:24"/>
    <x v="0"/>
    <x v="0"/>
    <s v="License"/>
    <s v="Access Management"/>
    <s v="Bengaluru"/>
    <s v="Portal"/>
    <s v="Pending"/>
    <n v="48"/>
    <n v="57.14"/>
    <n v="4"/>
    <s v="No"/>
    <x v="1"/>
  </r>
  <r>
    <s v="INC103962"/>
    <d v="2025-06-05T00:00:00"/>
    <d v="2025-06-05T12:55:48"/>
    <x v="3"/>
    <x v="3"/>
    <s v="Peripheral"/>
    <s v="Access Management"/>
    <s v="Mumbai"/>
    <s v="Email"/>
    <s v="In Progress"/>
    <n v="8"/>
    <n v="12.93"/>
    <n v="3.4"/>
    <s v="No"/>
    <x v="1"/>
  </r>
  <r>
    <s v="INC103963"/>
    <d v="2025-04-29T00:00:00"/>
    <d v="2025-04-30T07:13:48"/>
    <x v="1"/>
    <x v="0"/>
    <s v="Performance"/>
    <s v="Service Desk"/>
    <s v="Hyderabad"/>
    <s v="Email"/>
    <s v="Resolved"/>
    <n v="24"/>
    <n v="31.23"/>
    <n v="3.3"/>
    <s v="Yes"/>
    <x v="1"/>
  </r>
  <r>
    <s v="INC103964"/>
    <d v="2025-03-10T00:00:00"/>
    <d v="2025-03-12T16:21:36"/>
    <x v="0"/>
    <x v="3"/>
    <s v="Printer"/>
    <s v="Service Desk"/>
    <s v="Delhi"/>
    <s v="Phone"/>
    <s v="Closed"/>
    <n v="48"/>
    <n v="64.36"/>
    <n v="3.6"/>
    <s v="No"/>
    <x v="1"/>
  </r>
  <r>
    <s v="INC103965"/>
    <d v="2025-02-06T00:00:00"/>
    <d v="2025-02-06T05:13:12"/>
    <x v="1"/>
    <x v="1"/>
    <s v="Password Reset"/>
    <s v="Service Desk"/>
    <s v="Bengaluru"/>
    <s v="Email"/>
    <s v="Resolved"/>
    <n v="24"/>
    <n v="5.22"/>
    <n v="4.8"/>
    <s v="No"/>
    <x v="0"/>
  </r>
  <r>
    <s v="INC103966"/>
    <d v="2025-06-04T00:00:00"/>
    <d v="2025-06-04T03:56:24"/>
    <x v="3"/>
    <x v="1"/>
    <s v="VPN Access"/>
    <s v="Network Support"/>
    <s v="Hyderabad"/>
    <s v="Email"/>
    <s v="Closed"/>
    <n v="8"/>
    <n v="3.94"/>
    <n v="3.4"/>
    <s v="No"/>
    <x v="0"/>
  </r>
  <r>
    <s v="INC103967"/>
    <d v="2025-05-23T00:00:00"/>
    <d v="2025-05-23T09:10:12"/>
    <x v="0"/>
    <x v="3"/>
    <s v="Printer"/>
    <s v="Application Support"/>
    <s v="Gurugram"/>
    <s v="Email"/>
    <s v="Resolved"/>
    <n v="48"/>
    <n v="9.17"/>
    <n v="4.5"/>
    <s v="No"/>
    <x v="0"/>
  </r>
  <r>
    <s v="INC103968"/>
    <d v="2025-02-13T00:00:00"/>
    <d v="2025-02-13T05:07:48"/>
    <x v="3"/>
    <x v="3"/>
    <s v="Monitor"/>
    <s v="Network Support"/>
    <s v="Hyderabad"/>
    <s v="Email"/>
    <s v="Resolved"/>
    <n v="8"/>
    <n v="5.13"/>
    <n v="4.4000000000000004"/>
    <s v="No"/>
    <x v="0"/>
  </r>
  <r>
    <s v="INC103969"/>
    <d v="2025-04-17T00:00:00"/>
    <d v="2025-04-17T01:28:48"/>
    <x v="2"/>
    <x v="1"/>
    <s v="Password Reset"/>
    <s v="Desktop Support"/>
    <s v="Bengaluru"/>
    <s v="Email"/>
    <s v="Resolved"/>
    <n v="4"/>
    <n v="1.48"/>
    <n v="4.9000000000000004"/>
    <s v="No"/>
    <x v="0"/>
  </r>
  <r>
    <s v="INC103970"/>
    <d v="2025-04-22T00:00:00"/>
    <d v="2025-04-22T00:45:00"/>
    <x v="3"/>
    <x v="1"/>
    <s v="Permission"/>
    <s v="Desktop Support"/>
    <s v="Gurugram"/>
    <s v="Portal"/>
    <s v="Resolved"/>
    <n v="8"/>
    <n v="0.75"/>
    <n v="4.8"/>
    <s v="No"/>
    <x v="0"/>
  </r>
  <r>
    <s v="INC103971"/>
    <d v="2025-03-28T00:00:00"/>
    <d v="2025-03-28T16:54:36"/>
    <x v="1"/>
    <x v="3"/>
    <s v="Monitor"/>
    <s v="Desktop Support"/>
    <s v="Mumbai"/>
    <s v="Chat"/>
    <s v="Pending"/>
    <n v="24"/>
    <n v="16.91"/>
    <n v="3.8"/>
    <s v="No"/>
    <x v="0"/>
  </r>
  <r>
    <s v="INC103972"/>
    <d v="2025-06-17T00:00:00"/>
    <d v="2025-06-17T06:17:23"/>
    <x v="1"/>
    <x v="3"/>
    <s v="Printer"/>
    <s v="Desktop Support"/>
    <s v="Hyderabad"/>
    <s v="Portal"/>
    <s v="In Progress"/>
    <n v="24"/>
    <n v="6.29"/>
    <n v="3.8"/>
    <s v="No"/>
    <x v="0"/>
  </r>
  <r>
    <s v="INC103973"/>
    <d v="2025-01-23T00:00:00"/>
    <d v="2025-01-23T01:48:36"/>
    <x v="2"/>
    <x v="2"/>
    <s v="Link Down"/>
    <s v="Service Desk"/>
    <s v="Delhi"/>
    <s v="Email"/>
    <s v="Resolved"/>
    <n v="4"/>
    <n v="1.81"/>
    <n v="4.9000000000000004"/>
    <s v="No"/>
    <x v="0"/>
  </r>
  <r>
    <s v="INC103974"/>
    <d v="2025-02-16T00:00:00"/>
    <d v="2025-02-16T07:32:24"/>
    <x v="1"/>
    <x v="2"/>
    <s v="Connectivity"/>
    <s v="Network Support"/>
    <s v="Mumbai"/>
    <s v="Email"/>
    <s v="Resolved"/>
    <n v="24"/>
    <n v="7.54"/>
    <n v="5"/>
    <s v="No"/>
    <x v="0"/>
  </r>
  <r>
    <s v="INC103975"/>
    <d v="2025-01-18T00:00:00"/>
    <d v="2025-01-19T13:14:24"/>
    <x v="0"/>
    <x v="2"/>
    <s v="Link Down"/>
    <s v="Access Management"/>
    <s v="Hyderabad"/>
    <s v="Phone"/>
    <s v="Resolved"/>
    <n v="48"/>
    <n v="37.24"/>
    <n v="4.7"/>
    <s v="No"/>
    <x v="0"/>
  </r>
  <r>
    <s v="INC103976"/>
    <d v="2025-05-06T00:00:00"/>
    <d v="2025-05-07T02:36:00"/>
    <x v="0"/>
    <x v="2"/>
    <s v="DNS"/>
    <s v="Desktop Support"/>
    <s v="Bengaluru"/>
    <s v="Portal"/>
    <s v="Resolved"/>
    <n v="48"/>
    <n v="26.6"/>
    <n v="3.6"/>
    <s v="No"/>
    <x v="0"/>
  </r>
  <r>
    <s v="INC103977"/>
    <d v="2025-04-27T00:00:00"/>
    <d v="2025-04-27T03:54:00"/>
    <x v="3"/>
    <x v="2"/>
    <s v="DNS"/>
    <s v="Desktop Support"/>
    <s v="Bengaluru"/>
    <s v="Phone"/>
    <s v="Resolved"/>
    <n v="8"/>
    <n v="3.9"/>
    <n v="4.5"/>
    <s v="No"/>
    <x v="0"/>
  </r>
  <r>
    <s v="INC103978"/>
    <d v="2025-06-28T00:00:00"/>
    <d v="2025-06-29T06:29:24"/>
    <x v="1"/>
    <x v="1"/>
    <s v="Account Lock"/>
    <s v="Desktop Support"/>
    <s v="Delhi"/>
    <s v="Portal"/>
    <s v="Resolved"/>
    <n v="24"/>
    <n v="30.49"/>
    <n v="3"/>
    <s v="No"/>
    <x v="1"/>
  </r>
  <r>
    <s v="INC103979"/>
    <d v="2025-04-09T00:00:00"/>
    <d v="2025-04-09T15:58:12"/>
    <x v="0"/>
    <x v="1"/>
    <s v="VPN Access"/>
    <s v="Service Desk"/>
    <s v="Noida"/>
    <s v="Portal"/>
    <s v="Resolved"/>
    <n v="48"/>
    <n v="15.97"/>
    <n v="4.5999999999999996"/>
    <s v="No"/>
    <x v="0"/>
  </r>
  <r>
    <s v="INC103980"/>
    <d v="2025-01-28T00:00:00"/>
    <d v="2025-01-28T16:09:36"/>
    <x v="1"/>
    <x v="1"/>
    <s v="Password Reset"/>
    <s v="Application Support"/>
    <s v="Hyderabad"/>
    <s v="Phone"/>
    <s v="Pending"/>
    <n v="24"/>
    <n v="16.16"/>
    <n v="5"/>
    <s v="No"/>
    <x v="0"/>
  </r>
  <r>
    <s v="INC103981"/>
    <d v="2025-03-23T00:00:00"/>
    <d v="2025-03-23T02:44:24"/>
    <x v="3"/>
    <x v="0"/>
    <s v="License"/>
    <s v="Service Desk"/>
    <s v="Mumbai"/>
    <s v="Portal"/>
    <s v="Closed"/>
    <n v="8"/>
    <n v="2.74"/>
    <n v="5"/>
    <s v="No"/>
    <x v="0"/>
  </r>
  <r>
    <s v="INC103982"/>
    <d v="2025-01-17T00:00:00"/>
    <d v="2025-01-19T08:50:24"/>
    <x v="1"/>
    <x v="0"/>
    <s v="License"/>
    <s v="Desktop Support"/>
    <s v="Noida"/>
    <s v="Email"/>
    <s v="Resolved"/>
    <n v="24"/>
    <n v="56.84"/>
    <n v="1.7"/>
    <s v="No"/>
    <x v="1"/>
  </r>
  <r>
    <s v="INC103983"/>
    <d v="2025-05-02T00:00:00"/>
    <d v="2025-05-02T08:39:36"/>
    <x v="3"/>
    <x v="2"/>
    <s v="Connectivity"/>
    <s v="Access Management"/>
    <s v="Gurugram"/>
    <s v="Email"/>
    <s v="Closed"/>
    <n v="8"/>
    <n v="8.66"/>
    <n v="3.5"/>
    <s v="No"/>
    <x v="1"/>
  </r>
  <r>
    <s v="INC103984"/>
    <d v="2025-05-03T00:00:00"/>
    <d v="2025-05-03T12:25:48"/>
    <x v="3"/>
    <x v="0"/>
    <s v="Performance"/>
    <s v="Service Desk"/>
    <s v="Mumbai"/>
    <s v="Chat"/>
    <s v="Resolved"/>
    <n v="8"/>
    <n v="12.43"/>
    <n v="2.9"/>
    <s v="No"/>
    <x v="1"/>
  </r>
  <r>
    <s v="INC103985"/>
    <d v="2025-06-05T00:00:00"/>
    <d v="2025-06-05T02:10:12"/>
    <x v="2"/>
    <x v="3"/>
    <s v="Monitor"/>
    <s v="Application Support"/>
    <s v="Hyderabad"/>
    <s v="Phone"/>
    <s v="Closed"/>
    <n v="4"/>
    <n v="2.17"/>
    <n v="4.4000000000000004"/>
    <s v="No"/>
    <x v="0"/>
  </r>
  <r>
    <s v="INC103986"/>
    <d v="2025-03-03T00:00:00"/>
    <d v="2025-03-03T08:54:36"/>
    <x v="3"/>
    <x v="0"/>
    <s v="License"/>
    <s v="Application Support"/>
    <s v="Gurugram"/>
    <s v="Portal"/>
    <s v="Resolved"/>
    <n v="8"/>
    <n v="8.91"/>
    <n v="2.7"/>
    <s v="Yes"/>
    <x v="1"/>
  </r>
  <r>
    <s v="INC103987"/>
    <d v="2025-02-26T00:00:00"/>
    <d v="2025-02-26T08:20:24"/>
    <x v="0"/>
    <x v="4"/>
    <s v="Mailbox"/>
    <s v="Network Support"/>
    <s v="Mumbai"/>
    <s v="Phone"/>
    <s v="Resolved"/>
    <n v="48"/>
    <n v="8.34"/>
    <n v="5"/>
    <s v="No"/>
    <x v="0"/>
  </r>
  <r>
    <s v="INC103988"/>
    <d v="2025-01-13T00:00:00"/>
    <d v="2025-01-13T03:30:36"/>
    <x v="1"/>
    <x v="1"/>
    <s v="VPN Access"/>
    <s v="Application Support"/>
    <s v="Gurugram"/>
    <s v="Portal"/>
    <s v="Resolved"/>
    <n v="24"/>
    <n v="3.51"/>
    <n v="3.4"/>
    <s v="No"/>
    <x v="0"/>
  </r>
  <r>
    <s v="INC103989"/>
    <d v="2025-03-17T00:00:00"/>
    <d v="2025-03-17T19:49:48"/>
    <x v="0"/>
    <x v="2"/>
    <s v="DNS"/>
    <s v="Access Management"/>
    <s v="Mumbai"/>
    <s v="Email"/>
    <s v="Pending"/>
    <n v="48"/>
    <n v="19.829999999999998"/>
    <n v="3.4"/>
    <s v="Yes"/>
    <x v="0"/>
  </r>
  <r>
    <s v="INC103990"/>
    <d v="2025-03-28T00:00:00"/>
    <d v="2025-03-28T02:30:36"/>
    <x v="2"/>
    <x v="1"/>
    <s v="Account Lock"/>
    <s v="Service Desk"/>
    <s v="Hyderabad"/>
    <s v="Phone"/>
    <s v="Closed"/>
    <n v="4"/>
    <n v="2.5099999999999998"/>
    <n v="5"/>
    <s v="No"/>
    <x v="0"/>
  </r>
  <r>
    <s v="INC103991"/>
    <d v="2025-05-17T00:00:00"/>
    <d v="2025-05-19T09:27:00"/>
    <x v="0"/>
    <x v="2"/>
    <s v="Link Down"/>
    <s v="Access Management"/>
    <s v="Bengaluru"/>
    <s v="Phone"/>
    <s v="Closed"/>
    <n v="48"/>
    <n v="57.45"/>
    <n v="3.3"/>
    <s v="No"/>
    <x v="1"/>
  </r>
  <r>
    <s v="INC103992"/>
    <d v="2025-05-17T00:00:00"/>
    <d v="2025-05-17T12:13:12"/>
    <x v="1"/>
    <x v="2"/>
    <s v="Packet Loss"/>
    <s v="Network Support"/>
    <s v="Noida"/>
    <s v="Email"/>
    <s v="Closed"/>
    <n v="24"/>
    <n v="12.22"/>
    <n v="5"/>
    <s v="No"/>
    <x v="0"/>
  </r>
  <r>
    <s v="INC103993"/>
    <d v="2025-01-26T00:00:00"/>
    <d v="2025-01-26T03:16:12"/>
    <x v="3"/>
    <x v="2"/>
    <s v="Connectivity"/>
    <s v="Network Support"/>
    <s v="Gurugram"/>
    <s v="Phone"/>
    <s v="Closed"/>
    <n v="8"/>
    <n v="3.27"/>
    <n v="4"/>
    <s v="No"/>
    <x v="0"/>
  </r>
  <r>
    <s v="INC103994"/>
    <d v="2025-02-21T00:00:00"/>
    <d v="2025-02-22T18:40:48"/>
    <x v="0"/>
    <x v="2"/>
    <s v="DNS"/>
    <s v="Access Management"/>
    <s v="Delhi"/>
    <s v="Email"/>
    <s v="In Progress"/>
    <n v="48"/>
    <n v="42.68"/>
    <n v="2.6"/>
    <s v="No"/>
    <x v="0"/>
  </r>
  <r>
    <s v="INC103995"/>
    <d v="2025-04-03T00:00:00"/>
    <d v="2025-04-03T11:57:36"/>
    <x v="3"/>
    <x v="0"/>
    <s v="Application Error"/>
    <s v="Access Management"/>
    <s v="Delhi"/>
    <s v="Chat"/>
    <s v="Resolved"/>
    <n v="8"/>
    <n v="11.96"/>
    <n v="2.5"/>
    <s v="No"/>
    <x v="1"/>
  </r>
  <r>
    <s v="INC103996"/>
    <d v="2025-03-02T00:00:00"/>
    <d v="2025-03-03T20:46:48"/>
    <x v="0"/>
    <x v="3"/>
    <s v="Laptop"/>
    <s v="Application Support"/>
    <s v="Hyderabad"/>
    <s v="Portal"/>
    <s v="Resolved"/>
    <n v="48"/>
    <n v="44.78"/>
    <n v="5"/>
    <s v="No"/>
    <x v="0"/>
  </r>
  <r>
    <s v="INC103997"/>
    <d v="2025-01-05T00:00:00"/>
    <d v="2025-01-05T17:01:12"/>
    <x v="1"/>
    <x v="2"/>
    <s v="Packet Loss"/>
    <s v="Application Support"/>
    <s v="Bengaluru"/>
    <s v="Portal"/>
    <s v="Closed"/>
    <n v="24"/>
    <n v="17.02"/>
    <n v="3.2"/>
    <s v="No"/>
    <x v="0"/>
  </r>
  <r>
    <s v="INC103998"/>
    <d v="2025-06-03T00:00:00"/>
    <d v="2025-06-04T02:34:11"/>
    <x v="1"/>
    <x v="4"/>
    <s v="Spam"/>
    <s v="Service Desk"/>
    <s v="Gurugram"/>
    <s v="Phone"/>
    <s v="Pending"/>
    <n v="24"/>
    <n v="26.57"/>
    <n v="4.8"/>
    <s v="Yes"/>
    <x v="1"/>
  </r>
  <r>
    <s v="INC103999"/>
    <d v="2025-05-13T00:00:00"/>
    <d v="2025-05-14T01:08:24"/>
    <x v="1"/>
    <x v="0"/>
    <s v="Application Error"/>
    <s v="Desktop Support"/>
    <s v="Bengaluru"/>
    <s v="Portal"/>
    <s v="Resolved"/>
    <n v="24"/>
    <n v="25.14"/>
    <n v="4"/>
    <s v="No"/>
    <x v="1"/>
  </r>
  <r>
    <s v="INC104000"/>
    <d v="2025-04-05T00:00:00"/>
    <d v="2025-04-05T22:27:36"/>
    <x v="1"/>
    <x v="3"/>
    <s v="Peripheral"/>
    <s v="Desktop Support"/>
    <s v="Hyderabad"/>
    <s v="Portal"/>
    <s v="Pending"/>
    <n v="24"/>
    <n v="22.46"/>
    <n v="4"/>
    <s v="No"/>
    <x v="0"/>
  </r>
  <r>
    <s v="INC104001"/>
    <d v="2025-02-27T00:00:00"/>
    <d v="2025-02-27T08:31:12"/>
    <x v="3"/>
    <x v="0"/>
    <s v="Application Error"/>
    <s v="Network Support"/>
    <s v="Bengaluru"/>
    <s v="Phone"/>
    <s v="Closed"/>
    <n v="8"/>
    <n v="8.52"/>
    <n v="3.2"/>
    <s v="No"/>
    <x v="1"/>
  </r>
  <r>
    <s v="INC104002"/>
    <d v="2025-06-02T00:00:00"/>
    <d v="2025-06-02T15:25:12"/>
    <x v="1"/>
    <x v="0"/>
    <s v="Application Error"/>
    <s v="Desktop Support"/>
    <s v="Hyderabad"/>
    <s v="Email"/>
    <s v="Resolved"/>
    <n v="24"/>
    <n v="15.42"/>
    <n v="3.6"/>
    <s v="No"/>
    <x v="0"/>
  </r>
  <r>
    <s v="INC104003"/>
    <d v="2025-01-07T00:00:00"/>
    <d v="2025-01-08T16:56:24"/>
    <x v="1"/>
    <x v="3"/>
    <s v="Printer"/>
    <s v="Network Support"/>
    <s v="Delhi"/>
    <s v="Portal"/>
    <s v="In Progress"/>
    <n v="24"/>
    <n v="40.94"/>
    <n v="3.3"/>
    <s v="No"/>
    <x v="1"/>
  </r>
  <r>
    <s v="INC104004"/>
    <d v="2025-03-22T00:00:00"/>
    <d v="2025-03-22T01:12:00"/>
    <x v="3"/>
    <x v="0"/>
    <s v="License"/>
    <s v="Network Support"/>
    <s v="Delhi"/>
    <s v="Portal"/>
    <s v="Closed"/>
    <n v="8"/>
    <n v="1.2"/>
    <n v="5"/>
    <s v="No"/>
    <x v="0"/>
  </r>
  <r>
    <s v="INC104005"/>
    <d v="2025-05-25T00:00:00"/>
    <d v="2025-05-25T06:24:36"/>
    <x v="3"/>
    <x v="4"/>
    <s v="Mailbox"/>
    <s v="Network Support"/>
    <s v="Bengaluru"/>
    <s v="Portal"/>
    <s v="Resolved"/>
    <n v="8"/>
    <n v="6.41"/>
    <n v="4.2"/>
    <s v="No"/>
    <x v="0"/>
  </r>
  <r>
    <s v="INC104006"/>
    <d v="2025-06-22T00:00:00"/>
    <d v="2025-06-22T13:27:36"/>
    <x v="0"/>
    <x v="3"/>
    <s v="Monitor"/>
    <s v="Network Support"/>
    <s v="Bengaluru"/>
    <s v="Portal"/>
    <s v="Closed"/>
    <n v="48"/>
    <n v="13.46"/>
    <n v="5"/>
    <s v="No"/>
    <x v="0"/>
  </r>
  <r>
    <s v="INC104007"/>
    <d v="2025-02-15T00:00:00"/>
    <d v="2025-02-15T04:45:36"/>
    <x v="3"/>
    <x v="0"/>
    <s v="License"/>
    <s v="Network Support"/>
    <s v="Mumbai"/>
    <s v="Portal"/>
    <s v="Resolved"/>
    <n v="8"/>
    <n v="4.76"/>
    <n v="4"/>
    <s v="No"/>
    <x v="0"/>
  </r>
  <r>
    <s v="INC104008"/>
    <d v="2025-04-28T00:00:00"/>
    <d v="2025-04-28T07:43:48"/>
    <x v="0"/>
    <x v="2"/>
    <s v="DNS"/>
    <s v="Access Management"/>
    <s v="Hyderabad"/>
    <s v="Phone"/>
    <s v="Closed"/>
    <n v="48"/>
    <n v="7.73"/>
    <n v="5"/>
    <s v="No"/>
    <x v="0"/>
  </r>
  <r>
    <s v="INC104009"/>
    <d v="2025-02-04T00:00:00"/>
    <d v="2025-02-04T08:39:36"/>
    <x v="1"/>
    <x v="1"/>
    <s v="Password Reset"/>
    <s v="Access Management"/>
    <s v="Delhi"/>
    <s v="Portal"/>
    <s v="Resolved"/>
    <n v="24"/>
    <n v="8.66"/>
    <n v="4.7"/>
    <s v="No"/>
    <x v="0"/>
  </r>
  <r>
    <s v="INC104010"/>
    <d v="2025-01-21T00:00:00"/>
    <d v="2025-01-21T09:40:12"/>
    <x v="1"/>
    <x v="3"/>
    <s v="Printer"/>
    <s v="Desktop Support"/>
    <s v="Hyderabad"/>
    <s v="Phone"/>
    <s v="Resolved"/>
    <n v="24"/>
    <n v="9.67"/>
    <n v="5"/>
    <s v="No"/>
    <x v="0"/>
  </r>
  <r>
    <s v="INC104011"/>
    <d v="2025-03-05T00:00:00"/>
    <d v="2025-03-05T05:51:36"/>
    <x v="3"/>
    <x v="2"/>
    <s v="DNS"/>
    <s v="Service Desk"/>
    <s v="Delhi"/>
    <s v="Chat"/>
    <s v="Closed"/>
    <n v="8"/>
    <n v="5.86"/>
    <n v="3.5"/>
    <s v="No"/>
    <x v="0"/>
  </r>
  <r>
    <s v="INC104012"/>
    <d v="2025-06-10T00:00:00"/>
    <d v="2025-06-10T16:04:12"/>
    <x v="0"/>
    <x v="4"/>
    <s v="Delivery"/>
    <s v="Network Support"/>
    <s v="Bengaluru"/>
    <s v="Portal"/>
    <s v="Resolved"/>
    <n v="48"/>
    <n v="16.07"/>
    <n v="4.5999999999999996"/>
    <s v="No"/>
    <x v="0"/>
  </r>
  <r>
    <s v="INC104013"/>
    <d v="2025-05-05T00:00:00"/>
    <d v="2025-05-05T20:42:00"/>
    <x v="0"/>
    <x v="0"/>
    <s v="Performance"/>
    <s v="Access Management"/>
    <s v="Mumbai"/>
    <s v="Chat"/>
    <s v="Resolved"/>
    <n v="48"/>
    <n v="20.7"/>
    <n v="5"/>
    <s v="No"/>
    <x v="0"/>
  </r>
  <r>
    <s v="INC104014"/>
    <d v="2025-03-30T00:00:00"/>
    <d v="2025-03-30T07:20:24"/>
    <x v="3"/>
    <x v="2"/>
    <s v="DNS"/>
    <s v="Application Support"/>
    <s v="Mumbai"/>
    <s v="Portal"/>
    <s v="Resolved"/>
    <n v="8"/>
    <n v="7.34"/>
    <n v="4"/>
    <s v="No"/>
    <x v="0"/>
  </r>
  <r>
    <s v="INC104015"/>
    <d v="2025-02-21T00:00:00"/>
    <d v="2025-02-23T10:21:00"/>
    <x v="0"/>
    <x v="2"/>
    <s v="Link Down"/>
    <s v="Application Support"/>
    <s v="Gurugram"/>
    <s v="Email"/>
    <s v="Resolved"/>
    <n v="48"/>
    <n v="58.35"/>
    <n v="3.9"/>
    <s v="No"/>
    <x v="1"/>
  </r>
  <r>
    <s v="INC104016"/>
    <d v="2025-01-26T00:00:00"/>
    <d v="2025-01-26T09:19:12"/>
    <x v="1"/>
    <x v="3"/>
    <s v="Laptop"/>
    <s v="Desktop Support"/>
    <s v="Bengaluru"/>
    <s v="Chat"/>
    <s v="Resolved"/>
    <n v="24"/>
    <n v="9.32"/>
    <n v="3.9"/>
    <s v="No"/>
    <x v="0"/>
  </r>
  <r>
    <s v="INC104017"/>
    <d v="2025-02-19T00:00:00"/>
    <d v="2025-02-19T10:48:00"/>
    <x v="3"/>
    <x v="4"/>
    <s v="Delivery"/>
    <s v="Network Support"/>
    <s v="Hyderabad"/>
    <s v="Phone"/>
    <s v="Resolved"/>
    <n v="8"/>
    <n v="10.8"/>
    <n v="3.1"/>
    <s v="No"/>
    <x v="1"/>
  </r>
  <r>
    <s v="INC104018"/>
    <d v="2025-01-28T00:00:00"/>
    <d v="2025-01-28T20:57:36"/>
    <x v="1"/>
    <x v="3"/>
    <s v="Printer"/>
    <s v="Application Support"/>
    <s v="Gurugram"/>
    <s v="Portal"/>
    <s v="Resolved"/>
    <n v="24"/>
    <n v="20.96"/>
    <n v="3.4"/>
    <s v="Yes"/>
    <x v="0"/>
  </r>
  <r>
    <s v="INC104019"/>
    <d v="2025-02-03T00:00:00"/>
    <d v="2025-02-05T16:10:48"/>
    <x v="0"/>
    <x v="2"/>
    <s v="DNS"/>
    <s v="Desktop Support"/>
    <s v="Hyderabad"/>
    <s v="Portal"/>
    <s v="Resolved"/>
    <n v="48"/>
    <n v="64.180000000000007"/>
    <n v="3.3"/>
    <s v="No"/>
    <x v="1"/>
  </r>
  <r>
    <s v="INC104020"/>
    <d v="2025-05-05T00:00:00"/>
    <d v="2025-05-05T13:34:11"/>
    <x v="1"/>
    <x v="0"/>
    <s v="License"/>
    <s v="Service Desk"/>
    <s v="Bengaluru"/>
    <s v="Portal"/>
    <s v="Closed"/>
    <n v="24"/>
    <n v="13.57"/>
    <n v="4.2"/>
    <s v="No"/>
    <x v="0"/>
  </r>
  <r>
    <s v="INC104021"/>
    <d v="2025-01-25T00:00:00"/>
    <d v="2025-01-25T01:42:00"/>
    <x v="2"/>
    <x v="3"/>
    <s v="Monitor"/>
    <s v="Service Desk"/>
    <s v="Delhi"/>
    <s v="Chat"/>
    <s v="Closed"/>
    <n v="4"/>
    <n v="1.7"/>
    <n v="4.0999999999999996"/>
    <s v="No"/>
    <x v="0"/>
  </r>
  <r>
    <s v="INC104022"/>
    <d v="2025-01-09T00:00:00"/>
    <d v="2025-01-09T11:59:24"/>
    <x v="1"/>
    <x v="2"/>
    <s v="DNS"/>
    <s v="Network Support"/>
    <s v="Gurugram"/>
    <s v="Portal"/>
    <s v="Closed"/>
    <n v="24"/>
    <n v="11.99"/>
    <n v="4.8"/>
    <s v="No"/>
    <x v="0"/>
  </r>
  <r>
    <s v="INC104023"/>
    <d v="2025-04-09T00:00:00"/>
    <d v="2025-04-10T10:27:00"/>
    <x v="0"/>
    <x v="1"/>
    <s v="Password Reset"/>
    <s v="Access Management"/>
    <s v="Hyderabad"/>
    <s v="Email"/>
    <s v="Resolved"/>
    <n v="48"/>
    <n v="34.450000000000003"/>
    <n v="3.4"/>
    <s v="No"/>
    <x v="0"/>
  </r>
  <r>
    <s v="INC104024"/>
    <d v="2025-02-21T00:00:00"/>
    <d v="2025-02-22T02:41:24"/>
    <x v="0"/>
    <x v="2"/>
    <s v="DNS"/>
    <s v="Network Support"/>
    <s v="Noida"/>
    <s v="Portal"/>
    <s v="Closed"/>
    <n v="48"/>
    <n v="26.69"/>
    <n v="2.9"/>
    <s v="No"/>
    <x v="0"/>
  </r>
  <r>
    <s v="INC104025"/>
    <d v="2025-03-24T00:00:00"/>
    <d v="2025-03-24T13:39:00"/>
    <x v="1"/>
    <x v="4"/>
    <s v="Mailbox"/>
    <s v="Access Management"/>
    <s v="Hyderabad"/>
    <s v="Portal"/>
    <s v="Resolved"/>
    <n v="24"/>
    <n v="13.65"/>
    <n v="3.9"/>
    <s v="No"/>
    <x v="0"/>
  </r>
  <r>
    <s v="INC104026"/>
    <d v="2025-01-26T00:00:00"/>
    <d v="2025-01-26T03:28:12"/>
    <x v="2"/>
    <x v="1"/>
    <s v="Permission"/>
    <s v="Access Management"/>
    <s v="Noida"/>
    <s v="Portal"/>
    <s v="Closed"/>
    <n v="4"/>
    <n v="3.47"/>
    <n v="5"/>
    <s v="No"/>
    <x v="0"/>
  </r>
  <r>
    <s v="INC104027"/>
    <d v="2025-02-08T00:00:00"/>
    <d v="2025-02-08T08:07:48"/>
    <x v="1"/>
    <x v="2"/>
    <s v="Packet Loss"/>
    <s v="Network Support"/>
    <s v="Noida"/>
    <s v="Portal"/>
    <s v="Resolved"/>
    <n v="24"/>
    <n v="8.1300000000000008"/>
    <n v="4.9000000000000004"/>
    <s v="No"/>
    <x v="0"/>
  </r>
  <r>
    <s v="INC104028"/>
    <d v="2025-03-21T00:00:00"/>
    <d v="2025-03-22T05:24:00"/>
    <x v="0"/>
    <x v="1"/>
    <s v="Permission"/>
    <s v="Application Support"/>
    <s v="Hyderabad"/>
    <s v="Email"/>
    <s v="Closed"/>
    <n v="48"/>
    <n v="29.4"/>
    <n v="3.7"/>
    <s v="No"/>
    <x v="0"/>
  </r>
  <r>
    <s v="INC104029"/>
    <d v="2025-05-05T00:00:00"/>
    <d v="2025-05-05T03:49:12"/>
    <x v="1"/>
    <x v="1"/>
    <s v="VPN Access"/>
    <s v="Network Support"/>
    <s v="Mumbai"/>
    <s v="Portal"/>
    <s v="Pending"/>
    <n v="24"/>
    <n v="3.82"/>
    <n v="5"/>
    <s v="Yes"/>
    <x v="0"/>
  </r>
  <r>
    <s v="INC104030"/>
    <d v="2025-03-16T00:00:00"/>
    <d v="2025-03-17T01:07:48"/>
    <x v="0"/>
    <x v="0"/>
    <s v="Performance"/>
    <s v="Access Management"/>
    <s v="Gurugram"/>
    <s v="Portal"/>
    <s v="In Progress"/>
    <n v="48"/>
    <n v="25.13"/>
    <n v="4.3"/>
    <s v="Yes"/>
    <x v="0"/>
  </r>
  <r>
    <s v="INC104031"/>
    <d v="2025-04-09T00:00:00"/>
    <d v="2025-04-09T19:04:12"/>
    <x v="0"/>
    <x v="0"/>
    <s v="Application Error"/>
    <s v="Desktop Support"/>
    <s v="Mumbai"/>
    <s v="Email"/>
    <s v="In Progress"/>
    <n v="48"/>
    <n v="19.07"/>
    <n v="4.8"/>
    <s v="Yes"/>
    <x v="0"/>
  </r>
  <r>
    <s v="INC104032"/>
    <d v="2025-04-05T00:00:00"/>
    <d v="2025-04-05T01:38:24"/>
    <x v="2"/>
    <x v="2"/>
    <s v="Packet Loss"/>
    <s v="Network Support"/>
    <s v="Gurugram"/>
    <s v="Portal"/>
    <s v="Resolved"/>
    <n v="4"/>
    <n v="1.64"/>
    <n v="5"/>
    <s v="No"/>
    <x v="0"/>
  </r>
  <r>
    <s v="INC104033"/>
    <d v="2025-02-18T00:00:00"/>
    <d v="2025-02-18T04:42:00"/>
    <x v="1"/>
    <x v="2"/>
    <s v="Link Down"/>
    <s v="Application Support"/>
    <s v="Hyderabad"/>
    <s v="Phone"/>
    <s v="Resolved"/>
    <n v="24"/>
    <n v="4.7"/>
    <n v="4.9000000000000004"/>
    <s v="No"/>
    <x v="0"/>
  </r>
  <r>
    <s v="INC104034"/>
    <d v="2025-02-20T00:00:00"/>
    <d v="2025-02-20T15:29:24"/>
    <x v="0"/>
    <x v="1"/>
    <s v="Permission"/>
    <s v="Application Support"/>
    <s v="Delhi"/>
    <s v="Email"/>
    <s v="Resolved"/>
    <n v="48"/>
    <n v="15.49"/>
    <n v="4.7"/>
    <s v="No"/>
    <x v="0"/>
  </r>
  <r>
    <s v="INC104035"/>
    <d v="2025-03-19T00:00:00"/>
    <d v="2025-03-19T17:34:11"/>
    <x v="1"/>
    <x v="2"/>
    <s v="Link Down"/>
    <s v="Access Management"/>
    <s v="Bengaluru"/>
    <s v="Email"/>
    <s v="Resolved"/>
    <n v="24"/>
    <n v="17.57"/>
    <n v="5"/>
    <s v="No"/>
    <x v="0"/>
  </r>
  <r>
    <s v="INC104036"/>
    <d v="2025-01-06T00:00:00"/>
    <d v="2025-01-06T11:23:24"/>
    <x v="0"/>
    <x v="2"/>
    <s v="Connectivity"/>
    <s v="Desktop Support"/>
    <s v="Delhi"/>
    <s v="Portal"/>
    <s v="Closed"/>
    <n v="48"/>
    <n v="11.39"/>
    <n v="5"/>
    <s v="No"/>
    <x v="0"/>
  </r>
  <r>
    <s v="INC104037"/>
    <d v="2025-05-05T00:00:00"/>
    <d v="2025-05-05T03:57:36"/>
    <x v="0"/>
    <x v="0"/>
    <s v="Performance"/>
    <s v="Access Management"/>
    <s v="Mumbai"/>
    <s v="Portal"/>
    <s v="Closed"/>
    <n v="48"/>
    <n v="3.96"/>
    <n v="5"/>
    <s v="Yes"/>
    <x v="0"/>
  </r>
  <r>
    <s v="INC104038"/>
    <d v="2025-04-22T00:00:00"/>
    <d v="2025-04-22T19:27:00"/>
    <x v="1"/>
    <x v="2"/>
    <s v="Connectivity"/>
    <s v="Application Support"/>
    <s v="Hyderabad"/>
    <s v="Phone"/>
    <s v="Pending"/>
    <n v="24"/>
    <n v="19.45"/>
    <n v="4.0999999999999996"/>
    <s v="No"/>
    <x v="0"/>
  </r>
  <r>
    <s v="INC104039"/>
    <d v="2025-02-25T00:00:00"/>
    <d v="2025-02-26T23:46:12"/>
    <x v="1"/>
    <x v="1"/>
    <s v="Account Lock"/>
    <s v="Desktop Support"/>
    <s v="Mumbai"/>
    <s v="Phone"/>
    <s v="Pending"/>
    <n v="24"/>
    <n v="47.77"/>
    <n v="2.2000000000000002"/>
    <s v="No"/>
    <x v="1"/>
  </r>
  <r>
    <s v="INC104040"/>
    <d v="2025-03-09T00:00:00"/>
    <d v="2025-03-09T02:27:00"/>
    <x v="3"/>
    <x v="1"/>
    <s v="Permission"/>
    <s v="Service Desk"/>
    <s v="Noida"/>
    <s v="Portal"/>
    <s v="Resolved"/>
    <n v="8"/>
    <n v="2.4500000000000002"/>
    <n v="3.8"/>
    <s v="No"/>
    <x v="0"/>
  </r>
  <r>
    <s v="INC104041"/>
    <d v="2025-03-01T00:00:00"/>
    <d v="2025-03-01T13:27:36"/>
    <x v="3"/>
    <x v="1"/>
    <s v="VPN Access"/>
    <s v="Service Desk"/>
    <s v="Mumbai"/>
    <s v="Portal"/>
    <s v="In Progress"/>
    <n v="8"/>
    <n v="13.46"/>
    <n v="3.4"/>
    <s v="No"/>
    <x v="1"/>
  </r>
  <r>
    <s v="INC104042"/>
    <d v="2025-04-28T00:00:00"/>
    <d v="2025-04-28T03:25:48"/>
    <x v="0"/>
    <x v="2"/>
    <s v="Link Down"/>
    <s v="Application Support"/>
    <s v="Gurugram"/>
    <s v="Portal"/>
    <s v="In Progress"/>
    <n v="48"/>
    <n v="3.43"/>
    <n v="5"/>
    <s v="No"/>
    <x v="0"/>
  </r>
  <r>
    <s v="INC104043"/>
    <d v="2025-05-18T00:00:00"/>
    <d v="2025-05-18T06:12:36"/>
    <x v="3"/>
    <x v="3"/>
    <s v="Monitor"/>
    <s v="Application Support"/>
    <s v="Bengaluru"/>
    <s v="Email"/>
    <s v="Closed"/>
    <n v="8"/>
    <n v="6.21"/>
    <n v="4.3"/>
    <s v="No"/>
    <x v="0"/>
  </r>
  <r>
    <s v="INC104044"/>
    <d v="2025-01-20T00:00:00"/>
    <d v="2025-01-20T06:42:00"/>
    <x v="1"/>
    <x v="1"/>
    <s v="Account Lock"/>
    <s v="Network Support"/>
    <s v="Hyderabad"/>
    <s v="Portal"/>
    <s v="Resolved"/>
    <n v="24"/>
    <n v="6.7"/>
    <n v="5"/>
    <s v="No"/>
    <x v="0"/>
  </r>
  <r>
    <s v="INC104045"/>
    <d v="2025-03-16T00:00:00"/>
    <d v="2025-03-19T21:56:24"/>
    <x v="0"/>
    <x v="3"/>
    <s v="Printer"/>
    <s v="Desktop Support"/>
    <s v="Noida"/>
    <s v="Chat"/>
    <s v="Resolved"/>
    <n v="48"/>
    <n v="93.94"/>
    <n v="2.1"/>
    <s v="No"/>
    <x v="1"/>
  </r>
  <r>
    <s v="INC104046"/>
    <d v="2025-01-03T00:00:00"/>
    <d v="2025-01-03T03:42:00"/>
    <x v="3"/>
    <x v="0"/>
    <s v="Application Error"/>
    <s v="Network Support"/>
    <s v="Delhi"/>
    <s v="Portal"/>
    <s v="Resolved"/>
    <n v="8"/>
    <n v="3.7"/>
    <n v="4.0999999999999996"/>
    <s v="No"/>
    <x v="0"/>
  </r>
  <r>
    <s v="INC104047"/>
    <d v="2025-03-23T00:00:00"/>
    <d v="2025-03-23T15:37:48"/>
    <x v="0"/>
    <x v="0"/>
    <s v="Performance"/>
    <s v="Service Desk"/>
    <s v="Noida"/>
    <s v="Chat"/>
    <s v="Resolved"/>
    <n v="48"/>
    <n v="15.63"/>
    <n v="3.8"/>
    <s v="No"/>
    <x v="0"/>
  </r>
  <r>
    <s v="INC104048"/>
    <d v="2025-02-14T00:00:00"/>
    <d v="2025-02-14T00:30:00"/>
    <x v="1"/>
    <x v="3"/>
    <s v="Peripheral"/>
    <s v="Application Support"/>
    <s v="Noida"/>
    <s v="Portal"/>
    <s v="Resolved"/>
    <n v="24"/>
    <n v="0.5"/>
    <n v="4.8"/>
    <s v="No"/>
    <x v="0"/>
  </r>
  <r>
    <s v="INC104049"/>
    <d v="2025-03-02T00:00:00"/>
    <d v="2025-03-02T07:42:36"/>
    <x v="3"/>
    <x v="2"/>
    <s v="Connectivity"/>
    <s v="Application Support"/>
    <s v="Mumbai"/>
    <s v="Portal"/>
    <s v="Resolved"/>
    <n v="8"/>
    <n v="7.71"/>
    <n v="4.5"/>
    <s v="No"/>
    <x v="0"/>
  </r>
  <r>
    <s v="INC104050"/>
    <d v="2025-03-24T00:00:00"/>
    <d v="2025-03-25T20:11:24"/>
    <x v="0"/>
    <x v="0"/>
    <s v="License"/>
    <s v="Network Support"/>
    <s v="Mumbai"/>
    <s v="Portal"/>
    <s v="Resolved"/>
    <n v="48"/>
    <n v="44.19"/>
    <n v="3.4"/>
    <s v="No"/>
    <x v="0"/>
  </r>
  <r>
    <s v="INC104051"/>
    <d v="2025-02-28T00:00:00"/>
    <d v="2025-02-28T10:25:48"/>
    <x v="3"/>
    <x v="2"/>
    <s v="Packet Loss"/>
    <s v="Application Support"/>
    <s v="Noida"/>
    <s v="Portal"/>
    <s v="Closed"/>
    <n v="8"/>
    <n v="10.43"/>
    <n v="3.4"/>
    <s v="No"/>
    <x v="1"/>
  </r>
  <r>
    <s v="INC104052"/>
    <d v="2025-03-13T00:00:00"/>
    <d v="2025-03-14T06:43:48"/>
    <x v="0"/>
    <x v="1"/>
    <s v="Permission"/>
    <s v="Network Support"/>
    <s v="Mumbai"/>
    <s v="Chat"/>
    <s v="Resolved"/>
    <n v="48"/>
    <n v="30.73"/>
    <n v="4.7"/>
    <s v="No"/>
    <x v="0"/>
  </r>
  <r>
    <s v="INC104053"/>
    <d v="2025-05-19T00:00:00"/>
    <d v="2025-05-19T03:23:24"/>
    <x v="3"/>
    <x v="0"/>
    <s v="Performance"/>
    <s v="Network Support"/>
    <s v="Delhi"/>
    <s v="Email"/>
    <s v="In Progress"/>
    <n v="8"/>
    <n v="3.39"/>
    <n v="5"/>
    <s v="No"/>
    <x v="0"/>
  </r>
  <r>
    <s v="INC104054"/>
    <d v="2025-05-27T00:00:00"/>
    <d v="2025-05-29T07:15:36"/>
    <x v="0"/>
    <x v="2"/>
    <s v="DNS"/>
    <s v="Access Management"/>
    <s v="Gurugram"/>
    <s v="Portal"/>
    <s v="Resolved"/>
    <n v="48"/>
    <n v="55.26"/>
    <n v="2.5"/>
    <s v="No"/>
    <x v="1"/>
  </r>
  <r>
    <s v="INC104055"/>
    <d v="2025-01-02T00:00:00"/>
    <d v="2025-01-02T17:23:24"/>
    <x v="0"/>
    <x v="0"/>
    <s v="Performance"/>
    <s v="Network Support"/>
    <s v="Bengaluru"/>
    <s v="Chat"/>
    <s v="Resolved"/>
    <n v="48"/>
    <n v="17.39"/>
    <n v="4.3"/>
    <s v="No"/>
    <x v="0"/>
  </r>
  <r>
    <s v="INC104056"/>
    <d v="2025-03-10T00:00:00"/>
    <d v="2025-03-10T03:30:00"/>
    <x v="1"/>
    <x v="3"/>
    <s v="Peripheral"/>
    <s v="Service Desk"/>
    <s v="Mumbai"/>
    <s v="Portal"/>
    <s v="Resolved"/>
    <n v="24"/>
    <n v="3.5"/>
    <n v="4.3"/>
    <s v="No"/>
    <x v="0"/>
  </r>
  <r>
    <s v="INC104057"/>
    <d v="2025-06-03T00:00:00"/>
    <d v="2025-06-03T06:04:12"/>
    <x v="3"/>
    <x v="2"/>
    <s v="Link Down"/>
    <s v="Network Support"/>
    <s v="Mumbai"/>
    <s v="Portal"/>
    <s v="Resolved"/>
    <n v="8"/>
    <n v="6.07"/>
    <n v="3.5"/>
    <s v="No"/>
    <x v="0"/>
  </r>
  <r>
    <s v="INC104058"/>
    <d v="2025-04-07T00:00:00"/>
    <d v="2025-04-09T02:57:36"/>
    <x v="0"/>
    <x v="4"/>
    <s v="Mailbox"/>
    <s v="Desktop Support"/>
    <s v="Bengaluru"/>
    <s v="Portal"/>
    <s v="Resolved"/>
    <n v="48"/>
    <n v="50.96"/>
    <n v="3.5"/>
    <s v="No"/>
    <x v="1"/>
  </r>
  <r>
    <s v="INC104059"/>
    <d v="2025-02-07T00:00:00"/>
    <d v="2025-02-07T00:55:12"/>
    <x v="3"/>
    <x v="0"/>
    <s v="Performance"/>
    <s v="Desktop Support"/>
    <s v="Delhi"/>
    <s v="Email"/>
    <s v="Closed"/>
    <n v="8"/>
    <n v="0.92"/>
    <n v="3.6"/>
    <s v="No"/>
    <x v="0"/>
  </r>
  <r>
    <s v="INC104060"/>
    <d v="2025-04-18T00:00:00"/>
    <d v="2025-04-19T05:02:24"/>
    <x v="0"/>
    <x v="0"/>
    <s v="Application Error"/>
    <s v="Access Management"/>
    <s v="Mumbai"/>
    <s v="Chat"/>
    <s v="Resolved"/>
    <n v="48"/>
    <n v="29.04"/>
    <n v="4"/>
    <s v="No"/>
    <x v="0"/>
  </r>
  <r>
    <s v="INC104061"/>
    <d v="2025-01-27T00:00:00"/>
    <d v="2025-01-27T23:12:00"/>
    <x v="1"/>
    <x v="1"/>
    <s v="Password Reset"/>
    <s v="Access Management"/>
    <s v="Noida"/>
    <s v="Portal"/>
    <s v="Resolved"/>
    <n v="24"/>
    <n v="23.2"/>
    <n v="3.9"/>
    <s v="No"/>
    <x v="0"/>
  </r>
  <r>
    <s v="INC104062"/>
    <d v="2025-01-04T00:00:00"/>
    <d v="2025-01-04T08:06:00"/>
    <x v="1"/>
    <x v="0"/>
    <s v="Application Error"/>
    <s v="Application Support"/>
    <s v="Gurugram"/>
    <s v="Phone"/>
    <s v="Resolved"/>
    <n v="24"/>
    <n v="8.1"/>
    <n v="3.9"/>
    <s v="No"/>
    <x v="0"/>
  </r>
  <r>
    <s v="INC104063"/>
    <d v="2025-04-25T00:00:00"/>
    <d v="2025-04-28T08:02:24"/>
    <x v="0"/>
    <x v="3"/>
    <s v="Monitor"/>
    <s v="Desktop Support"/>
    <s v="Noida"/>
    <s v="Portal"/>
    <s v="Resolved"/>
    <n v="48"/>
    <n v="80.040000000000006"/>
    <n v="2.7"/>
    <s v="No"/>
    <x v="1"/>
  </r>
  <r>
    <s v="INC104064"/>
    <d v="2025-04-04T00:00:00"/>
    <d v="2025-04-04T02:27:00"/>
    <x v="3"/>
    <x v="2"/>
    <s v="Connectivity"/>
    <s v="Network Support"/>
    <s v="Mumbai"/>
    <s v="Portal"/>
    <s v="Pending"/>
    <n v="8"/>
    <n v="2.4500000000000002"/>
    <n v="4.5999999999999996"/>
    <s v="No"/>
    <x v="0"/>
  </r>
  <r>
    <s v="INC104065"/>
    <d v="2025-05-17T00:00:00"/>
    <d v="2025-05-17T07:21:36"/>
    <x v="1"/>
    <x v="2"/>
    <s v="Packet Loss"/>
    <s v="Access Management"/>
    <s v="Gurugram"/>
    <s v="Phone"/>
    <s v="Resolved"/>
    <n v="24"/>
    <n v="7.36"/>
    <n v="4.7"/>
    <s v="No"/>
    <x v="0"/>
  </r>
  <r>
    <s v="INC104066"/>
    <d v="2025-03-04T00:00:00"/>
    <d v="2025-03-04T08:48:00"/>
    <x v="1"/>
    <x v="3"/>
    <s v="Printer"/>
    <s v="Desktop Support"/>
    <s v="Bengaluru"/>
    <s v="Phone"/>
    <s v="Resolved"/>
    <n v="24"/>
    <n v="8.8000000000000007"/>
    <n v="3.5"/>
    <s v="No"/>
    <x v="0"/>
  </r>
  <r>
    <s v="INC104067"/>
    <d v="2025-06-04T00:00:00"/>
    <d v="2025-06-04T05:24:00"/>
    <x v="1"/>
    <x v="3"/>
    <s v="Laptop"/>
    <s v="Service Desk"/>
    <s v="Delhi"/>
    <s v="Email"/>
    <s v="Closed"/>
    <n v="24"/>
    <n v="5.4"/>
    <n v="5"/>
    <s v="Yes"/>
    <x v="0"/>
  </r>
  <r>
    <s v="INC104068"/>
    <d v="2025-03-18T00:00:00"/>
    <d v="2025-03-18T07:21:36"/>
    <x v="1"/>
    <x v="1"/>
    <s v="Account Lock"/>
    <s v="Desktop Support"/>
    <s v="Mumbai"/>
    <s v="Portal"/>
    <s v="Closed"/>
    <n v="24"/>
    <n v="7.36"/>
    <n v="5"/>
    <s v="No"/>
    <x v="0"/>
  </r>
  <r>
    <s v="INC104069"/>
    <d v="2025-05-14T00:00:00"/>
    <d v="2025-05-14T14:09:00"/>
    <x v="1"/>
    <x v="3"/>
    <s v="Peripheral"/>
    <s v="Service Desk"/>
    <s v="Delhi"/>
    <s v="Portal"/>
    <s v="Resolved"/>
    <n v="24"/>
    <n v="14.15"/>
    <n v="3.8"/>
    <s v="No"/>
    <x v="0"/>
  </r>
  <r>
    <s v="INC104070"/>
    <d v="2025-01-19T00:00:00"/>
    <d v="2025-01-19T02:01:48"/>
    <x v="3"/>
    <x v="0"/>
    <s v="License"/>
    <s v="Service Desk"/>
    <s v="Hyderabad"/>
    <s v="Phone"/>
    <s v="Pending"/>
    <n v="8"/>
    <n v="2.0299999999999998"/>
    <n v="5"/>
    <s v="No"/>
    <x v="0"/>
  </r>
  <r>
    <s v="INC104071"/>
    <d v="2025-01-18T00:00:00"/>
    <d v="2025-01-18T19:34:47"/>
    <x v="1"/>
    <x v="1"/>
    <s v="Password Reset"/>
    <s v="Desktop Support"/>
    <s v="Hyderabad"/>
    <s v="Email"/>
    <s v="Resolved"/>
    <n v="24"/>
    <n v="19.579999999999998"/>
    <n v="4.3"/>
    <s v="No"/>
    <x v="0"/>
  </r>
  <r>
    <s v="INC104072"/>
    <d v="2025-05-22T00:00:00"/>
    <d v="2025-05-22T03:04:48"/>
    <x v="1"/>
    <x v="4"/>
    <s v="Delivery"/>
    <s v="Application Support"/>
    <s v="Hyderabad"/>
    <s v="Portal"/>
    <s v="Resolved"/>
    <n v="24"/>
    <n v="3.08"/>
    <n v="5"/>
    <s v="No"/>
    <x v="0"/>
  </r>
  <r>
    <s v="INC104073"/>
    <d v="2025-05-31T00:00:00"/>
    <d v="2025-05-31T06:09:36"/>
    <x v="1"/>
    <x v="3"/>
    <s v="Monitor"/>
    <s v="Network Support"/>
    <s v="Noida"/>
    <s v="Portal"/>
    <s v="Closed"/>
    <n v="24"/>
    <n v="6.16"/>
    <n v="5"/>
    <s v="No"/>
    <x v="0"/>
  </r>
  <r>
    <s v="INC104074"/>
    <d v="2025-06-20T00:00:00"/>
    <d v="2025-06-21T16:33:00"/>
    <x v="1"/>
    <x v="4"/>
    <s v="Spam"/>
    <s v="Access Management"/>
    <s v="Mumbai"/>
    <s v="Phone"/>
    <s v="In Progress"/>
    <n v="24"/>
    <n v="40.549999999999997"/>
    <n v="2.2999999999999998"/>
    <s v="No"/>
    <x v="1"/>
  </r>
  <r>
    <s v="INC104075"/>
    <d v="2025-02-28T00:00:00"/>
    <d v="2025-02-28T07:09:36"/>
    <x v="1"/>
    <x v="1"/>
    <s v="Permission"/>
    <s v="Network Support"/>
    <s v="Delhi"/>
    <s v="Portal"/>
    <s v="Resolved"/>
    <n v="24"/>
    <n v="7.16"/>
    <n v="4.4000000000000004"/>
    <s v="Yes"/>
    <x v="0"/>
  </r>
  <r>
    <s v="INC104076"/>
    <d v="2025-01-05T00:00:00"/>
    <d v="2025-01-05T12:27:36"/>
    <x v="1"/>
    <x v="2"/>
    <s v="DNS"/>
    <s v="Network Support"/>
    <s v="Gurugram"/>
    <s v="Email"/>
    <s v="Resolved"/>
    <n v="24"/>
    <n v="12.46"/>
    <n v="4.8"/>
    <s v="No"/>
    <x v="0"/>
  </r>
  <r>
    <s v="INC104077"/>
    <d v="2025-06-27T00:00:00"/>
    <d v="2025-06-27T13:16:48"/>
    <x v="1"/>
    <x v="3"/>
    <s v="Printer"/>
    <s v="Application Support"/>
    <s v="Delhi"/>
    <s v="Email"/>
    <s v="Closed"/>
    <n v="24"/>
    <n v="13.28"/>
    <n v="3.8"/>
    <s v="No"/>
    <x v="0"/>
  </r>
  <r>
    <s v="INC104078"/>
    <d v="2025-04-19T00:00:00"/>
    <d v="2025-04-19T01:39:36"/>
    <x v="3"/>
    <x v="2"/>
    <s v="DNS"/>
    <s v="Network Support"/>
    <s v="Delhi"/>
    <s v="Portal"/>
    <s v="Closed"/>
    <n v="8"/>
    <n v="1.66"/>
    <n v="4.5"/>
    <s v="No"/>
    <x v="0"/>
  </r>
  <r>
    <s v="INC104079"/>
    <d v="2025-02-14T00:00:00"/>
    <d v="2025-02-14T01:06:00"/>
    <x v="2"/>
    <x v="0"/>
    <s v="License"/>
    <s v="Application Support"/>
    <s v="Noida"/>
    <s v="Email"/>
    <s v="Resolved"/>
    <n v="4"/>
    <n v="1.1000000000000001"/>
    <n v="5"/>
    <s v="No"/>
    <x v="0"/>
  </r>
  <r>
    <s v="INC104080"/>
    <d v="2025-05-19T00:00:00"/>
    <d v="2025-05-19T02:46:12"/>
    <x v="2"/>
    <x v="0"/>
    <s v="License"/>
    <s v="Application Support"/>
    <s v="Bengaluru"/>
    <s v="Email"/>
    <s v="Pending"/>
    <n v="4"/>
    <n v="2.77"/>
    <n v="4.4000000000000004"/>
    <s v="No"/>
    <x v="0"/>
  </r>
  <r>
    <s v="INC104081"/>
    <d v="2025-06-13T00:00:00"/>
    <d v="2025-06-13T02:24:00"/>
    <x v="3"/>
    <x v="0"/>
    <s v="License"/>
    <s v="Desktop Support"/>
    <s v="Hyderabad"/>
    <s v="Email"/>
    <s v="Resolved"/>
    <n v="8"/>
    <n v="2.4"/>
    <n v="4.7"/>
    <s v="No"/>
    <x v="0"/>
  </r>
  <r>
    <s v="INC104082"/>
    <d v="2025-02-21T00:00:00"/>
    <d v="2025-02-21T06:51:36"/>
    <x v="1"/>
    <x v="1"/>
    <s v="VPN Access"/>
    <s v="Desktop Support"/>
    <s v="Delhi"/>
    <s v="Chat"/>
    <s v="Closed"/>
    <n v="24"/>
    <n v="6.86"/>
    <n v="4.7"/>
    <s v="Yes"/>
    <x v="0"/>
  </r>
  <r>
    <s v="INC104083"/>
    <d v="2025-05-20T00:00:00"/>
    <d v="2025-05-20T02:11:24"/>
    <x v="3"/>
    <x v="3"/>
    <s v="Monitor"/>
    <s v="Access Management"/>
    <s v="Noida"/>
    <s v="Email"/>
    <s v="In Progress"/>
    <n v="8"/>
    <n v="2.19"/>
    <n v="4.5999999999999996"/>
    <s v="No"/>
    <x v="0"/>
  </r>
  <r>
    <s v="INC104084"/>
    <d v="2025-05-23T00:00:00"/>
    <d v="2025-05-25T13:57:00"/>
    <x v="0"/>
    <x v="3"/>
    <s v="Peripheral"/>
    <s v="Application Support"/>
    <s v="Mumbai"/>
    <s v="Portal"/>
    <s v="Resolved"/>
    <n v="48"/>
    <n v="61.95"/>
    <n v="4"/>
    <s v="No"/>
    <x v="1"/>
  </r>
  <r>
    <s v="INC104085"/>
    <d v="2025-04-01T00:00:00"/>
    <d v="2025-04-02T02:46:12"/>
    <x v="1"/>
    <x v="1"/>
    <s v="VPN Access"/>
    <s v="Application Support"/>
    <s v="Gurugram"/>
    <s v="Portal"/>
    <s v="Resolved"/>
    <n v="24"/>
    <n v="26.77"/>
    <n v="5"/>
    <s v="No"/>
    <x v="1"/>
  </r>
  <r>
    <s v="INC104086"/>
    <d v="2025-04-25T00:00:00"/>
    <d v="2025-04-26T04:39:00"/>
    <x v="0"/>
    <x v="4"/>
    <s v="Delivery"/>
    <s v="Network Support"/>
    <s v="Mumbai"/>
    <s v="Email"/>
    <s v="Resolved"/>
    <n v="48"/>
    <n v="28.65"/>
    <n v="4.5"/>
    <s v="Yes"/>
    <x v="0"/>
  </r>
  <r>
    <s v="INC104087"/>
    <d v="2025-02-18T00:00:00"/>
    <d v="2025-02-18T21:51:00"/>
    <x v="0"/>
    <x v="1"/>
    <s v="Permission"/>
    <s v="Desktop Support"/>
    <s v="Bengaluru"/>
    <s v="Portal"/>
    <s v="Closed"/>
    <n v="48"/>
    <n v="21.85"/>
    <n v="5"/>
    <s v="No"/>
    <x v="0"/>
  </r>
  <r>
    <s v="INC104088"/>
    <d v="2025-06-18T00:00:00"/>
    <d v="2025-06-18T02:17:23"/>
    <x v="2"/>
    <x v="2"/>
    <s v="DNS"/>
    <s v="Network Support"/>
    <s v="Bengaluru"/>
    <s v="Phone"/>
    <s v="Resolved"/>
    <n v="4"/>
    <n v="2.29"/>
    <n v="4"/>
    <s v="No"/>
    <x v="0"/>
  </r>
  <r>
    <s v="INC104089"/>
    <d v="2025-06-27T00:00:00"/>
    <d v="2025-06-27T05:49:48"/>
    <x v="3"/>
    <x v="2"/>
    <s v="Connectivity"/>
    <s v="Service Desk"/>
    <s v="Delhi"/>
    <s v="Portal"/>
    <s v="Closed"/>
    <n v="8"/>
    <n v="5.83"/>
    <n v="3.7"/>
    <s v="No"/>
    <x v="0"/>
  </r>
  <r>
    <s v="INC104090"/>
    <d v="2025-06-27T00:00:00"/>
    <d v="2025-06-27T17:34:47"/>
    <x v="1"/>
    <x v="2"/>
    <s v="Connectivity"/>
    <s v="Application Support"/>
    <s v="Gurugram"/>
    <s v="Portal"/>
    <s v="Resolved"/>
    <n v="24"/>
    <n v="17.579999999999998"/>
    <n v="3.6"/>
    <s v="No"/>
    <x v="0"/>
  </r>
  <r>
    <s v="INC104091"/>
    <d v="2025-05-14T00:00:00"/>
    <d v="2025-05-14T14:33:36"/>
    <x v="0"/>
    <x v="3"/>
    <s v="Peripheral"/>
    <s v="Desktop Support"/>
    <s v="Hyderabad"/>
    <s v="Portal"/>
    <s v="Resolved"/>
    <n v="48"/>
    <n v="14.56"/>
    <n v="4"/>
    <s v="No"/>
    <x v="0"/>
  </r>
  <r>
    <s v="INC104092"/>
    <d v="2025-01-08T00:00:00"/>
    <d v="2025-01-08T09:17:23"/>
    <x v="1"/>
    <x v="2"/>
    <s v="Packet Loss"/>
    <s v="Access Management"/>
    <s v="Hyderabad"/>
    <s v="Phone"/>
    <s v="Resolved"/>
    <n v="24"/>
    <n v="9.2899999999999991"/>
    <n v="4.3"/>
    <s v="No"/>
    <x v="0"/>
  </r>
  <r>
    <s v="INC104093"/>
    <d v="2025-03-08T00:00:00"/>
    <d v="2025-03-08T08:32:24"/>
    <x v="1"/>
    <x v="4"/>
    <s v="Delivery"/>
    <s v="Access Management"/>
    <s v="Noida"/>
    <s v="Email"/>
    <s v="Resolved"/>
    <n v="24"/>
    <n v="8.5399999999999991"/>
    <n v="5"/>
    <s v="No"/>
    <x v="0"/>
  </r>
  <r>
    <s v="INC104094"/>
    <d v="2025-03-22T00:00:00"/>
    <d v="2025-03-22T05:04:48"/>
    <x v="3"/>
    <x v="0"/>
    <s v="Performance"/>
    <s v="Network Support"/>
    <s v="Bengaluru"/>
    <s v="Email"/>
    <s v="Resolved"/>
    <n v="8"/>
    <n v="5.08"/>
    <n v="4.9000000000000004"/>
    <s v="Yes"/>
    <x v="0"/>
  </r>
  <r>
    <s v="INC104095"/>
    <d v="2025-06-23T00:00:00"/>
    <d v="2025-06-23T04:59:24"/>
    <x v="2"/>
    <x v="3"/>
    <s v="Printer"/>
    <s v="Access Management"/>
    <s v="Bengaluru"/>
    <s v="Portal"/>
    <s v="In Progress"/>
    <n v="4"/>
    <n v="4.99"/>
    <n v="3.2"/>
    <s v="No"/>
    <x v="1"/>
  </r>
  <r>
    <s v="INC104096"/>
    <d v="2025-04-10T00:00:00"/>
    <d v="2025-04-10T12:31:12"/>
    <x v="1"/>
    <x v="2"/>
    <s v="Connectivity"/>
    <s v="Access Management"/>
    <s v="Bengaluru"/>
    <s v="Chat"/>
    <s v="Closed"/>
    <n v="24"/>
    <n v="12.52"/>
    <n v="4.2"/>
    <s v="No"/>
    <x v="0"/>
  </r>
  <r>
    <s v="INC104097"/>
    <d v="2025-04-08T00:00:00"/>
    <d v="2025-04-09T02:51:36"/>
    <x v="0"/>
    <x v="3"/>
    <s v="Monitor"/>
    <s v="Network Support"/>
    <s v="Mumbai"/>
    <s v="Phone"/>
    <s v="Resolved"/>
    <n v="48"/>
    <n v="26.86"/>
    <n v="4.3"/>
    <s v="No"/>
    <x v="0"/>
  </r>
  <r>
    <s v="INC104098"/>
    <d v="2025-01-27T00:00:00"/>
    <d v="2025-01-27T12:11:24"/>
    <x v="0"/>
    <x v="3"/>
    <s v="Laptop"/>
    <s v="Service Desk"/>
    <s v="Bengaluru"/>
    <s v="Portal"/>
    <s v="Pending"/>
    <n v="48"/>
    <n v="12.19"/>
    <n v="4.8"/>
    <s v="No"/>
    <x v="0"/>
  </r>
  <r>
    <s v="INC104099"/>
    <d v="2025-05-24T00:00:00"/>
    <d v="2025-05-24T05:10:12"/>
    <x v="0"/>
    <x v="0"/>
    <s v="Installation"/>
    <s v="Access Management"/>
    <s v="Delhi"/>
    <s v="Phone"/>
    <s v="Resolved"/>
    <n v="48"/>
    <n v="5.17"/>
    <n v="5"/>
    <s v="No"/>
    <x v="0"/>
  </r>
  <r>
    <s v="INC104100"/>
    <d v="2025-03-02T00:00:00"/>
    <d v="2025-03-02T09:04:12"/>
    <x v="1"/>
    <x v="2"/>
    <s v="Connectivity"/>
    <s v="Network Support"/>
    <s v="Delhi"/>
    <s v="Chat"/>
    <s v="Pending"/>
    <n v="24"/>
    <n v="9.07"/>
    <n v="4.3"/>
    <s v="No"/>
    <x v="0"/>
  </r>
  <r>
    <s v="INC104101"/>
    <d v="2025-01-17T00:00:00"/>
    <d v="2025-01-18T16:27:00"/>
    <x v="0"/>
    <x v="1"/>
    <s v="VPN Access"/>
    <s v="Network Support"/>
    <s v="Hyderabad"/>
    <s v="Portal"/>
    <s v="Resolved"/>
    <n v="48"/>
    <n v="40.450000000000003"/>
    <n v="3.9"/>
    <s v="No"/>
    <x v="0"/>
  </r>
  <r>
    <s v="INC104102"/>
    <d v="2025-06-28T00:00:00"/>
    <d v="2025-06-28T12:25:48"/>
    <x v="0"/>
    <x v="2"/>
    <s v="Link Down"/>
    <s v="Desktop Support"/>
    <s v="Mumbai"/>
    <s v="Portal"/>
    <s v="Resolved"/>
    <n v="48"/>
    <n v="12.43"/>
    <n v="5"/>
    <s v="No"/>
    <x v="0"/>
  </r>
  <r>
    <s v="INC104103"/>
    <d v="2025-02-04T00:00:00"/>
    <d v="2025-02-04T04:03:36"/>
    <x v="0"/>
    <x v="2"/>
    <s v="Packet Loss"/>
    <s v="Access Management"/>
    <s v="Gurugram"/>
    <s v="Email"/>
    <s v="In Progress"/>
    <n v="48"/>
    <n v="4.0599999999999996"/>
    <n v="4.7"/>
    <s v="No"/>
    <x v="0"/>
  </r>
  <r>
    <s v="INC104104"/>
    <d v="2025-01-03T00:00:00"/>
    <d v="2025-01-04T12:07:12"/>
    <x v="0"/>
    <x v="4"/>
    <s v="Mailbox"/>
    <s v="Service Desk"/>
    <s v="Delhi"/>
    <s v="Portal"/>
    <s v="Resolved"/>
    <n v="48"/>
    <n v="36.119999999999997"/>
    <n v="3.7"/>
    <s v="No"/>
    <x v="0"/>
  </r>
  <r>
    <s v="INC104105"/>
    <d v="2025-01-15T00:00:00"/>
    <d v="2025-01-15T05:34:11"/>
    <x v="3"/>
    <x v="2"/>
    <s v="Connectivity"/>
    <s v="Application Support"/>
    <s v="Gurugram"/>
    <s v="Phone"/>
    <s v="In Progress"/>
    <n v="8"/>
    <n v="5.57"/>
    <n v="4.0999999999999996"/>
    <s v="No"/>
    <x v="0"/>
  </r>
  <r>
    <s v="INC104106"/>
    <d v="2025-03-23T00:00:00"/>
    <d v="2025-03-23T15:03:00"/>
    <x v="0"/>
    <x v="2"/>
    <s v="Link Down"/>
    <s v="Application Support"/>
    <s v="Bengaluru"/>
    <s v="Email"/>
    <s v="Closed"/>
    <n v="48"/>
    <n v="15.05"/>
    <n v="4.7"/>
    <s v="No"/>
    <x v="0"/>
  </r>
  <r>
    <s v="INC104107"/>
    <d v="2025-01-19T00:00:00"/>
    <d v="2025-01-19T02:15:36"/>
    <x v="3"/>
    <x v="0"/>
    <s v="License"/>
    <s v="Network Support"/>
    <s v="Bengaluru"/>
    <s v="Portal"/>
    <s v="Resolved"/>
    <n v="8"/>
    <n v="2.2599999999999998"/>
    <n v="3.7"/>
    <s v="No"/>
    <x v="0"/>
  </r>
  <r>
    <s v="INC104108"/>
    <d v="2025-06-02T00:00:00"/>
    <d v="2025-06-02T19:21:00"/>
    <x v="0"/>
    <x v="3"/>
    <s v="Peripheral"/>
    <s v="Service Desk"/>
    <s v="Gurugram"/>
    <s v="Portal"/>
    <s v="Resolved"/>
    <n v="48"/>
    <n v="19.350000000000001"/>
    <n v="4.2"/>
    <s v="No"/>
    <x v="0"/>
  </r>
  <r>
    <s v="INC104109"/>
    <d v="2025-04-03T00:00:00"/>
    <d v="2025-04-03T16:00:36"/>
    <x v="0"/>
    <x v="2"/>
    <s v="Packet Loss"/>
    <s v="Application Support"/>
    <s v="Gurugram"/>
    <s v="Email"/>
    <s v="Resolved"/>
    <n v="48"/>
    <n v="16.010000000000002"/>
    <n v="4.9000000000000004"/>
    <s v="No"/>
    <x v="0"/>
  </r>
  <r>
    <s v="INC104110"/>
    <d v="2025-02-28T00:00:00"/>
    <d v="2025-03-02T22:21:00"/>
    <x v="0"/>
    <x v="2"/>
    <s v="Packet Loss"/>
    <s v="Desktop Support"/>
    <s v="Gurugram"/>
    <s v="Portal"/>
    <s v="Resolved"/>
    <n v="48"/>
    <n v="70.349999999999994"/>
    <n v="4.5"/>
    <s v="No"/>
    <x v="1"/>
  </r>
  <r>
    <s v="INC104111"/>
    <d v="2025-01-01T00:00:00"/>
    <d v="2025-01-01T09:27:00"/>
    <x v="1"/>
    <x v="2"/>
    <s v="Packet Loss"/>
    <s v="Service Desk"/>
    <s v="Noida"/>
    <s v="Portal"/>
    <s v="Resolved"/>
    <n v="24"/>
    <n v="9.4499999999999993"/>
    <n v="4.2"/>
    <s v="No"/>
    <x v="0"/>
  </r>
  <r>
    <s v="INC104112"/>
    <d v="2025-03-28T00:00:00"/>
    <d v="2025-03-29T07:39:00"/>
    <x v="0"/>
    <x v="0"/>
    <s v="Performance"/>
    <s v="Service Desk"/>
    <s v="Gurugram"/>
    <s v="Portal"/>
    <s v="Resolved"/>
    <n v="48"/>
    <n v="31.65"/>
    <n v="4.7"/>
    <s v="Yes"/>
    <x v="0"/>
  </r>
  <r>
    <s v="INC104113"/>
    <d v="2025-01-28T00:00:00"/>
    <d v="2025-01-28T10:39:00"/>
    <x v="1"/>
    <x v="2"/>
    <s v="Packet Loss"/>
    <s v="Desktop Support"/>
    <s v="Noida"/>
    <s v="Phone"/>
    <s v="Resolved"/>
    <n v="24"/>
    <n v="10.65"/>
    <n v="4.5999999999999996"/>
    <s v="No"/>
    <x v="0"/>
  </r>
  <r>
    <s v="INC104114"/>
    <d v="2025-06-27T00:00:00"/>
    <d v="2025-06-28T08:28:12"/>
    <x v="0"/>
    <x v="1"/>
    <s v="Password Reset"/>
    <s v="Access Management"/>
    <s v="Delhi"/>
    <s v="Portal"/>
    <s v="Resolved"/>
    <n v="48"/>
    <n v="32.47"/>
    <n v="4.9000000000000004"/>
    <s v="No"/>
    <x v="0"/>
  </r>
  <r>
    <s v="INC104115"/>
    <d v="2025-02-22T00:00:00"/>
    <d v="2025-02-22T01:17:23"/>
    <x v="2"/>
    <x v="1"/>
    <s v="Account Lock"/>
    <s v="Desktop Support"/>
    <s v="Hyderabad"/>
    <s v="Portal"/>
    <s v="Resolved"/>
    <n v="4"/>
    <n v="1.29"/>
    <n v="4.2"/>
    <s v="No"/>
    <x v="0"/>
  </r>
  <r>
    <s v="INC104116"/>
    <d v="2025-03-27T00:00:00"/>
    <d v="2025-03-27T15:01:12"/>
    <x v="0"/>
    <x v="2"/>
    <s v="DNS"/>
    <s v="Access Management"/>
    <s v="Hyderabad"/>
    <s v="Phone"/>
    <s v="Resolved"/>
    <n v="48"/>
    <n v="15.02"/>
    <n v="5"/>
    <s v="No"/>
    <x v="0"/>
  </r>
  <r>
    <s v="INC104117"/>
    <d v="2025-01-04T00:00:00"/>
    <d v="2025-01-04T12:27:00"/>
    <x v="1"/>
    <x v="3"/>
    <s v="Monitor"/>
    <s v="Application Support"/>
    <s v="Noida"/>
    <s v="Portal"/>
    <s v="Resolved"/>
    <n v="24"/>
    <n v="12.45"/>
    <n v="5"/>
    <s v="No"/>
    <x v="0"/>
  </r>
  <r>
    <s v="INC104118"/>
    <d v="2025-01-24T00:00:00"/>
    <d v="2025-01-24T02:13:12"/>
    <x v="3"/>
    <x v="2"/>
    <s v="Connectivity"/>
    <s v="Desktop Support"/>
    <s v="Mumbai"/>
    <s v="Email"/>
    <s v="In Progress"/>
    <n v="8"/>
    <n v="2.2200000000000002"/>
    <n v="5"/>
    <s v="No"/>
    <x v="0"/>
  </r>
  <r>
    <s v="INC104119"/>
    <d v="2025-02-07T00:00:00"/>
    <d v="2025-02-07T18:09:00"/>
    <x v="0"/>
    <x v="3"/>
    <s v="Printer"/>
    <s v="Application Support"/>
    <s v="Bengaluru"/>
    <s v="Portal"/>
    <s v="Closed"/>
    <n v="48"/>
    <n v="18.149999999999999"/>
    <n v="5"/>
    <s v="No"/>
    <x v="0"/>
  </r>
  <r>
    <s v="INC104120"/>
    <d v="2025-01-10T00:00:00"/>
    <d v="2025-01-11T15:12:00"/>
    <x v="0"/>
    <x v="2"/>
    <s v="Link Down"/>
    <s v="Desktop Support"/>
    <s v="Delhi"/>
    <s v="Phone"/>
    <s v="Resolved"/>
    <n v="48"/>
    <n v="39.200000000000003"/>
    <n v="4.0999999999999996"/>
    <s v="No"/>
    <x v="0"/>
  </r>
  <r>
    <s v="INC104121"/>
    <d v="2025-05-12T00:00:00"/>
    <d v="2025-05-12T09:08:24"/>
    <x v="3"/>
    <x v="1"/>
    <s v="Permission"/>
    <s v="Application Support"/>
    <s v="Gurugram"/>
    <s v="Portal"/>
    <s v="Closed"/>
    <n v="8"/>
    <n v="9.14"/>
    <n v="4"/>
    <s v="No"/>
    <x v="1"/>
  </r>
  <r>
    <s v="INC104122"/>
    <d v="2025-06-21T00:00:00"/>
    <d v="2025-06-24T13:59:24"/>
    <x v="0"/>
    <x v="3"/>
    <s v="Printer"/>
    <s v="Access Management"/>
    <s v="Delhi"/>
    <s v="Portal"/>
    <s v="Resolved"/>
    <n v="48"/>
    <n v="85.99"/>
    <n v="2.6"/>
    <s v="No"/>
    <x v="1"/>
  </r>
  <r>
    <s v="INC104123"/>
    <d v="2025-06-28T00:00:00"/>
    <d v="2025-06-29T13:03:00"/>
    <x v="0"/>
    <x v="0"/>
    <s v="Performance"/>
    <s v="Application Support"/>
    <s v="Mumbai"/>
    <s v="Portal"/>
    <s v="Resolved"/>
    <n v="48"/>
    <n v="37.049999999999997"/>
    <n v="2.6"/>
    <s v="No"/>
    <x v="0"/>
  </r>
  <r>
    <s v="INC104124"/>
    <d v="2025-02-18T00:00:00"/>
    <d v="2025-02-18T15:15:36"/>
    <x v="1"/>
    <x v="0"/>
    <s v="License"/>
    <s v="Network Support"/>
    <s v="Mumbai"/>
    <s v="Chat"/>
    <s v="Resolved"/>
    <n v="24"/>
    <n v="15.26"/>
    <n v="4.4000000000000004"/>
    <s v="No"/>
    <x v="0"/>
  </r>
  <r>
    <s v="INC104125"/>
    <d v="2025-05-23T00:00:00"/>
    <d v="2025-05-23T11:01:12"/>
    <x v="0"/>
    <x v="1"/>
    <s v="Permission"/>
    <s v="Network Support"/>
    <s v="Bengaluru"/>
    <s v="Phone"/>
    <s v="Resolved"/>
    <n v="48"/>
    <n v="11.02"/>
    <n v="4.5999999999999996"/>
    <s v="No"/>
    <x v="0"/>
  </r>
  <r>
    <s v="INC104126"/>
    <d v="2025-04-02T00:00:00"/>
    <d v="2025-04-02T08:25:48"/>
    <x v="3"/>
    <x v="3"/>
    <s v="Peripheral"/>
    <s v="Access Management"/>
    <s v="Delhi"/>
    <s v="Portal"/>
    <s v="In Progress"/>
    <n v="8"/>
    <n v="8.43"/>
    <n v="4.4000000000000004"/>
    <s v="No"/>
    <x v="1"/>
  </r>
  <r>
    <s v="INC104127"/>
    <d v="2025-01-09T00:00:00"/>
    <d v="2025-01-10T10:07:48"/>
    <x v="1"/>
    <x v="2"/>
    <s v="Connectivity"/>
    <s v="Access Management"/>
    <s v="Gurugram"/>
    <s v="Portal"/>
    <s v="Resolved"/>
    <n v="24"/>
    <n v="34.130000000000003"/>
    <n v="3.9"/>
    <s v="No"/>
    <x v="1"/>
  </r>
  <r>
    <s v="INC104128"/>
    <d v="2025-01-17T00:00:00"/>
    <d v="2025-01-17T08:43:48"/>
    <x v="1"/>
    <x v="4"/>
    <s v="Configuration"/>
    <s v="Desktop Support"/>
    <s v="Noida"/>
    <s v="Portal"/>
    <s v="Closed"/>
    <n v="24"/>
    <n v="8.73"/>
    <n v="3.9"/>
    <s v="No"/>
    <x v="0"/>
  </r>
  <r>
    <s v="INC104129"/>
    <d v="2025-04-10T00:00:00"/>
    <d v="2025-04-13T09:15:36"/>
    <x v="0"/>
    <x v="3"/>
    <s v="Monitor"/>
    <s v="Service Desk"/>
    <s v="Delhi"/>
    <s v="Portal"/>
    <s v="Resolved"/>
    <n v="48"/>
    <n v="81.260000000000005"/>
    <n v="4.5"/>
    <s v="No"/>
    <x v="1"/>
  </r>
  <r>
    <s v="INC104130"/>
    <d v="2025-03-18T00:00:00"/>
    <d v="2025-03-19T03:06:36"/>
    <x v="1"/>
    <x v="0"/>
    <s v="Performance"/>
    <s v="Access Management"/>
    <s v="Delhi"/>
    <s v="Portal"/>
    <s v="Resolved"/>
    <n v="24"/>
    <n v="27.11"/>
    <n v="3.9"/>
    <s v="Yes"/>
    <x v="1"/>
  </r>
  <r>
    <s v="INC104131"/>
    <d v="2025-01-02T00:00:00"/>
    <d v="2025-01-02T18:41:24"/>
    <x v="1"/>
    <x v="0"/>
    <s v="Application Error"/>
    <s v="Desktop Support"/>
    <s v="Gurugram"/>
    <s v="Phone"/>
    <s v="Resolved"/>
    <n v="24"/>
    <n v="18.690000000000001"/>
    <n v="3.2"/>
    <s v="No"/>
    <x v="0"/>
  </r>
  <r>
    <s v="INC104132"/>
    <d v="2025-06-18T00:00:00"/>
    <d v="2025-06-18T21:46:12"/>
    <x v="0"/>
    <x v="0"/>
    <s v="Performance"/>
    <s v="Service Desk"/>
    <s v="Bengaluru"/>
    <s v="Portal"/>
    <s v="Resolved"/>
    <n v="48"/>
    <n v="21.77"/>
    <n v="3.7"/>
    <s v="No"/>
    <x v="0"/>
  </r>
  <r>
    <s v="INC104133"/>
    <d v="2025-05-13T00:00:00"/>
    <d v="2025-05-13T01:20:24"/>
    <x v="3"/>
    <x v="2"/>
    <s v="Connectivity"/>
    <s v="Service Desk"/>
    <s v="Delhi"/>
    <s v="Phone"/>
    <s v="Resolved"/>
    <n v="8"/>
    <n v="1.34"/>
    <n v="3.4"/>
    <s v="No"/>
    <x v="0"/>
  </r>
  <r>
    <s v="INC104134"/>
    <d v="2025-04-01T00:00:00"/>
    <d v="2025-04-02T11:16:12"/>
    <x v="1"/>
    <x v="2"/>
    <s v="Packet Loss"/>
    <s v="Service Desk"/>
    <s v="Hyderabad"/>
    <s v="Portal"/>
    <s v="Resolved"/>
    <n v="24"/>
    <n v="35.270000000000003"/>
    <n v="3.7"/>
    <s v="No"/>
    <x v="1"/>
  </r>
  <r>
    <s v="INC104135"/>
    <d v="2025-06-28T00:00:00"/>
    <d v="2025-06-28T01:12:00"/>
    <x v="3"/>
    <x v="0"/>
    <s v="Application Error"/>
    <s v="Service Desk"/>
    <s v="Noida"/>
    <s v="Phone"/>
    <s v="Resolved"/>
    <n v="8"/>
    <n v="1.2"/>
    <n v="4.5"/>
    <s v="No"/>
    <x v="0"/>
  </r>
  <r>
    <s v="INC104136"/>
    <d v="2025-06-25T00:00:00"/>
    <d v="2025-06-28T00:44:24"/>
    <x v="0"/>
    <x v="0"/>
    <s v="Application Error"/>
    <s v="Service Desk"/>
    <s v="Gurugram"/>
    <s v="Portal"/>
    <s v="In Progress"/>
    <n v="48"/>
    <n v="72.739999999999995"/>
    <n v="2.6"/>
    <s v="No"/>
    <x v="1"/>
  </r>
  <r>
    <s v="INC104137"/>
    <d v="2025-06-26T00:00:00"/>
    <d v="2025-06-29T06:15:36"/>
    <x v="0"/>
    <x v="1"/>
    <s v="Password Reset"/>
    <s v="Application Support"/>
    <s v="Delhi"/>
    <s v="Portal"/>
    <s v="Closed"/>
    <n v="48"/>
    <n v="78.260000000000005"/>
    <n v="2.6"/>
    <s v="No"/>
    <x v="1"/>
  </r>
  <r>
    <s v="INC104138"/>
    <d v="2025-02-16T00:00:00"/>
    <d v="2025-02-16T05:36:00"/>
    <x v="1"/>
    <x v="0"/>
    <s v="Installation"/>
    <s v="Network Support"/>
    <s v="Hyderabad"/>
    <s v="Phone"/>
    <s v="In Progress"/>
    <n v="24"/>
    <n v="5.6"/>
    <n v="4.5"/>
    <s v="No"/>
    <x v="0"/>
  </r>
  <r>
    <s v="INC104139"/>
    <d v="2025-06-09T00:00:00"/>
    <d v="2025-06-09T01:11:24"/>
    <x v="3"/>
    <x v="4"/>
    <s v="Configuration"/>
    <s v="Service Desk"/>
    <s v="Bengaluru"/>
    <s v="Portal"/>
    <s v="In Progress"/>
    <n v="8"/>
    <n v="1.19"/>
    <n v="5"/>
    <s v="No"/>
    <x v="0"/>
  </r>
  <r>
    <s v="INC104140"/>
    <d v="2025-04-02T00:00:00"/>
    <d v="2025-04-02T08:30:36"/>
    <x v="1"/>
    <x v="4"/>
    <s v="Configuration"/>
    <s v="Network Support"/>
    <s v="Hyderabad"/>
    <s v="Phone"/>
    <s v="Resolved"/>
    <n v="24"/>
    <n v="8.51"/>
    <n v="3.5"/>
    <s v="Yes"/>
    <x v="0"/>
  </r>
  <r>
    <s v="INC104141"/>
    <d v="2025-05-12T00:00:00"/>
    <d v="2025-05-12T22:59:24"/>
    <x v="0"/>
    <x v="1"/>
    <s v="Password Reset"/>
    <s v="Application Support"/>
    <s v="Mumbai"/>
    <s v="Phone"/>
    <s v="In Progress"/>
    <n v="48"/>
    <n v="22.99"/>
    <n v="3.7"/>
    <s v="No"/>
    <x v="0"/>
  </r>
  <r>
    <s v="INC104142"/>
    <d v="2025-06-05T00:00:00"/>
    <d v="2025-06-05T02:38:24"/>
    <x v="3"/>
    <x v="2"/>
    <s v="DNS"/>
    <s v="Access Management"/>
    <s v="Hyderabad"/>
    <s v="Chat"/>
    <s v="Pending"/>
    <n v="8"/>
    <n v="2.64"/>
    <n v="4.9000000000000004"/>
    <s v="No"/>
    <x v="0"/>
  </r>
  <r>
    <s v="INC104143"/>
    <d v="2025-01-30T00:00:00"/>
    <d v="2025-01-30T16:47:24"/>
    <x v="0"/>
    <x v="3"/>
    <s v="Printer"/>
    <s v="Application Support"/>
    <s v="Hyderabad"/>
    <s v="Phone"/>
    <s v="Resolved"/>
    <n v="48"/>
    <n v="16.79"/>
    <n v="4.2"/>
    <s v="No"/>
    <x v="0"/>
  </r>
  <r>
    <s v="INC104144"/>
    <d v="2025-03-23T00:00:00"/>
    <d v="2025-03-23T11:49:48"/>
    <x v="1"/>
    <x v="0"/>
    <s v="Installation"/>
    <s v="Service Desk"/>
    <s v="Mumbai"/>
    <s v="Portal"/>
    <s v="Closed"/>
    <n v="24"/>
    <n v="11.83"/>
    <n v="4.8"/>
    <s v="Yes"/>
    <x v="0"/>
  </r>
  <r>
    <s v="INC104145"/>
    <d v="2025-01-24T00:00:00"/>
    <d v="2025-01-25T10:22:12"/>
    <x v="1"/>
    <x v="0"/>
    <s v="License"/>
    <s v="Desktop Support"/>
    <s v="Hyderabad"/>
    <s v="Portal"/>
    <s v="Resolved"/>
    <n v="24"/>
    <n v="34.369999999999997"/>
    <n v="3"/>
    <s v="No"/>
    <x v="1"/>
  </r>
  <r>
    <s v="INC104146"/>
    <d v="2025-02-20T00:00:00"/>
    <d v="2025-02-20T21:22:48"/>
    <x v="0"/>
    <x v="2"/>
    <s v="Connectivity"/>
    <s v="Network Support"/>
    <s v="Hyderabad"/>
    <s v="Email"/>
    <s v="Resolved"/>
    <n v="48"/>
    <n v="21.38"/>
    <n v="5"/>
    <s v="No"/>
    <x v="0"/>
  </r>
  <r>
    <s v="INC104147"/>
    <d v="2025-03-16T00:00:00"/>
    <d v="2025-03-17T15:33:36"/>
    <x v="0"/>
    <x v="0"/>
    <s v="Application Error"/>
    <s v="Desktop Support"/>
    <s v="Gurugram"/>
    <s v="Portal"/>
    <s v="Resolved"/>
    <n v="48"/>
    <n v="39.56"/>
    <n v="4.0999999999999996"/>
    <s v="No"/>
    <x v="0"/>
  </r>
  <r>
    <s v="INC104148"/>
    <d v="2025-06-04T00:00:00"/>
    <d v="2025-06-04T08:21:36"/>
    <x v="0"/>
    <x v="3"/>
    <s v="Laptop"/>
    <s v="Service Desk"/>
    <s v="Bengaluru"/>
    <s v="Email"/>
    <s v="Resolved"/>
    <n v="48"/>
    <n v="8.36"/>
    <n v="5"/>
    <s v="No"/>
    <x v="0"/>
  </r>
  <r>
    <s v="INC104149"/>
    <d v="2025-06-06T00:00:00"/>
    <d v="2025-06-06T04:22:12"/>
    <x v="3"/>
    <x v="3"/>
    <s v="Laptop"/>
    <s v="Desktop Support"/>
    <s v="Hyderabad"/>
    <s v="Portal"/>
    <s v="Resolved"/>
    <n v="8"/>
    <n v="4.37"/>
    <n v="4.7"/>
    <s v="No"/>
    <x v="0"/>
  </r>
  <r>
    <s v="INC104150"/>
    <d v="2025-03-12T00:00:00"/>
    <d v="2025-03-12T09:04:48"/>
    <x v="1"/>
    <x v="1"/>
    <s v="Account Lock"/>
    <s v="Desktop Support"/>
    <s v="Hyderabad"/>
    <s v="Email"/>
    <s v="Closed"/>
    <n v="24"/>
    <n v="9.08"/>
    <n v="4.9000000000000004"/>
    <s v="No"/>
    <x v="0"/>
  </r>
  <r>
    <s v="INC104151"/>
    <d v="2025-03-01T00:00:00"/>
    <d v="2025-03-01T19:19:12"/>
    <x v="1"/>
    <x v="3"/>
    <s v="Laptop"/>
    <s v="Application Support"/>
    <s v="Delhi"/>
    <s v="Portal"/>
    <s v="Resolved"/>
    <n v="24"/>
    <n v="19.32"/>
    <n v="3.5"/>
    <s v="No"/>
    <x v="0"/>
  </r>
  <r>
    <s v="INC104152"/>
    <d v="2025-04-07T00:00:00"/>
    <d v="2025-04-07T00:38:24"/>
    <x v="2"/>
    <x v="0"/>
    <s v="Application Error"/>
    <s v="Desktop Support"/>
    <s v="Delhi"/>
    <s v="Portal"/>
    <s v="Resolved"/>
    <n v="4"/>
    <n v="0.64"/>
    <n v="5"/>
    <s v="No"/>
    <x v="0"/>
  </r>
  <r>
    <s v="INC104153"/>
    <d v="2025-06-15T00:00:00"/>
    <d v="2025-06-16T05:12:00"/>
    <x v="1"/>
    <x v="0"/>
    <s v="Installation"/>
    <s v="Access Management"/>
    <s v="Gurugram"/>
    <s v="Chat"/>
    <s v="Resolved"/>
    <n v="24"/>
    <n v="29.2"/>
    <n v="3.7"/>
    <s v="No"/>
    <x v="1"/>
  </r>
  <r>
    <s v="INC104154"/>
    <d v="2025-06-26T00:00:00"/>
    <d v="2025-06-26T08:46:12"/>
    <x v="1"/>
    <x v="0"/>
    <s v="Performance"/>
    <s v="Network Support"/>
    <s v="Mumbai"/>
    <s v="Phone"/>
    <s v="Pending"/>
    <n v="24"/>
    <n v="8.77"/>
    <n v="3.9"/>
    <s v="No"/>
    <x v="0"/>
  </r>
  <r>
    <s v="INC104155"/>
    <d v="2025-02-11T00:00:00"/>
    <d v="2025-02-11T06:24:36"/>
    <x v="1"/>
    <x v="2"/>
    <s v="DNS"/>
    <s v="Access Management"/>
    <s v="Noida"/>
    <s v="Portal"/>
    <s v="Closed"/>
    <n v="24"/>
    <n v="6.41"/>
    <n v="3.3"/>
    <s v="No"/>
    <x v="0"/>
  </r>
  <r>
    <s v="INC104156"/>
    <d v="2025-02-03T00:00:00"/>
    <d v="2025-02-04T14:50:24"/>
    <x v="1"/>
    <x v="0"/>
    <s v="Application Error"/>
    <s v="Application Support"/>
    <s v="Bengaluru"/>
    <s v="Portal"/>
    <s v="Resolved"/>
    <n v="24"/>
    <n v="38.840000000000003"/>
    <n v="3.1"/>
    <s v="No"/>
    <x v="1"/>
  </r>
  <r>
    <s v="INC104157"/>
    <d v="2025-05-08T00:00:00"/>
    <d v="2025-05-08T14:49:48"/>
    <x v="1"/>
    <x v="3"/>
    <s v="Printer"/>
    <s v="Application Support"/>
    <s v="Delhi"/>
    <s v="Phone"/>
    <s v="Closed"/>
    <n v="24"/>
    <n v="14.83"/>
    <n v="5"/>
    <s v="No"/>
    <x v="0"/>
  </r>
  <r>
    <s v="INC104158"/>
    <d v="2025-02-24T00:00:00"/>
    <d v="2025-02-24T01:56:24"/>
    <x v="2"/>
    <x v="0"/>
    <s v="Application Error"/>
    <s v="Access Management"/>
    <s v="Delhi"/>
    <s v="Portal"/>
    <s v="Closed"/>
    <n v="4"/>
    <n v="1.94"/>
    <n v="3.8"/>
    <s v="No"/>
    <x v="0"/>
  </r>
  <r>
    <s v="INC104159"/>
    <d v="2025-02-06T00:00:00"/>
    <d v="2025-02-06T01:16:12"/>
    <x v="3"/>
    <x v="2"/>
    <s v="DNS"/>
    <s v="Network Support"/>
    <s v="Mumbai"/>
    <s v="Email"/>
    <s v="Closed"/>
    <n v="8"/>
    <n v="1.27"/>
    <n v="4.2"/>
    <s v="Yes"/>
    <x v="0"/>
  </r>
  <r>
    <s v="INC104160"/>
    <d v="2025-01-06T00:00:00"/>
    <d v="2025-01-06T05:32:24"/>
    <x v="1"/>
    <x v="4"/>
    <s v="Spam"/>
    <s v="Service Desk"/>
    <s v="Gurugram"/>
    <s v="Phone"/>
    <s v="In Progress"/>
    <n v="24"/>
    <n v="5.54"/>
    <n v="4.5"/>
    <s v="No"/>
    <x v="0"/>
  </r>
  <r>
    <s v="INC104161"/>
    <d v="2025-03-14T00:00:00"/>
    <d v="2025-03-14T03:58:48"/>
    <x v="1"/>
    <x v="1"/>
    <s v="VPN Access"/>
    <s v="Network Support"/>
    <s v="Delhi"/>
    <s v="Portal"/>
    <s v="Resolved"/>
    <n v="24"/>
    <n v="3.98"/>
    <n v="5"/>
    <s v="No"/>
    <x v="0"/>
  </r>
  <r>
    <s v="INC104162"/>
    <d v="2025-03-12T00:00:00"/>
    <d v="2025-03-12T04:09:00"/>
    <x v="3"/>
    <x v="3"/>
    <s v="Peripheral"/>
    <s v="Application Support"/>
    <s v="Gurugram"/>
    <s v="Portal"/>
    <s v="Resolved"/>
    <n v="8"/>
    <n v="4.1500000000000004"/>
    <n v="3.2"/>
    <s v="No"/>
    <x v="0"/>
  </r>
  <r>
    <s v="INC104163"/>
    <d v="2025-04-12T00:00:00"/>
    <d v="2025-04-14T05:42:00"/>
    <x v="0"/>
    <x v="3"/>
    <s v="Monitor"/>
    <s v="Service Desk"/>
    <s v="Gurugram"/>
    <s v="Portal"/>
    <s v="In Progress"/>
    <n v="48"/>
    <n v="53.7"/>
    <n v="3.2"/>
    <s v="No"/>
    <x v="1"/>
  </r>
  <r>
    <s v="INC104164"/>
    <d v="2025-02-06T00:00:00"/>
    <d v="2025-02-06T05:14:24"/>
    <x v="3"/>
    <x v="3"/>
    <s v="Monitor"/>
    <s v="Service Desk"/>
    <s v="Noida"/>
    <s v="Portal"/>
    <s v="Closed"/>
    <n v="8"/>
    <n v="5.24"/>
    <n v="3.6"/>
    <s v="No"/>
    <x v="0"/>
  </r>
  <r>
    <s v="INC104165"/>
    <d v="2025-05-10T00:00:00"/>
    <d v="2025-05-11T02:06:36"/>
    <x v="0"/>
    <x v="1"/>
    <s v="Account Lock"/>
    <s v="Application Support"/>
    <s v="Hyderabad"/>
    <s v="Email"/>
    <s v="Resolved"/>
    <n v="48"/>
    <n v="26.11"/>
    <n v="4.7"/>
    <s v="No"/>
    <x v="0"/>
  </r>
  <r>
    <s v="INC104166"/>
    <d v="2025-05-04T00:00:00"/>
    <d v="2025-05-04T11:51:36"/>
    <x v="1"/>
    <x v="0"/>
    <s v="Installation"/>
    <s v="Desktop Support"/>
    <s v="Gurugram"/>
    <s v="Portal"/>
    <s v="Resolved"/>
    <n v="24"/>
    <n v="11.86"/>
    <n v="4.3"/>
    <s v="No"/>
    <x v="0"/>
  </r>
  <r>
    <s v="INC104167"/>
    <d v="2025-03-25T00:00:00"/>
    <d v="2025-03-25T07:29:24"/>
    <x v="3"/>
    <x v="0"/>
    <s v="Installation"/>
    <s v="Application Support"/>
    <s v="Bengaluru"/>
    <s v="Chat"/>
    <s v="Resolved"/>
    <n v="8"/>
    <n v="7.49"/>
    <n v="3.7"/>
    <s v="No"/>
    <x v="0"/>
  </r>
  <r>
    <s v="INC104168"/>
    <d v="2025-02-02T00:00:00"/>
    <d v="2025-02-02T10:13:48"/>
    <x v="1"/>
    <x v="4"/>
    <s v="Delivery"/>
    <s v="Access Management"/>
    <s v="Gurugram"/>
    <s v="Phone"/>
    <s v="Resolved"/>
    <n v="24"/>
    <n v="10.23"/>
    <n v="4.4000000000000004"/>
    <s v="Yes"/>
    <x v="0"/>
  </r>
  <r>
    <s v="INC104169"/>
    <d v="2025-04-02T00:00:00"/>
    <d v="2025-04-02T06:03:36"/>
    <x v="0"/>
    <x v="3"/>
    <s v="Monitor"/>
    <s v="Service Desk"/>
    <s v="Noida"/>
    <s v="Portal"/>
    <s v="Closed"/>
    <n v="48"/>
    <n v="6.06"/>
    <n v="5"/>
    <s v="No"/>
    <x v="0"/>
  </r>
  <r>
    <s v="INC104170"/>
    <d v="2025-05-03T00:00:00"/>
    <d v="2025-05-03T08:16:12"/>
    <x v="3"/>
    <x v="0"/>
    <s v="License"/>
    <s v="Access Management"/>
    <s v="Gurugram"/>
    <s v="Email"/>
    <s v="Resolved"/>
    <n v="8"/>
    <n v="8.27"/>
    <n v="4.5"/>
    <s v="No"/>
    <x v="1"/>
  </r>
  <r>
    <s v="INC104171"/>
    <d v="2025-03-09T00:00:00"/>
    <d v="2025-03-09T04:40:48"/>
    <x v="1"/>
    <x v="3"/>
    <s v="Monitor"/>
    <s v="Desktop Support"/>
    <s v="Noida"/>
    <s v="Portal"/>
    <s v="Resolved"/>
    <n v="24"/>
    <n v="4.68"/>
    <n v="5"/>
    <s v="No"/>
    <x v="0"/>
  </r>
  <r>
    <s v="INC104172"/>
    <d v="2025-02-17T00:00:00"/>
    <d v="2025-02-17T02:36:36"/>
    <x v="1"/>
    <x v="0"/>
    <s v="Installation"/>
    <s v="Service Desk"/>
    <s v="Bengaluru"/>
    <s v="Portal"/>
    <s v="Resolved"/>
    <n v="24"/>
    <n v="2.61"/>
    <n v="5"/>
    <s v="No"/>
    <x v="0"/>
  </r>
  <r>
    <s v="INC104173"/>
    <d v="2025-04-02T00:00:00"/>
    <d v="2025-04-02T15:11:24"/>
    <x v="1"/>
    <x v="3"/>
    <s v="Monitor"/>
    <s v="Access Management"/>
    <s v="Bengaluru"/>
    <s v="Email"/>
    <s v="Resolved"/>
    <n v="24"/>
    <n v="15.19"/>
    <n v="5"/>
    <s v="No"/>
    <x v="0"/>
  </r>
  <r>
    <s v="INC104174"/>
    <d v="2025-03-06T00:00:00"/>
    <d v="2025-03-06T01:36:36"/>
    <x v="1"/>
    <x v="1"/>
    <s v="Permission"/>
    <s v="Desktop Support"/>
    <s v="Delhi"/>
    <s v="Portal"/>
    <s v="Resolved"/>
    <n v="24"/>
    <n v="1.61"/>
    <n v="4.3"/>
    <s v="No"/>
    <x v="0"/>
  </r>
  <r>
    <s v="INC104175"/>
    <d v="2025-03-14T00:00:00"/>
    <d v="2025-03-14T12:01:48"/>
    <x v="1"/>
    <x v="2"/>
    <s v="Connectivity"/>
    <s v="Network Support"/>
    <s v="Delhi"/>
    <s v="Portal"/>
    <s v="Resolved"/>
    <n v="24"/>
    <n v="12.03"/>
    <n v="4.7"/>
    <s v="Yes"/>
    <x v="0"/>
  </r>
  <r>
    <s v="INC104176"/>
    <d v="2025-03-05T00:00:00"/>
    <d v="2025-03-06T03:33:36"/>
    <x v="0"/>
    <x v="2"/>
    <s v="Link Down"/>
    <s v="Service Desk"/>
    <s v="Gurugram"/>
    <s v="Portal"/>
    <s v="Resolved"/>
    <n v="48"/>
    <n v="27.56"/>
    <n v="5"/>
    <s v="No"/>
    <x v="0"/>
  </r>
  <r>
    <s v="INC104177"/>
    <d v="2025-02-24T00:00:00"/>
    <d v="2025-02-24T17:03:00"/>
    <x v="1"/>
    <x v="3"/>
    <s v="Monitor"/>
    <s v="Access Management"/>
    <s v="Hyderabad"/>
    <s v="Portal"/>
    <s v="Resolved"/>
    <n v="24"/>
    <n v="17.05"/>
    <n v="3"/>
    <s v="No"/>
    <x v="0"/>
  </r>
  <r>
    <s v="INC104178"/>
    <d v="2025-05-10T00:00:00"/>
    <d v="2025-05-10T05:16:12"/>
    <x v="3"/>
    <x v="4"/>
    <s v="Delivery"/>
    <s v="Desktop Support"/>
    <s v="Gurugram"/>
    <s v="Email"/>
    <s v="Resolved"/>
    <n v="8"/>
    <n v="5.27"/>
    <n v="3.9"/>
    <s v="No"/>
    <x v="0"/>
  </r>
  <r>
    <s v="INC104179"/>
    <d v="2025-03-25T00:00:00"/>
    <d v="2025-03-25T07:10:48"/>
    <x v="0"/>
    <x v="0"/>
    <s v="Application Error"/>
    <s v="Desktop Support"/>
    <s v="Bengaluru"/>
    <s v="Chat"/>
    <s v="Resolved"/>
    <n v="48"/>
    <n v="7.18"/>
    <n v="4.0999999999999996"/>
    <s v="No"/>
    <x v="0"/>
  </r>
  <r>
    <s v="INC104180"/>
    <d v="2025-03-26T00:00:00"/>
    <d v="2025-03-26T22:30:36"/>
    <x v="1"/>
    <x v="3"/>
    <s v="Monitor"/>
    <s v="Application Support"/>
    <s v="Noida"/>
    <s v="Email"/>
    <s v="Resolved"/>
    <n v="24"/>
    <n v="22.51"/>
    <n v="4.0999999999999996"/>
    <s v="No"/>
    <x v="0"/>
  </r>
  <r>
    <s v="INC104181"/>
    <d v="2025-04-29T00:00:00"/>
    <d v="2025-04-29T11:43:48"/>
    <x v="1"/>
    <x v="3"/>
    <s v="Printer"/>
    <s v="Network Support"/>
    <s v="Noida"/>
    <s v="Chat"/>
    <s v="Closed"/>
    <n v="24"/>
    <n v="11.73"/>
    <n v="5"/>
    <s v="No"/>
    <x v="0"/>
  </r>
  <r>
    <s v="INC104182"/>
    <d v="2025-03-07T00:00:00"/>
    <d v="2025-03-07T02:58:48"/>
    <x v="3"/>
    <x v="3"/>
    <s v="Peripheral"/>
    <s v="Network Support"/>
    <s v="Delhi"/>
    <s v="Email"/>
    <s v="Closed"/>
    <n v="8"/>
    <n v="2.98"/>
    <n v="4.9000000000000004"/>
    <s v="No"/>
    <x v="0"/>
  </r>
  <r>
    <s v="INC104183"/>
    <d v="2025-01-19T00:00:00"/>
    <d v="2025-01-19T03:50:24"/>
    <x v="1"/>
    <x v="1"/>
    <s v="Account Lock"/>
    <s v="Desktop Support"/>
    <s v="Noida"/>
    <s v="Portal"/>
    <s v="Resolved"/>
    <n v="24"/>
    <n v="3.84"/>
    <n v="4.7"/>
    <s v="No"/>
    <x v="0"/>
  </r>
  <r>
    <s v="INC104184"/>
    <d v="2025-06-04T00:00:00"/>
    <d v="2025-06-04T08:37:12"/>
    <x v="3"/>
    <x v="4"/>
    <s v="Configuration"/>
    <s v="Access Management"/>
    <s v="Hyderabad"/>
    <s v="Phone"/>
    <s v="Closed"/>
    <n v="8"/>
    <n v="8.6199999999999992"/>
    <n v="4.0999999999999996"/>
    <s v="No"/>
    <x v="1"/>
  </r>
  <r>
    <s v="INC104185"/>
    <d v="2025-01-11T00:00:00"/>
    <d v="2025-01-13T00:15:36"/>
    <x v="0"/>
    <x v="1"/>
    <s v="Permission"/>
    <s v="Network Support"/>
    <s v="Hyderabad"/>
    <s v="Portal"/>
    <s v="Resolved"/>
    <n v="48"/>
    <n v="48.26"/>
    <n v="3.6"/>
    <s v="No"/>
    <x v="1"/>
  </r>
  <r>
    <s v="INC104186"/>
    <d v="2025-04-14T00:00:00"/>
    <d v="2025-04-14T07:53:24"/>
    <x v="1"/>
    <x v="1"/>
    <s v="VPN Access"/>
    <s v="Application Support"/>
    <s v="Gurugram"/>
    <s v="Portal"/>
    <s v="Resolved"/>
    <n v="24"/>
    <n v="7.89"/>
    <n v="4.7"/>
    <s v="No"/>
    <x v="0"/>
  </r>
  <r>
    <s v="INC104187"/>
    <d v="2025-02-18T00:00:00"/>
    <d v="2025-02-18T05:42:00"/>
    <x v="3"/>
    <x v="2"/>
    <s v="Connectivity"/>
    <s v="Access Management"/>
    <s v="Bengaluru"/>
    <s v="Chat"/>
    <s v="Resolved"/>
    <n v="8"/>
    <n v="5.7"/>
    <n v="4.5"/>
    <s v="No"/>
    <x v="0"/>
  </r>
  <r>
    <s v="INC104188"/>
    <d v="2025-02-08T00:00:00"/>
    <d v="2025-02-08T06:45:00"/>
    <x v="3"/>
    <x v="2"/>
    <s v="DNS"/>
    <s v="Network Support"/>
    <s v="Gurugram"/>
    <s v="Email"/>
    <s v="Closed"/>
    <n v="8"/>
    <n v="6.75"/>
    <n v="5"/>
    <s v="Yes"/>
    <x v="0"/>
  </r>
  <r>
    <s v="INC104189"/>
    <d v="2025-01-08T00:00:00"/>
    <d v="2025-01-08T09:46:48"/>
    <x v="1"/>
    <x v="0"/>
    <s v="Installation"/>
    <s v="Network Support"/>
    <s v="Hyderabad"/>
    <s v="Chat"/>
    <s v="Closed"/>
    <n v="24"/>
    <n v="9.7799999999999994"/>
    <n v="4.8"/>
    <s v="No"/>
    <x v="0"/>
  </r>
  <r>
    <s v="INC104190"/>
    <d v="2025-06-12T00:00:00"/>
    <d v="2025-06-13T00:19:12"/>
    <x v="1"/>
    <x v="0"/>
    <s v="Application Error"/>
    <s v="Access Management"/>
    <s v="Bengaluru"/>
    <s v="Portal"/>
    <s v="Closed"/>
    <n v="24"/>
    <n v="24.32"/>
    <n v="3.9"/>
    <s v="No"/>
    <x v="1"/>
  </r>
  <r>
    <s v="INC104191"/>
    <d v="2025-03-19T00:00:00"/>
    <d v="2025-03-20T01:13:12"/>
    <x v="1"/>
    <x v="2"/>
    <s v="Connectivity"/>
    <s v="Network Support"/>
    <s v="Hyderabad"/>
    <s v="Phone"/>
    <s v="In Progress"/>
    <n v="24"/>
    <n v="25.22"/>
    <n v="5"/>
    <s v="No"/>
    <x v="1"/>
  </r>
  <r>
    <s v="INC104192"/>
    <d v="2025-03-04T00:00:00"/>
    <d v="2025-03-04T04:22:48"/>
    <x v="0"/>
    <x v="1"/>
    <s v="Permission"/>
    <s v="Application Support"/>
    <s v="Hyderabad"/>
    <s v="Portal"/>
    <s v="Resolved"/>
    <n v="48"/>
    <n v="4.38"/>
    <n v="3.6"/>
    <s v="No"/>
    <x v="0"/>
  </r>
  <r>
    <s v="INC104193"/>
    <d v="2025-05-15T00:00:00"/>
    <d v="2025-05-15T06:34:11"/>
    <x v="3"/>
    <x v="2"/>
    <s v="Packet Loss"/>
    <s v="Application Support"/>
    <s v="Gurugram"/>
    <s v="Portal"/>
    <s v="In Progress"/>
    <n v="8"/>
    <n v="6.57"/>
    <n v="4"/>
    <s v="No"/>
    <x v="0"/>
  </r>
  <r>
    <s v="INC104194"/>
    <d v="2025-01-08T00:00:00"/>
    <d v="2025-01-08T02:41:24"/>
    <x v="3"/>
    <x v="2"/>
    <s v="Connectivity"/>
    <s v="Service Desk"/>
    <s v="Noida"/>
    <s v="Phone"/>
    <s v="Closed"/>
    <n v="8"/>
    <n v="2.69"/>
    <n v="4.0999999999999996"/>
    <s v="No"/>
    <x v="0"/>
  </r>
  <r>
    <s v="INC104195"/>
    <d v="2025-04-13T00:00:00"/>
    <d v="2025-04-13T05:50:24"/>
    <x v="1"/>
    <x v="3"/>
    <s v="Peripheral"/>
    <s v="Service Desk"/>
    <s v="Bengaluru"/>
    <s v="Portal"/>
    <s v="Resolved"/>
    <n v="24"/>
    <n v="5.84"/>
    <n v="4.5999999999999996"/>
    <s v="No"/>
    <x v="0"/>
  </r>
  <r>
    <s v="INC104196"/>
    <d v="2025-03-31T00:00:00"/>
    <d v="2025-03-31T03:19:12"/>
    <x v="0"/>
    <x v="1"/>
    <s v="Account Lock"/>
    <s v="Desktop Support"/>
    <s v="Gurugram"/>
    <s v="Email"/>
    <s v="Resolved"/>
    <n v="48"/>
    <n v="3.32"/>
    <n v="5"/>
    <s v="No"/>
    <x v="0"/>
  </r>
  <r>
    <s v="INC104197"/>
    <d v="2025-04-11T00:00:00"/>
    <d v="2025-04-11T12:58:12"/>
    <x v="1"/>
    <x v="1"/>
    <s v="Permission"/>
    <s v="Desktop Support"/>
    <s v="Mumbai"/>
    <s v="Phone"/>
    <s v="Resolved"/>
    <n v="24"/>
    <n v="12.97"/>
    <n v="5"/>
    <s v="No"/>
    <x v="0"/>
  </r>
  <r>
    <s v="INC104198"/>
    <d v="2025-01-23T00:00:00"/>
    <d v="2025-01-23T19:07:48"/>
    <x v="0"/>
    <x v="0"/>
    <s v="Performance"/>
    <s v="Access Management"/>
    <s v="Bengaluru"/>
    <s v="Phone"/>
    <s v="Resolved"/>
    <n v="48"/>
    <n v="19.13"/>
    <n v="4.2"/>
    <s v="No"/>
    <x v="0"/>
  </r>
  <r>
    <s v="INC104199"/>
    <d v="2025-06-22T00:00:00"/>
    <d v="2025-06-22T02:34:47"/>
    <x v="3"/>
    <x v="1"/>
    <s v="Permission"/>
    <s v="Desktop Support"/>
    <s v="Gurugram"/>
    <s v="Portal"/>
    <s v="Resolved"/>
    <n v="8"/>
    <n v="2.58"/>
    <n v="5"/>
    <s v="No"/>
    <x v="0"/>
  </r>
  <r>
    <s v="INC104200"/>
    <d v="2025-02-13T00:00:00"/>
    <d v="2025-02-13T20:39:00"/>
    <x v="1"/>
    <x v="1"/>
    <s v="Permission"/>
    <s v="Access Management"/>
    <s v="Noida"/>
    <s v="Portal"/>
    <s v="Resolved"/>
    <n v="24"/>
    <n v="20.65"/>
    <n v="3.4"/>
    <s v="No"/>
    <x v="0"/>
  </r>
  <r>
    <s v="INC104201"/>
    <d v="2025-05-03T00:00:00"/>
    <d v="2025-05-09T06:08:24"/>
    <x v="0"/>
    <x v="3"/>
    <s v="Peripheral"/>
    <s v="Service Desk"/>
    <s v="Mumbai"/>
    <s v="Chat"/>
    <s v="Resolved"/>
    <n v="48"/>
    <n v="150.13999999999999"/>
    <n v="1"/>
    <s v="No"/>
    <x v="1"/>
  </r>
  <r>
    <s v="INC104202"/>
    <d v="2025-05-16T00:00:00"/>
    <d v="2025-05-16T17:14:24"/>
    <x v="1"/>
    <x v="1"/>
    <s v="Permission"/>
    <s v="Service Desk"/>
    <s v="Noida"/>
    <s v="Email"/>
    <s v="Resolved"/>
    <n v="24"/>
    <n v="17.239999999999998"/>
    <n v="4.2"/>
    <s v="No"/>
    <x v="0"/>
  </r>
  <r>
    <s v="INC104203"/>
    <d v="2025-03-04T00:00:00"/>
    <d v="2025-03-04T01:35:24"/>
    <x v="2"/>
    <x v="2"/>
    <s v="DNS"/>
    <s v="Service Desk"/>
    <s v="Mumbai"/>
    <s v="Email"/>
    <s v="Resolved"/>
    <n v="4"/>
    <n v="1.59"/>
    <n v="4.4000000000000004"/>
    <s v="No"/>
    <x v="0"/>
  </r>
  <r>
    <s v="INC104204"/>
    <d v="2025-01-24T00:00:00"/>
    <d v="2025-01-26T01:43:12"/>
    <x v="0"/>
    <x v="0"/>
    <s v="License"/>
    <s v="Application Support"/>
    <s v="Hyderabad"/>
    <s v="Portal"/>
    <s v="Pending"/>
    <n v="48"/>
    <n v="49.72"/>
    <n v="4.7"/>
    <s v="No"/>
    <x v="1"/>
  </r>
  <r>
    <s v="INC104205"/>
    <d v="2025-02-23T00:00:00"/>
    <d v="2025-02-23T04:58:48"/>
    <x v="1"/>
    <x v="2"/>
    <s v="Link Down"/>
    <s v="Network Support"/>
    <s v="Noida"/>
    <s v="Portal"/>
    <s v="Resolved"/>
    <n v="24"/>
    <n v="4.9800000000000004"/>
    <n v="5"/>
    <s v="No"/>
    <x v="0"/>
  </r>
  <r>
    <s v="INC104206"/>
    <d v="2025-05-27T00:00:00"/>
    <d v="2025-05-27T08:07:48"/>
    <x v="1"/>
    <x v="3"/>
    <s v="Printer"/>
    <s v="Access Management"/>
    <s v="Hyderabad"/>
    <s v="Chat"/>
    <s v="Pending"/>
    <n v="24"/>
    <n v="8.1300000000000008"/>
    <n v="4.2"/>
    <s v="No"/>
    <x v="0"/>
  </r>
  <r>
    <s v="INC104207"/>
    <d v="2025-06-14T00:00:00"/>
    <d v="2025-06-15T03:18:36"/>
    <x v="0"/>
    <x v="0"/>
    <s v="Application Error"/>
    <s v="Application Support"/>
    <s v="Noida"/>
    <s v="Email"/>
    <s v="Resolved"/>
    <n v="48"/>
    <n v="27.31"/>
    <n v="3.1"/>
    <s v="No"/>
    <x v="0"/>
  </r>
  <r>
    <s v="INC104208"/>
    <d v="2025-06-19T00:00:00"/>
    <d v="2025-06-19T13:46:12"/>
    <x v="1"/>
    <x v="2"/>
    <s v="DNS"/>
    <s v="Access Management"/>
    <s v="Bengaluru"/>
    <s v="Phone"/>
    <s v="Resolved"/>
    <n v="24"/>
    <n v="13.77"/>
    <n v="3.4"/>
    <s v="No"/>
    <x v="0"/>
  </r>
  <r>
    <s v="INC104209"/>
    <d v="2025-02-10T00:00:00"/>
    <d v="2025-02-10T23:00:00"/>
    <x v="1"/>
    <x v="3"/>
    <s v="Peripheral"/>
    <s v="Access Management"/>
    <s v="Mumbai"/>
    <s v="Portal"/>
    <s v="Resolved"/>
    <n v="24"/>
    <n v="23"/>
    <n v="3.3"/>
    <s v="No"/>
    <x v="0"/>
  </r>
  <r>
    <s v="INC104210"/>
    <d v="2025-04-20T00:00:00"/>
    <d v="2025-04-22T19:09:00"/>
    <x v="0"/>
    <x v="0"/>
    <s v="License"/>
    <s v="Network Support"/>
    <s v="Delhi"/>
    <s v="Portal"/>
    <s v="Resolved"/>
    <n v="48"/>
    <n v="67.150000000000006"/>
    <n v="3.5"/>
    <s v="No"/>
    <x v="1"/>
  </r>
  <r>
    <s v="INC104211"/>
    <d v="2025-01-28T00:00:00"/>
    <d v="2025-01-29T21:13:12"/>
    <x v="0"/>
    <x v="0"/>
    <s v="Performance"/>
    <s v="Application Support"/>
    <s v="Mumbai"/>
    <s v="Email"/>
    <s v="Resolved"/>
    <n v="48"/>
    <n v="45.22"/>
    <n v="3.7"/>
    <s v="No"/>
    <x v="0"/>
  </r>
  <r>
    <s v="INC104212"/>
    <d v="2025-05-09T00:00:00"/>
    <d v="2025-05-09T11:15:36"/>
    <x v="3"/>
    <x v="2"/>
    <s v="DNS"/>
    <s v="Desktop Support"/>
    <s v="Bengaluru"/>
    <s v="Phone"/>
    <s v="Resolved"/>
    <n v="8"/>
    <n v="11.26"/>
    <n v="2.5"/>
    <s v="No"/>
    <x v="1"/>
  </r>
  <r>
    <s v="INC104213"/>
    <d v="2025-03-17T00:00:00"/>
    <d v="2025-03-18T10:49:48"/>
    <x v="1"/>
    <x v="2"/>
    <s v="DNS"/>
    <s v="Application Support"/>
    <s v="Bengaluru"/>
    <s v="Portal"/>
    <s v="Closed"/>
    <n v="24"/>
    <n v="34.83"/>
    <n v="4.4000000000000004"/>
    <s v="No"/>
    <x v="1"/>
  </r>
  <r>
    <s v="INC104214"/>
    <d v="2025-05-10T00:00:00"/>
    <d v="2025-05-10T15:09:36"/>
    <x v="1"/>
    <x v="3"/>
    <s v="Laptop"/>
    <s v="Access Management"/>
    <s v="Hyderabad"/>
    <s v="Portal"/>
    <s v="Resolved"/>
    <n v="24"/>
    <n v="15.16"/>
    <n v="4.7"/>
    <s v="No"/>
    <x v="0"/>
  </r>
  <r>
    <s v="INC104215"/>
    <d v="2025-05-05T00:00:00"/>
    <d v="2025-05-05T10:50:24"/>
    <x v="1"/>
    <x v="1"/>
    <s v="Account Lock"/>
    <s v="Desktop Support"/>
    <s v="Noida"/>
    <s v="Email"/>
    <s v="Resolved"/>
    <n v="24"/>
    <n v="10.84"/>
    <n v="5"/>
    <s v="Yes"/>
    <x v="0"/>
  </r>
  <r>
    <s v="INC104216"/>
    <d v="2025-06-29T00:00:00"/>
    <d v="2025-06-29T06:24:00"/>
    <x v="3"/>
    <x v="1"/>
    <s v="Permission"/>
    <s v="Network Support"/>
    <s v="Hyderabad"/>
    <s v="Portal"/>
    <s v="Resolved"/>
    <n v="8"/>
    <n v="6.4"/>
    <n v="2.9"/>
    <s v="No"/>
    <x v="0"/>
  </r>
  <r>
    <s v="INC104217"/>
    <d v="2025-03-30T00:00:00"/>
    <d v="2025-03-30T00:49:12"/>
    <x v="3"/>
    <x v="3"/>
    <s v="Monitor"/>
    <s v="Access Management"/>
    <s v="Bengaluru"/>
    <s v="Portal"/>
    <s v="Closed"/>
    <n v="8"/>
    <n v="0.82"/>
    <n v="5"/>
    <s v="Yes"/>
    <x v="0"/>
  </r>
  <r>
    <s v="INC104218"/>
    <d v="2025-03-03T00:00:00"/>
    <d v="2025-03-03T07:38:24"/>
    <x v="3"/>
    <x v="0"/>
    <s v="Performance"/>
    <s v="Desktop Support"/>
    <s v="Gurugram"/>
    <s v="Email"/>
    <s v="Pending"/>
    <n v="8"/>
    <n v="7.64"/>
    <n v="3.8"/>
    <s v="No"/>
    <x v="0"/>
  </r>
  <r>
    <s v="INC104219"/>
    <d v="2025-04-06T00:00:00"/>
    <d v="2025-04-06T20:55:12"/>
    <x v="1"/>
    <x v="0"/>
    <s v="Performance"/>
    <s v="Desktop Support"/>
    <s v="Bengaluru"/>
    <s v="Portal"/>
    <s v="Resolved"/>
    <n v="24"/>
    <n v="20.92"/>
    <n v="3.7"/>
    <s v="No"/>
    <x v="0"/>
  </r>
  <r>
    <s v="INC104220"/>
    <d v="2025-01-30T00:00:00"/>
    <d v="2025-01-30T04:49:12"/>
    <x v="1"/>
    <x v="4"/>
    <s v="Configuration"/>
    <s v="Desktop Support"/>
    <s v="Gurugram"/>
    <s v="Email"/>
    <s v="Resolved"/>
    <n v="24"/>
    <n v="4.82"/>
    <n v="4.8"/>
    <s v="No"/>
    <x v="0"/>
  </r>
  <r>
    <s v="INC104221"/>
    <d v="2025-01-21T00:00:00"/>
    <d v="2025-01-22T07:31:12"/>
    <x v="1"/>
    <x v="2"/>
    <s v="DNS"/>
    <s v="Access Management"/>
    <s v="Hyderabad"/>
    <s v="Portal"/>
    <s v="Pending"/>
    <n v="24"/>
    <n v="31.52"/>
    <n v="3"/>
    <s v="No"/>
    <x v="1"/>
  </r>
  <r>
    <s v="INC104222"/>
    <d v="2025-04-04T00:00:00"/>
    <d v="2025-04-05T01:48:36"/>
    <x v="1"/>
    <x v="0"/>
    <s v="Application Error"/>
    <s v="Desktop Support"/>
    <s v="Delhi"/>
    <s v="Phone"/>
    <s v="Pending"/>
    <n v="24"/>
    <n v="25.81"/>
    <n v="3.6"/>
    <s v="No"/>
    <x v="1"/>
  </r>
  <r>
    <s v="INC104223"/>
    <d v="2025-05-30T00:00:00"/>
    <d v="2025-05-30T18:24:00"/>
    <x v="1"/>
    <x v="0"/>
    <s v="Installation"/>
    <s v="Service Desk"/>
    <s v="Noida"/>
    <s v="Phone"/>
    <s v="Closed"/>
    <n v="24"/>
    <n v="18.399999999999999"/>
    <n v="4.7"/>
    <s v="Yes"/>
    <x v="0"/>
  </r>
  <r>
    <s v="INC104224"/>
    <d v="2025-04-07T00:00:00"/>
    <d v="2025-04-07T21:25:48"/>
    <x v="0"/>
    <x v="3"/>
    <s v="Monitor"/>
    <s v="Application Support"/>
    <s v="Mumbai"/>
    <s v="Phone"/>
    <s v="Closed"/>
    <n v="48"/>
    <n v="21.43"/>
    <n v="3.2"/>
    <s v="No"/>
    <x v="0"/>
  </r>
  <r>
    <s v="INC104225"/>
    <d v="2025-05-22T00:00:00"/>
    <d v="2025-05-23T08:19:48"/>
    <x v="1"/>
    <x v="2"/>
    <s v="Packet Loss"/>
    <s v="Application Support"/>
    <s v="Delhi"/>
    <s v="Email"/>
    <s v="Resolved"/>
    <n v="24"/>
    <n v="32.33"/>
    <n v="4.4000000000000004"/>
    <s v="No"/>
    <x v="1"/>
  </r>
  <r>
    <s v="INC104226"/>
    <d v="2025-02-02T00:00:00"/>
    <d v="2025-02-02T02:42:36"/>
    <x v="1"/>
    <x v="2"/>
    <s v="Link Down"/>
    <s v="Network Support"/>
    <s v="Noida"/>
    <s v="Email"/>
    <s v="Resolved"/>
    <n v="24"/>
    <n v="2.71"/>
    <n v="5"/>
    <s v="No"/>
    <x v="0"/>
  </r>
  <r>
    <s v="INC104227"/>
    <d v="2025-03-23T00:00:00"/>
    <d v="2025-03-23T23:22:48"/>
    <x v="0"/>
    <x v="3"/>
    <s v="Peripheral"/>
    <s v="Desktop Support"/>
    <s v="Bengaluru"/>
    <s v="Portal"/>
    <s v="Resolved"/>
    <n v="48"/>
    <n v="23.38"/>
    <n v="4.3"/>
    <s v="No"/>
    <x v="0"/>
  </r>
  <r>
    <s v="INC104228"/>
    <d v="2025-04-21T00:00:00"/>
    <d v="2025-04-22T15:46:48"/>
    <x v="0"/>
    <x v="0"/>
    <s v="Installation"/>
    <s v="Application Support"/>
    <s v="Noida"/>
    <s v="Portal"/>
    <s v="Closed"/>
    <n v="48"/>
    <n v="39.78"/>
    <n v="4.5999999999999996"/>
    <s v="Yes"/>
    <x v="0"/>
  </r>
  <r>
    <s v="INC104229"/>
    <d v="2025-03-04T00:00:00"/>
    <d v="2025-03-04T09:10:48"/>
    <x v="3"/>
    <x v="0"/>
    <s v="Installation"/>
    <s v="Access Management"/>
    <s v="Mumbai"/>
    <s v="Portal"/>
    <s v="Closed"/>
    <n v="8"/>
    <n v="9.18"/>
    <n v="3.9"/>
    <s v="No"/>
    <x v="1"/>
  </r>
  <r>
    <s v="INC104230"/>
    <d v="2025-01-03T00:00:00"/>
    <d v="2025-01-04T01:18:36"/>
    <x v="1"/>
    <x v="2"/>
    <s v="DNS"/>
    <s v="Service Desk"/>
    <s v="Gurugram"/>
    <s v="Phone"/>
    <s v="Resolved"/>
    <n v="24"/>
    <n v="25.31"/>
    <n v="3.4"/>
    <s v="No"/>
    <x v="1"/>
  </r>
  <r>
    <s v="INC104231"/>
    <d v="2025-01-14T00:00:00"/>
    <d v="2025-01-14T01:28:48"/>
    <x v="3"/>
    <x v="1"/>
    <s v="Account Lock"/>
    <s v="Desktop Support"/>
    <s v="Noida"/>
    <s v="Portal"/>
    <s v="Resolved"/>
    <n v="8"/>
    <n v="1.48"/>
    <n v="4.3"/>
    <s v="No"/>
    <x v="0"/>
  </r>
  <r>
    <s v="INC104232"/>
    <d v="2025-06-17T00:00:00"/>
    <d v="2025-06-17T16:57:00"/>
    <x v="1"/>
    <x v="3"/>
    <s v="Laptop"/>
    <s v="Access Management"/>
    <s v="Gurugram"/>
    <s v="Portal"/>
    <s v="Closed"/>
    <n v="24"/>
    <n v="16.95"/>
    <n v="5"/>
    <s v="No"/>
    <x v="0"/>
  </r>
  <r>
    <s v="INC104233"/>
    <d v="2025-04-20T00:00:00"/>
    <d v="2025-04-20T04:38:24"/>
    <x v="3"/>
    <x v="4"/>
    <s v="Spam"/>
    <s v="Desktop Support"/>
    <s v="Bengaluru"/>
    <s v="Email"/>
    <s v="Resolved"/>
    <n v="8"/>
    <n v="4.6399999999999997"/>
    <n v="3.3"/>
    <s v="No"/>
    <x v="0"/>
  </r>
  <r>
    <s v="INC104234"/>
    <d v="2025-02-17T00:00:00"/>
    <d v="2025-02-17T00:45:00"/>
    <x v="3"/>
    <x v="2"/>
    <s v="Link Down"/>
    <s v="Desktop Support"/>
    <s v="Hyderabad"/>
    <s v="Email"/>
    <s v="Closed"/>
    <n v="8"/>
    <n v="0.75"/>
    <n v="4.8"/>
    <s v="No"/>
    <x v="0"/>
  </r>
  <r>
    <s v="INC104235"/>
    <d v="2025-02-16T00:00:00"/>
    <d v="2025-02-16T08:10:12"/>
    <x v="0"/>
    <x v="1"/>
    <s v="Permission"/>
    <s v="Network Support"/>
    <s v="Gurugram"/>
    <s v="Portal"/>
    <s v="Closed"/>
    <n v="48"/>
    <n v="8.17"/>
    <n v="3.9"/>
    <s v="No"/>
    <x v="0"/>
  </r>
  <r>
    <s v="INC104236"/>
    <d v="2025-01-08T00:00:00"/>
    <d v="2025-01-08T00:30:00"/>
    <x v="2"/>
    <x v="4"/>
    <s v="Delivery"/>
    <s v="Network Support"/>
    <s v="Noida"/>
    <s v="Portal"/>
    <s v="Resolved"/>
    <n v="4"/>
    <n v="0.5"/>
    <n v="5"/>
    <s v="No"/>
    <x v="0"/>
  </r>
  <r>
    <s v="INC104237"/>
    <d v="2025-06-21T00:00:00"/>
    <d v="2025-06-21T04:28:48"/>
    <x v="0"/>
    <x v="1"/>
    <s v="Permission"/>
    <s v="Application Support"/>
    <s v="Gurugram"/>
    <s v="Email"/>
    <s v="Resolved"/>
    <n v="48"/>
    <n v="4.4800000000000004"/>
    <n v="4.8"/>
    <s v="No"/>
    <x v="0"/>
  </r>
  <r>
    <s v="INC104238"/>
    <d v="2025-01-20T00:00:00"/>
    <d v="2025-01-20T04:27:00"/>
    <x v="1"/>
    <x v="1"/>
    <s v="Account Lock"/>
    <s v="Access Management"/>
    <s v="Gurugram"/>
    <s v="Chat"/>
    <s v="Resolved"/>
    <n v="24"/>
    <n v="4.45"/>
    <n v="4"/>
    <s v="No"/>
    <x v="0"/>
  </r>
  <r>
    <s v="INC104239"/>
    <d v="2025-05-18T00:00:00"/>
    <d v="2025-05-18T03:40:12"/>
    <x v="3"/>
    <x v="3"/>
    <s v="Printer"/>
    <s v="Application Support"/>
    <s v="Hyderabad"/>
    <s v="Email"/>
    <s v="Resolved"/>
    <n v="8"/>
    <n v="3.67"/>
    <n v="3.9"/>
    <s v="No"/>
    <x v="0"/>
  </r>
  <r>
    <s v="INC104240"/>
    <d v="2025-02-13T00:00:00"/>
    <d v="2025-02-13T11:30:36"/>
    <x v="1"/>
    <x v="0"/>
    <s v="Application Error"/>
    <s v="Application Support"/>
    <s v="Mumbai"/>
    <s v="Portal"/>
    <s v="Resolved"/>
    <n v="24"/>
    <n v="11.51"/>
    <n v="4.5"/>
    <s v="No"/>
    <x v="0"/>
  </r>
  <r>
    <s v="INC104241"/>
    <d v="2025-03-02T00:00:00"/>
    <d v="2025-03-02T16:32:24"/>
    <x v="1"/>
    <x v="0"/>
    <s v="Application Error"/>
    <s v="Application Support"/>
    <s v="Hyderabad"/>
    <s v="Phone"/>
    <s v="Closed"/>
    <n v="24"/>
    <n v="16.54"/>
    <n v="4.4000000000000004"/>
    <s v="No"/>
    <x v="0"/>
  </r>
  <r>
    <s v="INC104242"/>
    <d v="2025-02-19T00:00:00"/>
    <d v="2025-02-19T07:05:24"/>
    <x v="1"/>
    <x v="3"/>
    <s v="Printer"/>
    <s v="Service Desk"/>
    <s v="Bengaluru"/>
    <s v="Portal"/>
    <s v="Resolved"/>
    <n v="24"/>
    <n v="7.09"/>
    <n v="3.4"/>
    <s v="Yes"/>
    <x v="0"/>
  </r>
  <r>
    <s v="INC104243"/>
    <d v="2025-05-30T00:00:00"/>
    <d v="2025-06-01T09:06:00"/>
    <x v="0"/>
    <x v="4"/>
    <s v="Configuration"/>
    <s v="Desktop Support"/>
    <s v="Bengaluru"/>
    <s v="Portal"/>
    <s v="Closed"/>
    <n v="48"/>
    <n v="57.1"/>
    <n v="3.1"/>
    <s v="No"/>
    <x v="1"/>
  </r>
  <r>
    <s v="INC104244"/>
    <d v="2025-01-06T00:00:00"/>
    <d v="2025-01-08T00:26:24"/>
    <x v="0"/>
    <x v="3"/>
    <s v="Printer"/>
    <s v="Service Desk"/>
    <s v="Mumbai"/>
    <s v="Portal"/>
    <s v="Resolved"/>
    <n v="48"/>
    <n v="48.44"/>
    <n v="3.9"/>
    <s v="No"/>
    <x v="1"/>
  </r>
  <r>
    <s v="INC104245"/>
    <d v="2025-03-05T00:00:00"/>
    <d v="2025-03-06T08:04:12"/>
    <x v="0"/>
    <x v="3"/>
    <s v="Laptop"/>
    <s v="Service Desk"/>
    <s v="Bengaluru"/>
    <s v="Portal"/>
    <s v="Closed"/>
    <n v="48"/>
    <n v="32.07"/>
    <n v="5"/>
    <s v="No"/>
    <x v="0"/>
  </r>
  <r>
    <s v="INC104246"/>
    <d v="2025-02-20T00:00:00"/>
    <d v="2025-02-23T02:26:24"/>
    <x v="0"/>
    <x v="4"/>
    <s v="Configuration"/>
    <s v="Desktop Support"/>
    <s v="Mumbai"/>
    <s v="Email"/>
    <s v="Resolved"/>
    <n v="48"/>
    <n v="74.44"/>
    <n v="3.7"/>
    <s v="No"/>
    <x v="1"/>
  </r>
  <r>
    <s v="INC104247"/>
    <d v="2025-02-19T00:00:00"/>
    <d v="2025-02-19T14:58:12"/>
    <x v="1"/>
    <x v="3"/>
    <s v="Monitor"/>
    <s v="Application Support"/>
    <s v="Gurugram"/>
    <s v="Email"/>
    <s v="Closed"/>
    <n v="24"/>
    <n v="14.97"/>
    <n v="4"/>
    <s v="No"/>
    <x v="0"/>
  </r>
  <r>
    <s v="INC104248"/>
    <d v="2025-02-04T00:00:00"/>
    <d v="2025-02-04T03:07:48"/>
    <x v="1"/>
    <x v="2"/>
    <s v="Packet Loss"/>
    <s v="Access Management"/>
    <s v="Delhi"/>
    <s v="Phone"/>
    <s v="Resolved"/>
    <n v="24"/>
    <n v="3.13"/>
    <n v="5"/>
    <s v="No"/>
    <x v="0"/>
  </r>
  <r>
    <s v="INC104249"/>
    <d v="2025-06-15T00:00:00"/>
    <d v="2025-06-15T19:28:12"/>
    <x v="1"/>
    <x v="3"/>
    <s v="Peripheral"/>
    <s v="Service Desk"/>
    <s v="Noida"/>
    <s v="Email"/>
    <s v="Closed"/>
    <n v="24"/>
    <n v="19.47"/>
    <n v="3.8"/>
    <s v="No"/>
    <x v="0"/>
  </r>
  <r>
    <s v="INC104250"/>
    <d v="2025-03-10T00:00:00"/>
    <d v="2025-03-10T13:16:12"/>
    <x v="1"/>
    <x v="1"/>
    <s v="VPN Access"/>
    <s v="Service Desk"/>
    <s v="Delhi"/>
    <s v="Portal"/>
    <s v="Resolved"/>
    <n v="24"/>
    <n v="13.27"/>
    <n v="2.2999999999999998"/>
    <s v="No"/>
    <x v="0"/>
  </r>
  <r>
    <s v="INC104251"/>
    <d v="2025-03-17T00:00:00"/>
    <d v="2025-03-17T17:35:24"/>
    <x v="0"/>
    <x v="1"/>
    <s v="Password Reset"/>
    <s v="Network Support"/>
    <s v="Delhi"/>
    <s v="Email"/>
    <s v="Pending"/>
    <n v="48"/>
    <n v="17.59"/>
    <n v="5"/>
    <s v="No"/>
    <x v="0"/>
  </r>
  <r>
    <s v="INC104252"/>
    <d v="2025-03-11T00:00:00"/>
    <d v="2025-03-11T19:42:36"/>
    <x v="0"/>
    <x v="2"/>
    <s v="Connectivity"/>
    <s v="Access Management"/>
    <s v="Delhi"/>
    <s v="Phone"/>
    <s v="Resolved"/>
    <n v="48"/>
    <n v="19.71"/>
    <n v="4.8"/>
    <s v="No"/>
    <x v="0"/>
  </r>
  <r>
    <s v="INC104253"/>
    <d v="2025-06-27T00:00:00"/>
    <d v="2025-06-27T05:48:36"/>
    <x v="3"/>
    <x v="0"/>
    <s v="Performance"/>
    <s v="Application Support"/>
    <s v="Delhi"/>
    <s v="Email"/>
    <s v="In Progress"/>
    <n v="8"/>
    <n v="5.81"/>
    <n v="4.3"/>
    <s v="No"/>
    <x v="0"/>
  </r>
  <r>
    <s v="INC104254"/>
    <d v="2025-03-03T00:00:00"/>
    <d v="2025-03-03T05:11:24"/>
    <x v="3"/>
    <x v="0"/>
    <s v="License"/>
    <s v="Service Desk"/>
    <s v="Mumbai"/>
    <s v="Portal"/>
    <s v="Resolved"/>
    <n v="8"/>
    <n v="5.19"/>
    <n v="4.2"/>
    <s v="No"/>
    <x v="0"/>
  </r>
  <r>
    <s v="INC104255"/>
    <d v="2025-03-03T00:00:00"/>
    <d v="2025-03-04T18:30:00"/>
    <x v="1"/>
    <x v="0"/>
    <s v="License"/>
    <s v="Access Management"/>
    <s v="Bengaluru"/>
    <s v="Email"/>
    <s v="Resolved"/>
    <n v="24"/>
    <n v="42.5"/>
    <n v="3.1"/>
    <s v="No"/>
    <x v="1"/>
  </r>
  <r>
    <s v="INC104256"/>
    <d v="2025-03-01T00:00:00"/>
    <d v="2025-03-02T04:16:12"/>
    <x v="0"/>
    <x v="0"/>
    <s v="Performance"/>
    <s v="Application Support"/>
    <s v="Hyderabad"/>
    <s v="Email"/>
    <s v="Closed"/>
    <n v="48"/>
    <n v="28.27"/>
    <n v="4.3"/>
    <s v="Yes"/>
    <x v="0"/>
  </r>
  <r>
    <s v="INC104257"/>
    <d v="2025-03-01T00:00:00"/>
    <d v="2025-03-01T04:59:24"/>
    <x v="3"/>
    <x v="4"/>
    <s v="Mailbox"/>
    <s v="Desktop Support"/>
    <s v="Gurugram"/>
    <s v="Portal"/>
    <s v="Resolved"/>
    <n v="8"/>
    <n v="4.99"/>
    <n v="4.0999999999999996"/>
    <s v="No"/>
    <x v="0"/>
  </r>
  <r>
    <s v="INC104258"/>
    <d v="2025-01-17T00:00:00"/>
    <d v="2025-01-17T04:22:48"/>
    <x v="3"/>
    <x v="3"/>
    <s v="Printer"/>
    <s v="Service Desk"/>
    <s v="Gurugram"/>
    <s v="Phone"/>
    <s v="Closed"/>
    <n v="8"/>
    <n v="4.38"/>
    <n v="3.9"/>
    <s v="No"/>
    <x v="0"/>
  </r>
  <r>
    <s v="INC104259"/>
    <d v="2025-04-20T00:00:00"/>
    <d v="2025-04-20T13:00:36"/>
    <x v="1"/>
    <x v="3"/>
    <s v="Printer"/>
    <s v="Desktop Support"/>
    <s v="Noida"/>
    <s v="Portal"/>
    <s v="Resolved"/>
    <n v="24"/>
    <n v="13.01"/>
    <n v="4.4000000000000004"/>
    <s v="No"/>
    <x v="0"/>
  </r>
  <r>
    <s v="INC104260"/>
    <d v="2025-01-05T00:00:00"/>
    <d v="2025-01-05T09:27:36"/>
    <x v="0"/>
    <x v="0"/>
    <s v="Installation"/>
    <s v="Network Support"/>
    <s v="Mumbai"/>
    <s v="Portal"/>
    <s v="Closed"/>
    <n v="48"/>
    <n v="9.4600000000000009"/>
    <n v="4.2"/>
    <s v="No"/>
    <x v="0"/>
  </r>
  <r>
    <s v="INC104261"/>
    <d v="2025-02-10T00:00:00"/>
    <d v="2025-02-10T15:43:12"/>
    <x v="0"/>
    <x v="3"/>
    <s v="Printer"/>
    <s v="Network Support"/>
    <s v="Hyderabad"/>
    <s v="Phone"/>
    <s v="Resolved"/>
    <n v="48"/>
    <n v="15.72"/>
    <n v="3.9"/>
    <s v="No"/>
    <x v="0"/>
  </r>
  <r>
    <s v="INC104262"/>
    <d v="2025-02-06T00:00:00"/>
    <d v="2025-02-06T17:04:48"/>
    <x v="1"/>
    <x v="3"/>
    <s v="Laptop"/>
    <s v="Access Management"/>
    <s v="Mumbai"/>
    <s v="Phone"/>
    <s v="Resolved"/>
    <n v="24"/>
    <n v="17.079999999999998"/>
    <n v="4.3"/>
    <s v="No"/>
    <x v="0"/>
  </r>
  <r>
    <s v="INC104263"/>
    <d v="2025-02-22T00:00:00"/>
    <d v="2025-02-22T01:02:24"/>
    <x v="3"/>
    <x v="2"/>
    <s v="DNS"/>
    <s v="Service Desk"/>
    <s v="Bengaluru"/>
    <s v="Email"/>
    <s v="Closed"/>
    <n v="8"/>
    <n v="1.04"/>
    <n v="5"/>
    <s v="No"/>
    <x v="0"/>
  </r>
  <r>
    <s v="INC104264"/>
    <d v="2025-05-17T00:00:00"/>
    <d v="2025-05-17T10:12:36"/>
    <x v="1"/>
    <x v="2"/>
    <s v="Connectivity"/>
    <s v="Network Support"/>
    <s v="Hyderabad"/>
    <s v="Email"/>
    <s v="Closed"/>
    <n v="24"/>
    <n v="10.210000000000001"/>
    <n v="4"/>
    <s v="No"/>
    <x v="0"/>
  </r>
  <r>
    <s v="INC104265"/>
    <d v="2025-04-19T00:00:00"/>
    <d v="2025-04-20T05:57:36"/>
    <x v="1"/>
    <x v="4"/>
    <s v="Configuration"/>
    <s v="Access Management"/>
    <s v="Gurugram"/>
    <s v="Chat"/>
    <s v="Closed"/>
    <n v="24"/>
    <n v="29.96"/>
    <n v="3.1"/>
    <s v="No"/>
    <x v="1"/>
  </r>
  <r>
    <s v="INC104266"/>
    <d v="2025-06-29T00:00:00"/>
    <d v="2025-06-29T09:44:24"/>
    <x v="1"/>
    <x v="2"/>
    <s v="DNS"/>
    <s v="Access Management"/>
    <s v="Noida"/>
    <s v="Portal"/>
    <s v="Closed"/>
    <n v="24"/>
    <n v="9.74"/>
    <n v="3.4"/>
    <s v="Yes"/>
    <x v="0"/>
  </r>
  <r>
    <s v="INC104267"/>
    <d v="2025-03-05T00:00:00"/>
    <d v="2025-03-05T11:55:12"/>
    <x v="3"/>
    <x v="0"/>
    <s v="Performance"/>
    <s v="Access Management"/>
    <s v="Gurugram"/>
    <s v="Portal"/>
    <s v="Resolved"/>
    <n v="8"/>
    <n v="11.92"/>
    <n v="2.4"/>
    <s v="No"/>
    <x v="1"/>
  </r>
  <r>
    <s v="INC104268"/>
    <d v="2025-06-18T00:00:00"/>
    <d v="2025-06-18T09:55:48"/>
    <x v="1"/>
    <x v="1"/>
    <s v="VPN Access"/>
    <s v="Network Support"/>
    <s v="Delhi"/>
    <s v="Email"/>
    <s v="Closed"/>
    <n v="24"/>
    <n v="9.93"/>
    <n v="3.7"/>
    <s v="No"/>
    <x v="0"/>
  </r>
  <r>
    <s v="INC104269"/>
    <d v="2025-01-09T00:00:00"/>
    <d v="2025-01-09T08:27:00"/>
    <x v="3"/>
    <x v="2"/>
    <s v="DNS"/>
    <s v="Access Management"/>
    <s v="Noida"/>
    <s v="Portal"/>
    <s v="Resolved"/>
    <n v="8"/>
    <n v="8.4499999999999993"/>
    <n v="4.4000000000000004"/>
    <s v="No"/>
    <x v="1"/>
  </r>
  <r>
    <s v="INC104270"/>
    <d v="2025-04-02T00:00:00"/>
    <d v="2025-04-02T13:30:36"/>
    <x v="1"/>
    <x v="2"/>
    <s v="Connectivity"/>
    <s v="Service Desk"/>
    <s v="Mumbai"/>
    <s v="Email"/>
    <s v="Resolved"/>
    <n v="24"/>
    <n v="13.51"/>
    <n v="3.2"/>
    <s v="No"/>
    <x v="0"/>
  </r>
  <r>
    <s v="INC104271"/>
    <d v="2025-05-25T00:00:00"/>
    <d v="2025-05-25T04:49:12"/>
    <x v="1"/>
    <x v="3"/>
    <s v="Printer"/>
    <s v="Network Support"/>
    <s v="Gurugram"/>
    <s v="Chat"/>
    <s v="Closed"/>
    <n v="24"/>
    <n v="4.82"/>
    <n v="5"/>
    <s v="No"/>
    <x v="0"/>
  </r>
  <r>
    <s v="INC104272"/>
    <d v="2025-04-07T00:00:00"/>
    <d v="2025-04-08T17:37:48"/>
    <x v="1"/>
    <x v="0"/>
    <s v="Performance"/>
    <s v="Access Management"/>
    <s v="Mumbai"/>
    <s v="Portal"/>
    <s v="Resolved"/>
    <n v="24"/>
    <n v="41.63"/>
    <n v="2.7"/>
    <s v="No"/>
    <x v="1"/>
  </r>
  <r>
    <s v="INC104273"/>
    <d v="2025-06-18T00:00:00"/>
    <d v="2025-06-18T04:22:12"/>
    <x v="1"/>
    <x v="3"/>
    <s v="Peripheral"/>
    <s v="Service Desk"/>
    <s v="Bengaluru"/>
    <s v="Portal"/>
    <s v="In Progress"/>
    <n v="24"/>
    <n v="4.37"/>
    <n v="5"/>
    <s v="No"/>
    <x v="0"/>
  </r>
  <r>
    <s v="INC104274"/>
    <d v="2025-02-26T00:00:00"/>
    <d v="2025-02-26T01:24:00"/>
    <x v="2"/>
    <x v="0"/>
    <s v="Performance"/>
    <s v="Application Support"/>
    <s v="Mumbai"/>
    <s v="Portal"/>
    <s v="Pending"/>
    <n v="4"/>
    <n v="1.4"/>
    <n v="5"/>
    <s v="No"/>
    <x v="0"/>
  </r>
  <r>
    <s v="INC104275"/>
    <d v="2025-01-07T00:00:00"/>
    <d v="2025-01-08T21:07:12"/>
    <x v="1"/>
    <x v="2"/>
    <s v="Packet Loss"/>
    <s v="Network Support"/>
    <s v="Gurugram"/>
    <s v="Email"/>
    <s v="In Progress"/>
    <n v="24"/>
    <n v="45.12"/>
    <n v="2.7"/>
    <s v="No"/>
    <x v="1"/>
  </r>
  <r>
    <s v="INC104276"/>
    <d v="2025-05-21T00:00:00"/>
    <d v="2025-05-21T14:55:12"/>
    <x v="1"/>
    <x v="2"/>
    <s v="Packet Loss"/>
    <s v="Network Support"/>
    <s v="Hyderabad"/>
    <s v="Phone"/>
    <s v="Resolved"/>
    <n v="24"/>
    <n v="14.92"/>
    <n v="5"/>
    <s v="No"/>
    <x v="0"/>
  </r>
  <r>
    <s v="INC104277"/>
    <d v="2025-01-13T00:00:00"/>
    <d v="2025-01-13T06:33:00"/>
    <x v="1"/>
    <x v="2"/>
    <s v="Connectivity"/>
    <s v="Access Management"/>
    <s v="Gurugram"/>
    <s v="Chat"/>
    <s v="Closed"/>
    <n v="24"/>
    <n v="6.55"/>
    <n v="5"/>
    <s v="No"/>
    <x v="0"/>
  </r>
  <r>
    <s v="INC104278"/>
    <d v="2025-05-19T00:00:00"/>
    <d v="2025-05-19T13:05:24"/>
    <x v="1"/>
    <x v="3"/>
    <s v="Monitor"/>
    <s v="Desktop Support"/>
    <s v="Noida"/>
    <s v="Email"/>
    <s v="Resolved"/>
    <n v="24"/>
    <n v="13.09"/>
    <n v="5"/>
    <s v="No"/>
    <x v="0"/>
  </r>
  <r>
    <s v="INC104279"/>
    <d v="2025-05-13T00:00:00"/>
    <d v="2025-05-13T19:08:24"/>
    <x v="1"/>
    <x v="3"/>
    <s v="Monitor"/>
    <s v="Access Management"/>
    <s v="Mumbai"/>
    <s v="Chat"/>
    <s v="Resolved"/>
    <n v="24"/>
    <n v="19.14"/>
    <n v="3.6"/>
    <s v="No"/>
    <x v="0"/>
  </r>
  <r>
    <s v="INC104280"/>
    <d v="2025-06-02T00:00:00"/>
    <d v="2025-06-02T03:14:24"/>
    <x v="3"/>
    <x v="4"/>
    <s v="Configuration"/>
    <s v="Network Support"/>
    <s v="Mumbai"/>
    <s v="Portal"/>
    <s v="Closed"/>
    <n v="8"/>
    <n v="3.24"/>
    <n v="3.2"/>
    <s v="No"/>
    <x v="0"/>
  </r>
  <r>
    <s v="INC104281"/>
    <d v="2025-03-28T00:00:00"/>
    <d v="2025-03-29T08:06:00"/>
    <x v="1"/>
    <x v="2"/>
    <s v="DNS"/>
    <s v="Access Management"/>
    <s v="Gurugram"/>
    <s v="Portal"/>
    <s v="Closed"/>
    <n v="24"/>
    <n v="32.1"/>
    <n v="3.3"/>
    <s v="No"/>
    <x v="1"/>
  </r>
  <r>
    <s v="INC104282"/>
    <d v="2025-06-12T00:00:00"/>
    <d v="2025-06-12T07:00:00"/>
    <x v="1"/>
    <x v="0"/>
    <s v="Performance"/>
    <s v="Access Management"/>
    <s v="Gurugram"/>
    <s v="Portal"/>
    <s v="Resolved"/>
    <n v="24"/>
    <n v="7"/>
    <n v="4.8"/>
    <s v="No"/>
    <x v="0"/>
  </r>
  <r>
    <s v="INC104283"/>
    <d v="2025-01-31T00:00:00"/>
    <d v="2025-01-31T01:40:48"/>
    <x v="1"/>
    <x v="0"/>
    <s v="Application Error"/>
    <s v="Access Management"/>
    <s v="Noida"/>
    <s v="Phone"/>
    <s v="In Progress"/>
    <n v="24"/>
    <n v="1.68"/>
    <n v="3.6"/>
    <s v="Yes"/>
    <x v="0"/>
  </r>
  <r>
    <s v="INC104284"/>
    <d v="2025-03-20T00:00:00"/>
    <d v="2025-03-21T23:03:36"/>
    <x v="0"/>
    <x v="0"/>
    <s v="Performance"/>
    <s v="Network Support"/>
    <s v="Noida"/>
    <s v="Portal"/>
    <s v="In Progress"/>
    <n v="48"/>
    <n v="47.06"/>
    <n v="3.9"/>
    <s v="No"/>
    <x v="0"/>
  </r>
  <r>
    <s v="INC104285"/>
    <d v="2025-01-23T00:00:00"/>
    <d v="2025-01-23T11:22:12"/>
    <x v="1"/>
    <x v="0"/>
    <s v="Installation"/>
    <s v="Network Support"/>
    <s v="Delhi"/>
    <s v="Portal"/>
    <s v="Resolved"/>
    <n v="24"/>
    <n v="11.37"/>
    <n v="2.8"/>
    <s v="No"/>
    <x v="0"/>
  </r>
  <r>
    <s v="INC104286"/>
    <d v="2025-05-19T00:00:00"/>
    <d v="2025-05-20T01:19:12"/>
    <x v="1"/>
    <x v="2"/>
    <s v="Packet Loss"/>
    <s v="Desktop Support"/>
    <s v="Gurugram"/>
    <s v="Portal"/>
    <s v="Resolved"/>
    <n v="24"/>
    <n v="25.32"/>
    <n v="4.7"/>
    <s v="No"/>
    <x v="1"/>
  </r>
  <r>
    <s v="INC104287"/>
    <d v="2025-05-10T00:00:00"/>
    <d v="2025-05-10T09:20:24"/>
    <x v="1"/>
    <x v="0"/>
    <s v="Installation"/>
    <s v="Network Support"/>
    <s v="Delhi"/>
    <s v="Portal"/>
    <s v="In Progress"/>
    <n v="24"/>
    <n v="9.34"/>
    <n v="4.8"/>
    <s v="No"/>
    <x v="0"/>
  </r>
  <r>
    <s v="INC104288"/>
    <d v="2025-05-26T00:00:00"/>
    <d v="2025-05-26T17:06:00"/>
    <x v="1"/>
    <x v="3"/>
    <s v="Printer"/>
    <s v="Network Support"/>
    <s v="Delhi"/>
    <s v="Email"/>
    <s v="Resolved"/>
    <n v="24"/>
    <n v="17.100000000000001"/>
    <n v="3.6"/>
    <s v="No"/>
    <x v="0"/>
  </r>
  <r>
    <s v="INC104289"/>
    <d v="2025-05-19T00:00:00"/>
    <d v="2025-05-19T02:59:24"/>
    <x v="3"/>
    <x v="1"/>
    <s v="Password Reset"/>
    <s v="Access Management"/>
    <s v="Noida"/>
    <s v="Phone"/>
    <s v="Resolved"/>
    <n v="8"/>
    <n v="2.99"/>
    <n v="4.5999999999999996"/>
    <s v="No"/>
    <x v="0"/>
  </r>
  <r>
    <s v="INC104290"/>
    <d v="2025-02-25T00:00:00"/>
    <d v="2025-02-25T03:30:00"/>
    <x v="3"/>
    <x v="2"/>
    <s v="Connectivity"/>
    <s v="Application Support"/>
    <s v="Delhi"/>
    <s v="Portal"/>
    <s v="Resolved"/>
    <n v="8"/>
    <n v="3.5"/>
    <n v="4.5999999999999996"/>
    <s v="No"/>
    <x v="0"/>
  </r>
  <r>
    <s v="INC104291"/>
    <d v="2025-01-13T00:00:00"/>
    <d v="2025-01-13T03:21:36"/>
    <x v="1"/>
    <x v="0"/>
    <s v="Application Error"/>
    <s v="Access Management"/>
    <s v="Mumbai"/>
    <s v="Email"/>
    <s v="Closed"/>
    <n v="24"/>
    <n v="3.36"/>
    <n v="5"/>
    <s v="No"/>
    <x v="0"/>
  </r>
  <r>
    <s v="INC104292"/>
    <d v="2025-06-18T00:00:00"/>
    <d v="2025-06-18T04:39:36"/>
    <x v="1"/>
    <x v="0"/>
    <s v="License"/>
    <s v="Access Management"/>
    <s v="Mumbai"/>
    <s v="Portal"/>
    <s v="Closed"/>
    <n v="24"/>
    <n v="4.66"/>
    <n v="4.8"/>
    <s v="No"/>
    <x v="0"/>
  </r>
  <r>
    <s v="INC104293"/>
    <d v="2025-03-31T00:00:00"/>
    <d v="2025-03-31T15:48:36"/>
    <x v="1"/>
    <x v="0"/>
    <s v="Application Error"/>
    <s v="Network Support"/>
    <s v="Gurugram"/>
    <s v="Portal"/>
    <s v="Closed"/>
    <n v="24"/>
    <n v="15.81"/>
    <n v="4.8"/>
    <s v="No"/>
    <x v="0"/>
  </r>
  <r>
    <s v="INC104294"/>
    <d v="2025-01-18T00:00:00"/>
    <d v="2025-01-18T23:31:48"/>
    <x v="1"/>
    <x v="2"/>
    <s v="Link Down"/>
    <s v="Access Management"/>
    <s v="Hyderabad"/>
    <s v="Portal"/>
    <s v="Closed"/>
    <n v="24"/>
    <n v="23.53"/>
    <n v="3"/>
    <s v="No"/>
    <x v="0"/>
  </r>
  <r>
    <s v="INC104295"/>
    <d v="2025-06-17T00:00:00"/>
    <d v="2025-06-17T16:57:00"/>
    <x v="1"/>
    <x v="0"/>
    <s v="Installation"/>
    <s v="Network Support"/>
    <s v="Bengaluru"/>
    <s v="Email"/>
    <s v="Closed"/>
    <n v="24"/>
    <n v="16.95"/>
    <n v="4.0999999999999996"/>
    <s v="No"/>
    <x v="0"/>
  </r>
  <r>
    <s v="INC104296"/>
    <d v="2025-06-29T00:00:00"/>
    <d v="2025-06-29T05:34:11"/>
    <x v="1"/>
    <x v="1"/>
    <s v="VPN Access"/>
    <s v="Service Desk"/>
    <s v="Gurugram"/>
    <s v="Email"/>
    <s v="Closed"/>
    <n v="24"/>
    <n v="5.57"/>
    <n v="5"/>
    <s v="No"/>
    <x v="0"/>
  </r>
  <r>
    <s v="INC104297"/>
    <d v="2025-03-22T00:00:00"/>
    <d v="2025-03-22T06:03:36"/>
    <x v="3"/>
    <x v="0"/>
    <s v="Installation"/>
    <s v="Service Desk"/>
    <s v="Gurugram"/>
    <s v="Email"/>
    <s v="Resolved"/>
    <n v="8"/>
    <n v="6.06"/>
    <n v="3.9"/>
    <s v="No"/>
    <x v="0"/>
  </r>
  <r>
    <s v="INC104298"/>
    <d v="2025-05-20T00:00:00"/>
    <d v="2025-05-20T11:23:24"/>
    <x v="0"/>
    <x v="3"/>
    <s v="Peripheral"/>
    <s v="Service Desk"/>
    <s v="Noida"/>
    <s v="Phone"/>
    <s v="Resolved"/>
    <n v="48"/>
    <n v="11.39"/>
    <n v="4.9000000000000004"/>
    <s v="No"/>
    <x v="0"/>
  </r>
  <r>
    <s v="INC104299"/>
    <d v="2025-01-07T00:00:00"/>
    <d v="2025-01-07T15:37:12"/>
    <x v="1"/>
    <x v="2"/>
    <s v="DNS"/>
    <s v="Application Support"/>
    <s v="Hyderabad"/>
    <s v="Portal"/>
    <s v="Resolved"/>
    <n v="24"/>
    <n v="15.62"/>
    <n v="3.6"/>
    <s v="No"/>
    <x v="0"/>
  </r>
  <r>
    <s v="INC104300"/>
    <d v="2025-01-17T00:00:00"/>
    <d v="2025-01-17T14:04:48"/>
    <x v="0"/>
    <x v="3"/>
    <s v="Printer"/>
    <s v="Network Support"/>
    <s v="Delhi"/>
    <s v="Phone"/>
    <s v="Resolved"/>
    <n v="48"/>
    <n v="14.08"/>
    <n v="5"/>
    <s v="Yes"/>
    <x v="0"/>
  </r>
  <r>
    <s v="INC104301"/>
    <d v="2025-02-20T00:00:00"/>
    <d v="2025-02-20T11:03:00"/>
    <x v="1"/>
    <x v="1"/>
    <s v="Account Lock"/>
    <s v="Access Management"/>
    <s v="Delhi"/>
    <s v="Email"/>
    <s v="Resolved"/>
    <n v="24"/>
    <n v="11.05"/>
    <n v="4.5999999999999996"/>
    <s v="No"/>
    <x v="0"/>
  </r>
  <r>
    <s v="INC104302"/>
    <d v="2025-04-29T00:00:00"/>
    <d v="2025-04-29T07:39:36"/>
    <x v="1"/>
    <x v="3"/>
    <s v="Printer"/>
    <s v="Access Management"/>
    <s v="Noida"/>
    <s v="Portal"/>
    <s v="Resolved"/>
    <n v="24"/>
    <n v="7.66"/>
    <n v="3.8"/>
    <s v="No"/>
    <x v="0"/>
  </r>
  <r>
    <s v="INC104303"/>
    <d v="2025-01-25T00:00:00"/>
    <d v="2025-01-25T18:43:12"/>
    <x v="1"/>
    <x v="0"/>
    <s v="Performance"/>
    <s v="Application Support"/>
    <s v="Hyderabad"/>
    <s v="Portal"/>
    <s v="Resolved"/>
    <n v="24"/>
    <n v="18.72"/>
    <n v="4.8"/>
    <s v="No"/>
    <x v="0"/>
  </r>
  <r>
    <s v="INC104304"/>
    <d v="2025-01-07T00:00:00"/>
    <d v="2025-01-07T08:42:36"/>
    <x v="1"/>
    <x v="1"/>
    <s v="Password Reset"/>
    <s v="Network Support"/>
    <s v="Gurugram"/>
    <s v="Portal"/>
    <s v="Resolved"/>
    <n v="24"/>
    <n v="8.7100000000000009"/>
    <n v="3.9"/>
    <s v="No"/>
    <x v="0"/>
  </r>
  <r>
    <s v="INC104305"/>
    <d v="2025-05-02T00:00:00"/>
    <d v="2025-05-02T06:22:48"/>
    <x v="3"/>
    <x v="0"/>
    <s v="License"/>
    <s v="Desktop Support"/>
    <s v="Mumbai"/>
    <s v="Portal"/>
    <s v="Resolved"/>
    <n v="8"/>
    <n v="6.38"/>
    <n v="4.5"/>
    <s v="No"/>
    <x v="0"/>
  </r>
  <r>
    <s v="INC104306"/>
    <d v="2025-05-20T00:00:00"/>
    <d v="2025-05-20T00:30:00"/>
    <x v="3"/>
    <x v="0"/>
    <s v="Installation"/>
    <s v="Application Support"/>
    <s v="Bengaluru"/>
    <s v="Portal"/>
    <s v="Resolved"/>
    <n v="8"/>
    <n v="0.5"/>
    <n v="5"/>
    <s v="No"/>
    <x v="0"/>
  </r>
  <r>
    <s v="INC104307"/>
    <d v="2025-05-14T00:00:00"/>
    <d v="2025-05-15T00:24:00"/>
    <x v="1"/>
    <x v="0"/>
    <s v="License"/>
    <s v="Service Desk"/>
    <s v="Gurugram"/>
    <s v="Portal"/>
    <s v="Closed"/>
    <n v="24"/>
    <n v="24.4"/>
    <n v="5"/>
    <s v="No"/>
    <x v="1"/>
  </r>
  <r>
    <s v="INC104308"/>
    <d v="2025-05-25T00:00:00"/>
    <d v="2025-05-25T00:55:12"/>
    <x v="2"/>
    <x v="0"/>
    <s v="Performance"/>
    <s v="Service Desk"/>
    <s v="Hyderabad"/>
    <s v="Chat"/>
    <s v="Closed"/>
    <n v="4"/>
    <n v="0.92"/>
    <n v="4.9000000000000004"/>
    <s v="No"/>
    <x v="0"/>
  </r>
  <r>
    <s v="INC104309"/>
    <d v="2025-05-26T00:00:00"/>
    <d v="2025-05-27T10:01:48"/>
    <x v="1"/>
    <x v="2"/>
    <s v="DNS"/>
    <s v="Desktop Support"/>
    <s v="Delhi"/>
    <s v="Phone"/>
    <s v="Closed"/>
    <n v="24"/>
    <n v="34.03"/>
    <n v="3.3"/>
    <s v="No"/>
    <x v="1"/>
  </r>
  <r>
    <s v="INC104310"/>
    <d v="2025-04-20T00:00:00"/>
    <d v="2025-04-20T03:04:48"/>
    <x v="3"/>
    <x v="1"/>
    <s v="Password Reset"/>
    <s v="Access Management"/>
    <s v="Bengaluru"/>
    <s v="Email"/>
    <s v="Resolved"/>
    <n v="8"/>
    <n v="3.08"/>
    <n v="3.2"/>
    <s v="No"/>
    <x v="0"/>
  </r>
  <r>
    <s v="INC104311"/>
    <d v="2025-04-05T00:00:00"/>
    <d v="2025-04-07T11:23:24"/>
    <x v="0"/>
    <x v="4"/>
    <s v="Mailbox"/>
    <s v="Network Support"/>
    <s v="Bengaluru"/>
    <s v="Phone"/>
    <s v="Closed"/>
    <n v="48"/>
    <n v="59.39"/>
    <n v="3.2"/>
    <s v="No"/>
    <x v="1"/>
  </r>
  <r>
    <s v="INC104312"/>
    <d v="2025-06-05T00:00:00"/>
    <d v="2025-06-05T04:21:00"/>
    <x v="0"/>
    <x v="3"/>
    <s v="Laptop"/>
    <s v="Desktop Support"/>
    <s v="Mumbai"/>
    <s v="Chat"/>
    <s v="Closed"/>
    <n v="48"/>
    <n v="4.3499999999999996"/>
    <n v="4.4000000000000004"/>
    <s v="No"/>
    <x v="0"/>
  </r>
  <r>
    <s v="INC104313"/>
    <d v="2025-03-04T00:00:00"/>
    <d v="2025-03-05T02:47:24"/>
    <x v="1"/>
    <x v="4"/>
    <s v="Configuration"/>
    <s v="Service Desk"/>
    <s v="Hyderabad"/>
    <s v="Portal"/>
    <s v="Resolved"/>
    <n v="24"/>
    <n v="26.79"/>
    <n v="3.5"/>
    <s v="No"/>
    <x v="1"/>
  </r>
  <r>
    <s v="INC104314"/>
    <d v="2025-01-18T00:00:00"/>
    <d v="2025-01-18T12:45:36"/>
    <x v="0"/>
    <x v="4"/>
    <s v="Configuration"/>
    <s v="Desktop Support"/>
    <s v="Mumbai"/>
    <s v="Email"/>
    <s v="Resolved"/>
    <n v="48"/>
    <n v="12.76"/>
    <n v="4.3"/>
    <s v="No"/>
    <x v="0"/>
  </r>
  <r>
    <s v="INC104315"/>
    <d v="2025-05-17T00:00:00"/>
    <d v="2025-05-18T02:38:24"/>
    <x v="1"/>
    <x v="0"/>
    <s v="License"/>
    <s v="Network Support"/>
    <s v="Bengaluru"/>
    <s v="Email"/>
    <s v="Resolved"/>
    <n v="24"/>
    <n v="26.64"/>
    <n v="4.2"/>
    <s v="No"/>
    <x v="1"/>
  </r>
  <r>
    <s v="INC104316"/>
    <d v="2025-02-19T00:00:00"/>
    <d v="2025-02-20T00:52:48"/>
    <x v="0"/>
    <x v="1"/>
    <s v="Account Lock"/>
    <s v="Access Management"/>
    <s v="Delhi"/>
    <s v="Chat"/>
    <s v="Resolved"/>
    <n v="48"/>
    <n v="24.88"/>
    <n v="4"/>
    <s v="No"/>
    <x v="0"/>
  </r>
  <r>
    <s v="INC104317"/>
    <d v="2025-06-27T00:00:00"/>
    <d v="2025-06-27T10:01:12"/>
    <x v="1"/>
    <x v="0"/>
    <s v="Installation"/>
    <s v="Desktop Support"/>
    <s v="Gurugram"/>
    <s v="Phone"/>
    <s v="Resolved"/>
    <n v="24"/>
    <n v="10.02"/>
    <n v="4.8"/>
    <s v="No"/>
    <x v="0"/>
  </r>
  <r>
    <s v="INC104318"/>
    <d v="2025-03-16T00:00:00"/>
    <d v="2025-03-18T12:23:24"/>
    <x v="0"/>
    <x v="2"/>
    <s v="Link Down"/>
    <s v="Access Management"/>
    <s v="Noida"/>
    <s v="Portal"/>
    <s v="Resolved"/>
    <n v="48"/>
    <n v="60.39"/>
    <n v="3.4"/>
    <s v="No"/>
    <x v="1"/>
  </r>
  <r>
    <s v="INC104319"/>
    <d v="2025-06-04T00:00:00"/>
    <d v="2025-06-04T16:04:48"/>
    <x v="0"/>
    <x v="2"/>
    <s v="DNS"/>
    <s v="Network Support"/>
    <s v="Noida"/>
    <s v="Phone"/>
    <s v="Resolved"/>
    <n v="48"/>
    <n v="16.079999999999998"/>
    <n v="4.2"/>
    <s v="No"/>
    <x v="0"/>
  </r>
  <r>
    <s v="INC104320"/>
    <d v="2025-01-08T00:00:00"/>
    <d v="2025-01-08T05:57:00"/>
    <x v="2"/>
    <x v="3"/>
    <s v="Monitor"/>
    <s v="Desktop Support"/>
    <s v="Delhi"/>
    <s v="Portal"/>
    <s v="Resolved"/>
    <n v="4"/>
    <n v="5.95"/>
    <n v="2.8"/>
    <s v="No"/>
    <x v="1"/>
  </r>
  <r>
    <s v="INC104321"/>
    <d v="2025-04-30T00:00:00"/>
    <d v="2025-04-30T10:22:48"/>
    <x v="1"/>
    <x v="1"/>
    <s v="Permission"/>
    <s v="Application Support"/>
    <s v="Delhi"/>
    <s v="Portal"/>
    <s v="Resolved"/>
    <n v="24"/>
    <n v="10.38"/>
    <n v="4.5999999999999996"/>
    <s v="No"/>
    <x v="0"/>
  </r>
  <r>
    <s v="INC104322"/>
    <d v="2025-03-23T00:00:00"/>
    <d v="2025-03-23T04:24:36"/>
    <x v="3"/>
    <x v="3"/>
    <s v="Printer"/>
    <s v="Application Support"/>
    <s v="Noida"/>
    <s v="Email"/>
    <s v="Pending"/>
    <n v="8"/>
    <n v="4.41"/>
    <n v="5"/>
    <s v="No"/>
    <x v="0"/>
  </r>
  <r>
    <s v="INC104323"/>
    <d v="2025-03-25T00:00:00"/>
    <d v="2025-03-25T14:22:48"/>
    <x v="1"/>
    <x v="1"/>
    <s v="Account Lock"/>
    <s v="Network Support"/>
    <s v="Mumbai"/>
    <s v="Email"/>
    <s v="Resolved"/>
    <n v="24"/>
    <n v="14.38"/>
    <n v="3.8"/>
    <s v="No"/>
    <x v="0"/>
  </r>
  <r>
    <s v="INC104324"/>
    <d v="2025-02-18T00:00:00"/>
    <d v="2025-02-18T08:54:36"/>
    <x v="0"/>
    <x v="0"/>
    <s v="Installation"/>
    <s v="Application Support"/>
    <s v="Hyderabad"/>
    <s v="Portal"/>
    <s v="Closed"/>
    <n v="48"/>
    <n v="8.91"/>
    <n v="4.8"/>
    <s v="No"/>
    <x v="0"/>
  </r>
  <r>
    <s v="INC104325"/>
    <d v="2025-06-25T00:00:00"/>
    <d v="2025-06-25T16:24:00"/>
    <x v="1"/>
    <x v="0"/>
    <s v="Performance"/>
    <s v="Network Support"/>
    <s v="Hyderabad"/>
    <s v="Portal"/>
    <s v="Resolved"/>
    <n v="24"/>
    <n v="16.399999999999999"/>
    <n v="4.5"/>
    <s v="No"/>
    <x v="0"/>
  </r>
  <r>
    <s v="INC104326"/>
    <d v="2025-03-13T00:00:00"/>
    <d v="2025-03-13T06:22:12"/>
    <x v="1"/>
    <x v="3"/>
    <s v="Peripheral"/>
    <s v="Desktop Support"/>
    <s v="Noida"/>
    <s v="Phone"/>
    <s v="Closed"/>
    <n v="24"/>
    <n v="6.37"/>
    <n v="4.7"/>
    <s v="No"/>
    <x v="0"/>
  </r>
  <r>
    <s v="INC104327"/>
    <d v="2025-06-03T00:00:00"/>
    <d v="2025-06-03T10:31:12"/>
    <x v="0"/>
    <x v="3"/>
    <s v="Laptop"/>
    <s v="Network Support"/>
    <s v="Hyderabad"/>
    <s v="Portal"/>
    <s v="Closed"/>
    <n v="48"/>
    <n v="10.52"/>
    <n v="3.6"/>
    <s v="No"/>
    <x v="0"/>
  </r>
  <r>
    <s v="INC104328"/>
    <d v="2025-03-18T00:00:00"/>
    <d v="2025-03-18T01:43:48"/>
    <x v="3"/>
    <x v="2"/>
    <s v="Packet Loss"/>
    <s v="Network Support"/>
    <s v="Noida"/>
    <s v="Phone"/>
    <s v="Closed"/>
    <n v="8"/>
    <n v="1.73"/>
    <n v="5"/>
    <s v="No"/>
    <x v="0"/>
  </r>
  <r>
    <s v="INC104329"/>
    <d v="2025-01-09T00:00:00"/>
    <d v="2025-01-09T09:13:12"/>
    <x v="1"/>
    <x v="2"/>
    <s v="Connectivity"/>
    <s v="Application Support"/>
    <s v="Noida"/>
    <s v="Email"/>
    <s v="Closed"/>
    <n v="24"/>
    <n v="9.2200000000000006"/>
    <n v="3.6"/>
    <s v="No"/>
    <x v="0"/>
  </r>
  <r>
    <s v="INC104330"/>
    <d v="2025-06-09T00:00:00"/>
    <d v="2025-06-09T10:20:24"/>
    <x v="3"/>
    <x v="2"/>
    <s v="Connectivity"/>
    <s v="Application Support"/>
    <s v="Gurugram"/>
    <s v="Email"/>
    <s v="Closed"/>
    <n v="8"/>
    <n v="10.34"/>
    <n v="2.5"/>
    <s v="No"/>
    <x v="1"/>
  </r>
  <r>
    <s v="INC104331"/>
    <d v="2025-02-03T00:00:00"/>
    <d v="2025-02-03T07:04:12"/>
    <x v="1"/>
    <x v="2"/>
    <s v="Packet Loss"/>
    <s v="Access Management"/>
    <s v="Bengaluru"/>
    <s v="Portal"/>
    <s v="Closed"/>
    <n v="24"/>
    <n v="7.07"/>
    <n v="3.8"/>
    <s v="No"/>
    <x v="0"/>
  </r>
  <r>
    <s v="INC104332"/>
    <d v="2025-02-18T00:00:00"/>
    <d v="2025-02-18T16:04:48"/>
    <x v="1"/>
    <x v="2"/>
    <s v="Link Down"/>
    <s v="Application Support"/>
    <s v="Gurugram"/>
    <s v="Chat"/>
    <s v="Resolved"/>
    <n v="24"/>
    <n v="16.079999999999998"/>
    <n v="4.0999999999999996"/>
    <s v="No"/>
    <x v="0"/>
  </r>
  <r>
    <s v="INC104333"/>
    <d v="2025-06-05T00:00:00"/>
    <d v="2025-06-07T10:34:11"/>
    <x v="0"/>
    <x v="0"/>
    <s v="Installation"/>
    <s v="Desktop Support"/>
    <s v="Noida"/>
    <s v="Chat"/>
    <s v="Resolved"/>
    <n v="48"/>
    <n v="58.57"/>
    <n v="2.9"/>
    <s v="No"/>
    <x v="1"/>
  </r>
  <r>
    <s v="INC104334"/>
    <d v="2025-06-11T00:00:00"/>
    <d v="2025-06-11T01:44:24"/>
    <x v="2"/>
    <x v="3"/>
    <s v="Laptop"/>
    <s v="Network Support"/>
    <s v="Hyderabad"/>
    <s v="Portal"/>
    <s v="Closed"/>
    <n v="4"/>
    <n v="1.74"/>
    <n v="3.5"/>
    <s v="No"/>
    <x v="0"/>
  </r>
  <r>
    <s v="INC104335"/>
    <d v="2025-06-15T00:00:00"/>
    <d v="2025-06-15T14:11:24"/>
    <x v="1"/>
    <x v="2"/>
    <s v="DNS"/>
    <s v="Application Support"/>
    <s v="Bengaluru"/>
    <s v="Email"/>
    <s v="Resolved"/>
    <n v="24"/>
    <n v="14.19"/>
    <n v="4.5"/>
    <s v="No"/>
    <x v="0"/>
  </r>
  <r>
    <s v="INC104336"/>
    <d v="2025-03-19T00:00:00"/>
    <d v="2025-03-21T17:21:36"/>
    <x v="0"/>
    <x v="1"/>
    <s v="VPN Access"/>
    <s v="Service Desk"/>
    <s v="Gurugram"/>
    <s v="Phone"/>
    <s v="Resolved"/>
    <n v="48"/>
    <n v="65.36"/>
    <n v="3.3"/>
    <s v="No"/>
    <x v="1"/>
  </r>
  <r>
    <s v="INC104337"/>
    <d v="2025-05-18T00:00:00"/>
    <d v="2025-05-19T12:51:00"/>
    <x v="0"/>
    <x v="0"/>
    <s v="License"/>
    <s v="Network Support"/>
    <s v="Mumbai"/>
    <s v="Portal"/>
    <s v="Pending"/>
    <n v="48"/>
    <n v="36.85"/>
    <n v="4.5999999999999996"/>
    <s v="No"/>
    <x v="0"/>
  </r>
  <r>
    <s v="INC104338"/>
    <d v="2025-03-01T00:00:00"/>
    <d v="2025-03-01T16:49:48"/>
    <x v="1"/>
    <x v="4"/>
    <s v="Mailbox"/>
    <s v="Application Support"/>
    <s v="Mumbai"/>
    <s v="Email"/>
    <s v="Pending"/>
    <n v="24"/>
    <n v="16.829999999999998"/>
    <n v="3.7"/>
    <s v="No"/>
    <x v="0"/>
  </r>
  <r>
    <s v="INC104339"/>
    <d v="2025-05-15T00:00:00"/>
    <d v="2025-05-15T02:04:12"/>
    <x v="2"/>
    <x v="0"/>
    <s v="Application Error"/>
    <s v="Desktop Support"/>
    <s v="Bengaluru"/>
    <s v="Phone"/>
    <s v="Resolved"/>
    <n v="4"/>
    <n v="2.0699999999999998"/>
    <n v="4.3"/>
    <s v="Yes"/>
    <x v="0"/>
  </r>
  <r>
    <s v="INC104340"/>
    <d v="2025-04-01T00:00:00"/>
    <d v="2025-04-01T11:40:48"/>
    <x v="3"/>
    <x v="2"/>
    <s v="Connectivity"/>
    <s v="Network Support"/>
    <s v="Delhi"/>
    <s v="Email"/>
    <s v="Resolved"/>
    <n v="8"/>
    <n v="11.68"/>
    <n v="3.8"/>
    <s v="Yes"/>
    <x v="1"/>
  </r>
  <r>
    <s v="INC104341"/>
    <d v="2025-01-10T00:00:00"/>
    <d v="2025-01-10T09:16:12"/>
    <x v="1"/>
    <x v="4"/>
    <s v="Mailbox"/>
    <s v="Desktop Support"/>
    <s v="Gurugram"/>
    <s v="Chat"/>
    <s v="Resolved"/>
    <n v="24"/>
    <n v="9.27"/>
    <n v="3.7"/>
    <s v="No"/>
    <x v="0"/>
  </r>
  <r>
    <s v="INC104342"/>
    <d v="2025-03-17T00:00:00"/>
    <d v="2025-03-17T01:22:48"/>
    <x v="2"/>
    <x v="1"/>
    <s v="Account Lock"/>
    <s v="Application Support"/>
    <s v="Delhi"/>
    <s v="Portal"/>
    <s v="Resolved"/>
    <n v="4"/>
    <n v="1.38"/>
    <n v="4.2"/>
    <s v="No"/>
    <x v="0"/>
  </r>
  <r>
    <s v="INC104343"/>
    <d v="2025-03-26T00:00:00"/>
    <d v="2025-03-26T03:13:12"/>
    <x v="3"/>
    <x v="0"/>
    <s v="Performance"/>
    <s v="Desktop Support"/>
    <s v="Hyderabad"/>
    <s v="Chat"/>
    <s v="Pending"/>
    <n v="8"/>
    <n v="3.22"/>
    <n v="5"/>
    <s v="No"/>
    <x v="0"/>
  </r>
  <r>
    <s v="INC104344"/>
    <d v="2025-02-16T00:00:00"/>
    <d v="2025-02-16T19:33:00"/>
    <x v="1"/>
    <x v="0"/>
    <s v="Application Error"/>
    <s v="Application Support"/>
    <s v="Gurugram"/>
    <s v="Chat"/>
    <s v="Resolved"/>
    <n v="24"/>
    <n v="19.55"/>
    <n v="4"/>
    <s v="No"/>
    <x v="0"/>
  </r>
  <r>
    <s v="INC104345"/>
    <d v="2025-03-09T00:00:00"/>
    <d v="2025-03-09T15:19:48"/>
    <x v="1"/>
    <x v="3"/>
    <s v="Monitor"/>
    <s v="Desktop Support"/>
    <s v="Noida"/>
    <s v="Portal"/>
    <s v="Resolved"/>
    <n v="24"/>
    <n v="15.33"/>
    <n v="4.0999999999999996"/>
    <s v="No"/>
    <x v="0"/>
  </r>
  <r>
    <s v="INC104346"/>
    <d v="2025-04-01T00:00:00"/>
    <d v="2025-04-01T11:30:36"/>
    <x v="0"/>
    <x v="0"/>
    <s v="Performance"/>
    <s v="Service Desk"/>
    <s v="Hyderabad"/>
    <s v="Portal"/>
    <s v="In Progress"/>
    <n v="48"/>
    <n v="11.51"/>
    <n v="4.7"/>
    <s v="No"/>
    <x v="0"/>
  </r>
  <r>
    <s v="INC104347"/>
    <d v="2025-01-09T00:00:00"/>
    <d v="2025-01-10T18:27:36"/>
    <x v="0"/>
    <x v="1"/>
    <s v="Account Lock"/>
    <s v="Service Desk"/>
    <s v="Hyderabad"/>
    <s v="Email"/>
    <s v="Resolved"/>
    <n v="48"/>
    <n v="42.46"/>
    <n v="4.7"/>
    <s v="No"/>
    <x v="0"/>
  </r>
  <r>
    <s v="INC104348"/>
    <d v="2025-01-28T00:00:00"/>
    <d v="2025-01-28T18:12:36"/>
    <x v="1"/>
    <x v="0"/>
    <s v="Installation"/>
    <s v="Service Desk"/>
    <s v="Gurugram"/>
    <s v="Phone"/>
    <s v="Pending"/>
    <n v="24"/>
    <n v="18.21"/>
    <n v="4.0999999999999996"/>
    <s v="No"/>
    <x v="0"/>
  </r>
  <r>
    <s v="INC104349"/>
    <d v="2025-05-19T00:00:00"/>
    <d v="2025-05-19T14:13:48"/>
    <x v="0"/>
    <x v="2"/>
    <s v="Packet Loss"/>
    <s v="Access Management"/>
    <s v="Hyderabad"/>
    <s v="Portal"/>
    <s v="Resolved"/>
    <n v="48"/>
    <n v="14.23"/>
    <n v="4.7"/>
    <s v="Yes"/>
    <x v="0"/>
  </r>
  <r>
    <s v="INC104350"/>
    <d v="2025-03-05T00:00:00"/>
    <d v="2025-03-05T02:42:00"/>
    <x v="2"/>
    <x v="2"/>
    <s v="DNS"/>
    <s v="Service Desk"/>
    <s v="Mumbai"/>
    <s v="Portal"/>
    <s v="Resolved"/>
    <n v="4"/>
    <n v="2.7"/>
    <n v="4.2"/>
    <s v="No"/>
    <x v="0"/>
  </r>
  <r>
    <s v="INC104351"/>
    <d v="2025-04-21T00:00:00"/>
    <d v="2025-04-21T04:07:12"/>
    <x v="2"/>
    <x v="2"/>
    <s v="Link Down"/>
    <s v="Application Support"/>
    <s v="Bengaluru"/>
    <s v="Phone"/>
    <s v="Pending"/>
    <n v="4"/>
    <n v="4.12"/>
    <n v="2.7"/>
    <s v="No"/>
    <x v="1"/>
  </r>
  <r>
    <s v="INC104352"/>
    <d v="2025-04-13T00:00:00"/>
    <d v="2025-04-13T10:06:00"/>
    <x v="1"/>
    <x v="2"/>
    <s v="Connectivity"/>
    <s v="Service Desk"/>
    <s v="Gurugram"/>
    <s v="Portal"/>
    <s v="Resolved"/>
    <n v="24"/>
    <n v="10.1"/>
    <n v="4.8"/>
    <s v="No"/>
    <x v="0"/>
  </r>
  <r>
    <s v="INC104353"/>
    <d v="2025-04-10T00:00:00"/>
    <d v="2025-04-10T02:14:24"/>
    <x v="1"/>
    <x v="3"/>
    <s v="Peripheral"/>
    <s v="Desktop Support"/>
    <s v="Mumbai"/>
    <s v="Email"/>
    <s v="Closed"/>
    <n v="24"/>
    <n v="2.2400000000000002"/>
    <n v="4.4000000000000004"/>
    <s v="No"/>
    <x v="0"/>
  </r>
  <r>
    <s v="INC104354"/>
    <d v="2025-03-16T00:00:00"/>
    <d v="2025-03-16T11:34:47"/>
    <x v="1"/>
    <x v="4"/>
    <s v="Delivery"/>
    <s v="Application Support"/>
    <s v="Bengaluru"/>
    <s v="Email"/>
    <s v="Resolved"/>
    <n v="24"/>
    <n v="11.58"/>
    <n v="3.6"/>
    <s v="Yes"/>
    <x v="0"/>
  </r>
  <r>
    <s v="INC104355"/>
    <d v="2025-03-29T00:00:00"/>
    <d v="2025-03-29T19:13:12"/>
    <x v="0"/>
    <x v="2"/>
    <s v="Link Down"/>
    <s v="Desktop Support"/>
    <s v="Noida"/>
    <s v="Chat"/>
    <s v="Closed"/>
    <n v="48"/>
    <n v="19.22"/>
    <n v="3.4"/>
    <s v="No"/>
    <x v="0"/>
  </r>
  <r>
    <s v="INC104356"/>
    <d v="2025-05-30T00:00:00"/>
    <d v="2025-05-30T01:35:24"/>
    <x v="1"/>
    <x v="3"/>
    <s v="Printer"/>
    <s v="Application Support"/>
    <s v="Bengaluru"/>
    <s v="Portal"/>
    <s v="Resolved"/>
    <n v="24"/>
    <n v="1.59"/>
    <n v="3.9"/>
    <s v="No"/>
    <x v="0"/>
  </r>
  <r>
    <s v="INC104357"/>
    <d v="2025-06-24T00:00:00"/>
    <d v="2025-06-24T16:50:24"/>
    <x v="0"/>
    <x v="2"/>
    <s v="DNS"/>
    <s v="Access Management"/>
    <s v="Gurugram"/>
    <s v="Chat"/>
    <s v="Closed"/>
    <n v="48"/>
    <n v="16.84"/>
    <n v="3.1"/>
    <s v="No"/>
    <x v="0"/>
  </r>
  <r>
    <s v="INC104358"/>
    <d v="2025-02-16T00:00:00"/>
    <d v="2025-02-16T04:42:00"/>
    <x v="1"/>
    <x v="0"/>
    <s v="Application Error"/>
    <s v="Access Management"/>
    <s v="Bengaluru"/>
    <s v="Email"/>
    <s v="Pending"/>
    <n v="24"/>
    <n v="4.7"/>
    <n v="4.0999999999999996"/>
    <s v="No"/>
    <x v="0"/>
  </r>
  <r>
    <s v="INC104359"/>
    <d v="2025-05-02T00:00:00"/>
    <d v="2025-05-04T11:39:00"/>
    <x v="0"/>
    <x v="0"/>
    <s v="License"/>
    <s v="Access Management"/>
    <s v="Delhi"/>
    <s v="Chat"/>
    <s v="Resolved"/>
    <n v="48"/>
    <n v="59.65"/>
    <n v="3.2"/>
    <s v="No"/>
    <x v="1"/>
  </r>
  <r>
    <s v="INC104360"/>
    <d v="2025-06-25T00:00:00"/>
    <d v="2025-06-27T12:06:36"/>
    <x v="0"/>
    <x v="0"/>
    <s v="Performance"/>
    <s v="Network Support"/>
    <s v="Gurugram"/>
    <s v="Portal"/>
    <s v="Resolved"/>
    <n v="48"/>
    <n v="60.11"/>
    <n v="4.2"/>
    <s v="No"/>
    <x v="1"/>
  </r>
  <r>
    <s v="INC104361"/>
    <d v="2025-01-02T00:00:00"/>
    <d v="2025-01-03T10:36:36"/>
    <x v="0"/>
    <x v="4"/>
    <s v="Delivery"/>
    <s v="Application Support"/>
    <s v="Noida"/>
    <s v="Email"/>
    <s v="Closed"/>
    <n v="48"/>
    <n v="34.61"/>
    <n v="4.2"/>
    <s v="No"/>
    <x v="0"/>
  </r>
  <r>
    <s v="INC104362"/>
    <d v="2025-05-23T00:00:00"/>
    <d v="2025-05-23T03:40:48"/>
    <x v="3"/>
    <x v="4"/>
    <s v="Configuration"/>
    <s v="Application Support"/>
    <s v="Delhi"/>
    <s v="Phone"/>
    <s v="Pending"/>
    <n v="8"/>
    <n v="3.68"/>
    <n v="4.5999999999999996"/>
    <s v="No"/>
    <x v="0"/>
  </r>
  <r>
    <s v="INC104363"/>
    <d v="2025-03-31T00:00:00"/>
    <d v="2025-03-31T18:25:48"/>
    <x v="0"/>
    <x v="1"/>
    <s v="Account Lock"/>
    <s v="Desktop Support"/>
    <s v="Hyderabad"/>
    <s v="Phone"/>
    <s v="Resolved"/>
    <n v="48"/>
    <n v="18.43"/>
    <n v="5"/>
    <s v="No"/>
    <x v="0"/>
  </r>
  <r>
    <s v="INC104364"/>
    <d v="2025-06-25T00:00:00"/>
    <d v="2025-06-25T23:25:48"/>
    <x v="1"/>
    <x v="1"/>
    <s v="VPN Access"/>
    <s v="Service Desk"/>
    <s v="Hyderabad"/>
    <s v="Portal"/>
    <s v="Pending"/>
    <n v="24"/>
    <n v="23.43"/>
    <n v="2"/>
    <s v="No"/>
    <x v="0"/>
  </r>
  <r>
    <s v="INC104365"/>
    <d v="2025-04-15T00:00:00"/>
    <d v="2025-04-15T10:24:36"/>
    <x v="1"/>
    <x v="3"/>
    <s v="Printer"/>
    <s v="Network Support"/>
    <s v="Noida"/>
    <s v="Email"/>
    <s v="In Progress"/>
    <n v="24"/>
    <n v="10.41"/>
    <n v="4.7"/>
    <s v="No"/>
    <x v="0"/>
  </r>
  <r>
    <s v="INC104366"/>
    <d v="2025-06-01T00:00:00"/>
    <d v="2025-06-01T12:02:24"/>
    <x v="1"/>
    <x v="0"/>
    <s v="License"/>
    <s v="Access Management"/>
    <s v="Bengaluru"/>
    <s v="Portal"/>
    <s v="Closed"/>
    <n v="24"/>
    <n v="12.04"/>
    <n v="4.5999999999999996"/>
    <s v="No"/>
    <x v="0"/>
  </r>
  <r>
    <s v="INC104367"/>
    <d v="2025-01-31T00:00:00"/>
    <d v="2025-01-31T14:55:48"/>
    <x v="1"/>
    <x v="3"/>
    <s v="Monitor"/>
    <s v="Access Management"/>
    <s v="Gurugram"/>
    <s v="Portal"/>
    <s v="Resolved"/>
    <n v="24"/>
    <n v="14.93"/>
    <n v="4.8"/>
    <s v="No"/>
    <x v="0"/>
  </r>
  <r>
    <s v="INC104368"/>
    <d v="2025-01-26T00:00:00"/>
    <d v="2025-01-28T21:28:48"/>
    <x v="0"/>
    <x v="1"/>
    <s v="Permission"/>
    <s v="Network Support"/>
    <s v="Gurugram"/>
    <s v="Phone"/>
    <s v="Resolved"/>
    <n v="48"/>
    <n v="69.48"/>
    <n v="2.1"/>
    <s v="No"/>
    <x v="1"/>
  </r>
  <r>
    <s v="INC104369"/>
    <d v="2025-06-17T00:00:00"/>
    <d v="2025-06-17T02:36:36"/>
    <x v="1"/>
    <x v="2"/>
    <s v="Link Down"/>
    <s v="Desktop Support"/>
    <s v="Hyderabad"/>
    <s v="Chat"/>
    <s v="Closed"/>
    <n v="24"/>
    <n v="2.61"/>
    <n v="4.5"/>
    <s v="No"/>
    <x v="0"/>
  </r>
  <r>
    <s v="INC104370"/>
    <d v="2025-04-06T00:00:00"/>
    <d v="2025-04-06T07:18:36"/>
    <x v="1"/>
    <x v="2"/>
    <s v="Link Down"/>
    <s v="Desktop Support"/>
    <s v="Noida"/>
    <s v="Email"/>
    <s v="Closed"/>
    <n v="24"/>
    <n v="7.31"/>
    <n v="4"/>
    <s v="No"/>
    <x v="0"/>
  </r>
  <r>
    <s v="INC104371"/>
    <d v="2025-04-12T00:00:00"/>
    <d v="2025-04-12T03:40:48"/>
    <x v="1"/>
    <x v="2"/>
    <s v="Link Down"/>
    <s v="Network Support"/>
    <s v="Hyderabad"/>
    <s v="Portal"/>
    <s v="Resolved"/>
    <n v="24"/>
    <n v="3.68"/>
    <n v="4"/>
    <s v="No"/>
    <x v="0"/>
  </r>
  <r>
    <s v="INC104372"/>
    <d v="2025-01-31T00:00:00"/>
    <d v="2025-01-31T16:57:00"/>
    <x v="1"/>
    <x v="0"/>
    <s v="License"/>
    <s v="Desktop Support"/>
    <s v="Delhi"/>
    <s v="Portal"/>
    <s v="Resolved"/>
    <n v="24"/>
    <n v="16.95"/>
    <n v="5"/>
    <s v="No"/>
    <x v="0"/>
  </r>
  <r>
    <s v="INC104373"/>
    <d v="2025-02-11T00:00:00"/>
    <d v="2025-02-11T02:42:00"/>
    <x v="1"/>
    <x v="0"/>
    <s v="License"/>
    <s v="Access Management"/>
    <s v="Delhi"/>
    <s v="Portal"/>
    <s v="Closed"/>
    <n v="24"/>
    <n v="2.7"/>
    <n v="4.5"/>
    <s v="No"/>
    <x v="0"/>
  </r>
  <r>
    <s v="INC104374"/>
    <d v="2025-05-29T00:00:00"/>
    <d v="2025-05-29T06:19:48"/>
    <x v="1"/>
    <x v="2"/>
    <s v="Connectivity"/>
    <s v="Service Desk"/>
    <s v="Noida"/>
    <s v="Portal"/>
    <s v="Resolved"/>
    <n v="24"/>
    <n v="6.33"/>
    <n v="5"/>
    <s v="No"/>
    <x v="0"/>
  </r>
  <r>
    <s v="INC104375"/>
    <d v="2025-02-24T00:00:00"/>
    <d v="2025-02-25T03:52:48"/>
    <x v="0"/>
    <x v="0"/>
    <s v="License"/>
    <s v="Application Support"/>
    <s v="Mumbai"/>
    <s v="Phone"/>
    <s v="Resolved"/>
    <n v="48"/>
    <n v="27.88"/>
    <n v="4.8"/>
    <s v="No"/>
    <x v="0"/>
  </r>
  <r>
    <s v="INC104376"/>
    <d v="2025-04-16T00:00:00"/>
    <d v="2025-04-16T21:06:36"/>
    <x v="1"/>
    <x v="3"/>
    <s v="Printer"/>
    <s v="Access Management"/>
    <s v="Noida"/>
    <s v="Portal"/>
    <s v="Resolved"/>
    <n v="24"/>
    <n v="21.11"/>
    <n v="3"/>
    <s v="No"/>
    <x v="0"/>
  </r>
  <r>
    <s v="INC104377"/>
    <d v="2025-02-27T00:00:00"/>
    <d v="2025-02-27T22:58:12"/>
    <x v="0"/>
    <x v="1"/>
    <s v="Password Reset"/>
    <s v="Desktop Support"/>
    <s v="Hyderabad"/>
    <s v="Portal"/>
    <s v="Resolved"/>
    <n v="48"/>
    <n v="22.97"/>
    <n v="4.0999999999999996"/>
    <s v="No"/>
    <x v="0"/>
  </r>
  <r>
    <s v="INC104378"/>
    <d v="2025-02-17T00:00:00"/>
    <d v="2025-02-17T06:25:48"/>
    <x v="1"/>
    <x v="2"/>
    <s v="DNS"/>
    <s v="Network Support"/>
    <s v="Delhi"/>
    <s v="Phone"/>
    <s v="Resolved"/>
    <n v="24"/>
    <n v="6.43"/>
    <n v="4.7"/>
    <s v="No"/>
    <x v="0"/>
  </r>
  <r>
    <s v="INC104379"/>
    <d v="2025-01-31T00:00:00"/>
    <d v="2025-01-31T09:31:12"/>
    <x v="1"/>
    <x v="2"/>
    <s v="Connectivity"/>
    <s v="Service Desk"/>
    <s v="Hyderabad"/>
    <s v="Portal"/>
    <s v="Resolved"/>
    <n v="24"/>
    <n v="9.52"/>
    <n v="4.8"/>
    <s v="No"/>
    <x v="0"/>
  </r>
  <r>
    <s v="INC104380"/>
    <d v="2025-06-18T00:00:00"/>
    <d v="2025-06-18T18:18:00"/>
    <x v="0"/>
    <x v="0"/>
    <s v="License"/>
    <s v="Network Support"/>
    <s v="Noida"/>
    <s v="Portal"/>
    <s v="Closed"/>
    <n v="48"/>
    <n v="18.3"/>
    <n v="4.8"/>
    <s v="No"/>
    <x v="0"/>
  </r>
  <r>
    <s v="INC104381"/>
    <d v="2025-06-20T00:00:00"/>
    <d v="2025-06-21T22:18:00"/>
    <x v="0"/>
    <x v="0"/>
    <s v="Installation"/>
    <s v="Service Desk"/>
    <s v="Gurugram"/>
    <s v="Email"/>
    <s v="Closed"/>
    <n v="48"/>
    <n v="46.3"/>
    <n v="5"/>
    <s v="No"/>
    <x v="0"/>
  </r>
  <r>
    <s v="INC104382"/>
    <d v="2025-01-21T00:00:00"/>
    <d v="2025-01-21T07:01:48"/>
    <x v="1"/>
    <x v="1"/>
    <s v="VPN Access"/>
    <s v="Application Support"/>
    <s v="Bengaluru"/>
    <s v="Portal"/>
    <s v="Resolved"/>
    <n v="24"/>
    <n v="7.03"/>
    <n v="5"/>
    <s v="No"/>
    <x v="0"/>
  </r>
  <r>
    <s v="INC104383"/>
    <d v="2025-03-05T00:00:00"/>
    <d v="2025-03-05T22:09:36"/>
    <x v="1"/>
    <x v="0"/>
    <s v="Installation"/>
    <s v="Service Desk"/>
    <s v="Mumbai"/>
    <s v="Email"/>
    <s v="Resolved"/>
    <n v="24"/>
    <n v="22.16"/>
    <n v="4.3"/>
    <s v="No"/>
    <x v="0"/>
  </r>
  <r>
    <s v="INC104384"/>
    <d v="2025-04-13T00:00:00"/>
    <d v="2025-04-13T03:46:12"/>
    <x v="3"/>
    <x v="4"/>
    <s v="Mailbox"/>
    <s v="Desktop Support"/>
    <s v="Hyderabad"/>
    <s v="Email"/>
    <s v="Closed"/>
    <n v="8"/>
    <n v="3.77"/>
    <n v="5"/>
    <s v="No"/>
    <x v="0"/>
  </r>
  <r>
    <s v="INC104385"/>
    <d v="2025-03-11T00:00:00"/>
    <d v="2025-03-11T08:41:24"/>
    <x v="3"/>
    <x v="3"/>
    <s v="Peripheral"/>
    <s v="Access Management"/>
    <s v="Delhi"/>
    <s v="Email"/>
    <s v="Resolved"/>
    <n v="8"/>
    <n v="8.69"/>
    <n v="4.5999999999999996"/>
    <s v="No"/>
    <x v="1"/>
  </r>
  <r>
    <s v="INC104386"/>
    <d v="2025-05-11T00:00:00"/>
    <d v="2025-05-11T02:12:00"/>
    <x v="2"/>
    <x v="3"/>
    <s v="Printer"/>
    <s v="Service Desk"/>
    <s v="Mumbai"/>
    <s v="Portal"/>
    <s v="Pending"/>
    <n v="4"/>
    <n v="2.2000000000000002"/>
    <n v="3.9"/>
    <s v="Yes"/>
    <x v="0"/>
  </r>
  <r>
    <s v="INC104387"/>
    <d v="2025-02-17T00:00:00"/>
    <d v="2025-02-17T07:45:00"/>
    <x v="1"/>
    <x v="4"/>
    <s v="Spam"/>
    <s v="Access Management"/>
    <s v="Gurugram"/>
    <s v="Portal"/>
    <s v="Closed"/>
    <n v="24"/>
    <n v="7.75"/>
    <n v="3.6"/>
    <s v="No"/>
    <x v="0"/>
  </r>
  <r>
    <s v="INC104388"/>
    <d v="2025-01-11T00:00:00"/>
    <d v="2025-01-13T03:28:48"/>
    <x v="0"/>
    <x v="2"/>
    <s v="Connectivity"/>
    <s v="Service Desk"/>
    <s v="Bengaluru"/>
    <s v="Email"/>
    <s v="Pending"/>
    <n v="48"/>
    <n v="51.48"/>
    <n v="3.3"/>
    <s v="No"/>
    <x v="1"/>
  </r>
  <r>
    <s v="INC104389"/>
    <d v="2025-03-02T00:00:00"/>
    <d v="2025-03-03T22:00:00"/>
    <x v="1"/>
    <x v="1"/>
    <s v="VPN Access"/>
    <s v="Application Support"/>
    <s v="Noida"/>
    <s v="Portal"/>
    <s v="Closed"/>
    <n v="24"/>
    <n v="46"/>
    <n v="1.8"/>
    <s v="No"/>
    <x v="1"/>
  </r>
  <r>
    <s v="INC104390"/>
    <d v="2025-04-19T00:00:00"/>
    <d v="2025-04-19T13:52:48"/>
    <x v="1"/>
    <x v="2"/>
    <s v="DNS"/>
    <s v="Network Support"/>
    <s v="Mumbai"/>
    <s v="Portal"/>
    <s v="Pending"/>
    <n v="24"/>
    <n v="13.88"/>
    <n v="3.7"/>
    <s v="No"/>
    <x v="0"/>
  </r>
  <r>
    <s v="INC104391"/>
    <d v="2025-02-02T00:00:00"/>
    <d v="2025-02-02T23:20:24"/>
    <x v="1"/>
    <x v="0"/>
    <s v="Installation"/>
    <s v="Service Desk"/>
    <s v="Noida"/>
    <s v="Portal"/>
    <s v="Closed"/>
    <n v="24"/>
    <n v="23.34"/>
    <n v="3.9"/>
    <s v="No"/>
    <x v="0"/>
  </r>
  <r>
    <s v="INC104392"/>
    <d v="2025-05-28T00:00:00"/>
    <d v="2025-05-28T13:25:48"/>
    <x v="1"/>
    <x v="2"/>
    <s v="Packet Loss"/>
    <s v="Access Management"/>
    <s v="Gurugram"/>
    <s v="Portal"/>
    <s v="Resolved"/>
    <n v="24"/>
    <n v="13.43"/>
    <n v="4"/>
    <s v="No"/>
    <x v="0"/>
  </r>
  <r>
    <s v="INC104393"/>
    <d v="2025-01-03T00:00:00"/>
    <d v="2025-01-03T13:36:36"/>
    <x v="0"/>
    <x v="0"/>
    <s v="Application Error"/>
    <s v="Desktop Support"/>
    <s v="Noida"/>
    <s v="Portal"/>
    <s v="Closed"/>
    <n v="48"/>
    <n v="13.61"/>
    <n v="5"/>
    <s v="No"/>
    <x v="0"/>
  </r>
  <r>
    <s v="INC104394"/>
    <d v="2025-01-13T00:00:00"/>
    <d v="2025-01-15T05:39:00"/>
    <x v="0"/>
    <x v="1"/>
    <s v="Password Reset"/>
    <s v="Desktop Support"/>
    <s v="Mumbai"/>
    <s v="Chat"/>
    <s v="Resolved"/>
    <n v="48"/>
    <n v="53.65"/>
    <n v="3.9"/>
    <s v="No"/>
    <x v="1"/>
  </r>
  <r>
    <s v="INC104395"/>
    <d v="2025-04-03T00:00:00"/>
    <d v="2025-04-03T08:30:00"/>
    <x v="0"/>
    <x v="2"/>
    <s v="Packet Loss"/>
    <s v="Desktop Support"/>
    <s v="Hyderabad"/>
    <s v="Email"/>
    <s v="Resolved"/>
    <n v="48"/>
    <n v="8.5"/>
    <n v="5"/>
    <s v="No"/>
    <x v="0"/>
  </r>
  <r>
    <s v="INC104396"/>
    <d v="2025-04-03T00:00:00"/>
    <d v="2025-04-03T07:22:48"/>
    <x v="0"/>
    <x v="2"/>
    <s v="DNS"/>
    <s v="Service Desk"/>
    <s v="Delhi"/>
    <s v="Email"/>
    <s v="Resolved"/>
    <n v="48"/>
    <n v="7.38"/>
    <n v="4"/>
    <s v="No"/>
    <x v="0"/>
  </r>
  <r>
    <s v="INC104397"/>
    <d v="2025-02-23T00:00:00"/>
    <d v="2025-02-23T09:01:12"/>
    <x v="3"/>
    <x v="3"/>
    <s v="Peripheral"/>
    <s v="Access Management"/>
    <s v="Bengaluru"/>
    <s v="Portal"/>
    <s v="Closed"/>
    <n v="8"/>
    <n v="9.02"/>
    <n v="3.1"/>
    <s v="No"/>
    <x v="1"/>
  </r>
  <r>
    <s v="INC104398"/>
    <d v="2025-02-16T00:00:00"/>
    <d v="2025-02-16T19:39:36"/>
    <x v="0"/>
    <x v="2"/>
    <s v="Link Down"/>
    <s v="Service Desk"/>
    <s v="Delhi"/>
    <s v="Portal"/>
    <s v="Closed"/>
    <n v="48"/>
    <n v="19.66"/>
    <n v="3.3"/>
    <s v="No"/>
    <x v="0"/>
  </r>
  <r>
    <s v="INC104399"/>
    <d v="2025-01-13T00:00:00"/>
    <d v="2025-01-13T04:46:12"/>
    <x v="1"/>
    <x v="3"/>
    <s v="Laptop"/>
    <s v="Network Support"/>
    <s v="Bengaluru"/>
    <s v="Phone"/>
    <s v="In Progress"/>
    <n v="24"/>
    <n v="4.7699999999999996"/>
    <n v="5"/>
    <s v="No"/>
    <x v="0"/>
  </r>
  <r>
    <s v="INC104400"/>
    <d v="2025-04-30T00:00:00"/>
    <d v="2025-04-30T11:57:00"/>
    <x v="3"/>
    <x v="4"/>
    <s v="Delivery"/>
    <s v="Access Management"/>
    <s v="Bengaluru"/>
    <s v="Phone"/>
    <s v="Resolved"/>
    <n v="8"/>
    <n v="11.95"/>
    <n v="4.5"/>
    <s v="No"/>
    <x v="1"/>
  </r>
  <r>
    <s v="INC104401"/>
    <d v="2025-03-10T00:00:00"/>
    <d v="2025-03-10T20:18:00"/>
    <x v="1"/>
    <x v="2"/>
    <s v="Packet Loss"/>
    <s v="Network Support"/>
    <s v="Hyderabad"/>
    <s v="Chat"/>
    <s v="Pending"/>
    <n v="24"/>
    <n v="20.3"/>
    <n v="4.0999999999999996"/>
    <s v="No"/>
    <x v="0"/>
  </r>
  <r>
    <s v="INC104402"/>
    <d v="2025-01-22T00:00:00"/>
    <d v="2025-01-22T11:30:00"/>
    <x v="1"/>
    <x v="3"/>
    <s v="Peripheral"/>
    <s v="Access Management"/>
    <s v="Gurugram"/>
    <s v="Portal"/>
    <s v="Closed"/>
    <n v="24"/>
    <n v="11.5"/>
    <n v="4.5999999999999996"/>
    <s v="No"/>
    <x v="0"/>
  </r>
  <r>
    <s v="INC104403"/>
    <d v="2025-03-14T00:00:00"/>
    <d v="2025-03-14T15:50:24"/>
    <x v="1"/>
    <x v="3"/>
    <s v="Laptop"/>
    <s v="Service Desk"/>
    <s v="Mumbai"/>
    <s v="Portal"/>
    <s v="Resolved"/>
    <n v="24"/>
    <n v="15.84"/>
    <n v="3.9"/>
    <s v="No"/>
    <x v="0"/>
  </r>
  <r>
    <s v="INC104404"/>
    <d v="2025-06-19T00:00:00"/>
    <d v="2025-06-19T14:30:00"/>
    <x v="1"/>
    <x v="3"/>
    <s v="Printer"/>
    <s v="Network Support"/>
    <s v="Mumbai"/>
    <s v="Phone"/>
    <s v="Resolved"/>
    <n v="24"/>
    <n v="14.5"/>
    <n v="4.0999999999999996"/>
    <s v="No"/>
    <x v="0"/>
  </r>
  <r>
    <s v="INC104405"/>
    <d v="2025-02-17T00:00:00"/>
    <d v="2025-02-17T20:04:12"/>
    <x v="1"/>
    <x v="2"/>
    <s v="Packet Loss"/>
    <s v="Service Desk"/>
    <s v="Bengaluru"/>
    <s v="Portal"/>
    <s v="Resolved"/>
    <n v="24"/>
    <n v="20.07"/>
    <n v="4.8"/>
    <s v="No"/>
    <x v="0"/>
  </r>
  <r>
    <s v="INC104406"/>
    <d v="2025-06-11T00:00:00"/>
    <d v="2025-06-11T03:43:12"/>
    <x v="3"/>
    <x v="0"/>
    <s v="Performance"/>
    <s v="Application Support"/>
    <s v="Bengaluru"/>
    <s v="Portal"/>
    <s v="Resolved"/>
    <n v="8"/>
    <n v="3.72"/>
    <n v="4.5"/>
    <s v="No"/>
    <x v="0"/>
  </r>
  <r>
    <s v="INC104407"/>
    <d v="2025-02-16T00:00:00"/>
    <d v="2025-02-16T07:06:00"/>
    <x v="3"/>
    <x v="0"/>
    <s v="Application Error"/>
    <s v="Desktop Support"/>
    <s v="Bengaluru"/>
    <s v="Portal"/>
    <s v="Closed"/>
    <n v="8"/>
    <n v="7.1"/>
    <n v="4.4000000000000004"/>
    <s v="No"/>
    <x v="0"/>
  </r>
  <r>
    <s v="INC104408"/>
    <d v="2025-02-03T00:00:00"/>
    <d v="2025-02-03T04:35:24"/>
    <x v="3"/>
    <x v="1"/>
    <s v="Password Reset"/>
    <s v="Network Support"/>
    <s v="Delhi"/>
    <s v="Portal"/>
    <s v="Resolved"/>
    <n v="8"/>
    <n v="4.59"/>
    <n v="5"/>
    <s v="No"/>
    <x v="0"/>
  </r>
  <r>
    <s v="INC104409"/>
    <d v="2025-02-17T00:00:00"/>
    <d v="2025-02-17T00:30:00"/>
    <x v="2"/>
    <x v="3"/>
    <s v="Printer"/>
    <s v="Service Desk"/>
    <s v="Mumbai"/>
    <s v="Phone"/>
    <s v="Resolved"/>
    <n v="4"/>
    <n v="0.5"/>
    <n v="5"/>
    <s v="No"/>
    <x v="0"/>
  </r>
  <r>
    <s v="INC104410"/>
    <d v="2025-02-28T00:00:00"/>
    <d v="2025-02-28T08:07:12"/>
    <x v="1"/>
    <x v="0"/>
    <s v="Application Error"/>
    <s v="Service Desk"/>
    <s v="Noida"/>
    <s v="Phone"/>
    <s v="Closed"/>
    <n v="24"/>
    <n v="8.1199999999999992"/>
    <n v="4.5999999999999996"/>
    <s v="Yes"/>
    <x v="0"/>
  </r>
  <r>
    <s v="INC104411"/>
    <d v="2025-01-22T00:00:00"/>
    <d v="2025-01-22T06:13:12"/>
    <x v="3"/>
    <x v="4"/>
    <s v="Delivery"/>
    <s v="Application Support"/>
    <s v="Delhi"/>
    <s v="Email"/>
    <s v="Resolved"/>
    <n v="8"/>
    <n v="6.22"/>
    <n v="4.0999999999999996"/>
    <s v="No"/>
    <x v="0"/>
  </r>
  <r>
    <s v="INC104412"/>
    <d v="2025-04-17T00:00:00"/>
    <d v="2025-04-17T03:36:00"/>
    <x v="1"/>
    <x v="1"/>
    <s v="Password Reset"/>
    <s v="Access Management"/>
    <s v="Bengaluru"/>
    <s v="Portal"/>
    <s v="In Progress"/>
    <n v="24"/>
    <n v="3.6"/>
    <n v="4.5999999999999996"/>
    <s v="No"/>
    <x v="0"/>
  </r>
  <r>
    <s v="INC104413"/>
    <d v="2025-03-02T00:00:00"/>
    <d v="2025-03-02T13:46:48"/>
    <x v="1"/>
    <x v="4"/>
    <s v="Configuration"/>
    <s v="Service Desk"/>
    <s v="Hyderabad"/>
    <s v="Phone"/>
    <s v="Resolved"/>
    <n v="24"/>
    <n v="13.78"/>
    <n v="4.5999999999999996"/>
    <s v="No"/>
    <x v="0"/>
  </r>
  <r>
    <s v="INC104414"/>
    <d v="2025-05-10T00:00:00"/>
    <d v="2025-05-10T03:16:48"/>
    <x v="3"/>
    <x v="2"/>
    <s v="Link Down"/>
    <s v="Access Management"/>
    <s v="Mumbai"/>
    <s v="Email"/>
    <s v="Resolved"/>
    <n v="8"/>
    <n v="3.28"/>
    <n v="4.2"/>
    <s v="No"/>
    <x v="0"/>
  </r>
  <r>
    <s v="INC104415"/>
    <d v="2025-03-30T00:00:00"/>
    <d v="2025-03-30T12:06:00"/>
    <x v="3"/>
    <x v="4"/>
    <s v="Spam"/>
    <s v="Desktop Support"/>
    <s v="Gurugram"/>
    <s v="Phone"/>
    <s v="In Progress"/>
    <n v="8"/>
    <n v="12.1"/>
    <n v="3.4"/>
    <s v="No"/>
    <x v="1"/>
  </r>
  <r>
    <s v="INC104416"/>
    <d v="2025-03-22T00:00:00"/>
    <d v="2025-03-22T07:16:12"/>
    <x v="3"/>
    <x v="1"/>
    <s v="Account Lock"/>
    <s v="Network Support"/>
    <s v="Mumbai"/>
    <s v="Email"/>
    <s v="Resolved"/>
    <n v="8"/>
    <n v="7.27"/>
    <n v="4.5999999999999996"/>
    <s v="No"/>
    <x v="0"/>
  </r>
  <r>
    <s v="INC104417"/>
    <d v="2025-03-27T00:00:00"/>
    <d v="2025-03-27T03:47:24"/>
    <x v="1"/>
    <x v="1"/>
    <s v="Account Lock"/>
    <s v="Service Desk"/>
    <s v="Hyderabad"/>
    <s v="Chat"/>
    <s v="Resolved"/>
    <n v="24"/>
    <n v="3.79"/>
    <n v="3.7"/>
    <s v="No"/>
    <x v="0"/>
  </r>
  <r>
    <s v="INC104418"/>
    <d v="2025-01-29T00:00:00"/>
    <d v="2025-01-29T19:19:12"/>
    <x v="1"/>
    <x v="0"/>
    <s v="Performance"/>
    <s v="Access Management"/>
    <s v="Gurugram"/>
    <s v="Portal"/>
    <s v="Pending"/>
    <n v="24"/>
    <n v="19.32"/>
    <n v="2.8"/>
    <s v="No"/>
    <x v="0"/>
  </r>
  <r>
    <s v="INC104419"/>
    <d v="2025-05-10T00:00:00"/>
    <d v="2025-05-10T19:23:24"/>
    <x v="0"/>
    <x v="4"/>
    <s v="Delivery"/>
    <s v="Access Management"/>
    <s v="Bengaluru"/>
    <s v="Email"/>
    <s v="Resolved"/>
    <n v="48"/>
    <n v="19.39"/>
    <n v="4.5"/>
    <s v="No"/>
    <x v="0"/>
  </r>
  <r>
    <s v="INC104420"/>
    <d v="2025-01-19T00:00:00"/>
    <d v="2025-01-19T12:54:00"/>
    <x v="1"/>
    <x v="3"/>
    <s v="Printer"/>
    <s v="Application Support"/>
    <s v="Hyderabad"/>
    <s v="Phone"/>
    <s v="In Progress"/>
    <n v="24"/>
    <n v="12.9"/>
    <n v="4.8"/>
    <s v="No"/>
    <x v="0"/>
  </r>
  <r>
    <s v="INC104421"/>
    <d v="2025-05-11T00:00:00"/>
    <d v="2025-05-11T03:15:36"/>
    <x v="3"/>
    <x v="1"/>
    <s v="VPN Access"/>
    <s v="Service Desk"/>
    <s v="Delhi"/>
    <s v="Phone"/>
    <s v="Pending"/>
    <n v="8"/>
    <n v="3.26"/>
    <n v="4.7"/>
    <s v="No"/>
    <x v="0"/>
  </r>
  <r>
    <s v="INC104422"/>
    <d v="2025-06-30T00:00:00"/>
    <d v="2025-06-30T12:21:36"/>
    <x v="3"/>
    <x v="0"/>
    <s v="Application Error"/>
    <s v="Application Support"/>
    <s v="Noida"/>
    <s v="Chat"/>
    <s v="Resolved"/>
    <n v="8"/>
    <n v="12.36"/>
    <n v="2.4"/>
    <s v="No"/>
    <x v="1"/>
  </r>
  <r>
    <s v="INC104423"/>
    <d v="2025-05-19T00:00:00"/>
    <d v="2025-05-20T11:04:48"/>
    <x v="1"/>
    <x v="1"/>
    <s v="VPN Access"/>
    <s v="Application Support"/>
    <s v="Noida"/>
    <s v="Portal"/>
    <s v="Closed"/>
    <n v="24"/>
    <n v="35.08"/>
    <n v="3.8"/>
    <s v="No"/>
    <x v="1"/>
  </r>
  <r>
    <s v="INC104424"/>
    <d v="2025-03-24T00:00:00"/>
    <d v="2025-03-24T06:59:24"/>
    <x v="1"/>
    <x v="1"/>
    <s v="Permission"/>
    <s v="Application Support"/>
    <s v="Delhi"/>
    <s v="Email"/>
    <s v="Closed"/>
    <n v="24"/>
    <n v="6.99"/>
    <n v="5"/>
    <s v="No"/>
    <x v="0"/>
  </r>
  <r>
    <s v="INC104425"/>
    <d v="2025-02-26T00:00:00"/>
    <d v="2025-02-27T02:03:00"/>
    <x v="1"/>
    <x v="2"/>
    <s v="Link Down"/>
    <s v="Desktop Support"/>
    <s v="Gurugram"/>
    <s v="Portal"/>
    <s v="Pending"/>
    <n v="24"/>
    <n v="26.05"/>
    <n v="3.1"/>
    <s v="No"/>
    <x v="1"/>
  </r>
  <r>
    <s v="INC104426"/>
    <d v="2025-06-07T00:00:00"/>
    <d v="2025-06-07T15:53:24"/>
    <x v="0"/>
    <x v="3"/>
    <s v="Peripheral"/>
    <s v="Desktop Support"/>
    <s v="Bengaluru"/>
    <s v="Email"/>
    <s v="Resolved"/>
    <n v="48"/>
    <n v="15.89"/>
    <n v="4.0999999999999996"/>
    <s v="No"/>
    <x v="0"/>
  </r>
  <r>
    <s v="INC104427"/>
    <d v="2025-02-16T00:00:00"/>
    <d v="2025-02-16T13:16:48"/>
    <x v="0"/>
    <x v="3"/>
    <s v="Printer"/>
    <s v="Access Management"/>
    <s v="Gurugram"/>
    <s v="Portal"/>
    <s v="Closed"/>
    <n v="48"/>
    <n v="13.28"/>
    <n v="4.7"/>
    <s v="No"/>
    <x v="0"/>
  </r>
  <r>
    <s v="INC104428"/>
    <d v="2025-03-29T00:00:00"/>
    <d v="2025-03-29T04:36:00"/>
    <x v="3"/>
    <x v="1"/>
    <s v="Password Reset"/>
    <s v="Access Management"/>
    <s v="Gurugram"/>
    <s v="Portal"/>
    <s v="Resolved"/>
    <n v="8"/>
    <n v="4.5999999999999996"/>
    <n v="4.2"/>
    <s v="No"/>
    <x v="0"/>
  </r>
  <r>
    <s v="INC104429"/>
    <d v="2025-05-20T00:00:00"/>
    <d v="2025-05-20T12:22:12"/>
    <x v="1"/>
    <x v="0"/>
    <s v="Application Error"/>
    <s v="Desktop Support"/>
    <s v="Gurugram"/>
    <s v="Chat"/>
    <s v="Closed"/>
    <n v="24"/>
    <n v="12.37"/>
    <n v="5"/>
    <s v="No"/>
    <x v="0"/>
  </r>
  <r>
    <s v="INC104430"/>
    <d v="2025-06-16T00:00:00"/>
    <d v="2025-06-16T00:57:00"/>
    <x v="2"/>
    <x v="1"/>
    <s v="Permission"/>
    <s v="Service Desk"/>
    <s v="Delhi"/>
    <s v="Phone"/>
    <s v="Closed"/>
    <n v="4"/>
    <n v="0.95"/>
    <n v="4.9000000000000004"/>
    <s v="No"/>
    <x v="0"/>
  </r>
  <r>
    <s v="INC104431"/>
    <d v="2025-06-16T00:00:00"/>
    <d v="2025-06-16T05:37:48"/>
    <x v="0"/>
    <x v="1"/>
    <s v="Permission"/>
    <s v="Desktop Support"/>
    <s v="Bengaluru"/>
    <s v="Email"/>
    <s v="Pending"/>
    <n v="48"/>
    <n v="5.63"/>
    <n v="4.7"/>
    <s v="No"/>
    <x v="0"/>
  </r>
  <r>
    <s v="INC104432"/>
    <d v="2025-01-16T00:00:00"/>
    <d v="2025-01-16T04:17:23"/>
    <x v="3"/>
    <x v="0"/>
    <s v="Application Error"/>
    <s v="Desktop Support"/>
    <s v="Gurugram"/>
    <s v="Portal"/>
    <s v="Resolved"/>
    <n v="8"/>
    <n v="4.29"/>
    <n v="4"/>
    <s v="No"/>
    <x v="0"/>
  </r>
  <r>
    <s v="INC104433"/>
    <d v="2025-06-12T00:00:00"/>
    <d v="2025-06-12T05:42:00"/>
    <x v="1"/>
    <x v="2"/>
    <s v="Packet Loss"/>
    <s v="Application Support"/>
    <s v="Bengaluru"/>
    <s v="Portal"/>
    <s v="Resolved"/>
    <n v="24"/>
    <n v="5.7"/>
    <n v="3.7"/>
    <s v="No"/>
    <x v="0"/>
  </r>
  <r>
    <s v="INC104434"/>
    <d v="2025-01-21T00:00:00"/>
    <d v="2025-01-21T10:19:48"/>
    <x v="1"/>
    <x v="0"/>
    <s v="Performance"/>
    <s v="Service Desk"/>
    <s v="Mumbai"/>
    <s v="Portal"/>
    <s v="Pending"/>
    <n v="24"/>
    <n v="10.33"/>
    <n v="5"/>
    <s v="No"/>
    <x v="0"/>
  </r>
  <r>
    <s v="INC104435"/>
    <d v="2025-04-16T00:00:00"/>
    <d v="2025-04-17T03:49:12"/>
    <x v="1"/>
    <x v="4"/>
    <s v="Configuration"/>
    <s v="Network Support"/>
    <s v="Noida"/>
    <s v="Portal"/>
    <s v="Closed"/>
    <n v="24"/>
    <n v="27.82"/>
    <n v="4"/>
    <s v="No"/>
    <x v="1"/>
  </r>
  <r>
    <s v="INC104436"/>
    <d v="2025-06-18T00:00:00"/>
    <d v="2025-06-18T10:54:36"/>
    <x v="1"/>
    <x v="0"/>
    <s v="Performance"/>
    <s v="Access Management"/>
    <s v="Hyderabad"/>
    <s v="Chat"/>
    <s v="Resolved"/>
    <n v="24"/>
    <n v="10.91"/>
    <n v="4.4000000000000004"/>
    <s v="No"/>
    <x v="0"/>
  </r>
  <r>
    <s v="INC104437"/>
    <d v="2025-04-29T00:00:00"/>
    <d v="2025-04-29T00:53:24"/>
    <x v="3"/>
    <x v="4"/>
    <s v="Configuration"/>
    <s v="Access Management"/>
    <s v="Gurugram"/>
    <s v="Email"/>
    <s v="Resolved"/>
    <n v="8"/>
    <n v="0.89"/>
    <n v="4.9000000000000004"/>
    <s v="No"/>
    <x v="0"/>
  </r>
  <r>
    <s v="INC104438"/>
    <d v="2025-06-21T00:00:00"/>
    <d v="2025-06-22T01:40:48"/>
    <x v="1"/>
    <x v="4"/>
    <s v="Mailbox"/>
    <s v="Network Support"/>
    <s v="Hyderabad"/>
    <s v="Portal"/>
    <s v="Pending"/>
    <n v="24"/>
    <n v="25.68"/>
    <n v="3.6"/>
    <s v="No"/>
    <x v="1"/>
  </r>
  <r>
    <s v="INC104439"/>
    <d v="2025-03-04T00:00:00"/>
    <d v="2025-03-05T11:03:36"/>
    <x v="0"/>
    <x v="3"/>
    <s v="Peripheral"/>
    <s v="Service Desk"/>
    <s v="Gurugram"/>
    <s v="Phone"/>
    <s v="Pending"/>
    <n v="48"/>
    <n v="35.06"/>
    <n v="3"/>
    <s v="No"/>
    <x v="0"/>
  </r>
  <r>
    <s v="INC104440"/>
    <d v="2025-02-26T00:00:00"/>
    <d v="2025-02-27T21:43:12"/>
    <x v="0"/>
    <x v="1"/>
    <s v="Account Lock"/>
    <s v="Desktop Support"/>
    <s v="Gurugram"/>
    <s v="Portal"/>
    <s v="Resolved"/>
    <n v="48"/>
    <n v="45.72"/>
    <n v="2.9"/>
    <s v="No"/>
    <x v="0"/>
  </r>
  <r>
    <s v="INC104441"/>
    <d v="2025-03-01T00:00:00"/>
    <d v="2025-03-01T12:11:24"/>
    <x v="1"/>
    <x v="0"/>
    <s v="Performance"/>
    <s v="Application Support"/>
    <s v="Hyderabad"/>
    <s v="Portal"/>
    <s v="Closed"/>
    <n v="24"/>
    <n v="12.19"/>
    <n v="4.3"/>
    <s v="No"/>
    <x v="0"/>
  </r>
  <r>
    <s v="INC104442"/>
    <d v="2025-03-06T00:00:00"/>
    <d v="2025-03-06T12:07:48"/>
    <x v="1"/>
    <x v="3"/>
    <s v="Peripheral"/>
    <s v="Application Support"/>
    <s v="Noida"/>
    <s v="Portal"/>
    <s v="Resolved"/>
    <n v="24"/>
    <n v="12.13"/>
    <n v="4.2"/>
    <s v="No"/>
    <x v="0"/>
  </r>
  <r>
    <s v="INC104443"/>
    <d v="2025-05-04T00:00:00"/>
    <d v="2025-05-05T23:54:36"/>
    <x v="1"/>
    <x v="2"/>
    <s v="DNS"/>
    <s v="Service Desk"/>
    <s v="Mumbai"/>
    <s v="Portal"/>
    <s v="Resolved"/>
    <n v="24"/>
    <n v="47.91"/>
    <n v="2.6"/>
    <s v="Yes"/>
    <x v="1"/>
  </r>
  <r>
    <s v="INC104444"/>
    <d v="2025-03-23T00:00:00"/>
    <d v="2025-03-23T17:37:48"/>
    <x v="1"/>
    <x v="2"/>
    <s v="Connectivity"/>
    <s v="Service Desk"/>
    <s v="Mumbai"/>
    <s v="Email"/>
    <s v="Closed"/>
    <n v="24"/>
    <n v="17.63"/>
    <n v="5"/>
    <s v="No"/>
    <x v="0"/>
  </r>
  <r>
    <s v="INC104445"/>
    <d v="2025-05-14T00:00:00"/>
    <d v="2025-05-15T01:23:24"/>
    <x v="1"/>
    <x v="2"/>
    <s v="Connectivity"/>
    <s v="Desktop Support"/>
    <s v="Noida"/>
    <s v="Phone"/>
    <s v="Resolved"/>
    <n v="24"/>
    <n v="25.39"/>
    <n v="3.5"/>
    <s v="No"/>
    <x v="1"/>
  </r>
  <r>
    <s v="INC104446"/>
    <d v="2025-03-17T00:00:00"/>
    <d v="2025-03-18T00:47:24"/>
    <x v="3"/>
    <x v="0"/>
    <s v="Performance"/>
    <s v="Service Desk"/>
    <s v="Gurugram"/>
    <s v="Email"/>
    <s v="Resolved"/>
    <n v="8"/>
    <n v="24.79"/>
    <n v="1"/>
    <s v="No"/>
    <x v="1"/>
  </r>
  <r>
    <s v="INC104447"/>
    <d v="2025-02-25T00:00:00"/>
    <d v="2025-02-25T15:39:00"/>
    <x v="3"/>
    <x v="2"/>
    <s v="DNS"/>
    <s v="Desktop Support"/>
    <s v="Noida"/>
    <s v="Phone"/>
    <s v="Resolved"/>
    <n v="8"/>
    <n v="15.65"/>
    <n v="2.7"/>
    <s v="No"/>
    <x v="1"/>
  </r>
  <r>
    <s v="INC104448"/>
    <d v="2025-02-04T00:00:00"/>
    <d v="2025-02-04T04:28:48"/>
    <x v="1"/>
    <x v="3"/>
    <s v="Printer"/>
    <s v="Service Desk"/>
    <s v="Noida"/>
    <s v="Chat"/>
    <s v="Resolved"/>
    <n v="24"/>
    <n v="4.4800000000000004"/>
    <n v="3.9"/>
    <s v="No"/>
    <x v="0"/>
  </r>
  <r>
    <s v="INC104449"/>
    <d v="2025-04-10T00:00:00"/>
    <d v="2025-04-10T05:29:24"/>
    <x v="1"/>
    <x v="0"/>
    <s v="Application Error"/>
    <s v="Network Support"/>
    <s v="Noida"/>
    <s v="Phone"/>
    <s v="Resolved"/>
    <n v="24"/>
    <n v="5.49"/>
    <n v="4.8"/>
    <s v="No"/>
    <x v="0"/>
  </r>
  <r>
    <s v="INC104450"/>
    <d v="2025-06-12T00:00:00"/>
    <d v="2025-06-12T01:13:48"/>
    <x v="3"/>
    <x v="3"/>
    <s v="Laptop"/>
    <s v="Application Support"/>
    <s v="Gurugram"/>
    <s v="Chat"/>
    <s v="Pending"/>
    <n v="8"/>
    <n v="1.23"/>
    <n v="4.3"/>
    <s v="No"/>
    <x v="0"/>
  </r>
  <r>
    <s v="INC104451"/>
    <d v="2025-06-05T00:00:00"/>
    <d v="2025-06-05T12:00:00"/>
    <x v="1"/>
    <x v="1"/>
    <s v="Permission"/>
    <s v="Application Support"/>
    <s v="Hyderabad"/>
    <s v="Chat"/>
    <s v="Resolved"/>
    <n v="24"/>
    <n v="12"/>
    <n v="4.5"/>
    <s v="No"/>
    <x v="0"/>
  </r>
  <r>
    <s v="INC104452"/>
    <d v="2025-02-15T00:00:00"/>
    <d v="2025-02-15T09:01:12"/>
    <x v="2"/>
    <x v="3"/>
    <s v="Printer"/>
    <s v="Service Desk"/>
    <s v="Bengaluru"/>
    <s v="Phone"/>
    <s v="Closed"/>
    <n v="4"/>
    <n v="9.02"/>
    <n v="2.2000000000000002"/>
    <s v="No"/>
    <x v="1"/>
  </r>
  <r>
    <s v="INC104453"/>
    <d v="2025-03-28T00:00:00"/>
    <d v="2025-03-28T00:36:36"/>
    <x v="0"/>
    <x v="2"/>
    <s v="DNS"/>
    <s v="Desktop Support"/>
    <s v="Mumbai"/>
    <s v="Portal"/>
    <s v="Resolved"/>
    <n v="48"/>
    <n v="0.61"/>
    <n v="4.9000000000000004"/>
    <s v="No"/>
    <x v="0"/>
  </r>
  <r>
    <s v="INC104454"/>
    <d v="2025-05-08T00:00:00"/>
    <d v="2025-05-08T07:53:24"/>
    <x v="1"/>
    <x v="4"/>
    <s v="Delivery"/>
    <s v="Desktop Support"/>
    <s v="Bengaluru"/>
    <s v="Portal"/>
    <s v="In Progress"/>
    <n v="24"/>
    <n v="7.89"/>
    <n v="5"/>
    <s v="No"/>
    <x v="0"/>
  </r>
  <r>
    <s v="INC104455"/>
    <d v="2025-04-21T00:00:00"/>
    <d v="2025-04-21T12:10:12"/>
    <x v="1"/>
    <x v="1"/>
    <s v="Account Lock"/>
    <s v="Network Support"/>
    <s v="Noida"/>
    <s v="Phone"/>
    <s v="Closed"/>
    <n v="24"/>
    <n v="12.17"/>
    <n v="4.9000000000000004"/>
    <s v="No"/>
    <x v="0"/>
  </r>
  <r>
    <s v="INC104456"/>
    <d v="2025-01-13T00:00:00"/>
    <d v="2025-01-13T05:01:48"/>
    <x v="1"/>
    <x v="0"/>
    <s v="Application Error"/>
    <s v="Desktop Support"/>
    <s v="Gurugram"/>
    <s v="Phone"/>
    <s v="Pending"/>
    <n v="24"/>
    <n v="5.03"/>
    <n v="5"/>
    <s v="No"/>
    <x v="0"/>
  </r>
  <r>
    <s v="INC104457"/>
    <d v="2025-04-17T00:00:00"/>
    <d v="2025-04-17T20:02:24"/>
    <x v="0"/>
    <x v="1"/>
    <s v="VPN Access"/>
    <s v="Desktop Support"/>
    <s v="Hyderabad"/>
    <s v="Phone"/>
    <s v="Resolved"/>
    <n v="48"/>
    <n v="20.04"/>
    <n v="5"/>
    <s v="No"/>
    <x v="0"/>
  </r>
  <r>
    <s v="INC104458"/>
    <d v="2025-01-08T00:00:00"/>
    <d v="2025-01-08T10:34:11"/>
    <x v="1"/>
    <x v="2"/>
    <s v="DNS"/>
    <s v="Access Management"/>
    <s v="Delhi"/>
    <s v="Email"/>
    <s v="Resolved"/>
    <n v="24"/>
    <n v="10.57"/>
    <n v="4.3"/>
    <s v="No"/>
    <x v="0"/>
  </r>
  <r>
    <s v="INC104459"/>
    <d v="2025-01-22T00:00:00"/>
    <d v="2025-01-22T03:19:48"/>
    <x v="1"/>
    <x v="1"/>
    <s v="Password Reset"/>
    <s v="Service Desk"/>
    <s v="Gurugram"/>
    <s v="Phone"/>
    <s v="Resolved"/>
    <n v="24"/>
    <n v="3.33"/>
    <n v="4.4000000000000004"/>
    <s v="No"/>
    <x v="0"/>
  </r>
  <r>
    <s v="INC104460"/>
    <d v="2025-04-29T00:00:00"/>
    <d v="2025-04-29T07:27:36"/>
    <x v="3"/>
    <x v="2"/>
    <s v="Link Down"/>
    <s v="Application Support"/>
    <s v="Mumbai"/>
    <s v="Phone"/>
    <s v="Resolved"/>
    <n v="8"/>
    <n v="7.46"/>
    <n v="4.0999999999999996"/>
    <s v="Yes"/>
    <x v="0"/>
  </r>
  <r>
    <s v="INC104461"/>
    <d v="2025-01-19T00:00:00"/>
    <d v="2025-01-19T10:07:12"/>
    <x v="1"/>
    <x v="0"/>
    <s v="Installation"/>
    <s v="Service Desk"/>
    <s v="Bengaluru"/>
    <s v="Email"/>
    <s v="Resolved"/>
    <n v="24"/>
    <n v="10.119999999999999"/>
    <n v="5"/>
    <s v="No"/>
    <x v="0"/>
  </r>
  <r>
    <s v="INC104462"/>
    <d v="2025-03-03T00:00:00"/>
    <d v="2025-03-03T09:19:12"/>
    <x v="0"/>
    <x v="2"/>
    <s v="Packet Loss"/>
    <s v="Network Support"/>
    <s v="Bengaluru"/>
    <s v="Portal"/>
    <s v="Closed"/>
    <n v="48"/>
    <n v="9.32"/>
    <n v="5"/>
    <s v="No"/>
    <x v="0"/>
  </r>
  <r>
    <s v="INC104463"/>
    <d v="2025-04-17T00:00:00"/>
    <d v="2025-04-17T12:19:12"/>
    <x v="1"/>
    <x v="1"/>
    <s v="VPN Access"/>
    <s v="Service Desk"/>
    <s v="Delhi"/>
    <s v="Email"/>
    <s v="Resolved"/>
    <n v="24"/>
    <n v="12.32"/>
    <n v="3.9"/>
    <s v="No"/>
    <x v="0"/>
  </r>
  <r>
    <s v="INC104464"/>
    <d v="2025-04-29T00:00:00"/>
    <d v="2025-04-29T21:49:12"/>
    <x v="1"/>
    <x v="2"/>
    <s v="Connectivity"/>
    <s v="Access Management"/>
    <s v="Gurugram"/>
    <s v="Portal"/>
    <s v="Closed"/>
    <n v="24"/>
    <n v="21.82"/>
    <n v="4.2"/>
    <s v="No"/>
    <x v="0"/>
  </r>
  <r>
    <s v="INC104465"/>
    <d v="2025-03-22T00:00:00"/>
    <d v="2025-03-22T22:57:00"/>
    <x v="0"/>
    <x v="2"/>
    <s v="DNS"/>
    <s v="Service Desk"/>
    <s v="Bengaluru"/>
    <s v="Portal"/>
    <s v="Closed"/>
    <n v="48"/>
    <n v="22.95"/>
    <n v="4.5999999999999996"/>
    <s v="Yes"/>
    <x v="0"/>
  </r>
  <r>
    <s v="INC104466"/>
    <d v="2025-01-18T00:00:00"/>
    <d v="2025-01-18T05:05:24"/>
    <x v="1"/>
    <x v="2"/>
    <s v="Connectivity"/>
    <s v="Access Management"/>
    <s v="Gurugram"/>
    <s v="Email"/>
    <s v="Resolved"/>
    <n v="24"/>
    <n v="5.09"/>
    <n v="5"/>
    <s v="No"/>
    <x v="0"/>
  </r>
  <r>
    <s v="INC104467"/>
    <d v="2025-05-25T00:00:00"/>
    <d v="2025-05-25T14:07:48"/>
    <x v="1"/>
    <x v="1"/>
    <s v="VPN Access"/>
    <s v="Application Support"/>
    <s v="Noida"/>
    <s v="Portal"/>
    <s v="Closed"/>
    <n v="24"/>
    <n v="14.13"/>
    <n v="4.5"/>
    <s v="No"/>
    <x v="0"/>
  </r>
  <r>
    <s v="INC104468"/>
    <d v="2025-06-21T00:00:00"/>
    <d v="2025-06-24T17:33:36"/>
    <x v="0"/>
    <x v="3"/>
    <s v="Printer"/>
    <s v="Application Support"/>
    <s v="Hyderabad"/>
    <s v="Chat"/>
    <s v="Resolved"/>
    <n v="48"/>
    <n v="89.56"/>
    <n v="2.9"/>
    <s v="No"/>
    <x v="1"/>
  </r>
  <r>
    <s v="INC104469"/>
    <d v="2025-06-10T00:00:00"/>
    <d v="2025-06-10T07:36:36"/>
    <x v="1"/>
    <x v="0"/>
    <s v="Application Error"/>
    <s v="Application Support"/>
    <s v="Bengaluru"/>
    <s v="Email"/>
    <s v="Pending"/>
    <n v="24"/>
    <n v="7.61"/>
    <n v="3.9"/>
    <s v="No"/>
    <x v="0"/>
  </r>
  <r>
    <s v="INC104470"/>
    <d v="2025-05-16T00:00:00"/>
    <d v="2025-05-16T05:49:48"/>
    <x v="1"/>
    <x v="3"/>
    <s v="Printer"/>
    <s v="Desktop Support"/>
    <s v="Bengaluru"/>
    <s v="Email"/>
    <s v="Closed"/>
    <n v="24"/>
    <n v="5.83"/>
    <n v="5"/>
    <s v="No"/>
    <x v="0"/>
  </r>
  <r>
    <s v="INC104471"/>
    <d v="2025-03-14T00:00:00"/>
    <d v="2025-03-14T02:52:48"/>
    <x v="3"/>
    <x v="1"/>
    <s v="Account Lock"/>
    <s v="Application Support"/>
    <s v="Gurugram"/>
    <s v="Portal"/>
    <s v="In Progress"/>
    <n v="8"/>
    <n v="2.88"/>
    <n v="3.7"/>
    <s v="No"/>
    <x v="0"/>
  </r>
  <r>
    <s v="INC104472"/>
    <d v="2025-06-08T00:00:00"/>
    <d v="2025-06-08T06:13:12"/>
    <x v="1"/>
    <x v="2"/>
    <s v="Link Down"/>
    <s v="Network Support"/>
    <s v="Bengaluru"/>
    <s v="Phone"/>
    <s v="Resolved"/>
    <n v="24"/>
    <n v="6.22"/>
    <n v="4.7"/>
    <s v="No"/>
    <x v="0"/>
  </r>
  <r>
    <s v="INC104473"/>
    <d v="2025-03-30T00:00:00"/>
    <d v="2025-03-30T12:54:36"/>
    <x v="0"/>
    <x v="4"/>
    <s v="Mailbox"/>
    <s v="Application Support"/>
    <s v="Hyderabad"/>
    <s v="Email"/>
    <s v="Closed"/>
    <n v="48"/>
    <n v="12.91"/>
    <n v="4.3"/>
    <s v="No"/>
    <x v="0"/>
  </r>
  <r>
    <s v="INC104474"/>
    <d v="2025-01-25T00:00:00"/>
    <d v="2025-01-25T00:42:00"/>
    <x v="2"/>
    <x v="3"/>
    <s v="Printer"/>
    <s v="Application Support"/>
    <s v="Bengaluru"/>
    <s v="Email"/>
    <s v="Pending"/>
    <n v="4"/>
    <n v="0.7"/>
    <n v="4.4000000000000004"/>
    <s v="No"/>
    <x v="0"/>
  </r>
  <r>
    <s v="INC104475"/>
    <d v="2025-06-03T00:00:00"/>
    <d v="2025-06-04T01:19:12"/>
    <x v="1"/>
    <x v="2"/>
    <s v="DNS"/>
    <s v="Network Support"/>
    <s v="Mumbai"/>
    <s v="Email"/>
    <s v="Resolved"/>
    <n v="24"/>
    <n v="25.32"/>
    <n v="4.0999999999999996"/>
    <s v="No"/>
    <x v="1"/>
  </r>
  <r>
    <s v="INC104476"/>
    <d v="2025-02-27T00:00:00"/>
    <d v="2025-02-28T16:53:24"/>
    <x v="0"/>
    <x v="2"/>
    <s v="Packet Loss"/>
    <s v="Desktop Support"/>
    <s v="Hyderabad"/>
    <s v="Email"/>
    <s v="Resolved"/>
    <n v="48"/>
    <n v="40.89"/>
    <n v="4"/>
    <s v="No"/>
    <x v="0"/>
  </r>
  <r>
    <s v="INC104477"/>
    <d v="2025-06-19T00:00:00"/>
    <d v="2025-06-19T03:10:48"/>
    <x v="3"/>
    <x v="2"/>
    <s v="DNS"/>
    <s v="Desktop Support"/>
    <s v="Hyderabad"/>
    <s v="Email"/>
    <s v="In Progress"/>
    <n v="8"/>
    <n v="3.18"/>
    <n v="3"/>
    <s v="No"/>
    <x v="0"/>
  </r>
  <r>
    <s v="INC104478"/>
    <d v="2025-03-08T00:00:00"/>
    <d v="2025-03-08T14:43:12"/>
    <x v="0"/>
    <x v="3"/>
    <s v="Monitor"/>
    <s v="Service Desk"/>
    <s v="Noida"/>
    <s v="Phone"/>
    <s v="Resolved"/>
    <n v="48"/>
    <n v="14.72"/>
    <n v="4.5"/>
    <s v="No"/>
    <x v="0"/>
  </r>
  <r>
    <s v="INC104479"/>
    <d v="2025-06-07T00:00:00"/>
    <d v="2025-06-07T05:29:24"/>
    <x v="3"/>
    <x v="2"/>
    <s v="Packet Loss"/>
    <s v="Network Support"/>
    <s v="Gurugram"/>
    <s v="Phone"/>
    <s v="Resolved"/>
    <n v="8"/>
    <n v="5.49"/>
    <n v="3.9"/>
    <s v="No"/>
    <x v="0"/>
  </r>
  <r>
    <s v="INC104480"/>
    <d v="2025-04-08T00:00:00"/>
    <d v="2025-04-08T13:56:24"/>
    <x v="1"/>
    <x v="4"/>
    <s v="Configuration"/>
    <s v="Network Support"/>
    <s v="Gurugram"/>
    <s v="Portal"/>
    <s v="Closed"/>
    <n v="24"/>
    <n v="13.94"/>
    <n v="5"/>
    <s v="No"/>
    <x v="0"/>
  </r>
  <r>
    <s v="INC104481"/>
    <d v="2025-03-26T00:00:00"/>
    <d v="2025-03-26T02:15:36"/>
    <x v="2"/>
    <x v="0"/>
    <s v="Installation"/>
    <s v="Service Desk"/>
    <s v="Mumbai"/>
    <s v="Chat"/>
    <s v="Closed"/>
    <n v="4"/>
    <n v="2.2599999999999998"/>
    <n v="3.5"/>
    <s v="No"/>
    <x v="0"/>
  </r>
  <r>
    <s v="INC104482"/>
    <d v="2025-02-23T00:00:00"/>
    <d v="2025-02-23T05:08:24"/>
    <x v="2"/>
    <x v="2"/>
    <s v="Packet Loss"/>
    <s v="Service Desk"/>
    <s v="Noida"/>
    <s v="Portal"/>
    <s v="Resolved"/>
    <n v="4"/>
    <n v="5.14"/>
    <n v="4.7"/>
    <s v="No"/>
    <x v="1"/>
  </r>
  <r>
    <s v="INC104483"/>
    <d v="2025-06-01T00:00:00"/>
    <d v="2025-06-02T11:50:24"/>
    <x v="0"/>
    <x v="3"/>
    <s v="Laptop"/>
    <s v="Service Desk"/>
    <s v="Mumbai"/>
    <s v="Portal"/>
    <s v="Resolved"/>
    <n v="48"/>
    <n v="35.840000000000003"/>
    <n v="4.7"/>
    <s v="No"/>
    <x v="0"/>
  </r>
  <r>
    <s v="INC104484"/>
    <d v="2025-01-11T00:00:00"/>
    <d v="2025-01-12T07:23:24"/>
    <x v="3"/>
    <x v="2"/>
    <s v="Packet Loss"/>
    <s v="Application Support"/>
    <s v="Mumbai"/>
    <s v="Portal"/>
    <s v="Resolved"/>
    <n v="8"/>
    <n v="31.39"/>
    <n v="1"/>
    <s v="No"/>
    <x v="1"/>
  </r>
  <r>
    <s v="INC104485"/>
    <d v="2025-03-26T00:00:00"/>
    <d v="2025-03-26T07:58:12"/>
    <x v="1"/>
    <x v="2"/>
    <s v="DNS"/>
    <s v="Desktop Support"/>
    <s v="Bengaluru"/>
    <s v="Portal"/>
    <s v="Resolved"/>
    <n v="24"/>
    <n v="7.97"/>
    <n v="4.3"/>
    <s v="No"/>
    <x v="0"/>
  </r>
  <r>
    <s v="INC104486"/>
    <d v="2025-03-08T00:00:00"/>
    <d v="2025-03-09T22:02:24"/>
    <x v="1"/>
    <x v="3"/>
    <s v="Peripheral"/>
    <s v="Network Support"/>
    <s v="Delhi"/>
    <s v="Portal"/>
    <s v="Resolved"/>
    <n v="24"/>
    <n v="46.04"/>
    <n v="2.2999999999999998"/>
    <s v="No"/>
    <x v="1"/>
  </r>
  <r>
    <s v="INC104487"/>
    <d v="2025-04-09T00:00:00"/>
    <d v="2025-04-09T17:17:23"/>
    <x v="1"/>
    <x v="2"/>
    <s v="Link Down"/>
    <s v="Network Support"/>
    <s v="Mumbai"/>
    <s v="Phone"/>
    <s v="Closed"/>
    <n v="24"/>
    <n v="17.29"/>
    <n v="4.3"/>
    <s v="No"/>
    <x v="0"/>
  </r>
  <r>
    <s v="INC104488"/>
    <d v="2025-02-16T00:00:00"/>
    <d v="2025-02-16T09:46:48"/>
    <x v="0"/>
    <x v="2"/>
    <s v="Packet Loss"/>
    <s v="Application Support"/>
    <s v="Gurugram"/>
    <s v="Email"/>
    <s v="In Progress"/>
    <n v="48"/>
    <n v="9.7799999999999994"/>
    <n v="4.2"/>
    <s v="No"/>
    <x v="0"/>
  </r>
  <r>
    <s v="INC104489"/>
    <d v="2025-05-01T00:00:00"/>
    <d v="2025-05-01T13:30:00"/>
    <x v="0"/>
    <x v="4"/>
    <s v="Delivery"/>
    <s v="Access Management"/>
    <s v="Bengaluru"/>
    <s v="Chat"/>
    <s v="Pending"/>
    <n v="48"/>
    <n v="13.5"/>
    <n v="4.5999999999999996"/>
    <s v="Yes"/>
    <x v="0"/>
  </r>
  <r>
    <s v="INC104490"/>
    <d v="2025-03-11T00:00:00"/>
    <d v="2025-03-12T15:12:36"/>
    <x v="0"/>
    <x v="0"/>
    <s v="License"/>
    <s v="Access Management"/>
    <s v="Gurugram"/>
    <s v="Portal"/>
    <s v="Pending"/>
    <n v="48"/>
    <n v="39.21"/>
    <n v="3.3"/>
    <s v="No"/>
    <x v="0"/>
  </r>
  <r>
    <s v="INC104491"/>
    <d v="2025-02-04T00:00:00"/>
    <d v="2025-02-04T07:39:36"/>
    <x v="0"/>
    <x v="4"/>
    <s v="Configuration"/>
    <s v="Application Support"/>
    <s v="Delhi"/>
    <s v="Email"/>
    <s v="Pending"/>
    <n v="48"/>
    <n v="7.66"/>
    <n v="5"/>
    <s v="No"/>
    <x v="0"/>
  </r>
  <r>
    <s v="INC104492"/>
    <d v="2025-02-05T00:00:00"/>
    <d v="2025-02-05T22:54:00"/>
    <x v="0"/>
    <x v="2"/>
    <s v="DNS"/>
    <s v="Service Desk"/>
    <s v="Bengaluru"/>
    <s v="Portal"/>
    <s v="Resolved"/>
    <n v="48"/>
    <n v="22.9"/>
    <n v="4.5"/>
    <s v="No"/>
    <x v="0"/>
  </r>
  <r>
    <s v="INC104493"/>
    <d v="2025-05-07T00:00:00"/>
    <d v="2025-05-07T19:10:12"/>
    <x v="3"/>
    <x v="1"/>
    <s v="VPN Access"/>
    <s v="Application Support"/>
    <s v="Noida"/>
    <s v="Email"/>
    <s v="Resolved"/>
    <n v="8"/>
    <n v="19.170000000000002"/>
    <n v="1.8"/>
    <s v="Yes"/>
    <x v="1"/>
  </r>
  <r>
    <s v="INC104494"/>
    <d v="2025-02-17T00:00:00"/>
    <d v="2025-02-17T00:31:48"/>
    <x v="1"/>
    <x v="3"/>
    <s v="Monitor"/>
    <s v="Network Support"/>
    <s v="Bengaluru"/>
    <s v="Portal"/>
    <s v="Resolved"/>
    <n v="24"/>
    <n v="0.53"/>
    <n v="4.8"/>
    <s v="No"/>
    <x v="0"/>
  </r>
  <r>
    <s v="INC104495"/>
    <d v="2025-02-25T00:00:00"/>
    <d v="2025-02-25T03:48:00"/>
    <x v="3"/>
    <x v="2"/>
    <s v="Link Down"/>
    <s v="Network Support"/>
    <s v="Noida"/>
    <s v="Email"/>
    <s v="Closed"/>
    <n v="8"/>
    <n v="3.8"/>
    <n v="4"/>
    <s v="Yes"/>
    <x v="0"/>
  </r>
  <r>
    <s v="INC104496"/>
    <d v="2025-04-24T00:00:00"/>
    <d v="2025-04-24T02:15:00"/>
    <x v="3"/>
    <x v="1"/>
    <s v="Account Lock"/>
    <s v="Network Support"/>
    <s v="Noida"/>
    <s v="Phone"/>
    <s v="Pending"/>
    <n v="8"/>
    <n v="2.25"/>
    <n v="4.9000000000000004"/>
    <s v="No"/>
    <x v="0"/>
  </r>
  <r>
    <s v="INC104497"/>
    <d v="2025-03-01T00:00:00"/>
    <d v="2025-03-01T15:44:24"/>
    <x v="3"/>
    <x v="2"/>
    <s v="Link Down"/>
    <s v="Network Support"/>
    <s v="Delhi"/>
    <s v="Portal"/>
    <s v="Resolved"/>
    <n v="8"/>
    <n v="15.74"/>
    <n v="1.8"/>
    <s v="No"/>
    <x v="1"/>
  </r>
  <r>
    <s v="INC104498"/>
    <d v="2025-03-12T00:00:00"/>
    <d v="2025-03-12T10:43:48"/>
    <x v="1"/>
    <x v="3"/>
    <s v="Peripheral"/>
    <s v="Service Desk"/>
    <s v="Gurugram"/>
    <s v="Portal"/>
    <s v="Resolved"/>
    <n v="24"/>
    <n v="10.73"/>
    <n v="5"/>
    <s v="No"/>
    <x v="0"/>
  </r>
  <r>
    <s v="INC104499"/>
    <d v="2025-02-14T00:00:00"/>
    <d v="2025-02-14T01:56:24"/>
    <x v="3"/>
    <x v="1"/>
    <s v="VPN Access"/>
    <s v="Network Support"/>
    <s v="Hyderabad"/>
    <s v="Portal"/>
    <s v="Resolved"/>
    <n v="8"/>
    <n v="1.94"/>
    <n v="4.8"/>
    <s v="Yes"/>
    <x v="0"/>
  </r>
  <r>
    <s v="INC104500"/>
    <d v="2025-03-04T00:00:00"/>
    <d v="2025-03-04T01:18:00"/>
    <x v="3"/>
    <x v="0"/>
    <s v="License"/>
    <s v="Access Management"/>
    <s v="Mumbai"/>
    <s v="Portal"/>
    <s v="Resolved"/>
    <n v="8"/>
    <n v="1.3"/>
    <n v="4.5"/>
    <s v="No"/>
    <x v="0"/>
  </r>
  <r>
    <s v="INC104501"/>
    <d v="2025-05-06T00:00:00"/>
    <d v="2025-05-06T01:28:12"/>
    <x v="3"/>
    <x v="0"/>
    <s v="Performance"/>
    <s v="Application Support"/>
    <s v="Noida"/>
    <s v="Email"/>
    <s v="Closed"/>
    <n v="8"/>
    <n v="1.47"/>
    <n v="5"/>
    <s v="No"/>
    <x v="0"/>
  </r>
  <r>
    <s v="INC104502"/>
    <d v="2025-04-07T00:00:00"/>
    <d v="2025-04-07T14:10:48"/>
    <x v="3"/>
    <x v="3"/>
    <s v="Laptop"/>
    <s v="Application Support"/>
    <s v="Delhi"/>
    <s v="Email"/>
    <s v="Resolved"/>
    <n v="8"/>
    <n v="14.18"/>
    <n v="3.1"/>
    <s v="No"/>
    <x v="1"/>
  </r>
  <r>
    <s v="INC104503"/>
    <d v="2025-06-30T00:00:00"/>
    <d v="2025-06-30T01:01:12"/>
    <x v="1"/>
    <x v="2"/>
    <s v="Connectivity"/>
    <s v="Network Support"/>
    <s v="Hyderabad"/>
    <s v="Phone"/>
    <s v="Resolved"/>
    <n v="24"/>
    <n v="1.02"/>
    <n v="4.3"/>
    <s v="No"/>
    <x v="0"/>
  </r>
  <r>
    <s v="INC104504"/>
    <d v="2025-05-20T00:00:00"/>
    <d v="2025-05-20T17:45:00"/>
    <x v="1"/>
    <x v="4"/>
    <s v="Spam"/>
    <s v="Access Management"/>
    <s v="Mumbai"/>
    <s v="Chat"/>
    <s v="Pending"/>
    <n v="24"/>
    <n v="17.75"/>
    <n v="5"/>
    <s v="No"/>
    <x v="0"/>
  </r>
  <r>
    <s v="INC104505"/>
    <d v="2025-01-04T00:00:00"/>
    <d v="2025-01-04T10:57:36"/>
    <x v="3"/>
    <x v="2"/>
    <s v="Packet Loss"/>
    <s v="Network Support"/>
    <s v="Delhi"/>
    <s v="Portal"/>
    <s v="Resolved"/>
    <n v="8"/>
    <n v="10.96"/>
    <n v="1.7"/>
    <s v="No"/>
    <x v="1"/>
  </r>
  <r>
    <s v="INC104506"/>
    <d v="2025-03-10T00:00:00"/>
    <d v="2025-03-10T11:16:12"/>
    <x v="1"/>
    <x v="2"/>
    <s v="Link Down"/>
    <s v="Access Management"/>
    <s v="Gurugram"/>
    <s v="Chat"/>
    <s v="Resolved"/>
    <n v="24"/>
    <n v="11.27"/>
    <n v="5"/>
    <s v="No"/>
    <x v="0"/>
  </r>
  <r>
    <s v="INC104507"/>
    <d v="2025-02-22T00:00:00"/>
    <d v="2025-02-22T01:30:00"/>
    <x v="3"/>
    <x v="2"/>
    <s v="Packet Loss"/>
    <s v="Application Support"/>
    <s v="Gurugram"/>
    <s v="Phone"/>
    <s v="Closed"/>
    <n v="8"/>
    <n v="1.5"/>
    <n v="4.7"/>
    <s v="No"/>
    <x v="0"/>
  </r>
  <r>
    <s v="INC104508"/>
    <d v="2025-04-17T00:00:00"/>
    <d v="2025-04-18T11:24:36"/>
    <x v="0"/>
    <x v="4"/>
    <s v="Configuration"/>
    <s v="Service Desk"/>
    <s v="Hyderabad"/>
    <s v="Portal"/>
    <s v="Resolved"/>
    <n v="48"/>
    <n v="35.409999999999997"/>
    <n v="4.8"/>
    <s v="No"/>
    <x v="0"/>
  </r>
  <r>
    <s v="INC104509"/>
    <d v="2025-02-18T00:00:00"/>
    <d v="2025-02-18T11:00:00"/>
    <x v="0"/>
    <x v="1"/>
    <s v="Account Lock"/>
    <s v="Network Support"/>
    <s v="Hyderabad"/>
    <s v="Phone"/>
    <s v="Closed"/>
    <n v="48"/>
    <n v="11"/>
    <n v="5"/>
    <s v="No"/>
    <x v="0"/>
  </r>
  <r>
    <s v="INC104510"/>
    <d v="2025-06-24T00:00:00"/>
    <d v="2025-06-24T07:13:48"/>
    <x v="1"/>
    <x v="3"/>
    <s v="Peripheral"/>
    <s v="Application Support"/>
    <s v="Noida"/>
    <s v="Email"/>
    <s v="Resolved"/>
    <n v="24"/>
    <n v="7.23"/>
    <n v="4.4000000000000004"/>
    <s v="No"/>
    <x v="0"/>
  </r>
  <r>
    <s v="INC104511"/>
    <d v="2025-02-24T00:00:00"/>
    <d v="2025-02-24T12:18:36"/>
    <x v="0"/>
    <x v="4"/>
    <s v="Delivery"/>
    <s v="Access Management"/>
    <s v="Gurugram"/>
    <s v="Phone"/>
    <s v="Resolved"/>
    <n v="48"/>
    <n v="12.31"/>
    <n v="4.4000000000000004"/>
    <s v="No"/>
    <x v="0"/>
  </r>
  <r>
    <s v="INC104512"/>
    <d v="2025-04-05T00:00:00"/>
    <d v="2025-04-05T01:04:12"/>
    <x v="2"/>
    <x v="2"/>
    <s v="DNS"/>
    <s v="Desktop Support"/>
    <s v="Bengaluru"/>
    <s v="Phone"/>
    <s v="Resolved"/>
    <n v="4"/>
    <n v="1.07"/>
    <n v="4.9000000000000004"/>
    <s v="No"/>
    <x v="0"/>
  </r>
  <r>
    <s v="INC104513"/>
    <d v="2025-01-23T00:00:00"/>
    <d v="2025-01-25T00:27:36"/>
    <x v="0"/>
    <x v="4"/>
    <s v="Mailbox"/>
    <s v="Network Support"/>
    <s v="Gurugram"/>
    <s v="Phone"/>
    <s v="In Progress"/>
    <n v="48"/>
    <n v="48.46"/>
    <n v="3.1"/>
    <s v="No"/>
    <x v="1"/>
  </r>
  <r>
    <s v="INC104514"/>
    <d v="2025-06-14T00:00:00"/>
    <d v="2025-06-14T10:14:24"/>
    <x v="1"/>
    <x v="2"/>
    <s v="Link Down"/>
    <s v="Desktop Support"/>
    <s v="Delhi"/>
    <s v="Phone"/>
    <s v="Resolved"/>
    <n v="24"/>
    <n v="10.24"/>
    <n v="4.3"/>
    <s v="No"/>
    <x v="0"/>
  </r>
  <r>
    <s v="INC104515"/>
    <d v="2025-06-15T00:00:00"/>
    <d v="2025-06-16T13:06:00"/>
    <x v="0"/>
    <x v="3"/>
    <s v="Peripheral"/>
    <s v="Desktop Support"/>
    <s v="Gurugram"/>
    <s v="Phone"/>
    <s v="Pending"/>
    <n v="48"/>
    <n v="37.1"/>
    <n v="3.8"/>
    <s v="No"/>
    <x v="0"/>
  </r>
  <r>
    <s v="INC104516"/>
    <d v="2025-05-24T00:00:00"/>
    <d v="2025-05-24T03:05:24"/>
    <x v="2"/>
    <x v="2"/>
    <s v="DNS"/>
    <s v="Service Desk"/>
    <s v="Gurugram"/>
    <s v="Portal"/>
    <s v="Resolved"/>
    <n v="4"/>
    <n v="3.09"/>
    <n v="3.3"/>
    <s v="No"/>
    <x v="0"/>
  </r>
  <r>
    <s v="INC104517"/>
    <d v="2025-03-05T00:00:00"/>
    <d v="2025-03-05T12:01:12"/>
    <x v="1"/>
    <x v="4"/>
    <s v="Delivery"/>
    <s v="Access Management"/>
    <s v="Delhi"/>
    <s v="Chat"/>
    <s v="In Progress"/>
    <n v="24"/>
    <n v="12.02"/>
    <n v="4.0999999999999996"/>
    <s v="No"/>
    <x v="0"/>
  </r>
  <r>
    <s v="INC104518"/>
    <d v="2025-01-11T00:00:00"/>
    <d v="2025-01-13T20:27:00"/>
    <x v="0"/>
    <x v="4"/>
    <s v="Mailbox"/>
    <s v="Service Desk"/>
    <s v="Mumbai"/>
    <s v="Email"/>
    <s v="Pending"/>
    <n v="48"/>
    <n v="68.45"/>
    <n v="3.8"/>
    <s v="No"/>
    <x v="1"/>
  </r>
  <r>
    <s v="INC104519"/>
    <d v="2025-05-09T00:00:00"/>
    <d v="2025-05-09T10:10:12"/>
    <x v="0"/>
    <x v="0"/>
    <s v="Application Error"/>
    <s v="Service Desk"/>
    <s v="Noida"/>
    <s v="Phone"/>
    <s v="Resolved"/>
    <n v="48"/>
    <n v="10.17"/>
    <n v="5"/>
    <s v="No"/>
    <x v="0"/>
  </r>
  <r>
    <s v="INC104520"/>
    <d v="2025-03-19T00:00:00"/>
    <d v="2025-03-19T10:58:12"/>
    <x v="1"/>
    <x v="2"/>
    <s v="Link Down"/>
    <s v="Application Support"/>
    <s v="Bengaluru"/>
    <s v="Phone"/>
    <s v="Closed"/>
    <n v="24"/>
    <n v="10.97"/>
    <n v="4.3"/>
    <s v="No"/>
    <x v="0"/>
  </r>
  <r>
    <s v="INC104521"/>
    <d v="2025-06-29T00:00:00"/>
    <d v="2025-06-29T00:30:00"/>
    <x v="2"/>
    <x v="2"/>
    <s v="DNS"/>
    <s v="Application Support"/>
    <s v="Bengaluru"/>
    <s v="Portal"/>
    <s v="Closed"/>
    <n v="4"/>
    <n v="0.5"/>
    <n v="4.9000000000000004"/>
    <s v="No"/>
    <x v="0"/>
  </r>
  <r>
    <s v="INC104522"/>
    <d v="2025-05-07T00:00:00"/>
    <d v="2025-05-07T02:06:36"/>
    <x v="2"/>
    <x v="3"/>
    <s v="Monitor"/>
    <s v="Application Support"/>
    <s v="Mumbai"/>
    <s v="Portal"/>
    <s v="Closed"/>
    <n v="4"/>
    <n v="2.11"/>
    <n v="4.2"/>
    <s v="No"/>
    <x v="0"/>
  </r>
  <r>
    <s v="INC104523"/>
    <d v="2025-04-08T00:00:00"/>
    <d v="2025-04-08T23:09:36"/>
    <x v="1"/>
    <x v="3"/>
    <s v="Peripheral"/>
    <s v="Desktop Support"/>
    <s v="Mumbai"/>
    <s v="Phone"/>
    <s v="In Progress"/>
    <n v="24"/>
    <n v="23.16"/>
    <n v="2.7"/>
    <s v="No"/>
    <x v="0"/>
  </r>
  <r>
    <s v="INC104524"/>
    <d v="2025-06-28T00:00:00"/>
    <d v="2025-06-28T03:18:36"/>
    <x v="1"/>
    <x v="2"/>
    <s v="Packet Loss"/>
    <s v="Service Desk"/>
    <s v="Bengaluru"/>
    <s v="Chat"/>
    <s v="Resolved"/>
    <n v="24"/>
    <n v="3.31"/>
    <n v="4.2"/>
    <s v="No"/>
    <x v="0"/>
  </r>
  <r>
    <s v="INC104525"/>
    <d v="2025-05-25T00:00:00"/>
    <d v="2025-05-25T14:57:00"/>
    <x v="0"/>
    <x v="0"/>
    <s v="Application Error"/>
    <s v="Service Desk"/>
    <s v="Hyderabad"/>
    <s v="Phone"/>
    <s v="Pending"/>
    <n v="48"/>
    <n v="14.95"/>
    <n v="5"/>
    <s v="No"/>
    <x v="0"/>
  </r>
  <r>
    <s v="INC104526"/>
    <d v="2025-03-24T00:00:00"/>
    <d v="2025-03-24T06:15:36"/>
    <x v="1"/>
    <x v="0"/>
    <s v="Performance"/>
    <s v="Network Support"/>
    <s v="Bengaluru"/>
    <s v="Email"/>
    <s v="Resolved"/>
    <n v="24"/>
    <n v="6.26"/>
    <n v="5"/>
    <s v="No"/>
    <x v="0"/>
  </r>
  <r>
    <s v="INC104527"/>
    <d v="2025-01-04T00:00:00"/>
    <d v="2025-01-04T00:30:00"/>
    <x v="1"/>
    <x v="4"/>
    <s v="Spam"/>
    <s v="Network Support"/>
    <s v="Delhi"/>
    <s v="Portal"/>
    <s v="Resolved"/>
    <n v="24"/>
    <n v="0.5"/>
    <n v="4.4000000000000004"/>
    <s v="No"/>
    <x v="0"/>
  </r>
  <r>
    <s v="INC104528"/>
    <d v="2025-01-17T00:00:00"/>
    <d v="2025-01-17T08:53:24"/>
    <x v="0"/>
    <x v="3"/>
    <s v="Laptop"/>
    <s v="Desktop Support"/>
    <s v="Hyderabad"/>
    <s v="Email"/>
    <s v="Resolved"/>
    <n v="48"/>
    <n v="8.89"/>
    <n v="5"/>
    <s v="No"/>
    <x v="0"/>
  </r>
  <r>
    <s v="INC104529"/>
    <d v="2025-03-22T00:00:00"/>
    <d v="2025-03-22T19:34:47"/>
    <x v="1"/>
    <x v="3"/>
    <s v="Printer"/>
    <s v="Desktop Support"/>
    <s v="Mumbai"/>
    <s v="Portal"/>
    <s v="Resolved"/>
    <n v="24"/>
    <n v="19.579999999999998"/>
    <n v="3.2"/>
    <s v="No"/>
    <x v="0"/>
  </r>
  <r>
    <s v="INC104530"/>
    <d v="2025-04-12T00:00:00"/>
    <d v="2025-04-12T03:52:12"/>
    <x v="3"/>
    <x v="0"/>
    <s v="Application Error"/>
    <s v="Application Support"/>
    <s v="Noida"/>
    <s v="Phone"/>
    <s v="Resolved"/>
    <n v="8"/>
    <n v="3.87"/>
    <n v="4.0999999999999996"/>
    <s v="No"/>
    <x v="0"/>
  </r>
  <r>
    <s v="INC104531"/>
    <d v="2025-01-06T00:00:00"/>
    <d v="2025-01-07T06:45:36"/>
    <x v="0"/>
    <x v="2"/>
    <s v="DNS"/>
    <s v="Access Management"/>
    <s v="Noida"/>
    <s v="Email"/>
    <s v="Resolved"/>
    <n v="48"/>
    <n v="30.76"/>
    <n v="4.2"/>
    <s v="Yes"/>
    <x v="0"/>
  </r>
  <r>
    <s v="INC104532"/>
    <d v="2025-01-23T00:00:00"/>
    <d v="2025-01-24T22:27:36"/>
    <x v="0"/>
    <x v="0"/>
    <s v="License"/>
    <s v="Desktop Support"/>
    <s v="Hyderabad"/>
    <s v="Portal"/>
    <s v="Closed"/>
    <n v="48"/>
    <n v="46.46"/>
    <n v="3.7"/>
    <s v="Yes"/>
    <x v="0"/>
  </r>
  <r>
    <s v="INC104533"/>
    <d v="2025-05-08T00:00:00"/>
    <d v="2025-05-11T08:06:36"/>
    <x v="0"/>
    <x v="1"/>
    <s v="VPN Access"/>
    <s v="Network Support"/>
    <s v="Noida"/>
    <s v="Email"/>
    <s v="Resolved"/>
    <n v="48"/>
    <n v="80.11"/>
    <n v="2.5"/>
    <s v="No"/>
    <x v="1"/>
  </r>
  <r>
    <s v="INC104534"/>
    <d v="2025-05-17T00:00:00"/>
    <d v="2025-05-17T08:49:48"/>
    <x v="0"/>
    <x v="2"/>
    <s v="Connectivity"/>
    <s v="Network Support"/>
    <s v="Noida"/>
    <s v="Chat"/>
    <s v="Resolved"/>
    <n v="48"/>
    <n v="8.83"/>
    <n v="4.9000000000000004"/>
    <s v="No"/>
    <x v="0"/>
  </r>
  <r>
    <s v="INC104535"/>
    <d v="2025-01-06T00:00:00"/>
    <d v="2025-01-07T11:57:36"/>
    <x v="0"/>
    <x v="3"/>
    <s v="Peripheral"/>
    <s v="Service Desk"/>
    <s v="Mumbai"/>
    <s v="Email"/>
    <s v="In Progress"/>
    <n v="48"/>
    <n v="35.96"/>
    <n v="4.5999999999999996"/>
    <s v="No"/>
    <x v="0"/>
  </r>
  <r>
    <s v="INC104536"/>
    <d v="2025-04-02T00:00:00"/>
    <d v="2025-04-02T07:13:12"/>
    <x v="1"/>
    <x v="1"/>
    <s v="Account Lock"/>
    <s v="Service Desk"/>
    <s v="Gurugram"/>
    <s v="Portal"/>
    <s v="In Progress"/>
    <n v="24"/>
    <n v="7.22"/>
    <n v="3.7"/>
    <s v="No"/>
    <x v="0"/>
  </r>
  <r>
    <s v="INC104537"/>
    <d v="2025-01-15T00:00:00"/>
    <d v="2025-01-15T09:39:00"/>
    <x v="0"/>
    <x v="0"/>
    <s v="Performance"/>
    <s v="Network Support"/>
    <s v="Noida"/>
    <s v="Email"/>
    <s v="Closed"/>
    <n v="48"/>
    <n v="9.65"/>
    <n v="4.8"/>
    <s v="No"/>
    <x v="0"/>
  </r>
  <r>
    <s v="INC104538"/>
    <d v="2025-05-11T00:00:00"/>
    <d v="2025-05-11T03:08:24"/>
    <x v="3"/>
    <x v="0"/>
    <s v="Application Error"/>
    <s v="Application Support"/>
    <s v="Mumbai"/>
    <s v="Email"/>
    <s v="Resolved"/>
    <n v="8"/>
    <n v="3.14"/>
    <n v="5"/>
    <s v="No"/>
    <x v="0"/>
  </r>
  <r>
    <s v="INC104539"/>
    <d v="2025-05-31T00:00:00"/>
    <d v="2025-05-31T06:12:00"/>
    <x v="3"/>
    <x v="1"/>
    <s v="VPN Access"/>
    <s v="Service Desk"/>
    <s v="Gurugram"/>
    <s v="Portal"/>
    <s v="In Progress"/>
    <n v="8"/>
    <n v="6.2"/>
    <n v="3.8"/>
    <s v="No"/>
    <x v="0"/>
  </r>
  <r>
    <s v="INC104540"/>
    <d v="2025-06-07T00:00:00"/>
    <d v="2025-06-07T04:09:36"/>
    <x v="3"/>
    <x v="0"/>
    <s v="Installation"/>
    <s v="Application Support"/>
    <s v="Delhi"/>
    <s v="Phone"/>
    <s v="Resolved"/>
    <n v="8"/>
    <n v="4.16"/>
    <n v="4"/>
    <s v="No"/>
    <x v="0"/>
  </r>
  <r>
    <s v="INC104541"/>
    <d v="2025-04-19T00:00:00"/>
    <d v="2025-04-19T08:27:00"/>
    <x v="1"/>
    <x v="2"/>
    <s v="Packet Loss"/>
    <s v="Service Desk"/>
    <s v="Noida"/>
    <s v="Portal"/>
    <s v="Resolved"/>
    <n v="24"/>
    <n v="8.4499999999999993"/>
    <n v="4"/>
    <s v="No"/>
    <x v="0"/>
  </r>
  <r>
    <s v="INC104542"/>
    <d v="2025-04-24T00:00:00"/>
    <d v="2025-04-25T16:06:00"/>
    <x v="0"/>
    <x v="1"/>
    <s v="Account Lock"/>
    <s v="Network Support"/>
    <s v="Gurugram"/>
    <s v="Email"/>
    <s v="In Progress"/>
    <n v="48"/>
    <n v="40.1"/>
    <n v="5"/>
    <s v="No"/>
    <x v="0"/>
  </r>
  <r>
    <s v="INC104543"/>
    <d v="2025-06-17T00:00:00"/>
    <d v="2025-06-18T13:52:48"/>
    <x v="0"/>
    <x v="4"/>
    <s v="Configuration"/>
    <s v="Network Support"/>
    <s v="Noida"/>
    <s v="Portal"/>
    <s v="Resolved"/>
    <n v="48"/>
    <n v="37.880000000000003"/>
    <n v="5"/>
    <s v="No"/>
    <x v="0"/>
  </r>
  <r>
    <s v="INC104544"/>
    <d v="2025-04-21T00:00:00"/>
    <d v="2025-04-21T16:01:12"/>
    <x v="0"/>
    <x v="2"/>
    <s v="Packet Loss"/>
    <s v="Desktop Support"/>
    <s v="Delhi"/>
    <s v="Email"/>
    <s v="Resolved"/>
    <n v="48"/>
    <n v="16.02"/>
    <n v="4.4000000000000004"/>
    <s v="No"/>
    <x v="0"/>
  </r>
  <r>
    <s v="INC104545"/>
    <d v="2025-03-22T00:00:00"/>
    <d v="2025-03-22T02:58:48"/>
    <x v="2"/>
    <x v="2"/>
    <s v="Link Down"/>
    <s v="Desktop Support"/>
    <s v="Bengaluru"/>
    <s v="Email"/>
    <s v="Resolved"/>
    <n v="4"/>
    <n v="2.98"/>
    <n v="4.9000000000000004"/>
    <s v="No"/>
    <x v="0"/>
  </r>
  <r>
    <s v="INC104546"/>
    <d v="2025-05-17T00:00:00"/>
    <d v="2025-05-17T02:02:24"/>
    <x v="2"/>
    <x v="0"/>
    <s v="Installation"/>
    <s v="Desktop Support"/>
    <s v="Bengaluru"/>
    <s v="Email"/>
    <s v="Resolved"/>
    <n v="4"/>
    <n v="2.04"/>
    <n v="4"/>
    <s v="No"/>
    <x v="0"/>
  </r>
  <r>
    <s v="INC104547"/>
    <d v="2025-04-17T00:00:00"/>
    <d v="2025-04-17T06:18:00"/>
    <x v="1"/>
    <x v="0"/>
    <s v="Application Error"/>
    <s v="Access Management"/>
    <s v="Gurugram"/>
    <s v="Portal"/>
    <s v="Resolved"/>
    <n v="24"/>
    <n v="6.3"/>
    <n v="4.5999999999999996"/>
    <s v="No"/>
    <x v="0"/>
  </r>
  <r>
    <s v="INC104548"/>
    <d v="2025-06-02T00:00:00"/>
    <d v="2025-06-02T18:51:36"/>
    <x v="1"/>
    <x v="3"/>
    <s v="Monitor"/>
    <s v="Application Support"/>
    <s v="Bengaluru"/>
    <s v="Portal"/>
    <s v="Closed"/>
    <n v="24"/>
    <n v="18.86"/>
    <n v="3.4"/>
    <s v="No"/>
    <x v="0"/>
  </r>
  <r>
    <s v="INC104549"/>
    <d v="2025-04-05T00:00:00"/>
    <d v="2025-04-05T19:18:36"/>
    <x v="1"/>
    <x v="0"/>
    <s v="License"/>
    <s v="Application Support"/>
    <s v="Delhi"/>
    <s v="Phone"/>
    <s v="In Progress"/>
    <n v="24"/>
    <n v="19.309999999999999"/>
    <n v="2.8"/>
    <s v="No"/>
    <x v="0"/>
  </r>
  <r>
    <s v="INC104550"/>
    <d v="2025-06-07T00:00:00"/>
    <d v="2025-06-07T08:08:24"/>
    <x v="0"/>
    <x v="0"/>
    <s v="License"/>
    <s v="Network Support"/>
    <s v="Delhi"/>
    <s v="Chat"/>
    <s v="Pending"/>
    <n v="48"/>
    <n v="8.14"/>
    <n v="4.4000000000000004"/>
    <s v="No"/>
    <x v="0"/>
  </r>
  <r>
    <s v="INC104551"/>
    <d v="2025-01-09T00:00:00"/>
    <d v="2025-01-09T02:57:36"/>
    <x v="2"/>
    <x v="0"/>
    <s v="License"/>
    <s v="Desktop Support"/>
    <s v="Noida"/>
    <s v="Portal"/>
    <s v="Resolved"/>
    <n v="4"/>
    <n v="2.96"/>
    <n v="3.8"/>
    <s v="No"/>
    <x v="0"/>
  </r>
  <r>
    <s v="INC104552"/>
    <d v="2025-01-07T00:00:00"/>
    <d v="2025-01-09T02:50:24"/>
    <x v="0"/>
    <x v="2"/>
    <s v="Connectivity"/>
    <s v="Application Support"/>
    <s v="Delhi"/>
    <s v="Portal"/>
    <s v="Closed"/>
    <n v="48"/>
    <n v="50.84"/>
    <n v="4"/>
    <s v="No"/>
    <x v="1"/>
  </r>
  <r>
    <s v="INC104553"/>
    <d v="2025-01-18T00:00:00"/>
    <d v="2025-01-18T04:31:12"/>
    <x v="1"/>
    <x v="2"/>
    <s v="Link Down"/>
    <s v="Desktop Support"/>
    <s v="Hyderabad"/>
    <s v="Chat"/>
    <s v="In Progress"/>
    <n v="24"/>
    <n v="4.5199999999999996"/>
    <n v="5"/>
    <s v="No"/>
    <x v="0"/>
  </r>
  <r>
    <s v="INC104554"/>
    <d v="2025-04-11T00:00:00"/>
    <d v="2025-04-11T13:59:24"/>
    <x v="1"/>
    <x v="3"/>
    <s v="Peripheral"/>
    <s v="Access Management"/>
    <s v="Gurugram"/>
    <s v="Portal"/>
    <s v="Resolved"/>
    <n v="24"/>
    <n v="13.99"/>
    <n v="4.2"/>
    <s v="No"/>
    <x v="0"/>
  </r>
  <r>
    <s v="INC104555"/>
    <d v="2025-05-09T00:00:00"/>
    <d v="2025-05-09T09:13:12"/>
    <x v="0"/>
    <x v="4"/>
    <s v="Spam"/>
    <s v="Desktop Support"/>
    <s v="Noida"/>
    <s v="Chat"/>
    <s v="Resolved"/>
    <n v="48"/>
    <n v="9.2200000000000006"/>
    <n v="4.0999999999999996"/>
    <s v="No"/>
    <x v="0"/>
  </r>
  <r>
    <s v="INC104556"/>
    <d v="2025-02-09T00:00:00"/>
    <d v="2025-02-09T05:03:00"/>
    <x v="1"/>
    <x v="0"/>
    <s v="Application Error"/>
    <s v="Service Desk"/>
    <s v="Gurugram"/>
    <s v="Phone"/>
    <s v="Resolved"/>
    <n v="24"/>
    <n v="5.05"/>
    <n v="4.3"/>
    <s v="No"/>
    <x v="0"/>
  </r>
  <r>
    <s v="INC104557"/>
    <d v="2025-01-29T00:00:00"/>
    <d v="2025-01-29T00:48:36"/>
    <x v="3"/>
    <x v="3"/>
    <s v="Monitor"/>
    <s v="Access Management"/>
    <s v="Noida"/>
    <s v="Portal"/>
    <s v="Resolved"/>
    <n v="8"/>
    <n v="0.81"/>
    <n v="5"/>
    <s v="No"/>
    <x v="0"/>
  </r>
  <r>
    <s v="INC104558"/>
    <d v="2025-06-05T00:00:00"/>
    <d v="2025-06-07T07:36:36"/>
    <x v="0"/>
    <x v="4"/>
    <s v="Configuration"/>
    <s v="Service Desk"/>
    <s v="Delhi"/>
    <s v="Portal"/>
    <s v="Resolved"/>
    <n v="48"/>
    <n v="55.61"/>
    <n v="4"/>
    <s v="No"/>
    <x v="1"/>
  </r>
  <r>
    <s v="INC104559"/>
    <d v="2025-05-16T00:00:00"/>
    <d v="2025-05-17T01:35:24"/>
    <x v="1"/>
    <x v="3"/>
    <s v="Peripheral"/>
    <s v="Desktop Support"/>
    <s v="Hyderabad"/>
    <s v="Chat"/>
    <s v="Closed"/>
    <n v="24"/>
    <n v="25.59"/>
    <n v="4.5999999999999996"/>
    <s v="No"/>
    <x v="1"/>
  </r>
  <r>
    <s v="INC104560"/>
    <d v="2025-04-28T00:00:00"/>
    <d v="2025-04-29T02:39:00"/>
    <x v="1"/>
    <x v="0"/>
    <s v="Application Error"/>
    <s v="Network Support"/>
    <s v="Gurugram"/>
    <s v="Portal"/>
    <s v="Closed"/>
    <n v="24"/>
    <n v="26.65"/>
    <n v="4.8"/>
    <s v="No"/>
    <x v="1"/>
  </r>
  <r>
    <s v="INC104561"/>
    <d v="2025-03-30T00:00:00"/>
    <d v="2025-03-30T17:25:48"/>
    <x v="0"/>
    <x v="2"/>
    <s v="DNS"/>
    <s v="Network Support"/>
    <s v="Noida"/>
    <s v="Email"/>
    <s v="Resolved"/>
    <n v="48"/>
    <n v="17.43"/>
    <n v="4.0999999999999996"/>
    <s v="No"/>
    <x v="0"/>
  </r>
  <r>
    <s v="INC104562"/>
    <d v="2025-03-18T00:00:00"/>
    <d v="2025-03-19T22:22:12"/>
    <x v="0"/>
    <x v="1"/>
    <s v="Permission"/>
    <s v="Network Support"/>
    <s v="Hyderabad"/>
    <s v="Portal"/>
    <s v="Resolved"/>
    <n v="48"/>
    <n v="46.37"/>
    <n v="4.4000000000000004"/>
    <s v="No"/>
    <x v="0"/>
  </r>
  <r>
    <s v="INC104563"/>
    <d v="2025-01-04T00:00:00"/>
    <d v="2025-01-04T09:34:11"/>
    <x v="0"/>
    <x v="0"/>
    <s v="License"/>
    <s v="Desktop Support"/>
    <s v="Noida"/>
    <s v="Email"/>
    <s v="Resolved"/>
    <n v="48"/>
    <n v="9.57"/>
    <n v="4.2"/>
    <s v="No"/>
    <x v="0"/>
  </r>
  <r>
    <s v="INC104564"/>
    <d v="2025-02-04T00:00:00"/>
    <d v="2025-02-04T08:01:12"/>
    <x v="0"/>
    <x v="1"/>
    <s v="Permission"/>
    <s v="Access Management"/>
    <s v="Mumbai"/>
    <s v="Phone"/>
    <s v="Resolved"/>
    <n v="48"/>
    <n v="8.02"/>
    <n v="5"/>
    <s v="No"/>
    <x v="0"/>
  </r>
  <r>
    <s v="INC104565"/>
    <d v="2025-06-12T00:00:00"/>
    <d v="2025-06-12T08:51:00"/>
    <x v="1"/>
    <x v="3"/>
    <s v="Printer"/>
    <s v="Network Support"/>
    <s v="Delhi"/>
    <s v="Email"/>
    <s v="In Progress"/>
    <n v="24"/>
    <n v="8.85"/>
    <n v="5"/>
    <s v="No"/>
    <x v="0"/>
  </r>
  <r>
    <s v="INC104566"/>
    <d v="2025-03-03T00:00:00"/>
    <d v="2025-03-03T08:09:36"/>
    <x v="3"/>
    <x v="3"/>
    <s v="Printer"/>
    <s v="Access Management"/>
    <s v="Gurugram"/>
    <s v="Portal"/>
    <s v="Resolved"/>
    <n v="8"/>
    <n v="8.16"/>
    <n v="2.4"/>
    <s v="No"/>
    <x v="1"/>
  </r>
  <r>
    <s v="INC104567"/>
    <d v="2025-05-08T00:00:00"/>
    <d v="2025-05-08T14:19:48"/>
    <x v="1"/>
    <x v="2"/>
    <s v="Packet Loss"/>
    <s v="Access Management"/>
    <s v="Mumbai"/>
    <s v="Email"/>
    <s v="Closed"/>
    <n v="24"/>
    <n v="14.33"/>
    <n v="4.5"/>
    <s v="No"/>
    <x v="0"/>
  </r>
  <r>
    <s v="INC104568"/>
    <d v="2025-05-08T00:00:00"/>
    <d v="2025-05-08T02:39:36"/>
    <x v="3"/>
    <x v="4"/>
    <s v="Configuration"/>
    <s v="Network Support"/>
    <s v="Gurugram"/>
    <s v="Email"/>
    <s v="Resolved"/>
    <n v="8"/>
    <n v="2.66"/>
    <n v="4"/>
    <s v="No"/>
    <x v="0"/>
  </r>
  <r>
    <s v="INC104569"/>
    <d v="2025-02-26T00:00:00"/>
    <d v="2025-02-26T07:37:12"/>
    <x v="1"/>
    <x v="2"/>
    <s v="Packet Loss"/>
    <s v="Network Support"/>
    <s v="Noida"/>
    <s v="Portal"/>
    <s v="Resolved"/>
    <n v="24"/>
    <n v="7.62"/>
    <n v="4.4000000000000004"/>
    <s v="No"/>
    <x v="0"/>
  </r>
  <r>
    <s v="INC104570"/>
    <d v="2025-02-06T00:00:00"/>
    <d v="2025-02-07T03:50:24"/>
    <x v="1"/>
    <x v="0"/>
    <s v="Application Error"/>
    <s v="Access Management"/>
    <s v="Delhi"/>
    <s v="Phone"/>
    <s v="In Progress"/>
    <n v="24"/>
    <n v="27.84"/>
    <n v="3.2"/>
    <s v="No"/>
    <x v="1"/>
  </r>
  <r>
    <s v="INC104571"/>
    <d v="2025-05-06T00:00:00"/>
    <d v="2025-05-06T20:30:36"/>
    <x v="1"/>
    <x v="0"/>
    <s v="Application Error"/>
    <s v="Desktop Support"/>
    <s v="Bengaluru"/>
    <s v="Email"/>
    <s v="Resolved"/>
    <n v="24"/>
    <n v="20.51"/>
    <n v="4.5999999999999996"/>
    <s v="No"/>
    <x v="0"/>
  </r>
  <r>
    <s v="INC104572"/>
    <d v="2025-01-17T00:00:00"/>
    <d v="2025-01-19T09:45:00"/>
    <x v="0"/>
    <x v="2"/>
    <s v="Link Down"/>
    <s v="Network Support"/>
    <s v="Noida"/>
    <s v="Portal"/>
    <s v="Resolved"/>
    <n v="48"/>
    <n v="57.75"/>
    <n v="3.1"/>
    <s v="No"/>
    <x v="1"/>
  </r>
  <r>
    <s v="INC104573"/>
    <d v="2025-03-31T00:00:00"/>
    <d v="2025-04-01T03:30:00"/>
    <x v="1"/>
    <x v="3"/>
    <s v="Monitor"/>
    <s v="Access Management"/>
    <s v="Hyderabad"/>
    <s v="Chat"/>
    <s v="Closed"/>
    <n v="24"/>
    <n v="27.5"/>
    <n v="2.8"/>
    <s v="No"/>
    <x v="1"/>
  </r>
  <r>
    <s v="INC104574"/>
    <d v="2025-06-10T00:00:00"/>
    <d v="2025-06-10T01:55:48"/>
    <x v="1"/>
    <x v="2"/>
    <s v="DNS"/>
    <s v="Desktop Support"/>
    <s v="Noida"/>
    <s v="Portal"/>
    <s v="Resolved"/>
    <n v="24"/>
    <n v="1.93"/>
    <n v="4.4000000000000004"/>
    <s v="No"/>
    <x v="0"/>
  </r>
  <r>
    <s v="INC104575"/>
    <d v="2025-05-09T00:00:00"/>
    <d v="2025-05-09T08:24:36"/>
    <x v="3"/>
    <x v="0"/>
    <s v="Application Error"/>
    <s v="Application Support"/>
    <s v="Mumbai"/>
    <s v="Portal"/>
    <s v="In Progress"/>
    <n v="8"/>
    <n v="8.41"/>
    <n v="3.6"/>
    <s v="No"/>
    <x v="1"/>
  </r>
  <r>
    <s v="INC104576"/>
    <d v="2025-05-19T00:00:00"/>
    <d v="2025-05-19T20:47:24"/>
    <x v="1"/>
    <x v="4"/>
    <s v="Configuration"/>
    <s v="Application Support"/>
    <s v="Hyderabad"/>
    <s v="Portal"/>
    <s v="Pending"/>
    <n v="24"/>
    <n v="20.79"/>
    <n v="4.2"/>
    <s v="No"/>
    <x v="0"/>
  </r>
  <r>
    <s v="INC104577"/>
    <d v="2025-01-16T00:00:00"/>
    <d v="2025-01-16T10:33:00"/>
    <x v="0"/>
    <x v="3"/>
    <s v="Laptop"/>
    <s v="Service Desk"/>
    <s v="Hyderabad"/>
    <s v="Portal"/>
    <s v="Resolved"/>
    <n v="48"/>
    <n v="10.55"/>
    <n v="5"/>
    <s v="Yes"/>
    <x v="0"/>
  </r>
  <r>
    <s v="INC104578"/>
    <d v="2025-02-06T00:00:00"/>
    <d v="2025-02-06T01:28:12"/>
    <x v="2"/>
    <x v="4"/>
    <s v="Spam"/>
    <s v="Service Desk"/>
    <s v="Mumbai"/>
    <s v="Portal"/>
    <s v="Resolved"/>
    <n v="4"/>
    <n v="1.47"/>
    <n v="4.9000000000000004"/>
    <s v="No"/>
    <x v="0"/>
  </r>
  <r>
    <s v="INC104579"/>
    <d v="2025-02-19T00:00:00"/>
    <d v="2025-02-19T20:54:36"/>
    <x v="0"/>
    <x v="2"/>
    <s v="Link Down"/>
    <s v="Network Support"/>
    <s v="Bengaluru"/>
    <s v="Portal"/>
    <s v="Closed"/>
    <n v="48"/>
    <n v="20.91"/>
    <n v="4.9000000000000004"/>
    <s v="No"/>
    <x v="0"/>
  </r>
  <r>
    <s v="INC104580"/>
    <d v="2025-02-22T00:00:00"/>
    <d v="2025-02-22T06:34:11"/>
    <x v="2"/>
    <x v="3"/>
    <s v="Printer"/>
    <s v="Desktop Support"/>
    <s v="Noida"/>
    <s v="Phone"/>
    <s v="Resolved"/>
    <n v="4"/>
    <n v="6.57"/>
    <n v="3.5"/>
    <s v="No"/>
    <x v="1"/>
  </r>
  <r>
    <s v="INC104581"/>
    <d v="2025-02-05T00:00:00"/>
    <d v="2025-02-05T04:12:00"/>
    <x v="3"/>
    <x v="4"/>
    <s v="Mailbox"/>
    <s v="Access Management"/>
    <s v="Delhi"/>
    <s v="Email"/>
    <s v="Resolved"/>
    <n v="8"/>
    <n v="4.2"/>
    <n v="4.9000000000000004"/>
    <s v="No"/>
    <x v="0"/>
  </r>
  <r>
    <s v="INC104582"/>
    <d v="2025-06-25T00:00:00"/>
    <d v="2025-06-25T06:42:36"/>
    <x v="3"/>
    <x v="1"/>
    <s v="VPN Access"/>
    <s v="Application Support"/>
    <s v="Delhi"/>
    <s v="Portal"/>
    <s v="Resolved"/>
    <n v="8"/>
    <n v="6.71"/>
    <n v="4.7"/>
    <s v="No"/>
    <x v="0"/>
  </r>
  <r>
    <s v="INC104583"/>
    <d v="2025-01-30T00:00:00"/>
    <d v="2025-01-30T08:19:12"/>
    <x v="3"/>
    <x v="3"/>
    <s v="Laptop"/>
    <s v="Application Support"/>
    <s v="Noida"/>
    <s v="Phone"/>
    <s v="In Progress"/>
    <n v="8"/>
    <n v="8.32"/>
    <n v="5"/>
    <s v="No"/>
    <x v="1"/>
  </r>
  <r>
    <s v="INC104584"/>
    <d v="2025-05-09T00:00:00"/>
    <d v="2025-05-09T16:40:48"/>
    <x v="0"/>
    <x v="0"/>
    <s v="License"/>
    <s v="Network Support"/>
    <s v="Bengaluru"/>
    <s v="Phone"/>
    <s v="In Progress"/>
    <n v="48"/>
    <n v="16.68"/>
    <n v="5"/>
    <s v="No"/>
    <x v="0"/>
  </r>
  <r>
    <s v="INC104585"/>
    <d v="2025-04-17T00:00:00"/>
    <d v="2025-04-18T03:20:24"/>
    <x v="1"/>
    <x v="4"/>
    <s v="Delivery"/>
    <s v="Desktop Support"/>
    <s v="Delhi"/>
    <s v="Email"/>
    <s v="Resolved"/>
    <n v="24"/>
    <n v="27.34"/>
    <n v="3.8"/>
    <s v="No"/>
    <x v="1"/>
  </r>
  <r>
    <s v="INC104586"/>
    <d v="2025-04-21T00:00:00"/>
    <d v="2025-04-21T03:50:24"/>
    <x v="3"/>
    <x v="1"/>
    <s v="VPN Access"/>
    <s v="Access Management"/>
    <s v="Hyderabad"/>
    <s v="Chat"/>
    <s v="Resolved"/>
    <n v="8"/>
    <n v="3.84"/>
    <n v="4.0999999999999996"/>
    <s v="No"/>
    <x v="0"/>
  </r>
  <r>
    <s v="INC104587"/>
    <d v="2025-02-08T00:00:00"/>
    <d v="2025-02-08T19:21:36"/>
    <x v="3"/>
    <x v="0"/>
    <s v="License"/>
    <s v="Network Support"/>
    <s v="Hyderabad"/>
    <s v="Portal"/>
    <s v="Pending"/>
    <n v="8"/>
    <n v="19.36"/>
    <n v="2.2999999999999998"/>
    <s v="No"/>
    <x v="1"/>
  </r>
  <r>
    <s v="INC104588"/>
    <d v="2025-02-25T00:00:00"/>
    <d v="2025-02-25T10:22:48"/>
    <x v="0"/>
    <x v="2"/>
    <s v="DNS"/>
    <s v="Service Desk"/>
    <s v="Delhi"/>
    <s v="Portal"/>
    <s v="Resolved"/>
    <n v="48"/>
    <n v="10.38"/>
    <n v="5"/>
    <s v="No"/>
    <x v="0"/>
  </r>
  <r>
    <s v="INC104589"/>
    <d v="2025-04-20T00:00:00"/>
    <d v="2025-04-20T21:17:23"/>
    <x v="0"/>
    <x v="2"/>
    <s v="Link Down"/>
    <s v="Application Support"/>
    <s v="Delhi"/>
    <s v="Portal"/>
    <s v="Resolved"/>
    <n v="48"/>
    <n v="21.29"/>
    <n v="3.7"/>
    <s v="No"/>
    <x v="0"/>
  </r>
  <r>
    <s v="INC104590"/>
    <d v="2025-02-24T00:00:00"/>
    <d v="2025-02-25T01:46:48"/>
    <x v="1"/>
    <x v="0"/>
    <s v="Installation"/>
    <s v="Network Support"/>
    <s v="Hyderabad"/>
    <s v="Portal"/>
    <s v="Resolved"/>
    <n v="24"/>
    <n v="25.78"/>
    <n v="4.5"/>
    <s v="No"/>
    <x v="1"/>
  </r>
  <r>
    <s v="INC104591"/>
    <d v="2025-05-06T00:00:00"/>
    <d v="2025-05-06T06:31:12"/>
    <x v="1"/>
    <x v="0"/>
    <s v="Performance"/>
    <s v="Service Desk"/>
    <s v="Gurugram"/>
    <s v="Email"/>
    <s v="Resolved"/>
    <n v="24"/>
    <n v="6.52"/>
    <n v="4.4000000000000004"/>
    <s v="No"/>
    <x v="0"/>
  </r>
  <r>
    <s v="INC104592"/>
    <d v="2025-01-08T00:00:00"/>
    <d v="2025-01-08T21:44:24"/>
    <x v="1"/>
    <x v="2"/>
    <s v="Packet Loss"/>
    <s v="Access Management"/>
    <s v="Gurugram"/>
    <s v="Portal"/>
    <s v="Resolved"/>
    <n v="24"/>
    <n v="21.74"/>
    <n v="3.8"/>
    <s v="No"/>
    <x v="0"/>
  </r>
  <r>
    <s v="INC104593"/>
    <d v="2025-01-14T00:00:00"/>
    <d v="2025-01-14T03:04:48"/>
    <x v="3"/>
    <x v="3"/>
    <s v="Peripheral"/>
    <s v="Network Support"/>
    <s v="Gurugram"/>
    <s v="Email"/>
    <s v="Resolved"/>
    <n v="8"/>
    <n v="3.08"/>
    <n v="4.9000000000000004"/>
    <s v="No"/>
    <x v="0"/>
  </r>
  <r>
    <s v="INC104594"/>
    <d v="2025-05-12T00:00:00"/>
    <d v="2025-05-12T01:29:24"/>
    <x v="3"/>
    <x v="3"/>
    <s v="Monitor"/>
    <s v="Desktop Support"/>
    <s v="Mumbai"/>
    <s v="Chat"/>
    <s v="Resolved"/>
    <n v="8"/>
    <n v="1.49"/>
    <n v="4.4000000000000004"/>
    <s v="No"/>
    <x v="0"/>
  </r>
  <r>
    <s v="INC104595"/>
    <d v="2025-04-22T00:00:00"/>
    <d v="2025-04-22T03:39:36"/>
    <x v="1"/>
    <x v="0"/>
    <s v="Installation"/>
    <s v="Service Desk"/>
    <s v="Delhi"/>
    <s v="Phone"/>
    <s v="Closed"/>
    <n v="24"/>
    <n v="3.66"/>
    <n v="5"/>
    <s v="No"/>
    <x v="0"/>
  </r>
  <r>
    <s v="INC104596"/>
    <d v="2025-01-08T00:00:00"/>
    <d v="2025-01-09T03:51:00"/>
    <x v="0"/>
    <x v="3"/>
    <s v="Laptop"/>
    <s v="Service Desk"/>
    <s v="Gurugram"/>
    <s v="Email"/>
    <s v="Resolved"/>
    <n v="48"/>
    <n v="27.85"/>
    <n v="3.6"/>
    <s v="No"/>
    <x v="0"/>
  </r>
  <r>
    <s v="INC104597"/>
    <d v="2025-06-12T00:00:00"/>
    <d v="2025-06-12T17:02:24"/>
    <x v="1"/>
    <x v="3"/>
    <s v="Laptop"/>
    <s v="Service Desk"/>
    <s v="Noida"/>
    <s v="Email"/>
    <s v="Closed"/>
    <n v="24"/>
    <n v="17.04"/>
    <n v="4.7"/>
    <s v="No"/>
    <x v="0"/>
  </r>
  <r>
    <s v="INC104598"/>
    <d v="2025-01-01T00:00:00"/>
    <d v="2025-01-01T04:56:24"/>
    <x v="1"/>
    <x v="2"/>
    <s v="DNS"/>
    <s v="Service Desk"/>
    <s v="Bengaluru"/>
    <s v="Phone"/>
    <s v="Closed"/>
    <n v="24"/>
    <n v="4.9400000000000004"/>
    <n v="4.9000000000000004"/>
    <s v="No"/>
    <x v="0"/>
  </r>
  <r>
    <s v="INC104599"/>
    <d v="2025-06-22T00:00:00"/>
    <d v="2025-06-23T12:19:12"/>
    <x v="0"/>
    <x v="1"/>
    <s v="VPN Access"/>
    <s v="Application Support"/>
    <s v="Hyderabad"/>
    <s v="Email"/>
    <s v="Resolved"/>
    <n v="48"/>
    <n v="36.32"/>
    <n v="4.0999999999999996"/>
    <s v="No"/>
    <x v="0"/>
  </r>
  <r>
    <s v="INC104600"/>
    <d v="2025-05-13T00:00:00"/>
    <d v="2025-05-13T06:43:48"/>
    <x v="0"/>
    <x v="0"/>
    <s v="Performance"/>
    <s v="Network Support"/>
    <s v="Gurugram"/>
    <s v="Portal"/>
    <s v="Pending"/>
    <n v="48"/>
    <n v="6.73"/>
    <n v="5"/>
    <s v="No"/>
    <x v="0"/>
  </r>
  <r>
    <s v="INC104601"/>
    <d v="2025-06-28T00:00:00"/>
    <d v="2025-06-28T08:27:00"/>
    <x v="1"/>
    <x v="2"/>
    <s v="Link Down"/>
    <s v="Network Support"/>
    <s v="Gurugram"/>
    <s v="Portal"/>
    <s v="Resolved"/>
    <n v="24"/>
    <n v="8.4499999999999993"/>
    <n v="4.5999999999999996"/>
    <s v="No"/>
    <x v="0"/>
  </r>
  <r>
    <s v="INC104602"/>
    <d v="2025-06-21T00:00:00"/>
    <d v="2025-06-21T22:36:36"/>
    <x v="0"/>
    <x v="3"/>
    <s v="Laptop"/>
    <s v="Service Desk"/>
    <s v="Bengaluru"/>
    <s v="Portal"/>
    <s v="Resolved"/>
    <n v="48"/>
    <n v="22.61"/>
    <n v="4.7"/>
    <s v="No"/>
    <x v="0"/>
  </r>
  <r>
    <s v="INC104603"/>
    <d v="2025-02-26T00:00:00"/>
    <d v="2025-02-26T10:35:24"/>
    <x v="1"/>
    <x v="3"/>
    <s v="Laptop"/>
    <s v="Access Management"/>
    <s v="Noida"/>
    <s v="Email"/>
    <s v="Resolved"/>
    <n v="24"/>
    <n v="10.59"/>
    <n v="4.3"/>
    <s v="No"/>
    <x v="0"/>
  </r>
  <r>
    <s v="INC104604"/>
    <d v="2025-05-17T00:00:00"/>
    <d v="2025-05-18T02:48:36"/>
    <x v="0"/>
    <x v="0"/>
    <s v="Performance"/>
    <s v="Service Desk"/>
    <s v="Bengaluru"/>
    <s v="Email"/>
    <s v="Resolved"/>
    <n v="48"/>
    <n v="26.81"/>
    <n v="4.0999999999999996"/>
    <s v="No"/>
    <x v="0"/>
  </r>
  <r>
    <s v="INC104605"/>
    <d v="2025-02-08T00:00:00"/>
    <d v="2025-02-08T21:54:00"/>
    <x v="0"/>
    <x v="0"/>
    <s v="Performance"/>
    <s v="Network Support"/>
    <s v="Gurugram"/>
    <s v="Portal"/>
    <s v="Resolved"/>
    <n v="48"/>
    <n v="21.9"/>
    <n v="3.3"/>
    <s v="No"/>
    <x v="0"/>
  </r>
  <r>
    <s v="INC104606"/>
    <d v="2025-03-27T00:00:00"/>
    <d v="2025-03-27T19:32:24"/>
    <x v="0"/>
    <x v="0"/>
    <s v="Installation"/>
    <s v="Desktop Support"/>
    <s v="Bengaluru"/>
    <s v="Portal"/>
    <s v="In Progress"/>
    <n v="48"/>
    <n v="19.54"/>
    <n v="5"/>
    <s v="No"/>
    <x v="0"/>
  </r>
  <r>
    <s v="INC104607"/>
    <d v="2025-02-13T00:00:00"/>
    <d v="2025-02-13T09:44:24"/>
    <x v="1"/>
    <x v="0"/>
    <s v="Application Error"/>
    <s v="Application Support"/>
    <s v="Hyderabad"/>
    <s v="Phone"/>
    <s v="In Progress"/>
    <n v="24"/>
    <n v="9.74"/>
    <n v="3.8"/>
    <s v="No"/>
    <x v="0"/>
  </r>
  <r>
    <s v="INC104608"/>
    <d v="2025-03-29T00:00:00"/>
    <d v="2025-03-29T07:03:36"/>
    <x v="1"/>
    <x v="2"/>
    <s v="Connectivity"/>
    <s v="Desktop Support"/>
    <s v="Mumbai"/>
    <s v="Portal"/>
    <s v="Resolved"/>
    <n v="24"/>
    <n v="7.06"/>
    <n v="5"/>
    <s v="No"/>
    <x v="0"/>
  </r>
  <r>
    <s v="INC104609"/>
    <d v="2025-06-07T00:00:00"/>
    <d v="2025-06-07T18:26:24"/>
    <x v="1"/>
    <x v="3"/>
    <s v="Printer"/>
    <s v="Network Support"/>
    <s v="Mumbai"/>
    <s v="Portal"/>
    <s v="Resolved"/>
    <n v="24"/>
    <n v="18.440000000000001"/>
    <n v="3.9"/>
    <s v="Yes"/>
    <x v="0"/>
  </r>
  <r>
    <s v="INC104610"/>
    <d v="2025-03-20T00:00:00"/>
    <d v="2025-03-20T19:41:24"/>
    <x v="0"/>
    <x v="2"/>
    <s v="Packet Loss"/>
    <s v="Access Management"/>
    <s v="Delhi"/>
    <s v="Portal"/>
    <s v="Resolved"/>
    <n v="48"/>
    <n v="19.690000000000001"/>
    <n v="5"/>
    <s v="No"/>
    <x v="0"/>
  </r>
  <r>
    <s v="INC104611"/>
    <d v="2025-01-17T00:00:00"/>
    <d v="2025-01-17T01:03:36"/>
    <x v="2"/>
    <x v="3"/>
    <s v="Monitor"/>
    <s v="Access Management"/>
    <s v="Hyderabad"/>
    <s v="Portal"/>
    <s v="Resolved"/>
    <n v="4"/>
    <n v="1.06"/>
    <n v="5"/>
    <s v="No"/>
    <x v="0"/>
  </r>
  <r>
    <s v="INC104612"/>
    <d v="2025-02-28T00:00:00"/>
    <d v="2025-02-28T17:35:24"/>
    <x v="1"/>
    <x v="3"/>
    <s v="Printer"/>
    <s v="Access Management"/>
    <s v="Mumbai"/>
    <s v="Phone"/>
    <s v="Resolved"/>
    <n v="24"/>
    <n v="17.59"/>
    <n v="4.7"/>
    <s v="No"/>
    <x v="0"/>
  </r>
  <r>
    <s v="INC104613"/>
    <d v="2025-05-23T00:00:00"/>
    <d v="2025-05-23T15:42:36"/>
    <x v="1"/>
    <x v="1"/>
    <s v="VPN Access"/>
    <s v="Access Management"/>
    <s v="Bengaluru"/>
    <s v="Portal"/>
    <s v="Resolved"/>
    <n v="24"/>
    <n v="15.71"/>
    <n v="4.2"/>
    <s v="No"/>
    <x v="0"/>
  </r>
  <r>
    <s v="INC104614"/>
    <d v="2025-04-05T00:00:00"/>
    <d v="2025-04-05T04:44:24"/>
    <x v="1"/>
    <x v="2"/>
    <s v="Packet Loss"/>
    <s v="Service Desk"/>
    <s v="Delhi"/>
    <s v="Portal"/>
    <s v="Resolved"/>
    <n v="24"/>
    <n v="4.74"/>
    <n v="4"/>
    <s v="No"/>
    <x v="0"/>
  </r>
  <r>
    <s v="INC104615"/>
    <d v="2025-04-12T00:00:00"/>
    <d v="2025-04-12T10:18:36"/>
    <x v="3"/>
    <x v="0"/>
    <s v="Installation"/>
    <s v="Desktop Support"/>
    <s v="Bengaluru"/>
    <s v="Chat"/>
    <s v="Resolved"/>
    <n v="8"/>
    <n v="10.31"/>
    <n v="3.3"/>
    <s v="No"/>
    <x v="1"/>
  </r>
  <r>
    <s v="INC104616"/>
    <d v="2025-03-20T00:00:00"/>
    <d v="2025-03-20T02:50:24"/>
    <x v="3"/>
    <x v="3"/>
    <s v="Laptop"/>
    <s v="Access Management"/>
    <s v="Mumbai"/>
    <s v="Email"/>
    <s v="Closed"/>
    <n v="8"/>
    <n v="2.84"/>
    <n v="4.4000000000000004"/>
    <s v="No"/>
    <x v="0"/>
  </r>
  <r>
    <s v="INC104617"/>
    <d v="2025-02-22T00:00:00"/>
    <d v="2025-02-22T08:50:24"/>
    <x v="1"/>
    <x v="3"/>
    <s v="Peripheral"/>
    <s v="Desktop Support"/>
    <s v="Bengaluru"/>
    <s v="Email"/>
    <s v="Resolved"/>
    <n v="24"/>
    <n v="8.84"/>
    <n v="4.5"/>
    <s v="No"/>
    <x v="0"/>
  </r>
  <r>
    <s v="INC104618"/>
    <d v="2025-04-19T00:00:00"/>
    <d v="2025-04-19T11:36:36"/>
    <x v="1"/>
    <x v="0"/>
    <s v="Performance"/>
    <s v="Access Management"/>
    <s v="Delhi"/>
    <s v="Email"/>
    <s v="Resolved"/>
    <n v="24"/>
    <n v="11.61"/>
    <n v="3.6"/>
    <s v="Yes"/>
    <x v="0"/>
  </r>
  <r>
    <s v="INC104619"/>
    <d v="2025-04-25T00:00:00"/>
    <d v="2025-04-26T06:40:12"/>
    <x v="0"/>
    <x v="2"/>
    <s v="Link Down"/>
    <s v="Application Support"/>
    <s v="Delhi"/>
    <s v="Portal"/>
    <s v="Pending"/>
    <n v="48"/>
    <n v="30.67"/>
    <n v="4"/>
    <s v="Yes"/>
    <x v="0"/>
  </r>
  <r>
    <s v="INC104620"/>
    <d v="2025-06-12T00:00:00"/>
    <d v="2025-06-12T12:02:24"/>
    <x v="1"/>
    <x v="3"/>
    <s v="Laptop"/>
    <s v="Access Management"/>
    <s v="Noida"/>
    <s v="Portal"/>
    <s v="Closed"/>
    <n v="24"/>
    <n v="12.04"/>
    <n v="2.5"/>
    <s v="No"/>
    <x v="0"/>
  </r>
  <r>
    <s v="INC104621"/>
    <d v="2025-04-22T00:00:00"/>
    <d v="2025-04-22T05:53:24"/>
    <x v="1"/>
    <x v="3"/>
    <s v="Peripheral"/>
    <s v="Network Support"/>
    <s v="Mumbai"/>
    <s v="Portal"/>
    <s v="Resolved"/>
    <n v="24"/>
    <n v="5.89"/>
    <n v="4.5"/>
    <s v="No"/>
    <x v="0"/>
  </r>
  <r>
    <s v="INC104622"/>
    <d v="2025-06-30T00:00:00"/>
    <d v="2025-06-30T04:14:24"/>
    <x v="0"/>
    <x v="0"/>
    <s v="License"/>
    <s v="Application Support"/>
    <s v="Noida"/>
    <s v="Portal"/>
    <s v="Resolved"/>
    <n v="48"/>
    <n v="4.24"/>
    <n v="5"/>
    <s v="No"/>
    <x v="0"/>
  </r>
  <r>
    <s v="INC104623"/>
    <d v="2025-05-30T00:00:00"/>
    <d v="2025-05-30T05:05:24"/>
    <x v="2"/>
    <x v="2"/>
    <s v="Link Down"/>
    <s v="Access Management"/>
    <s v="Mumbai"/>
    <s v="Portal"/>
    <s v="Closed"/>
    <n v="4"/>
    <n v="5.09"/>
    <n v="3"/>
    <s v="No"/>
    <x v="1"/>
  </r>
  <r>
    <s v="INC104624"/>
    <d v="2025-01-15T00:00:00"/>
    <d v="2025-01-15T01:44:24"/>
    <x v="3"/>
    <x v="4"/>
    <s v="Spam"/>
    <s v="Network Support"/>
    <s v="Hyderabad"/>
    <s v="Email"/>
    <s v="Closed"/>
    <n v="8"/>
    <n v="1.74"/>
    <n v="4.5999999999999996"/>
    <s v="No"/>
    <x v="0"/>
  </r>
  <r>
    <s v="INC104625"/>
    <d v="2025-03-12T00:00:00"/>
    <d v="2025-03-13T09:21:00"/>
    <x v="0"/>
    <x v="4"/>
    <s v="Delivery"/>
    <s v="Application Support"/>
    <s v="Hyderabad"/>
    <s v="Portal"/>
    <s v="Resolved"/>
    <n v="48"/>
    <n v="33.35"/>
    <n v="4.3"/>
    <s v="No"/>
    <x v="0"/>
  </r>
  <r>
    <s v="INC104626"/>
    <d v="2025-03-11T00:00:00"/>
    <d v="2025-03-11T01:59:24"/>
    <x v="2"/>
    <x v="1"/>
    <s v="VPN Access"/>
    <s v="Network Support"/>
    <s v="Bengaluru"/>
    <s v="Portal"/>
    <s v="Closed"/>
    <n v="4"/>
    <n v="1.99"/>
    <n v="5"/>
    <s v="No"/>
    <x v="0"/>
  </r>
  <r>
    <s v="INC104627"/>
    <d v="2025-01-01T00:00:00"/>
    <d v="2025-01-01T01:34:47"/>
    <x v="1"/>
    <x v="3"/>
    <s v="Printer"/>
    <s v="Access Management"/>
    <s v="Mumbai"/>
    <s v="Email"/>
    <s v="Resolved"/>
    <n v="24"/>
    <n v="1.58"/>
    <n v="5"/>
    <s v="No"/>
    <x v="0"/>
  </r>
  <r>
    <s v="INC104628"/>
    <d v="2025-02-02T00:00:00"/>
    <d v="2025-02-02T06:56:24"/>
    <x v="1"/>
    <x v="0"/>
    <s v="Application Error"/>
    <s v="Access Management"/>
    <s v="Delhi"/>
    <s v="Portal"/>
    <s v="Resolved"/>
    <n v="24"/>
    <n v="6.94"/>
    <n v="4.9000000000000004"/>
    <s v="No"/>
    <x v="0"/>
  </r>
  <r>
    <s v="INC104629"/>
    <d v="2025-05-18T00:00:00"/>
    <d v="2025-05-18T11:51:36"/>
    <x v="3"/>
    <x v="2"/>
    <s v="Connectivity"/>
    <s v="Network Support"/>
    <s v="Delhi"/>
    <s v="Email"/>
    <s v="In Progress"/>
    <n v="8"/>
    <n v="11.86"/>
    <n v="3.2"/>
    <s v="No"/>
    <x v="1"/>
  </r>
  <r>
    <s v="INC104630"/>
    <d v="2025-03-05T00:00:00"/>
    <d v="2025-03-05T02:18:36"/>
    <x v="1"/>
    <x v="1"/>
    <s v="Password Reset"/>
    <s v="Desktop Support"/>
    <s v="Mumbai"/>
    <s v="Portal"/>
    <s v="Resolved"/>
    <n v="24"/>
    <n v="2.31"/>
    <n v="5"/>
    <s v="No"/>
    <x v="0"/>
  </r>
  <r>
    <s v="INC104631"/>
    <d v="2025-01-27T00:00:00"/>
    <d v="2025-01-27T09:07:48"/>
    <x v="1"/>
    <x v="0"/>
    <s v="Installation"/>
    <s v="Service Desk"/>
    <s v="Mumbai"/>
    <s v="Phone"/>
    <s v="Resolved"/>
    <n v="24"/>
    <n v="9.1300000000000008"/>
    <n v="5"/>
    <s v="No"/>
    <x v="0"/>
  </r>
  <r>
    <s v="INC104632"/>
    <d v="2025-02-22T00:00:00"/>
    <d v="2025-02-22T15:19:48"/>
    <x v="1"/>
    <x v="2"/>
    <s v="Link Down"/>
    <s v="Access Management"/>
    <s v="Gurugram"/>
    <s v="Phone"/>
    <s v="In Progress"/>
    <n v="24"/>
    <n v="15.33"/>
    <n v="4.5999999999999996"/>
    <s v="No"/>
    <x v="0"/>
  </r>
  <r>
    <s v="INC104633"/>
    <d v="2025-02-19T00:00:00"/>
    <d v="2025-02-19T10:29:24"/>
    <x v="0"/>
    <x v="3"/>
    <s v="Printer"/>
    <s v="Service Desk"/>
    <s v="Bengaluru"/>
    <s v="Email"/>
    <s v="Resolved"/>
    <n v="48"/>
    <n v="10.49"/>
    <n v="4.9000000000000004"/>
    <s v="No"/>
    <x v="0"/>
  </r>
  <r>
    <s v="INC104634"/>
    <d v="2025-02-01T00:00:00"/>
    <d v="2025-02-01T12:59:24"/>
    <x v="1"/>
    <x v="1"/>
    <s v="VPN Access"/>
    <s v="Application Support"/>
    <s v="Gurugram"/>
    <s v="Phone"/>
    <s v="Pending"/>
    <n v="24"/>
    <n v="12.99"/>
    <n v="5"/>
    <s v="No"/>
    <x v="0"/>
  </r>
  <r>
    <s v="INC104635"/>
    <d v="2025-01-19T00:00:00"/>
    <d v="2025-01-19T17:47:24"/>
    <x v="1"/>
    <x v="1"/>
    <s v="Password Reset"/>
    <s v="Network Support"/>
    <s v="Delhi"/>
    <s v="Portal"/>
    <s v="In Progress"/>
    <n v="24"/>
    <n v="17.79"/>
    <n v="4.0999999999999996"/>
    <s v="No"/>
    <x v="0"/>
  </r>
  <r>
    <s v="INC104636"/>
    <d v="2025-05-19T00:00:00"/>
    <d v="2025-05-19T16:10:12"/>
    <x v="1"/>
    <x v="0"/>
    <s v="License"/>
    <s v="Service Desk"/>
    <s v="Noida"/>
    <s v="Portal"/>
    <s v="Closed"/>
    <n v="24"/>
    <n v="16.170000000000002"/>
    <n v="3.6"/>
    <s v="No"/>
    <x v="0"/>
  </r>
  <r>
    <s v="INC104637"/>
    <d v="2025-05-30T00:00:00"/>
    <d v="2025-05-31T01:55:12"/>
    <x v="0"/>
    <x v="0"/>
    <s v="Installation"/>
    <s v="Access Management"/>
    <s v="Noida"/>
    <s v="Portal"/>
    <s v="Closed"/>
    <n v="48"/>
    <n v="25.92"/>
    <n v="4.7"/>
    <s v="No"/>
    <x v="0"/>
  </r>
  <r>
    <s v="INC104638"/>
    <d v="2025-03-31T00:00:00"/>
    <d v="2025-03-31T20:42:36"/>
    <x v="0"/>
    <x v="1"/>
    <s v="Permission"/>
    <s v="Service Desk"/>
    <s v="Mumbai"/>
    <s v="Portal"/>
    <s v="In Progress"/>
    <n v="48"/>
    <n v="20.71"/>
    <n v="4.5999999999999996"/>
    <s v="No"/>
    <x v="0"/>
  </r>
  <r>
    <s v="INC104639"/>
    <d v="2025-04-22T00:00:00"/>
    <d v="2025-04-22T05:26:24"/>
    <x v="1"/>
    <x v="1"/>
    <s v="Password Reset"/>
    <s v="Application Support"/>
    <s v="Hyderabad"/>
    <s v="Phone"/>
    <s v="Resolved"/>
    <n v="24"/>
    <n v="5.44"/>
    <n v="4.5999999999999996"/>
    <s v="No"/>
    <x v="0"/>
  </r>
  <r>
    <s v="INC104640"/>
    <d v="2025-06-16T00:00:00"/>
    <d v="2025-06-17T10:47:24"/>
    <x v="0"/>
    <x v="1"/>
    <s v="Account Lock"/>
    <s v="Access Management"/>
    <s v="Hyderabad"/>
    <s v="Portal"/>
    <s v="Closed"/>
    <n v="48"/>
    <n v="34.79"/>
    <n v="4.5"/>
    <s v="No"/>
    <x v="0"/>
  </r>
  <r>
    <s v="INC104641"/>
    <d v="2025-06-02T00:00:00"/>
    <d v="2025-06-02T11:46:48"/>
    <x v="1"/>
    <x v="3"/>
    <s v="Peripheral"/>
    <s v="Access Management"/>
    <s v="Delhi"/>
    <s v="Portal"/>
    <s v="Resolved"/>
    <n v="24"/>
    <n v="11.78"/>
    <n v="3.2"/>
    <s v="No"/>
    <x v="0"/>
  </r>
  <r>
    <s v="INC104642"/>
    <d v="2025-01-06T00:00:00"/>
    <d v="2025-01-07T14:49:12"/>
    <x v="1"/>
    <x v="0"/>
    <s v="Application Error"/>
    <s v="Network Support"/>
    <s v="Hyderabad"/>
    <s v="Phone"/>
    <s v="In Progress"/>
    <n v="24"/>
    <n v="38.82"/>
    <n v="2.7"/>
    <s v="No"/>
    <x v="1"/>
  </r>
  <r>
    <s v="INC104643"/>
    <d v="2025-06-22T00:00:00"/>
    <d v="2025-06-22T06:53:24"/>
    <x v="3"/>
    <x v="1"/>
    <s v="Account Lock"/>
    <s v="Service Desk"/>
    <s v="Bengaluru"/>
    <s v="Portal"/>
    <s v="Resolved"/>
    <n v="8"/>
    <n v="6.89"/>
    <n v="3.4"/>
    <s v="No"/>
    <x v="0"/>
  </r>
  <r>
    <s v="INC104644"/>
    <d v="2025-01-13T00:00:00"/>
    <d v="2025-01-13T15:51:00"/>
    <x v="0"/>
    <x v="2"/>
    <s v="Packet Loss"/>
    <s v="Application Support"/>
    <s v="Gurugram"/>
    <s v="Email"/>
    <s v="Closed"/>
    <n v="48"/>
    <n v="15.85"/>
    <n v="4.0999999999999996"/>
    <s v="No"/>
    <x v="0"/>
  </r>
  <r>
    <s v="INC104645"/>
    <d v="2025-01-05T00:00:00"/>
    <d v="2025-01-05T04:42:00"/>
    <x v="3"/>
    <x v="3"/>
    <s v="Printer"/>
    <s v="Access Management"/>
    <s v="Bengaluru"/>
    <s v="Portal"/>
    <s v="Resolved"/>
    <n v="8"/>
    <n v="4.7"/>
    <n v="4.2"/>
    <s v="No"/>
    <x v="0"/>
  </r>
  <r>
    <s v="INC104646"/>
    <d v="2025-03-14T00:00:00"/>
    <d v="2025-03-14T01:21:00"/>
    <x v="3"/>
    <x v="2"/>
    <s v="Link Down"/>
    <s v="Access Management"/>
    <s v="Delhi"/>
    <s v="Chat"/>
    <s v="Resolved"/>
    <n v="8"/>
    <n v="1.35"/>
    <n v="4.2"/>
    <s v="No"/>
    <x v="0"/>
  </r>
  <r>
    <s v="INC104647"/>
    <d v="2025-05-15T00:00:00"/>
    <d v="2025-05-15T02:00:36"/>
    <x v="1"/>
    <x v="3"/>
    <s v="Monitor"/>
    <s v="Application Support"/>
    <s v="Noida"/>
    <s v="Portal"/>
    <s v="Closed"/>
    <n v="24"/>
    <n v="2.0099999999999998"/>
    <n v="5"/>
    <s v="No"/>
    <x v="0"/>
  </r>
  <r>
    <s v="INC104648"/>
    <d v="2025-01-15T00:00:00"/>
    <d v="2025-01-15T02:34:11"/>
    <x v="3"/>
    <x v="1"/>
    <s v="VPN Access"/>
    <s v="Network Support"/>
    <s v="Mumbai"/>
    <s v="Phone"/>
    <s v="Resolved"/>
    <n v="8"/>
    <n v="2.57"/>
    <n v="4.9000000000000004"/>
    <s v="Yes"/>
    <x v="0"/>
  </r>
  <r>
    <s v="INC104649"/>
    <d v="2025-02-23T00:00:00"/>
    <d v="2025-02-23T01:06:00"/>
    <x v="3"/>
    <x v="2"/>
    <s v="Connectivity"/>
    <s v="Application Support"/>
    <s v="Hyderabad"/>
    <s v="Email"/>
    <s v="Resolved"/>
    <n v="8"/>
    <n v="1.1000000000000001"/>
    <n v="4.3"/>
    <s v="No"/>
    <x v="0"/>
  </r>
  <r>
    <s v="INC104650"/>
    <d v="2025-02-17T00:00:00"/>
    <d v="2025-02-17T19:09:36"/>
    <x v="1"/>
    <x v="0"/>
    <s v="Installation"/>
    <s v="Service Desk"/>
    <s v="Gurugram"/>
    <s v="Chat"/>
    <s v="Closed"/>
    <n v="24"/>
    <n v="19.16"/>
    <n v="2.9"/>
    <s v="No"/>
    <x v="0"/>
  </r>
  <r>
    <s v="INC104651"/>
    <d v="2025-03-13T00:00:00"/>
    <d v="2025-03-14T12:28:48"/>
    <x v="1"/>
    <x v="2"/>
    <s v="Link Down"/>
    <s v="Access Management"/>
    <s v="Gurugram"/>
    <s v="Chat"/>
    <s v="Resolved"/>
    <n v="24"/>
    <n v="36.479999999999997"/>
    <n v="2.8"/>
    <s v="No"/>
    <x v="1"/>
  </r>
  <r>
    <s v="INC104652"/>
    <d v="2025-06-28T00:00:00"/>
    <d v="2025-06-28T08:25:12"/>
    <x v="3"/>
    <x v="4"/>
    <s v="Configuration"/>
    <s v="Desktop Support"/>
    <s v="Bengaluru"/>
    <s v="Phone"/>
    <s v="Resolved"/>
    <n v="8"/>
    <n v="8.42"/>
    <n v="3.5"/>
    <s v="Yes"/>
    <x v="1"/>
  </r>
  <r>
    <s v="INC104653"/>
    <d v="2025-03-01T00:00:00"/>
    <d v="2025-03-01T01:28:12"/>
    <x v="2"/>
    <x v="1"/>
    <s v="VPN Access"/>
    <s v="Network Support"/>
    <s v="Delhi"/>
    <s v="Portal"/>
    <s v="Resolved"/>
    <n v="4"/>
    <n v="1.47"/>
    <n v="4.0999999999999996"/>
    <s v="No"/>
    <x v="0"/>
  </r>
  <r>
    <s v="INC104654"/>
    <d v="2025-02-07T00:00:00"/>
    <d v="2025-02-07T19:45:36"/>
    <x v="1"/>
    <x v="0"/>
    <s v="License"/>
    <s v="Access Management"/>
    <s v="Hyderabad"/>
    <s v="Email"/>
    <s v="In Progress"/>
    <n v="24"/>
    <n v="19.760000000000002"/>
    <n v="5"/>
    <s v="No"/>
    <x v="0"/>
  </r>
  <r>
    <s v="INC104655"/>
    <d v="2025-01-23T00:00:00"/>
    <d v="2025-01-23T02:27:36"/>
    <x v="3"/>
    <x v="0"/>
    <s v="Application Error"/>
    <s v="Access Management"/>
    <s v="Gurugram"/>
    <s v="Phone"/>
    <s v="Resolved"/>
    <n v="8"/>
    <n v="2.46"/>
    <n v="3.6"/>
    <s v="No"/>
    <x v="0"/>
  </r>
  <r>
    <s v="INC104656"/>
    <d v="2025-02-05T00:00:00"/>
    <d v="2025-02-05T09:10:48"/>
    <x v="3"/>
    <x v="2"/>
    <s v="Connectivity"/>
    <s v="Desktop Support"/>
    <s v="Gurugram"/>
    <s v="Email"/>
    <s v="Resolved"/>
    <n v="8"/>
    <n v="9.18"/>
    <n v="3.7"/>
    <s v="No"/>
    <x v="1"/>
  </r>
  <r>
    <s v="INC104657"/>
    <d v="2025-01-25T00:00:00"/>
    <d v="2025-01-25T05:55:48"/>
    <x v="3"/>
    <x v="1"/>
    <s v="Account Lock"/>
    <s v="Access Management"/>
    <s v="Gurugram"/>
    <s v="Phone"/>
    <s v="Pending"/>
    <n v="8"/>
    <n v="5.93"/>
    <n v="4"/>
    <s v="No"/>
    <x v="0"/>
  </r>
  <r>
    <s v="INC104658"/>
    <d v="2025-04-14T00:00:00"/>
    <d v="2025-04-14T01:56:24"/>
    <x v="2"/>
    <x v="0"/>
    <s v="Installation"/>
    <s v="Network Support"/>
    <s v="Noida"/>
    <s v="Phone"/>
    <s v="Closed"/>
    <n v="4"/>
    <n v="1.94"/>
    <n v="4.3"/>
    <s v="No"/>
    <x v="0"/>
  </r>
  <r>
    <s v="INC104659"/>
    <d v="2025-03-18T00:00:00"/>
    <d v="2025-03-18T22:06:36"/>
    <x v="0"/>
    <x v="2"/>
    <s v="Connectivity"/>
    <s v="Service Desk"/>
    <s v="Mumbai"/>
    <s v="Portal"/>
    <s v="Closed"/>
    <n v="48"/>
    <n v="22.11"/>
    <n v="3.2"/>
    <s v="No"/>
    <x v="0"/>
  </r>
  <r>
    <s v="INC104660"/>
    <d v="2025-04-01T00:00:00"/>
    <d v="2025-04-02T11:32:24"/>
    <x v="0"/>
    <x v="4"/>
    <s v="Configuration"/>
    <s v="Network Support"/>
    <s v="Hyderabad"/>
    <s v="Portal"/>
    <s v="Resolved"/>
    <n v="48"/>
    <n v="35.54"/>
    <n v="4.0999999999999996"/>
    <s v="No"/>
    <x v="0"/>
  </r>
  <r>
    <s v="INC104661"/>
    <d v="2025-05-31T00:00:00"/>
    <d v="2025-05-31T11:08:24"/>
    <x v="1"/>
    <x v="2"/>
    <s v="DNS"/>
    <s v="Service Desk"/>
    <s v="Mumbai"/>
    <s v="Portal"/>
    <s v="Closed"/>
    <n v="24"/>
    <n v="11.14"/>
    <n v="4.5999999999999996"/>
    <s v="No"/>
    <x v="0"/>
  </r>
  <r>
    <s v="INC104662"/>
    <d v="2025-04-16T00:00:00"/>
    <d v="2025-04-17T00:18:00"/>
    <x v="1"/>
    <x v="0"/>
    <s v="Installation"/>
    <s v="Service Desk"/>
    <s v="Bengaluru"/>
    <s v="Email"/>
    <s v="Pending"/>
    <n v="24"/>
    <n v="24.3"/>
    <n v="4.2"/>
    <s v="No"/>
    <x v="1"/>
  </r>
  <r>
    <s v="INC104663"/>
    <d v="2025-01-29T00:00:00"/>
    <d v="2025-01-29T08:39:00"/>
    <x v="1"/>
    <x v="2"/>
    <s v="DNS"/>
    <s v="Desktop Support"/>
    <s v="Gurugram"/>
    <s v="Email"/>
    <s v="In Progress"/>
    <n v="24"/>
    <n v="8.65"/>
    <n v="4.9000000000000004"/>
    <s v="No"/>
    <x v="0"/>
  </r>
  <r>
    <s v="INC104664"/>
    <d v="2025-03-10T00:00:00"/>
    <d v="2025-03-10T03:24:00"/>
    <x v="3"/>
    <x v="0"/>
    <s v="Performance"/>
    <s v="Service Desk"/>
    <s v="Hyderabad"/>
    <s v="Portal"/>
    <s v="Closed"/>
    <n v="8"/>
    <n v="3.4"/>
    <n v="5"/>
    <s v="No"/>
    <x v="0"/>
  </r>
  <r>
    <s v="INC104665"/>
    <d v="2025-02-26T00:00:00"/>
    <d v="2025-02-26T03:33:36"/>
    <x v="3"/>
    <x v="2"/>
    <s v="Packet Loss"/>
    <s v="Desktop Support"/>
    <s v="Hyderabad"/>
    <s v="Phone"/>
    <s v="Closed"/>
    <n v="8"/>
    <n v="3.56"/>
    <n v="3.1"/>
    <s v="No"/>
    <x v="0"/>
  </r>
  <r>
    <s v="INC104666"/>
    <d v="2025-05-30T00:00:00"/>
    <d v="2025-05-30T09:36:36"/>
    <x v="1"/>
    <x v="2"/>
    <s v="DNS"/>
    <s v="Service Desk"/>
    <s v="Bengaluru"/>
    <s v="Portal"/>
    <s v="Closed"/>
    <n v="24"/>
    <n v="9.61"/>
    <n v="4.4000000000000004"/>
    <s v="No"/>
    <x v="0"/>
  </r>
  <r>
    <s v="INC104667"/>
    <d v="2025-02-25T00:00:00"/>
    <d v="2025-02-25T05:46:12"/>
    <x v="1"/>
    <x v="3"/>
    <s v="Laptop"/>
    <s v="Service Desk"/>
    <s v="Mumbai"/>
    <s v="Portal"/>
    <s v="Closed"/>
    <n v="24"/>
    <n v="5.77"/>
    <n v="5"/>
    <s v="No"/>
    <x v="0"/>
  </r>
  <r>
    <s v="INC104668"/>
    <d v="2025-01-26T00:00:00"/>
    <d v="2025-01-26T16:15:36"/>
    <x v="0"/>
    <x v="4"/>
    <s v="Mailbox"/>
    <s v="Access Management"/>
    <s v="Gurugram"/>
    <s v="Email"/>
    <s v="Closed"/>
    <n v="48"/>
    <n v="16.260000000000002"/>
    <n v="5"/>
    <s v="No"/>
    <x v="0"/>
  </r>
  <r>
    <s v="INC104669"/>
    <d v="2025-05-14T00:00:00"/>
    <d v="2025-05-14T11:29:24"/>
    <x v="1"/>
    <x v="2"/>
    <s v="Link Down"/>
    <s v="Desktop Support"/>
    <s v="Noida"/>
    <s v="Email"/>
    <s v="Resolved"/>
    <n v="24"/>
    <n v="11.49"/>
    <n v="3.5"/>
    <s v="No"/>
    <x v="0"/>
  </r>
  <r>
    <s v="INC104670"/>
    <d v="2025-03-19T00:00:00"/>
    <d v="2025-03-19T21:40:12"/>
    <x v="0"/>
    <x v="0"/>
    <s v="License"/>
    <s v="Network Support"/>
    <s v="Mumbai"/>
    <s v="Portal"/>
    <s v="Closed"/>
    <n v="48"/>
    <n v="21.67"/>
    <n v="4.5"/>
    <s v="No"/>
    <x v="0"/>
  </r>
  <r>
    <s v="INC104671"/>
    <d v="2025-01-18T00:00:00"/>
    <d v="2025-01-19T09:12:36"/>
    <x v="1"/>
    <x v="0"/>
    <s v="Performance"/>
    <s v="Service Desk"/>
    <s v="Noida"/>
    <s v="Phone"/>
    <s v="Resolved"/>
    <n v="24"/>
    <n v="33.21"/>
    <n v="2.7"/>
    <s v="No"/>
    <x v="1"/>
  </r>
  <r>
    <s v="INC104672"/>
    <d v="2025-05-05T00:00:00"/>
    <d v="2025-05-05T15:23:24"/>
    <x v="1"/>
    <x v="1"/>
    <s v="Account Lock"/>
    <s v="Access Management"/>
    <s v="Mumbai"/>
    <s v="Phone"/>
    <s v="Resolved"/>
    <n v="24"/>
    <n v="15.39"/>
    <n v="4"/>
    <s v="No"/>
    <x v="0"/>
  </r>
  <r>
    <s v="INC104673"/>
    <d v="2025-02-08T00:00:00"/>
    <d v="2025-02-08T09:29:24"/>
    <x v="3"/>
    <x v="3"/>
    <s v="Laptop"/>
    <s v="Network Support"/>
    <s v="Hyderabad"/>
    <s v="Email"/>
    <s v="Resolved"/>
    <n v="8"/>
    <n v="9.49"/>
    <n v="4.9000000000000004"/>
    <s v="No"/>
    <x v="1"/>
  </r>
  <r>
    <s v="INC104674"/>
    <d v="2025-06-07T00:00:00"/>
    <d v="2025-06-07T02:53:24"/>
    <x v="1"/>
    <x v="0"/>
    <s v="Performance"/>
    <s v="Access Management"/>
    <s v="Hyderabad"/>
    <s v="Chat"/>
    <s v="Resolved"/>
    <n v="24"/>
    <n v="2.89"/>
    <n v="5"/>
    <s v="No"/>
    <x v="0"/>
  </r>
  <r>
    <s v="INC104675"/>
    <d v="2025-05-31T00:00:00"/>
    <d v="2025-05-31T22:09:00"/>
    <x v="1"/>
    <x v="4"/>
    <s v="Spam"/>
    <s v="Service Desk"/>
    <s v="Gurugram"/>
    <s v="Portal"/>
    <s v="Resolved"/>
    <n v="24"/>
    <n v="22.15"/>
    <n v="2.9"/>
    <s v="No"/>
    <x v="0"/>
  </r>
  <r>
    <s v="INC104676"/>
    <d v="2025-03-08T00:00:00"/>
    <d v="2025-03-09T06:47:24"/>
    <x v="0"/>
    <x v="3"/>
    <s v="Monitor"/>
    <s v="Application Support"/>
    <s v="Noida"/>
    <s v="Portal"/>
    <s v="Resolved"/>
    <n v="48"/>
    <n v="30.79"/>
    <n v="3.7"/>
    <s v="Yes"/>
    <x v="0"/>
  </r>
  <r>
    <s v="INC104677"/>
    <d v="2025-04-11T00:00:00"/>
    <d v="2025-04-11T21:24:36"/>
    <x v="0"/>
    <x v="3"/>
    <s v="Peripheral"/>
    <s v="Desktop Support"/>
    <s v="Noida"/>
    <s v="Portal"/>
    <s v="Closed"/>
    <n v="48"/>
    <n v="21.41"/>
    <n v="4.5"/>
    <s v="No"/>
    <x v="0"/>
  </r>
  <r>
    <s v="INC104678"/>
    <d v="2025-04-13T00:00:00"/>
    <d v="2025-04-13T00:53:24"/>
    <x v="2"/>
    <x v="4"/>
    <s v="Delivery"/>
    <s v="Application Support"/>
    <s v="Bengaluru"/>
    <s v="Phone"/>
    <s v="Pending"/>
    <n v="4"/>
    <n v="0.89"/>
    <n v="4.5999999999999996"/>
    <s v="No"/>
    <x v="0"/>
  </r>
  <r>
    <s v="INC104679"/>
    <d v="2025-04-29T00:00:00"/>
    <d v="2025-04-29T06:18:00"/>
    <x v="3"/>
    <x v="3"/>
    <s v="Laptop"/>
    <s v="Application Support"/>
    <s v="Mumbai"/>
    <s v="Portal"/>
    <s v="Resolved"/>
    <n v="8"/>
    <n v="6.3"/>
    <n v="4.3"/>
    <s v="No"/>
    <x v="0"/>
  </r>
  <r>
    <s v="INC104680"/>
    <d v="2025-01-13T00:00:00"/>
    <d v="2025-01-13T17:02:24"/>
    <x v="1"/>
    <x v="3"/>
    <s v="Laptop"/>
    <s v="Network Support"/>
    <s v="Gurugram"/>
    <s v="Chat"/>
    <s v="Resolved"/>
    <n v="24"/>
    <n v="17.04"/>
    <n v="3.6"/>
    <s v="No"/>
    <x v="0"/>
  </r>
  <r>
    <s v="INC104681"/>
    <d v="2025-02-28T00:00:00"/>
    <d v="2025-03-01T14:48:00"/>
    <x v="0"/>
    <x v="3"/>
    <s v="Monitor"/>
    <s v="Service Desk"/>
    <s v="Gurugram"/>
    <s v="Email"/>
    <s v="Resolved"/>
    <n v="48"/>
    <n v="38.799999999999997"/>
    <n v="3.8"/>
    <s v="No"/>
    <x v="0"/>
  </r>
  <r>
    <s v="INC104682"/>
    <d v="2025-01-31T00:00:00"/>
    <d v="2025-01-31T07:57:36"/>
    <x v="1"/>
    <x v="1"/>
    <s v="Password Reset"/>
    <s v="Desktop Support"/>
    <s v="Gurugram"/>
    <s v="Phone"/>
    <s v="Closed"/>
    <n v="24"/>
    <n v="7.96"/>
    <n v="4.0999999999999996"/>
    <s v="No"/>
    <x v="0"/>
  </r>
  <r>
    <s v="INC104683"/>
    <d v="2025-05-07T00:00:00"/>
    <d v="2025-05-08T00:13:12"/>
    <x v="1"/>
    <x v="4"/>
    <s v="Spam"/>
    <s v="Service Desk"/>
    <s v="Mumbai"/>
    <s v="Portal"/>
    <s v="Resolved"/>
    <n v="24"/>
    <n v="24.22"/>
    <n v="3.6"/>
    <s v="No"/>
    <x v="1"/>
  </r>
  <r>
    <s v="INC104684"/>
    <d v="2025-01-13T00:00:00"/>
    <d v="2025-01-13T18:00:00"/>
    <x v="1"/>
    <x v="0"/>
    <s v="Installation"/>
    <s v="Service Desk"/>
    <s v="Hyderabad"/>
    <s v="Phone"/>
    <s v="Resolved"/>
    <n v="24"/>
    <n v="18"/>
    <n v="4.5999999999999996"/>
    <s v="No"/>
    <x v="0"/>
  </r>
  <r>
    <s v="INC104685"/>
    <d v="2025-04-04T00:00:00"/>
    <d v="2025-04-04T17:03:36"/>
    <x v="0"/>
    <x v="0"/>
    <s v="License"/>
    <s v="Access Management"/>
    <s v="Delhi"/>
    <s v="Portal"/>
    <s v="Resolved"/>
    <n v="48"/>
    <n v="17.059999999999999"/>
    <n v="4.8"/>
    <s v="No"/>
    <x v="0"/>
  </r>
  <r>
    <s v="INC104686"/>
    <d v="2025-05-12T00:00:00"/>
    <d v="2025-05-13T06:58:12"/>
    <x v="1"/>
    <x v="3"/>
    <s v="Monitor"/>
    <s v="Service Desk"/>
    <s v="Hyderabad"/>
    <s v="Email"/>
    <s v="Resolved"/>
    <n v="24"/>
    <n v="30.97"/>
    <n v="3"/>
    <s v="No"/>
    <x v="1"/>
  </r>
  <r>
    <s v="INC104687"/>
    <d v="2025-06-21T00:00:00"/>
    <d v="2025-06-22T03:35:24"/>
    <x v="0"/>
    <x v="2"/>
    <s v="Link Down"/>
    <s v="Network Support"/>
    <s v="Delhi"/>
    <s v="Phone"/>
    <s v="Closed"/>
    <n v="48"/>
    <n v="27.59"/>
    <n v="5"/>
    <s v="No"/>
    <x v="0"/>
  </r>
  <r>
    <s v="INC104688"/>
    <d v="2025-02-22T00:00:00"/>
    <d v="2025-02-22T02:17:23"/>
    <x v="1"/>
    <x v="2"/>
    <s v="Packet Loss"/>
    <s v="Desktop Support"/>
    <s v="Bengaluru"/>
    <s v="Portal"/>
    <s v="Closed"/>
    <n v="24"/>
    <n v="2.29"/>
    <n v="5"/>
    <s v="No"/>
    <x v="0"/>
  </r>
  <r>
    <s v="INC104689"/>
    <d v="2025-01-02T00:00:00"/>
    <d v="2025-01-02T17:02:24"/>
    <x v="0"/>
    <x v="2"/>
    <s v="Packet Loss"/>
    <s v="Network Support"/>
    <s v="Delhi"/>
    <s v="Phone"/>
    <s v="Resolved"/>
    <n v="48"/>
    <n v="17.04"/>
    <n v="4.5999999999999996"/>
    <s v="No"/>
    <x v="0"/>
  </r>
  <r>
    <s v="INC104690"/>
    <d v="2025-05-11T00:00:00"/>
    <d v="2025-05-12T00:01:48"/>
    <x v="1"/>
    <x v="2"/>
    <s v="Connectivity"/>
    <s v="Network Support"/>
    <s v="Hyderabad"/>
    <s v="Phone"/>
    <s v="Resolved"/>
    <n v="24"/>
    <n v="24.03"/>
    <n v="3.6"/>
    <s v="No"/>
    <x v="1"/>
  </r>
  <r>
    <s v="INC104691"/>
    <d v="2025-01-01T00:00:00"/>
    <d v="2025-01-01T08:43:48"/>
    <x v="1"/>
    <x v="0"/>
    <s v="Application Error"/>
    <s v="Access Management"/>
    <s v="Mumbai"/>
    <s v="Phone"/>
    <s v="Closed"/>
    <n v="24"/>
    <n v="8.73"/>
    <n v="5"/>
    <s v="No"/>
    <x v="0"/>
  </r>
  <r>
    <s v="INC104692"/>
    <d v="2025-01-13T00:00:00"/>
    <d v="2025-01-14T00:13:12"/>
    <x v="0"/>
    <x v="2"/>
    <s v="Connectivity"/>
    <s v="Service Desk"/>
    <s v="Noida"/>
    <s v="Portal"/>
    <s v="Pending"/>
    <n v="48"/>
    <n v="24.22"/>
    <n v="5"/>
    <s v="No"/>
    <x v="0"/>
  </r>
  <r>
    <s v="INC104693"/>
    <d v="2025-06-29T00:00:00"/>
    <d v="2025-06-30T00:31:48"/>
    <x v="1"/>
    <x v="2"/>
    <s v="DNS"/>
    <s v="Network Support"/>
    <s v="Mumbai"/>
    <s v="Portal"/>
    <s v="Closed"/>
    <n v="24"/>
    <n v="24.53"/>
    <n v="2.8"/>
    <s v="No"/>
    <x v="1"/>
  </r>
  <r>
    <s v="INC104694"/>
    <d v="2025-06-06T00:00:00"/>
    <d v="2025-06-06T08:49:12"/>
    <x v="1"/>
    <x v="3"/>
    <s v="Laptop"/>
    <s v="Application Support"/>
    <s v="Hyderabad"/>
    <s v="Portal"/>
    <s v="Closed"/>
    <n v="24"/>
    <n v="8.82"/>
    <n v="5"/>
    <s v="No"/>
    <x v="0"/>
  </r>
  <r>
    <s v="INC104695"/>
    <d v="2025-05-09T00:00:00"/>
    <d v="2025-05-09T06:46:48"/>
    <x v="3"/>
    <x v="2"/>
    <s v="DNS"/>
    <s v="Desktop Support"/>
    <s v="Gurugram"/>
    <s v="Email"/>
    <s v="Pending"/>
    <n v="8"/>
    <n v="6.78"/>
    <n v="5"/>
    <s v="No"/>
    <x v="0"/>
  </r>
  <r>
    <s v="INC104696"/>
    <d v="2025-06-01T00:00:00"/>
    <d v="2025-06-01T00:42:00"/>
    <x v="2"/>
    <x v="2"/>
    <s v="Link Down"/>
    <s v="Desktop Support"/>
    <s v="Bengaluru"/>
    <s v="Portal"/>
    <s v="Resolved"/>
    <n v="4"/>
    <n v="0.7"/>
    <n v="5"/>
    <s v="No"/>
    <x v="0"/>
  </r>
  <r>
    <s v="INC104697"/>
    <d v="2025-01-14T00:00:00"/>
    <d v="2025-01-15T06:01:48"/>
    <x v="0"/>
    <x v="2"/>
    <s v="DNS"/>
    <s v="Desktop Support"/>
    <s v="Gurugram"/>
    <s v="Chat"/>
    <s v="Resolved"/>
    <n v="48"/>
    <n v="30.03"/>
    <n v="3.9"/>
    <s v="No"/>
    <x v="0"/>
  </r>
  <r>
    <s v="INC104698"/>
    <d v="2025-01-17T00:00:00"/>
    <d v="2025-01-17T04:47:24"/>
    <x v="3"/>
    <x v="2"/>
    <s v="Connectivity"/>
    <s v="Network Support"/>
    <s v="Mumbai"/>
    <s v="Chat"/>
    <s v="Closed"/>
    <n v="8"/>
    <n v="4.79"/>
    <n v="4.0999999999999996"/>
    <s v="No"/>
    <x v="0"/>
  </r>
  <r>
    <s v="INC104699"/>
    <d v="2025-02-24T00:00:00"/>
    <d v="2025-02-24T15:58:12"/>
    <x v="1"/>
    <x v="0"/>
    <s v="Installation"/>
    <s v="Access Management"/>
    <s v="Bengaluru"/>
    <s v="Portal"/>
    <s v="Resolved"/>
    <n v="24"/>
    <n v="15.97"/>
    <n v="5"/>
    <s v="No"/>
    <x v="0"/>
  </r>
  <r>
    <s v="INC104700"/>
    <d v="2025-01-05T00:00:00"/>
    <d v="2025-01-05T17:22:48"/>
    <x v="1"/>
    <x v="1"/>
    <s v="Password Reset"/>
    <s v="Network Support"/>
    <s v="Mumbai"/>
    <s v="Phone"/>
    <s v="Resolved"/>
    <n v="24"/>
    <n v="17.38"/>
    <n v="4.7"/>
    <s v="No"/>
    <x v="0"/>
  </r>
  <r>
    <s v="INC104701"/>
    <d v="2025-06-10T00:00:00"/>
    <d v="2025-06-10T12:30:00"/>
    <x v="1"/>
    <x v="1"/>
    <s v="VPN Access"/>
    <s v="Desktop Support"/>
    <s v="Bengaluru"/>
    <s v="Portal"/>
    <s v="Closed"/>
    <n v="24"/>
    <n v="12.5"/>
    <n v="4.7"/>
    <s v="No"/>
    <x v="0"/>
  </r>
  <r>
    <s v="INC104702"/>
    <d v="2025-01-11T00:00:00"/>
    <d v="2025-01-11T11:25:12"/>
    <x v="1"/>
    <x v="1"/>
    <s v="Permission"/>
    <s v="Service Desk"/>
    <s v="Bengaluru"/>
    <s v="Portal"/>
    <s v="Resolved"/>
    <n v="24"/>
    <n v="11.42"/>
    <n v="5"/>
    <s v="No"/>
    <x v="0"/>
  </r>
  <r>
    <s v="INC104703"/>
    <d v="2025-04-09T00:00:00"/>
    <d v="2025-04-10T00:08:24"/>
    <x v="0"/>
    <x v="0"/>
    <s v="Application Error"/>
    <s v="Application Support"/>
    <s v="Delhi"/>
    <s v="Portal"/>
    <s v="Resolved"/>
    <n v="48"/>
    <n v="24.14"/>
    <n v="3.7"/>
    <s v="No"/>
    <x v="0"/>
  </r>
  <r>
    <s v="INC104704"/>
    <d v="2025-06-04T00:00:00"/>
    <d v="2025-06-04T05:01:48"/>
    <x v="2"/>
    <x v="4"/>
    <s v="Delivery"/>
    <s v="Desktop Support"/>
    <s v="Hyderabad"/>
    <s v="Phone"/>
    <s v="Resolved"/>
    <n v="4"/>
    <n v="5.03"/>
    <n v="3.4"/>
    <s v="No"/>
    <x v="1"/>
  </r>
  <r>
    <s v="INC104705"/>
    <d v="2025-05-14T00:00:00"/>
    <d v="2025-05-14T13:25:48"/>
    <x v="1"/>
    <x v="0"/>
    <s v="License"/>
    <s v="Service Desk"/>
    <s v="Gurugram"/>
    <s v="Phone"/>
    <s v="Resolved"/>
    <n v="24"/>
    <n v="13.43"/>
    <n v="4.5"/>
    <s v="No"/>
    <x v="0"/>
  </r>
  <r>
    <s v="INC104706"/>
    <d v="2025-02-12T00:00:00"/>
    <d v="2025-02-13T21:43:48"/>
    <x v="1"/>
    <x v="0"/>
    <s v="Performance"/>
    <s v="Desktop Support"/>
    <s v="Noida"/>
    <s v="Portal"/>
    <s v="Resolved"/>
    <n v="24"/>
    <n v="45.73"/>
    <n v="2.6"/>
    <s v="No"/>
    <x v="1"/>
  </r>
  <r>
    <s v="INC104707"/>
    <d v="2025-03-27T00:00:00"/>
    <d v="2025-03-27T17:19:48"/>
    <x v="1"/>
    <x v="3"/>
    <s v="Peripheral"/>
    <s v="Service Desk"/>
    <s v="Bengaluru"/>
    <s v="Portal"/>
    <s v="Resolved"/>
    <n v="24"/>
    <n v="17.329999999999998"/>
    <n v="2.9"/>
    <s v="No"/>
    <x v="0"/>
  </r>
  <r>
    <s v="INC104708"/>
    <d v="2025-04-10T00:00:00"/>
    <d v="2025-04-11T02:52:12"/>
    <x v="0"/>
    <x v="3"/>
    <s v="Monitor"/>
    <s v="Network Support"/>
    <s v="Hyderabad"/>
    <s v="Portal"/>
    <s v="Resolved"/>
    <n v="48"/>
    <n v="26.87"/>
    <n v="5"/>
    <s v="No"/>
    <x v="0"/>
  </r>
  <r>
    <s v="INC104709"/>
    <d v="2025-05-19T00:00:00"/>
    <d v="2025-05-19T09:03:36"/>
    <x v="0"/>
    <x v="3"/>
    <s v="Monitor"/>
    <s v="Access Management"/>
    <s v="Bengaluru"/>
    <s v="Email"/>
    <s v="Pending"/>
    <n v="48"/>
    <n v="9.06"/>
    <n v="4.3"/>
    <s v="No"/>
    <x v="0"/>
  </r>
  <r>
    <s v="INC104710"/>
    <d v="2025-03-19T00:00:00"/>
    <d v="2025-03-19T21:19:12"/>
    <x v="1"/>
    <x v="2"/>
    <s v="DNS"/>
    <s v="Application Support"/>
    <s v="Gurugram"/>
    <s v="Portal"/>
    <s v="Resolved"/>
    <n v="24"/>
    <n v="21.32"/>
    <n v="3.4"/>
    <s v="Yes"/>
    <x v="0"/>
  </r>
  <r>
    <s v="INC104711"/>
    <d v="2025-02-21T00:00:00"/>
    <d v="2025-02-21T09:57:00"/>
    <x v="1"/>
    <x v="1"/>
    <s v="Permission"/>
    <s v="Application Support"/>
    <s v="Gurugram"/>
    <s v="Phone"/>
    <s v="In Progress"/>
    <n v="24"/>
    <n v="9.9499999999999993"/>
    <n v="4.3"/>
    <s v="Yes"/>
    <x v="0"/>
  </r>
  <r>
    <s v="INC104712"/>
    <d v="2025-05-24T00:00:00"/>
    <d v="2025-05-24T07:52:12"/>
    <x v="3"/>
    <x v="2"/>
    <s v="Packet Loss"/>
    <s v="Access Management"/>
    <s v="Gurugram"/>
    <s v="Chat"/>
    <s v="Pending"/>
    <n v="8"/>
    <n v="7.87"/>
    <n v="3.7"/>
    <s v="No"/>
    <x v="0"/>
  </r>
  <r>
    <s v="INC104713"/>
    <d v="2025-06-10T00:00:00"/>
    <d v="2025-06-10T06:47:24"/>
    <x v="1"/>
    <x v="0"/>
    <s v="License"/>
    <s v="Access Management"/>
    <s v="Bengaluru"/>
    <s v="Portal"/>
    <s v="Resolved"/>
    <n v="24"/>
    <n v="6.79"/>
    <n v="4.5999999999999996"/>
    <s v="No"/>
    <x v="0"/>
  </r>
  <r>
    <s v="INC104714"/>
    <d v="2025-03-30T00:00:00"/>
    <d v="2025-03-30T12:01:12"/>
    <x v="1"/>
    <x v="1"/>
    <s v="Permission"/>
    <s v="Desktop Support"/>
    <s v="Mumbai"/>
    <s v="Phone"/>
    <s v="Resolved"/>
    <n v="24"/>
    <n v="12.02"/>
    <n v="5"/>
    <s v="No"/>
    <x v="0"/>
  </r>
  <r>
    <s v="INC104715"/>
    <d v="2025-01-06T00:00:00"/>
    <d v="2025-01-06T03:12:36"/>
    <x v="3"/>
    <x v="0"/>
    <s v="Application Error"/>
    <s v="Application Support"/>
    <s v="Mumbai"/>
    <s v="Email"/>
    <s v="In Progress"/>
    <n v="8"/>
    <n v="3.21"/>
    <n v="5"/>
    <s v="No"/>
    <x v="0"/>
  </r>
  <r>
    <s v="INC104716"/>
    <d v="2025-04-01T00:00:00"/>
    <d v="2025-04-02T16:24:36"/>
    <x v="0"/>
    <x v="2"/>
    <s v="Connectivity"/>
    <s v="Desktop Support"/>
    <s v="Mumbai"/>
    <s v="Email"/>
    <s v="Resolved"/>
    <n v="48"/>
    <n v="40.409999999999997"/>
    <n v="3.8"/>
    <s v="No"/>
    <x v="0"/>
  </r>
  <r>
    <s v="INC104717"/>
    <d v="2025-06-10T00:00:00"/>
    <d v="2025-06-11T07:49:12"/>
    <x v="1"/>
    <x v="3"/>
    <s v="Peripheral"/>
    <s v="Service Desk"/>
    <s v="Mumbai"/>
    <s v="Phone"/>
    <s v="Resolved"/>
    <n v="24"/>
    <n v="31.82"/>
    <n v="3"/>
    <s v="No"/>
    <x v="1"/>
  </r>
  <r>
    <s v="INC104718"/>
    <d v="2025-06-29T00:00:00"/>
    <d v="2025-06-29T11:49:48"/>
    <x v="1"/>
    <x v="3"/>
    <s v="Laptop"/>
    <s v="Application Support"/>
    <s v="Hyderabad"/>
    <s v="Email"/>
    <s v="Resolved"/>
    <n v="24"/>
    <n v="11.83"/>
    <n v="4.3"/>
    <s v="No"/>
    <x v="0"/>
  </r>
  <r>
    <s v="INC104719"/>
    <d v="2025-03-14T00:00:00"/>
    <d v="2025-03-14T18:05:24"/>
    <x v="0"/>
    <x v="4"/>
    <s v="Delivery"/>
    <s v="Access Management"/>
    <s v="Hyderabad"/>
    <s v="Email"/>
    <s v="Closed"/>
    <n v="48"/>
    <n v="18.09"/>
    <n v="4"/>
    <s v="No"/>
    <x v="0"/>
  </r>
  <r>
    <s v="INC104720"/>
    <d v="2025-01-28T00:00:00"/>
    <d v="2025-01-28T09:30:36"/>
    <x v="0"/>
    <x v="0"/>
    <s v="Installation"/>
    <s v="Access Management"/>
    <s v="Gurugram"/>
    <s v="Portal"/>
    <s v="Closed"/>
    <n v="48"/>
    <n v="9.51"/>
    <n v="4.7"/>
    <s v="No"/>
    <x v="0"/>
  </r>
  <r>
    <s v="INC104721"/>
    <d v="2025-04-14T00:00:00"/>
    <d v="2025-04-14T16:31:12"/>
    <x v="0"/>
    <x v="1"/>
    <s v="Permission"/>
    <s v="Desktop Support"/>
    <s v="Gurugram"/>
    <s v="Phone"/>
    <s v="Closed"/>
    <n v="48"/>
    <n v="16.52"/>
    <n v="4"/>
    <s v="No"/>
    <x v="0"/>
  </r>
  <r>
    <s v="INC104722"/>
    <d v="2025-05-31T00:00:00"/>
    <d v="2025-06-02T16:11:24"/>
    <x v="0"/>
    <x v="0"/>
    <s v="Application Error"/>
    <s v="Access Management"/>
    <s v="Delhi"/>
    <s v="Portal"/>
    <s v="Resolved"/>
    <n v="48"/>
    <n v="64.19"/>
    <n v="4.8"/>
    <s v="No"/>
    <x v="1"/>
  </r>
  <r>
    <s v="INC104723"/>
    <d v="2025-06-21T00:00:00"/>
    <d v="2025-06-21T11:57:36"/>
    <x v="1"/>
    <x v="0"/>
    <s v="Installation"/>
    <s v="Network Support"/>
    <s v="Gurugram"/>
    <s v="Portal"/>
    <s v="Resolved"/>
    <n v="24"/>
    <n v="11.96"/>
    <n v="4.5"/>
    <s v="No"/>
    <x v="0"/>
  </r>
  <r>
    <s v="INC104724"/>
    <d v="2025-01-10T00:00:00"/>
    <d v="2025-01-11T09:29:24"/>
    <x v="0"/>
    <x v="1"/>
    <s v="Permission"/>
    <s v="Network Support"/>
    <s v="Bengaluru"/>
    <s v="Email"/>
    <s v="Resolved"/>
    <n v="48"/>
    <n v="33.49"/>
    <n v="3.8"/>
    <s v="No"/>
    <x v="0"/>
  </r>
  <r>
    <s v="INC104725"/>
    <d v="2025-02-22T00:00:00"/>
    <d v="2025-02-22T03:27:00"/>
    <x v="1"/>
    <x v="2"/>
    <s v="Connectivity"/>
    <s v="Desktop Support"/>
    <s v="Bengaluru"/>
    <s v="Portal"/>
    <s v="Closed"/>
    <n v="24"/>
    <n v="3.45"/>
    <n v="5"/>
    <s v="No"/>
    <x v="0"/>
  </r>
  <r>
    <s v="INC104726"/>
    <d v="2025-03-28T00:00:00"/>
    <d v="2025-03-28T06:38:24"/>
    <x v="0"/>
    <x v="2"/>
    <s v="Link Down"/>
    <s v="Service Desk"/>
    <s v="Hyderabad"/>
    <s v="Portal"/>
    <s v="In Progress"/>
    <n v="48"/>
    <n v="6.64"/>
    <n v="4"/>
    <s v="No"/>
    <x v="0"/>
  </r>
  <r>
    <s v="INC104727"/>
    <d v="2025-01-18T00:00:00"/>
    <d v="2025-01-18T05:52:12"/>
    <x v="0"/>
    <x v="2"/>
    <s v="DNS"/>
    <s v="Access Management"/>
    <s v="Bengaluru"/>
    <s v="Portal"/>
    <s v="Resolved"/>
    <n v="48"/>
    <n v="5.87"/>
    <n v="4.4000000000000004"/>
    <s v="No"/>
    <x v="0"/>
  </r>
  <r>
    <s v="INC104728"/>
    <d v="2025-06-10T00:00:00"/>
    <d v="2025-06-11T02:49:48"/>
    <x v="1"/>
    <x v="0"/>
    <s v="Application Error"/>
    <s v="Network Support"/>
    <s v="Hyderabad"/>
    <s v="Phone"/>
    <s v="Resolved"/>
    <n v="24"/>
    <n v="26.83"/>
    <n v="3.9"/>
    <s v="No"/>
    <x v="1"/>
  </r>
  <r>
    <s v="INC104729"/>
    <d v="2025-01-21T00:00:00"/>
    <d v="2025-01-22T00:37:48"/>
    <x v="0"/>
    <x v="1"/>
    <s v="Permission"/>
    <s v="Desktop Support"/>
    <s v="Bengaluru"/>
    <s v="Email"/>
    <s v="Resolved"/>
    <n v="48"/>
    <n v="24.63"/>
    <n v="4.5"/>
    <s v="No"/>
    <x v="0"/>
  </r>
  <r>
    <s v="INC104730"/>
    <d v="2025-05-01T00:00:00"/>
    <d v="2025-05-01T01:06:00"/>
    <x v="2"/>
    <x v="0"/>
    <s v="Application Error"/>
    <s v="Application Support"/>
    <s v="Hyderabad"/>
    <s v="Portal"/>
    <s v="Closed"/>
    <n v="4"/>
    <n v="1.1000000000000001"/>
    <n v="5"/>
    <s v="No"/>
    <x v="0"/>
  </r>
  <r>
    <s v="INC104731"/>
    <d v="2025-06-16T00:00:00"/>
    <d v="2025-06-16T21:45:36"/>
    <x v="1"/>
    <x v="0"/>
    <s v="Performance"/>
    <s v="Network Support"/>
    <s v="Mumbai"/>
    <s v="Phone"/>
    <s v="In Progress"/>
    <n v="24"/>
    <n v="21.76"/>
    <n v="2.1"/>
    <s v="No"/>
    <x v="0"/>
  </r>
  <r>
    <s v="INC104732"/>
    <d v="2025-05-05T00:00:00"/>
    <d v="2025-05-05T19:06:36"/>
    <x v="0"/>
    <x v="4"/>
    <s v="Mailbox"/>
    <s v="Network Support"/>
    <s v="Noida"/>
    <s v="Phone"/>
    <s v="Resolved"/>
    <n v="48"/>
    <n v="19.11"/>
    <n v="5"/>
    <s v="No"/>
    <x v="0"/>
  </r>
  <r>
    <s v="INC104733"/>
    <d v="2025-05-19T00:00:00"/>
    <d v="2025-05-20T23:04:48"/>
    <x v="0"/>
    <x v="2"/>
    <s v="Packet Loss"/>
    <s v="Desktop Support"/>
    <s v="Hyderabad"/>
    <s v="Portal"/>
    <s v="Resolved"/>
    <n v="48"/>
    <n v="47.08"/>
    <n v="3.5"/>
    <s v="No"/>
    <x v="0"/>
  </r>
  <r>
    <s v="INC104734"/>
    <d v="2025-02-17T00:00:00"/>
    <d v="2025-02-17T11:48:36"/>
    <x v="1"/>
    <x v="2"/>
    <s v="Link Down"/>
    <s v="Access Management"/>
    <s v="Hyderabad"/>
    <s v="Email"/>
    <s v="Pending"/>
    <n v="24"/>
    <n v="11.81"/>
    <n v="3.6"/>
    <s v="No"/>
    <x v="0"/>
  </r>
  <r>
    <s v="INC104735"/>
    <d v="2025-05-30T00:00:00"/>
    <d v="2025-05-30T23:46:12"/>
    <x v="1"/>
    <x v="4"/>
    <s v="Delivery"/>
    <s v="Network Support"/>
    <s v="Gurugram"/>
    <s v="Portal"/>
    <s v="Resolved"/>
    <n v="24"/>
    <n v="23.77"/>
    <n v="2.7"/>
    <s v="No"/>
    <x v="0"/>
  </r>
  <r>
    <s v="INC104736"/>
    <d v="2025-03-17T00:00:00"/>
    <d v="2025-03-17T01:58:48"/>
    <x v="3"/>
    <x v="4"/>
    <s v="Mailbox"/>
    <s v="Network Support"/>
    <s v="Gurugram"/>
    <s v="Email"/>
    <s v="In Progress"/>
    <n v="8"/>
    <n v="1.98"/>
    <n v="4.3"/>
    <s v="No"/>
    <x v="0"/>
  </r>
  <r>
    <s v="INC104737"/>
    <d v="2025-01-12T00:00:00"/>
    <d v="2025-01-12T16:19:12"/>
    <x v="1"/>
    <x v="0"/>
    <s v="Performance"/>
    <s v="Access Management"/>
    <s v="Delhi"/>
    <s v="Phone"/>
    <s v="Pending"/>
    <n v="24"/>
    <n v="16.32"/>
    <n v="5"/>
    <s v="No"/>
    <x v="0"/>
  </r>
  <r>
    <s v="INC104738"/>
    <d v="2025-03-08T00:00:00"/>
    <d v="2025-03-08T19:14:24"/>
    <x v="1"/>
    <x v="2"/>
    <s v="Packet Loss"/>
    <s v="Application Support"/>
    <s v="Hyderabad"/>
    <s v="Portal"/>
    <s v="Closed"/>
    <n v="24"/>
    <n v="19.239999999999998"/>
    <n v="4.7"/>
    <s v="No"/>
    <x v="0"/>
  </r>
  <r>
    <s v="INC104739"/>
    <d v="2025-03-05T00:00:00"/>
    <d v="2025-03-05T03:06:36"/>
    <x v="1"/>
    <x v="4"/>
    <s v="Mailbox"/>
    <s v="Application Support"/>
    <s v="Noida"/>
    <s v="Email"/>
    <s v="Resolved"/>
    <n v="24"/>
    <n v="3.11"/>
    <n v="5"/>
    <s v="Yes"/>
    <x v="0"/>
  </r>
  <r>
    <s v="INC104740"/>
    <d v="2025-04-05T00:00:00"/>
    <d v="2025-04-05T04:06:36"/>
    <x v="3"/>
    <x v="1"/>
    <s v="Account Lock"/>
    <s v="Service Desk"/>
    <s v="Bengaluru"/>
    <s v="Portal"/>
    <s v="Closed"/>
    <n v="8"/>
    <n v="4.1100000000000003"/>
    <n v="4.3"/>
    <s v="Yes"/>
    <x v="0"/>
  </r>
  <r>
    <s v="INC104741"/>
    <d v="2025-02-17T00:00:00"/>
    <d v="2025-02-17T04:38:24"/>
    <x v="1"/>
    <x v="0"/>
    <s v="Performance"/>
    <s v="Service Desk"/>
    <s v="Gurugram"/>
    <s v="Email"/>
    <s v="Resolved"/>
    <n v="24"/>
    <n v="4.6399999999999997"/>
    <n v="4.8"/>
    <s v="No"/>
    <x v="0"/>
  </r>
  <r>
    <s v="INC104742"/>
    <d v="2025-03-25T00:00:00"/>
    <d v="2025-03-25T06:51:00"/>
    <x v="0"/>
    <x v="2"/>
    <s v="Packet Loss"/>
    <s v="Desktop Support"/>
    <s v="Noida"/>
    <s v="Portal"/>
    <s v="Resolved"/>
    <n v="48"/>
    <n v="6.85"/>
    <n v="3.8"/>
    <s v="No"/>
    <x v="0"/>
  </r>
  <r>
    <s v="INC104743"/>
    <d v="2025-03-19T00:00:00"/>
    <d v="2025-03-19T10:06:36"/>
    <x v="1"/>
    <x v="0"/>
    <s v="Performance"/>
    <s v="Service Desk"/>
    <s v="Noida"/>
    <s v="Phone"/>
    <s v="Resolved"/>
    <n v="24"/>
    <n v="10.11"/>
    <n v="3.5"/>
    <s v="No"/>
    <x v="0"/>
  </r>
  <r>
    <s v="INC104744"/>
    <d v="2025-03-01T00:00:00"/>
    <d v="2025-03-01T05:36:36"/>
    <x v="3"/>
    <x v="1"/>
    <s v="VPN Access"/>
    <s v="Desktop Support"/>
    <s v="Bengaluru"/>
    <s v="Email"/>
    <s v="Resolved"/>
    <n v="8"/>
    <n v="5.61"/>
    <n v="4.0999999999999996"/>
    <s v="No"/>
    <x v="0"/>
  </r>
  <r>
    <s v="INC104745"/>
    <d v="2025-05-07T00:00:00"/>
    <d v="2025-05-07T06:48:00"/>
    <x v="1"/>
    <x v="1"/>
    <s v="Account Lock"/>
    <s v="Access Management"/>
    <s v="Gurugram"/>
    <s v="Portal"/>
    <s v="Pending"/>
    <n v="24"/>
    <n v="6.8"/>
    <n v="3.8"/>
    <s v="No"/>
    <x v="0"/>
  </r>
  <r>
    <s v="INC104746"/>
    <d v="2025-02-25T00:00:00"/>
    <d v="2025-02-25T01:45:00"/>
    <x v="2"/>
    <x v="0"/>
    <s v="License"/>
    <s v="Application Support"/>
    <s v="Mumbai"/>
    <s v="Phone"/>
    <s v="Closed"/>
    <n v="4"/>
    <n v="1.75"/>
    <n v="3.9"/>
    <s v="No"/>
    <x v="0"/>
  </r>
  <r>
    <s v="INC104747"/>
    <d v="2025-05-19T00:00:00"/>
    <d v="2025-05-19T02:33:00"/>
    <x v="3"/>
    <x v="0"/>
    <s v="License"/>
    <s v="Access Management"/>
    <s v="Noida"/>
    <s v="Portal"/>
    <s v="Resolved"/>
    <n v="8"/>
    <n v="2.5499999999999998"/>
    <n v="4.5999999999999996"/>
    <s v="No"/>
    <x v="0"/>
  </r>
  <r>
    <s v="INC104748"/>
    <d v="2025-02-15T00:00:00"/>
    <d v="2025-02-16T20:52:12"/>
    <x v="0"/>
    <x v="0"/>
    <s v="Performance"/>
    <s v="Desktop Support"/>
    <s v="Gurugram"/>
    <s v="Email"/>
    <s v="Resolved"/>
    <n v="48"/>
    <n v="44.87"/>
    <n v="4.7"/>
    <s v="No"/>
    <x v="0"/>
  </r>
  <r>
    <s v="INC104749"/>
    <d v="2025-06-06T00:00:00"/>
    <d v="2025-06-06T09:22:12"/>
    <x v="3"/>
    <x v="0"/>
    <s v="Application Error"/>
    <s v="Application Support"/>
    <s v="Delhi"/>
    <s v="Email"/>
    <s v="Closed"/>
    <n v="8"/>
    <n v="9.3699999999999992"/>
    <n v="3.6"/>
    <s v="No"/>
    <x v="1"/>
  </r>
  <r>
    <s v="INC104750"/>
    <d v="2025-03-08T00:00:00"/>
    <d v="2025-03-10T03:36:00"/>
    <x v="1"/>
    <x v="3"/>
    <s v="Monitor"/>
    <s v="Desktop Support"/>
    <s v="Delhi"/>
    <s v="Portal"/>
    <s v="Resolved"/>
    <n v="24"/>
    <n v="51.6"/>
    <n v="1.5"/>
    <s v="No"/>
    <x v="1"/>
  </r>
  <r>
    <s v="INC104751"/>
    <d v="2025-01-08T00:00:00"/>
    <d v="2025-01-09T01:36:36"/>
    <x v="1"/>
    <x v="2"/>
    <s v="Connectivity"/>
    <s v="Application Support"/>
    <s v="Gurugram"/>
    <s v="Portal"/>
    <s v="Resolved"/>
    <n v="24"/>
    <n v="25.61"/>
    <n v="2.5"/>
    <s v="No"/>
    <x v="1"/>
  </r>
  <r>
    <s v="INC104752"/>
    <d v="2025-01-28T00:00:00"/>
    <d v="2025-01-28T17:53:24"/>
    <x v="1"/>
    <x v="2"/>
    <s v="Packet Loss"/>
    <s v="Application Support"/>
    <s v="Mumbai"/>
    <s v="Portal"/>
    <s v="Resolved"/>
    <n v="24"/>
    <n v="17.89"/>
    <n v="4.2"/>
    <s v="No"/>
    <x v="0"/>
  </r>
  <r>
    <s v="INC104753"/>
    <d v="2025-05-26T00:00:00"/>
    <d v="2025-05-26T07:28:12"/>
    <x v="3"/>
    <x v="1"/>
    <s v="Account Lock"/>
    <s v="Access Management"/>
    <s v="Hyderabad"/>
    <s v="Phone"/>
    <s v="Closed"/>
    <n v="8"/>
    <n v="7.47"/>
    <n v="3.5"/>
    <s v="No"/>
    <x v="0"/>
  </r>
  <r>
    <s v="INC104754"/>
    <d v="2025-06-07T00:00:00"/>
    <d v="2025-06-07T07:43:12"/>
    <x v="1"/>
    <x v="2"/>
    <s v="DNS"/>
    <s v="Access Management"/>
    <s v="Hyderabad"/>
    <s v="Phone"/>
    <s v="Resolved"/>
    <n v="24"/>
    <n v="7.72"/>
    <n v="4.7"/>
    <s v="No"/>
    <x v="0"/>
  </r>
  <r>
    <s v="INC104755"/>
    <d v="2025-02-08T00:00:00"/>
    <d v="2025-02-08T09:57:00"/>
    <x v="1"/>
    <x v="2"/>
    <s v="Packet Loss"/>
    <s v="Network Support"/>
    <s v="Gurugram"/>
    <s v="Portal"/>
    <s v="In Progress"/>
    <n v="24"/>
    <n v="9.9499999999999993"/>
    <n v="4.4000000000000004"/>
    <s v="No"/>
    <x v="0"/>
  </r>
  <r>
    <s v="INC104756"/>
    <d v="2025-04-19T00:00:00"/>
    <d v="2025-04-20T05:07:48"/>
    <x v="0"/>
    <x v="4"/>
    <s v="Spam"/>
    <s v="Application Support"/>
    <s v="Bengaluru"/>
    <s v="Portal"/>
    <s v="Closed"/>
    <n v="48"/>
    <n v="29.13"/>
    <n v="4.2"/>
    <s v="No"/>
    <x v="0"/>
  </r>
  <r>
    <s v="INC104757"/>
    <d v="2025-04-14T00:00:00"/>
    <d v="2025-04-14T02:59:24"/>
    <x v="1"/>
    <x v="0"/>
    <s v="Application Error"/>
    <s v="Application Support"/>
    <s v="Gurugram"/>
    <s v="Phone"/>
    <s v="Resolved"/>
    <n v="24"/>
    <n v="2.99"/>
    <n v="5"/>
    <s v="No"/>
    <x v="0"/>
  </r>
  <r>
    <s v="INC104758"/>
    <d v="2025-01-25T00:00:00"/>
    <d v="2025-01-25T02:24:36"/>
    <x v="3"/>
    <x v="2"/>
    <s v="Connectivity"/>
    <s v="Application Support"/>
    <s v="Delhi"/>
    <s v="Portal"/>
    <s v="Resolved"/>
    <n v="8"/>
    <n v="2.41"/>
    <n v="5"/>
    <s v="No"/>
    <x v="0"/>
  </r>
  <r>
    <s v="INC104759"/>
    <d v="2025-03-23T00:00:00"/>
    <d v="2025-03-24T22:45:00"/>
    <x v="1"/>
    <x v="3"/>
    <s v="Printer"/>
    <s v="Network Support"/>
    <s v="Bengaluru"/>
    <s v="Portal"/>
    <s v="Resolved"/>
    <n v="24"/>
    <n v="46.75"/>
    <n v="2.9"/>
    <s v="No"/>
    <x v="1"/>
  </r>
  <r>
    <s v="INC104760"/>
    <d v="2025-05-06T00:00:00"/>
    <d v="2025-05-06T20:01:48"/>
    <x v="0"/>
    <x v="1"/>
    <s v="VPN Access"/>
    <s v="Desktop Support"/>
    <s v="Bengaluru"/>
    <s v="Email"/>
    <s v="Resolved"/>
    <n v="48"/>
    <n v="20.03"/>
    <n v="3.9"/>
    <s v="No"/>
    <x v="0"/>
  </r>
  <r>
    <s v="INC104761"/>
    <d v="2025-06-25T00:00:00"/>
    <d v="2025-06-25T00:50:24"/>
    <x v="3"/>
    <x v="3"/>
    <s v="Monitor"/>
    <s v="Access Management"/>
    <s v="Mumbai"/>
    <s v="Portal"/>
    <s v="Resolved"/>
    <n v="8"/>
    <n v="0.84"/>
    <n v="4.5"/>
    <s v="No"/>
    <x v="0"/>
  </r>
  <r>
    <s v="INC104762"/>
    <d v="2025-06-03T00:00:00"/>
    <d v="2025-06-03T02:48:00"/>
    <x v="3"/>
    <x v="3"/>
    <s v="Laptop"/>
    <s v="Access Management"/>
    <s v="Delhi"/>
    <s v="Chat"/>
    <s v="In Progress"/>
    <n v="8"/>
    <n v="2.8"/>
    <n v="5"/>
    <s v="No"/>
    <x v="0"/>
  </r>
  <r>
    <s v="INC104763"/>
    <d v="2025-01-18T00:00:00"/>
    <d v="2025-01-18T13:51:00"/>
    <x v="1"/>
    <x v="3"/>
    <s v="Monitor"/>
    <s v="Service Desk"/>
    <s v="Mumbai"/>
    <s v="Portal"/>
    <s v="Resolved"/>
    <n v="24"/>
    <n v="13.85"/>
    <n v="5"/>
    <s v="No"/>
    <x v="0"/>
  </r>
  <r>
    <s v="INC104764"/>
    <d v="2025-02-12T00:00:00"/>
    <d v="2025-02-13T10:22:48"/>
    <x v="0"/>
    <x v="2"/>
    <s v="DNS"/>
    <s v="Desktop Support"/>
    <s v="Gurugram"/>
    <s v="Phone"/>
    <s v="Resolved"/>
    <n v="48"/>
    <n v="34.380000000000003"/>
    <n v="3.3"/>
    <s v="No"/>
    <x v="0"/>
  </r>
  <r>
    <s v="INC104765"/>
    <d v="2025-03-21T00:00:00"/>
    <d v="2025-03-21T11:49:48"/>
    <x v="1"/>
    <x v="1"/>
    <s v="Permission"/>
    <s v="Access Management"/>
    <s v="Gurugram"/>
    <s v="Portal"/>
    <s v="Resolved"/>
    <n v="24"/>
    <n v="11.83"/>
    <n v="5"/>
    <s v="No"/>
    <x v="0"/>
  </r>
  <r>
    <s v="INC104766"/>
    <d v="2025-01-28T00:00:00"/>
    <d v="2025-01-29T07:54:36"/>
    <x v="0"/>
    <x v="2"/>
    <s v="Connectivity"/>
    <s v="Access Management"/>
    <s v="Delhi"/>
    <s v="Portal"/>
    <s v="Resolved"/>
    <n v="48"/>
    <n v="31.91"/>
    <n v="3.7"/>
    <s v="No"/>
    <x v="0"/>
  </r>
  <r>
    <s v="INC104767"/>
    <d v="2025-04-14T00:00:00"/>
    <d v="2025-04-14T07:07:48"/>
    <x v="1"/>
    <x v="0"/>
    <s v="Application Error"/>
    <s v="Service Desk"/>
    <s v="Gurugram"/>
    <s v="Portal"/>
    <s v="Pending"/>
    <n v="24"/>
    <n v="7.13"/>
    <n v="5"/>
    <s v="No"/>
    <x v="0"/>
  </r>
  <r>
    <s v="INC104768"/>
    <d v="2025-01-02T00:00:00"/>
    <d v="2025-01-03T04:39:36"/>
    <x v="1"/>
    <x v="2"/>
    <s v="Connectivity"/>
    <s v="Access Management"/>
    <s v="Noida"/>
    <s v="Chat"/>
    <s v="Resolved"/>
    <n v="24"/>
    <n v="28.66"/>
    <n v="5"/>
    <s v="No"/>
    <x v="1"/>
  </r>
  <r>
    <s v="INC104769"/>
    <d v="2025-01-21T00:00:00"/>
    <d v="2025-01-21T08:11:24"/>
    <x v="3"/>
    <x v="2"/>
    <s v="DNS"/>
    <s v="Access Management"/>
    <s v="Gurugram"/>
    <s v="Email"/>
    <s v="Resolved"/>
    <n v="8"/>
    <n v="8.19"/>
    <n v="2.7"/>
    <s v="No"/>
    <x v="1"/>
  </r>
  <r>
    <s v="INC104770"/>
    <d v="2025-01-09T00:00:00"/>
    <d v="2025-01-09T02:06:00"/>
    <x v="1"/>
    <x v="2"/>
    <s v="DNS"/>
    <s v="Network Support"/>
    <s v="Gurugram"/>
    <s v="Portal"/>
    <s v="Closed"/>
    <n v="24"/>
    <n v="2.1"/>
    <n v="5"/>
    <s v="No"/>
    <x v="0"/>
  </r>
  <r>
    <s v="INC104771"/>
    <d v="2025-02-23T00:00:00"/>
    <d v="2025-02-23T01:44:24"/>
    <x v="3"/>
    <x v="1"/>
    <s v="Account Lock"/>
    <s v="Network Support"/>
    <s v="Bengaluru"/>
    <s v="Chat"/>
    <s v="Resolved"/>
    <n v="8"/>
    <n v="1.74"/>
    <n v="4.5"/>
    <s v="No"/>
    <x v="0"/>
  </r>
  <r>
    <s v="INC104772"/>
    <d v="2025-05-18T00:00:00"/>
    <d v="2025-05-18T07:16:48"/>
    <x v="3"/>
    <x v="2"/>
    <s v="Packet Loss"/>
    <s v="Network Support"/>
    <s v="Delhi"/>
    <s v="Portal"/>
    <s v="Resolved"/>
    <n v="8"/>
    <n v="7.28"/>
    <n v="4.2"/>
    <s v="No"/>
    <x v="0"/>
  </r>
  <r>
    <s v="INC104773"/>
    <d v="2025-02-02T00:00:00"/>
    <d v="2025-02-03T06:27:36"/>
    <x v="0"/>
    <x v="2"/>
    <s v="Connectivity"/>
    <s v="Network Support"/>
    <s v="Hyderabad"/>
    <s v="Portal"/>
    <s v="Closed"/>
    <n v="48"/>
    <n v="30.46"/>
    <n v="3.8"/>
    <s v="No"/>
    <x v="0"/>
  </r>
  <r>
    <s v="INC104774"/>
    <d v="2025-06-28T00:00:00"/>
    <d v="2025-06-29T05:18:00"/>
    <x v="0"/>
    <x v="2"/>
    <s v="Packet Loss"/>
    <s v="Application Support"/>
    <s v="Gurugram"/>
    <s v="Portal"/>
    <s v="In Progress"/>
    <n v="48"/>
    <n v="29.3"/>
    <n v="2.7"/>
    <s v="No"/>
    <x v="0"/>
  </r>
  <r>
    <s v="INC104775"/>
    <d v="2025-02-18T00:00:00"/>
    <d v="2025-02-18T13:15:36"/>
    <x v="1"/>
    <x v="1"/>
    <s v="Account Lock"/>
    <s v="Service Desk"/>
    <s v="Mumbai"/>
    <s v="Phone"/>
    <s v="Closed"/>
    <n v="24"/>
    <n v="13.26"/>
    <n v="3.8"/>
    <s v="No"/>
    <x v="0"/>
  </r>
  <r>
    <s v="INC104776"/>
    <d v="2025-01-09T00:00:00"/>
    <d v="2025-01-09T08:33:36"/>
    <x v="3"/>
    <x v="3"/>
    <s v="Peripheral"/>
    <s v="Application Support"/>
    <s v="Bengaluru"/>
    <s v="Portal"/>
    <s v="Resolved"/>
    <n v="8"/>
    <n v="8.56"/>
    <n v="3.9"/>
    <s v="Yes"/>
    <x v="1"/>
  </r>
  <r>
    <s v="INC104777"/>
    <d v="2025-03-02T00:00:00"/>
    <d v="2025-03-02T14:52:48"/>
    <x v="1"/>
    <x v="4"/>
    <s v="Spam"/>
    <s v="Network Support"/>
    <s v="Mumbai"/>
    <s v="Portal"/>
    <s v="Resolved"/>
    <n v="24"/>
    <n v="14.88"/>
    <n v="5"/>
    <s v="No"/>
    <x v="0"/>
  </r>
  <r>
    <s v="INC104778"/>
    <d v="2025-05-16T00:00:00"/>
    <d v="2025-05-16T17:20:24"/>
    <x v="1"/>
    <x v="0"/>
    <s v="License"/>
    <s v="Application Support"/>
    <s v="Gurugram"/>
    <s v="Chat"/>
    <s v="Resolved"/>
    <n v="24"/>
    <n v="17.34"/>
    <n v="4.4000000000000004"/>
    <s v="No"/>
    <x v="0"/>
  </r>
  <r>
    <s v="INC104779"/>
    <d v="2025-01-20T00:00:00"/>
    <d v="2025-01-20T13:33:00"/>
    <x v="1"/>
    <x v="0"/>
    <s v="Performance"/>
    <s v="Application Support"/>
    <s v="Gurugram"/>
    <s v="Email"/>
    <s v="Resolved"/>
    <n v="24"/>
    <n v="13.55"/>
    <n v="5"/>
    <s v="No"/>
    <x v="0"/>
  </r>
  <r>
    <s v="INC104780"/>
    <d v="2025-01-14T00:00:00"/>
    <d v="2025-01-14T01:53:24"/>
    <x v="3"/>
    <x v="0"/>
    <s v="Installation"/>
    <s v="Access Management"/>
    <s v="Delhi"/>
    <s v="Portal"/>
    <s v="Pending"/>
    <n v="8"/>
    <n v="1.89"/>
    <n v="4.4000000000000004"/>
    <s v="No"/>
    <x v="0"/>
  </r>
  <r>
    <s v="INC104781"/>
    <d v="2025-06-03T00:00:00"/>
    <d v="2025-06-03T22:52:12"/>
    <x v="1"/>
    <x v="2"/>
    <s v="DNS"/>
    <s v="Service Desk"/>
    <s v="Gurugram"/>
    <s v="Email"/>
    <s v="Resolved"/>
    <n v="24"/>
    <n v="22.87"/>
    <n v="3.5"/>
    <s v="No"/>
    <x v="0"/>
  </r>
  <r>
    <s v="INC104782"/>
    <d v="2025-04-18T00:00:00"/>
    <d v="2025-04-18T18:45:00"/>
    <x v="0"/>
    <x v="4"/>
    <s v="Configuration"/>
    <s v="Desktop Support"/>
    <s v="Bengaluru"/>
    <s v="Portal"/>
    <s v="Resolved"/>
    <n v="48"/>
    <n v="18.75"/>
    <n v="4.8"/>
    <s v="Yes"/>
    <x v="0"/>
  </r>
  <r>
    <s v="INC104783"/>
    <d v="2025-03-04T00:00:00"/>
    <d v="2025-03-04T18:36:00"/>
    <x v="0"/>
    <x v="4"/>
    <s v="Spam"/>
    <s v="Desktop Support"/>
    <s v="Bengaluru"/>
    <s v="Email"/>
    <s v="Resolved"/>
    <n v="48"/>
    <n v="18.600000000000001"/>
    <n v="4.3"/>
    <s v="Yes"/>
    <x v="0"/>
  </r>
  <r>
    <s v="INC104784"/>
    <d v="2025-05-17T00:00:00"/>
    <d v="2025-05-17T21:39:36"/>
    <x v="0"/>
    <x v="2"/>
    <s v="Link Down"/>
    <s v="Service Desk"/>
    <s v="Mumbai"/>
    <s v="Portal"/>
    <s v="Resolved"/>
    <n v="48"/>
    <n v="21.66"/>
    <n v="5"/>
    <s v="No"/>
    <x v="0"/>
  </r>
  <r>
    <s v="INC104785"/>
    <d v="2025-06-02T00:00:00"/>
    <d v="2025-06-02T01:23:24"/>
    <x v="3"/>
    <x v="0"/>
    <s v="Performance"/>
    <s v="Application Support"/>
    <s v="Hyderabad"/>
    <s v="Email"/>
    <s v="Resolved"/>
    <n v="8"/>
    <n v="1.39"/>
    <n v="3.9"/>
    <s v="No"/>
    <x v="0"/>
  </r>
  <r>
    <s v="INC104786"/>
    <d v="2025-03-07T00:00:00"/>
    <d v="2025-03-07T14:03:36"/>
    <x v="3"/>
    <x v="2"/>
    <s v="Connectivity"/>
    <s v="Desktop Support"/>
    <s v="Mumbai"/>
    <s v="Phone"/>
    <s v="Resolved"/>
    <n v="8"/>
    <n v="14.06"/>
    <n v="3.5"/>
    <s v="No"/>
    <x v="1"/>
  </r>
  <r>
    <s v="INC104787"/>
    <d v="2025-04-12T00:00:00"/>
    <d v="2025-04-12T07:15:00"/>
    <x v="3"/>
    <x v="0"/>
    <s v="Installation"/>
    <s v="Access Management"/>
    <s v="Noida"/>
    <s v="Portal"/>
    <s v="Closed"/>
    <n v="8"/>
    <n v="7.25"/>
    <n v="4.7"/>
    <s v="No"/>
    <x v="0"/>
  </r>
  <r>
    <s v="INC104788"/>
    <d v="2025-01-02T00:00:00"/>
    <d v="2025-01-02T10:39:36"/>
    <x v="0"/>
    <x v="1"/>
    <s v="VPN Access"/>
    <s v="Network Support"/>
    <s v="Noida"/>
    <s v="Portal"/>
    <s v="Resolved"/>
    <n v="48"/>
    <n v="10.66"/>
    <n v="5"/>
    <s v="No"/>
    <x v="0"/>
  </r>
  <r>
    <s v="INC104789"/>
    <d v="2025-02-25T00:00:00"/>
    <d v="2025-02-26T09:41:24"/>
    <x v="1"/>
    <x v="4"/>
    <s v="Configuration"/>
    <s v="Service Desk"/>
    <s v="Hyderabad"/>
    <s v="Portal"/>
    <s v="Resolved"/>
    <n v="24"/>
    <n v="33.69"/>
    <n v="3.9"/>
    <s v="No"/>
    <x v="1"/>
  </r>
  <r>
    <s v="INC104790"/>
    <d v="2025-04-18T00:00:00"/>
    <d v="2025-04-18T16:13:48"/>
    <x v="0"/>
    <x v="3"/>
    <s v="Monitor"/>
    <s v="Desktop Support"/>
    <s v="Mumbai"/>
    <s v="Phone"/>
    <s v="Closed"/>
    <n v="48"/>
    <n v="16.23"/>
    <n v="4.2"/>
    <s v="No"/>
    <x v="0"/>
  </r>
  <r>
    <s v="INC104791"/>
    <d v="2025-02-05T00:00:00"/>
    <d v="2025-02-05T09:15:36"/>
    <x v="1"/>
    <x v="0"/>
    <s v="Installation"/>
    <s v="Desktop Support"/>
    <s v="Noida"/>
    <s v="Phone"/>
    <s v="Resolved"/>
    <n v="24"/>
    <n v="9.26"/>
    <n v="4"/>
    <s v="No"/>
    <x v="0"/>
  </r>
  <r>
    <s v="INC104792"/>
    <d v="2025-06-29T00:00:00"/>
    <d v="2025-06-29T16:04:12"/>
    <x v="0"/>
    <x v="0"/>
    <s v="License"/>
    <s v="Access Management"/>
    <s v="Mumbai"/>
    <s v="Phone"/>
    <s v="Resolved"/>
    <n v="48"/>
    <n v="16.07"/>
    <n v="4.8"/>
    <s v="No"/>
    <x v="0"/>
  </r>
  <r>
    <s v="INC104793"/>
    <d v="2025-06-25T00:00:00"/>
    <d v="2025-06-25T09:52:48"/>
    <x v="3"/>
    <x v="2"/>
    <s v="Connectivity"/>
    <s v="Application Support"/>
    <s v="Delhi"/>
    <s v="Chat"/>
    <s v="Resolved"/>
    <n v="8"/>
    <n v="9.8800000000000008"/>
    <n v="3"/>
    <s v="No"/>
    <x v="1"/>
  </r>
  <r>
    <s v="INC104794"/>
    <d v="2025-02-16T00:00:00"/>
    <d v="2025-02-18T04:48:00"/>
    <x v="0"/>
    <x v="0"/>
    <s v="Application Error"/>
    <s v="Network Support"/>
    <s v="Mumbai"/>
    <s v="Phone"/>
    <s v="Closed"/>
    <n v="48"/>
    <n v="52.8"/>
    <n v="3.9"/>
    <s v="No"/>
    <x v="1"/>
  </r>
  <r>
    <s v="INC104795"/>
    <d v="2025-03-13T00:00:00"/>
    <d v="2025-03-13T11:04:48"/>
    <x v="1"/>
    <x v="0"/>
    <s v="Application Error"/>
    <s v="Desktop Support"/>
    <s v="Hyderabad"/>
    <s v="Chat"/>
    <s v="Resolved"/>
    <n v="24"/>
    <n v="11.08"/>
    <n v="4.5999999999999996"/>
    <s v="No"/>
    <x v="0"/>
  </r>
  <r>
    <s v="INC104796"/>
    <d v="2025-02-04T00:00:00"/>
    <d v="2025-02-04T01:58:12"/>
    <x v="2"/>
    <x v="1"/>
    <s v="Password Reset"/>
    <s v="Access Management"/>
    <s v="Bengaluru"/>
    <s v="Email"/>
    <s v="Resolved"/>
    <n v="4"/>
    <n v="1.97"/>
    <n v="4.4000000000000004"/>
    <s v="No"/>
    <x v="0"/>
  </r>
  <r>
    <s v="INC104797"/>
    <d v="2025-04-02T00:00:00"/>
    <d v="2025-04-02T21:08:24"/>
    <x v="1"/>
    <x v="4"/>
    <s v="Configuration"/>
    <s v="Access Management"/>
    <s v="Bengaluru"/>
    <s v="Portal"/>
    <s v="Resolved"/>
    <n v="24"/>
    <n v="21.14"/>
    <n v="4.0999999999999996"/>
    <s v="No"/>
    <x v="0"/>
  </r>
  <r>
    <s v="INC104798"/>
    <d v="2025-01-23T00:00:00"/>
    <d v="2025-01-24T17:27:36"/>
    <x v="0"/>
    <x v="2"/>
    <s v="Connectivity"/>
    <s v="Access Management"/>
    <s v="Delhi"/>
    <s v="Email"/>
    <s v="Resolved"/>
    <n v="48"/>
    <n v="41.46"/>
    <n v="4.4000000000000004"/>
    <s v="No"/>
    <x v="0"/>
  </r>
  <r>
    <s v="INC104799"/>
    <d v="2025-03-12T00:00:00"/>
    <d v="2025-03-12T04:06:36"/>
    <x v="3"/>
    <x v="2"/>
    <s v="Link Down"/>
    <s v="Desktop Support"/>
    <s v="Bengaluru"/>
    <s v="Portal"/>
    <s v="Closed"/>
    <n v="8"/>
    <n v="4.1100000000000003"/>
    <n v="4.3"/>
    <s v="No"/>
    <x v="0"/>
  </r>
  <r>
    <s v="INC104800"/>
    <d v="2025-04-11T00:00:00"/>
    <d v="2025-04-11T12:36:36"/>
    <x v="1"/>
    <x v="2"/>
    <s v="Packet Loss"/>
    <s v="Network Support"/>
    <s v="Gurugram"/>
    <s v="Portal"/>
    <s v="Resolved"/>
    <n v="24"/>
    <n v="12.61"/>
    <n v="4.0999999999999996"/>
    <s v="Yes"/>
    <x v="0"/>
  </r>
  <r>
    <s v="INC104801"/>
    <d v="2025-04-21T00:00:00"/>
    <d v="2025-04-21T22:01:12"/>
    <x v="1"/>
    <x v="2"/>
    <s v="Packet Loss"/>
    <s v="Service Desk"/>
    <s v="Hyderabad"/>
    <s v="Portal"/>
    <s v="Resolved"/>
    <n v="24"/>
    <n v="22.02"/>
    <n v="4.4000000000000004"/>
    <s v="No"/>
    <x v="0"/>
  </r>
  <r>
    <s v="INC104802"/>
    <d v="2025-04-18T00:00:00"/>
    <d v="2025-04-18T02:43:48"/>
    <x v="1"/>
    <x v="3"/>
    <s v="Peripheral"/>
    <s v="Access Management"/>
    <s v="Gurugram"/>
    <s v="Portal"/>
    <s v="In Progress"/>
    <n v="24"/>
    <n v="2.73"/>
    <n v="5"/>
    <s v="No"/>
    <x v="0"/>
  </r>
  <r>
    <s v="INC104803"/>
    <d v="2025-02-10T00:00:00"/>
    <d v="2025-02-10T05:30:36"/>
    <x v="3"/>
    <x v="1"/>
    <s v="VPN Access"/>
    <s v="Service Desk"/>
    <s v="Gurugram"/>
    <s v="Phone"/>
    <s v="Closed"/>
    <n v="8"/>
    <n v="5.51"/>
    <n v="4.5"/>
    <s v="No"/>
    <x v="0"/>
  </r>
  <r>
    <s v="INC104804"/>
    <d v="2025-05-24T00:00:00"/>
    <d v="2025-05-24T15:47:24"/>
    <x v="1"/>
    <x v="3"/>
    <s v="Monitor"/>
    <s v="Application Support"/>
    <s v="Noida"/>
    <s v="Portal"/>
    <s v="Resolved"/>
    <n v="24"/>
    <n v="15.79"/>
    <n v="4.5999999999999996"/>
    <s v="No"/>
    <x v="0"/>
  </r>
  <r>
    <s v="INC104805"/>
    <d v="2025-05-06T00:00:00"/>
    <d v="2025-05-07T05:48:00"/>
    <x v="1"/>
    <x v="0"/>
    <s v="Application Error"/>
    <s v="Network Support"/>
    <s v="Mumbai"/>
    <s v="Portal"/>
    <s v="Closed"/>
    <n v="24"/>
    <n v="29.8"/>
    <n v="3.6"/>
    <s v="No"/>
    <x v="1"/>
  </r>
  <r>
    <s v="INC104806"/>
    <d v="2025-05-17T00:00:00"/>
    <d v="2025-05-17T17:36:00"/>
    <x v="1"/>
    <x v="3"/>
    <s v="Laptop"/>
    <s v="Desktop Support"/>
    <s v="Hyderabad"/>
    <s v="Chat"/>
    <s v="Resolved"/>
    <n v="24"/>
    <n v="17.600000000000001"/>
    <n v="3.9"/>
    <s v="No"/>
    <x v="0"/>
  </r>
  <r>
    <s v="INC104807"/>
    <d v="2025-03-26T00:00:00"/>
    <d v="2025-03-27T13:54:36"/>
    <x v="0"/>
    <x v="3"/>
    <s v="Peripheral"/>
    <s v="Access Management"/>
    <s v="Noida"/>
    <s v="Email"/>
    <s v="Resolved"/>
    <n v="48"/>
    <n v="37.909999999999997"/>
    <n v="3.7"/>
    <s v="Yes"/>
    <x v="0"/>
  </r>
  <r>
    <s v="INC104808"/>
    <d v="2025-06-11T00:00:00"/>
    <d v="2025-06-11T02:26:24"/>
    <x v="3"/>
    <x v="1"/>
    <s v="Account Lock"/>
    <s v="Service Desk"/>
    <s v="Gurugram"/>
    <s v="Portal"/>
    <s v="Resolved"/>
    <n v="8"/>
    <n v="2.44"/>
    <n v="4.5999999999999996"/>
    <s v="No"/>
    <x v="0"/>
  </r>
  <r>
    <s v="INC104809"/>
    <d v="2025-03-12T00:00:00"/>
    <d v="2025-03-12T15:31:12"/>
    <x v="0"/>
    <x v="0"/>
    <s v="License"/>
    <s v="Network Support"/>
    <s v="Mumbai"/>
    <s v="Portal"/>
    <s v="Resolved"/>
    <n v="48"/>
    <n v="15.52"/>
    <n v="4.9000000000000004"/>
    <s v="No"/>
    <x v="0"/>
  </r>
  <r>
    <s v="INC104810"/>
    <d v="2025-05-26T00:00:00"/>
    <d v="2025-05-26T16:15:36"/>
    <x v="1"/>
    <x v="3"/>
    <s v="Monitor"/>
    <s v="Service Desk"/>
    <s v="Bengaluru"/>
    <s v="Portal"/>
    <s v="Resolved"/>
    <n v="24"/>
    <n v="16.260000000000002"/>
    <n v="4.5"/>
    <s v="No"/>
    <x v="0"/>
  </r>
  <r>
    <s v="INC104811"/>
    <d v="2025-02-06T00:00:00"/>
    <d v="2025-02-06T01:36:00"/>
    <x v="1"/>
    <x v="4"/>
    <s v="Configuration"/>
    <s v="Network Support"/>
    <s v="Noida"/>
    <s v="Chat"/>
    <s v="Closed"/>
    <n v="24"/>
    <n v="1.6"/>
    <n v="5"/>
    <s v="No"/>
    <x v="0"/>
  </r>
  <r>
    <s v="INC104812"/>
    <d v="2025-02-14T00:00:00"/>
    <d v="2025-02-14T19:34:11"/>
    <x v="0"/>
    <x v="0"/>
    <s v="Performance"/>
    <s v="Application Support"/>
    <s v="Hyderabad"/>
    <s v="Portal"/>
    <s v="Resolved"/>
    <n v="48"/>
    <n v="19.57"/>
    <n v="4.7"/>
    <s v="No"/>
    <x v="0"/>
  </r>
  <r>
    <s v="INC104813"/>
    <d v="2025-04-06T00:00:00"/>
    <d v="2025-04-06T04:27:00"/>
    <x v="1"/>
    <x v="2"/>
    <s v="Packet Loss"/>
    <s v="Network Support"/>
    <s v="Noida"/>
    <s v="Chat"/>
    <s v="Pending"/>
    <n v="24"/>
    <n v="4.45"/>
    <n v="4.0999999999999996"/>
    <s v="No"/>
    <x v="0"/>
  </r>
  <r>
    <s v="INC104814"/>
    <d v="2025-04-11T00:00:00"/>
    <d v="2025-04-11T08:05:24"/>
    <x v="1"/>
    <x v="0"/>
    <s v="Performance"/>
    <s v="Service Desk"/>
    <s v="Bengaluru"/>
    <s v="Portal"/>
    <s v="Resolved"/>
    <n v="24"/>
    <n v="8.09"/>
    <n v="4.3"/>
    <s v="No"/>
    <x v="0"/>
  </r>
  <r>
    <s v="INC104815"/>
    <d v="2025-05-16T00:00:00"/>
    <d v="2025-05-16T02:03:36"/>
    <x v="1"/>
    <x v="0"/>
    <s v="Installation"/>
    <s v="Desktop Support"/>
    <s v="Hyderabad"/>
    <s v="Phone"/>
    <s v="Resolved"/>
    <n v="24"/>
    <n v="2.06"/>
    <n v="5"/>
    <s v="Yes"/>
    <x v="0"/>
  </r>
  <r>
    <s v="INC104816"/>
    <d v="2025-02-23T00:00:00"/>
    <d v="2025-02-23T09:52:12"/>
    <x v="0"/>
    <x v="3"/>
    <s v="Laptop"/>
    <s v="Service Desk"/>
    <s v="Gurugram"/>
    <s v="Portal"/>
    <s v="Closed"/>
    <n v="48"/>
    <n v="9.8699999999999992"/>
    <n v="4.2"/>
    <s v="No"/>
    <x v="0"/>
  </r>
  <r>
    <s v="INC104817"/>
    <d v="2025-06-07T00:00:00"/>
    <d v="2025-06-07T09:13:12"/>
    <x v="3"/>
    <x v="1"/>
    <s v="Password Reset"/>
    <s v="Application Support"/>
    <s v="Hyderabad"/>
    <s v="Email"/>
    <s v="Resolved"/>
    <n v="8"/>
    <n v="9.2200000000000006"/>
    <n v="3.7"/>
    <s v="No"/>
    <x v="1"/>
  </r>
  <r>
    <s v="INC104818"/>
    <d v="2025-03-01T00:00:00"/>
    <d v="2025-03-01T00:46:12"/>
    <x v="2"/>
    <x v="0"/>
    <s v="Installation"/>
    <s v="Access Management"/>
    <s v="Hyderabad"/>
    <s v="Portal"/>
    <s v="Resolved"/>
    <n v="4"/>
    <n v="0.77"/>
    <n v="4.8"/>
    <s v="No"/>
    <x v="0"/>
  </r>
  <r>
    <s v="INC104819"/>
    <d v="2025-04-07T00:00:00"/>
    <d v="2025-04-07T06:11:24"/>
    <x v="1"/>
    <x v="3"/>
    <s v="Peripheral"/>
    <s v="Access Management"/>
    <s v="Noida"/>
    <s v="Portal"/>
    <s v="Resolved"/>
    <n v="24"/>
    <n v="6.19"/>
    <n v="4.5999999999999996"/>
    <s v="No"/>
    <x v="0"/>
  </r>
  <r>
    <s v="INC104820"/>
    <d v="2025-06-18T00:00:00"/>
    <d v="2025-06-18T08:37:48"/>
    <x v="1"/>
    <x v="1"/>
    <s v="Permission"/>
    <s v="Application Support"/>
    <s v="Noida"/>
    <s v="Chat"/>
    <s v="Resolved"/>
    <n v="24"/>
    <n v="8.6300000000000008"/>
    <n v="5"/>
    <s v="No"/>
    <x v="0"/>
  </r>
  <r>
    <s v="INC104821"/>
    <d v="2025-04-08T00:00:00"/>
    <d v="2025-04-09T14:07:12"/>
    <x v="0"/>
    <x v="3"/>
    <s v="Printer"/>
    <s v="Access Management"/>
    <s v="Delhi"/>
    <s v="Phone"/>
    <s v="Resolved"/>
    <n v="48"/>
    <n v="38.119999999999997"/>
    <n v="4.2"/>
    <s v="No"/>
    <x v="0"/>
  </r>
  <r>
    <s v="INC104822"/>
    <d v="2025-05-04T00:00:00"/>
    <d v="2025-05-04T21:42:00"/>
    <x v="0"/>
    <x v="3"/>
    <s v="Monitor"/>
    <s v="Application Support"/>
    <s v="Delhi"/>
    <s v="Portal"/>
    <s v="Resolved"/>
    <n v="48"/>
    <n v="21.7"/>
    <n v="3.7"/>
    <s v="No"/>
    <x v="0"/>
  </r>
  <r>
    <s v="INC104823"/>
    <d v="2025-06-14T00:00:00"/>
    <d v="2025-06-14T02:51:00"/>
    <x v="1"/>
    <x v="2"/>
    <s v="Link Down"/>
    <s v="Network Support"/>
    <s v="Hyderabad"/>
    <s v="Phone"/>
    <s v="Resolved"/>
    <n v="24"/>
    <n v="2.85"/>
    <n v="5"/>
    <s v="No"/>
    <x v="0"/>
  </r>
  <r>
    <s v="INC104824"/>
    <d v="2025-06-26T00:00:00"/>
    <d v="2025-06-26T00:35:24"/>
    <x v="3"/>
    <x v="3"/>
    <s v="Monitor"/>
    <s v="Access Management"/>
    <s v="Noida"/>
    <s v="Portal"/>
    <s v="Resolved"/>
    <n v="8"/>
    <n v="0.59"/>
    <n v="4.5999999999999996"/>
    <s v="No"/>
    <x v="0"/>
  </r>
  <r>
    <s v="INC104825"/>
    <d v="2025-04-01T00:00:00"/>
    <d v="2025-04-01T03:15:00"/>
    <x v="3"/>
    <x v="3"/>
    <s v="Laptop"/>
    <s v="Desktop Support"/>
    <s v="Mumbai"/>
    <s v="Chat"/>
    <s v="Resolved"/>
    <n v="8"/>
    <n v="3.25"/>
    <n v="3.6"/>
    <s v="No"/>
    <x v="0"/>
  </r>
  <r>
    <s v="INC104826"/>
    <d v="2025-03-17T00:00:00"/>
    <d v="2025-03-17T10:40:48"/>
    <x v="1"/>
    <x v="2"/>
    <s v="Packet Loss"/>
    <s v="Network Support"/>
    <s v="Gurugram"/>
    <s v="Portal"/>
    <s v="Resolved"/>
    <n v="24"/>
    <n v="10.68"/>
    <n v="4.9000000000000004"/>
    <s v="No"/>
    <x v="0"/>
  </r>
  <r>
    <s v="INC104827"/>
    <d v="2025-02-05T00:00:00"/>
    <d v="2025-02-05T03:49:48"/>
    <x v="2"/>
    <x v="0"/>
    <s v="Installation"/>
    <s v="Application Support"/>
    <s v="Gurugram"/>
    <s v="Portal"/>
    <s v="Pending"/>
    <n v="4"/>
    <n v="3.83"/>
    <n v="3.1"/>
    <s v="No"/>
    <x v="0"/>
  </r>
  <r>
    <s v="INC104828"/>
    <d v="2025-04-08T00:00:00"/>
    <d v="2025-04-08T05:04:48"/>
    <x v="1"/>
    <x v="2"/>
    <s v="Link Down"/>
    <s v="Service Desk"/>
    <s v="Mumbai"/>
    <s v="Portal"/>
    <s v="Closed"/>
    <n v="24"/>
    <n v="5.08"/>
    <n v="4.5"/>
    <s v="No"/>
    <x v="0"/>
  </r>
  <r>
    <s v="INC104829"/>
    <d v="2025-06-16T00:00:00"/>
    <d v="2025-06-18T16:18:00"/>
    <x v="0"/>
    <x v="2"/>
    <s v="Packet Loss"/>
    <s v="Desktop Support"/>
    <s v="Bengaluru"/>
    <s v="Portal"/>
    <s v="Resolved"/>
    <n v="48"/>
    <n v="64.3"/>
    <n v="3.6"/>
    <s v="No"/>
    <x v="1"/>
  </r>
  <r>
    <s v="INC104830"/>
    <d v="2025-03-30T00:00:00"/>
    <d v="2025-03-30T02:53:24"/>
    <x v="1"/>
    <x v="0"/>
    <s v="Application Error"/>
    <s v="Application Support"/>
    <s v="Gurugram"/>
    <s v="Chat"/>
    <s v="Resolved"/>
    <n v="24"/>
    <n v="2.89"/>
    <n v="4.8"/>
    <s v="No"/>
    <x v="0"/>
  </r>
  <r>
    <s v="INC104831"/>
    <d v="2025-03-05T00:00:00"/>
    <d v="2025-03-05T05:50:24"/>
    <x v="0"/>
    <x v="2"/>
    <s v="DNS"/>
    <s v="Network Support"/>
    <s v="Delhi"/>
    <s v="Portal"/>
    <s v="Resolved"/>
    <n v="48"/>
    <n v="5.84"/>
    <n v="4.4000000000000004"/>
    <s v="Yes"/>
    <x v="0"/>
  </r>
  <r>
    <s v="INC104832"/>
    <d v="2025-01-20T00:00:00"/>
    <d v="2025-01-20T03:10:12"/>
    <x v="3"/>
    <x v="0"/>
    <s v="Application Error"/>
    <s v="Desktop Support"/>
    <s v="Mumbai"/>
    <s v="Portal"/>
    <s v="Resolved"/>
    <n v="8"/>
    <n v="3.17"/>
    <n v="3.9"/>
    <s v="No"/>
    <x v="0"/>
  </r>
  <r>
    <s v="INC104833"/>
    <d v="2025-03-12T00:00:00"/>
    <d v="2025-03-12T22:28:48"/>
    <x v="1"/>
    <x v="0"/>
    <s v="Performance"/>
    <s v="Network Support"/>
    <s v="Delhi"/>
    <s v="Phone"/>
    <s v="Pending"/>
    <n v="24"/>
    <n v="22.48"/>
    <n v="3.4"/>
    <s v="No"/>
    <x v="0"/>
  </r>
  <r>
    <s v="INC104834"/>
    <d v="2025-02-12T00:00:00"/>
    <d v="2025-02-12T14:36:36"/>
    <x v="1"/>
    <x v="3"/>
    <s v="Peripheral"/>
    <s v="Network Support"/>
    <s v="Delhi"/>
    <s v="Portal"/>
    <s v="Resolved"/>
    <n v="24"/>
    <n v="14.61"/>
    <n v="3.6"/>
    <s v="No"/>
    <x v="0"/>
  </r>
  <r>
    <s v="INC104835"/>
    <d v="2025-06-26T00:00:00"/>
    <d v="2025-06-26T04:54:36"/>
    <x v="1"/>
    <x v="2"/>
    <s v="Connectivity"/>
    <s v="Service Desk"/>
    <s v="Gurugram"/>
    <s v="Portal"/>
    <s v="In Progress"/>
    <n v="24"/>
    <n v="4.91"/>
    <n v="4.7"/>
    <s v="No"/>
    <x v="0"/>
  </r>
  <r>
    <s v="INC104836"/>
    <d v="2025-04-06T00:00:00"/>
    <d v="2025-04-06T14:29:24"/>
    <x v="3"/>
    <x v="0"/>
    <s v="Application Error"/>
    <s v="Application Support"/>
    <s v="Hyderabad"/>
    <s v="Email"/>
    <s v="Closed"/>
    <n v="8"/>
    <n v="14.49"/>
    <n v="2.5"/>
    <s v="No"/>
    <x v="1"/>
  </r>
  <r>
    <s v="INC104837"/>
    <d v="2025-01-25T00:00:00"/>
    <d v="2025-01-25T14:07:12"/>
    <x v="1"/>
    <x v="2"/>
    <s v="Link Down"/>
    <s v="Desktop Support"/>
    <s v="Bengaluru"/>
    <s v="Portal"/>
    <s v="Closed"/>
    <n v="24"/>
    <n v="14.12"/>
    <n v="3.4"/>
    <s v="No"/>
    <x v="0"/>
  </r>
  <r>
    <s v="INC104838"/>
    <d v="2025-01-13T00:00:00"/>
    <d v="2025-01-13T15:07:48"/>
    <x v="1"/>
    <x v="0"/>
    <s v="License"/>
    <s v="Network Support"/>
    <s v="Delhi"/>
    <s v="Phone"/>
    <s v="Resolved"/>
    <n v="24"/>
    <n v="15.13"/>
    <n v="4.0999999999999996"/>
    <s v="No"/>
    <x v="0"/>
  </r>
  <r>
    <s v="INC104839"/>
    <d v="2025-06-03T00:00:00"/>
    <d v="2025-06-04T17:58:12"/>
    <x v="0"/>
    <x v="1"/>
    <s v="Permission"/>
    <s v="Application Support"/>
    <s v="Hyderabad"/>
    <s v="Email"/>
    <s v="Resolved"/>
    <n v="48"/>
    <n v="41.97"/>
    <n v="3.5"/>
    <s v="No"/>
    <x v="0"/>
  </r>
  <r>
    <s v="INC104840"/>
    <d v="2025-06-18T00:00:00"/>
    <d v="2025-06-18T05:10:12"/>
    <x v="3"/>
    <x v="0"/>
    <s v="Installation"/>
    <s v="Desktop Support"/>
    <s v="Hyderabad"/>
    <s v="Portal"/>
    <s v="Closed"/>
    <n v="8"/>
    <n v="5.17"/>
    <n v="4.4000000000000004"/>
    <s v="No"/>
    <x v="0"/>
  </r>
  <r>
    <s v="INC104841"/>
    <d v="2025-05-19T00:00:00"/>
    <d v="2025-05-19T08:18:00"/>
    <x v="1"/>
    <x v="3"/>
    <s v="Peripheral"/>
    <s v="Network Support"/>
    <s v="Mumbai"/>
    <s v="Email"/>
    <s v="Closed"/>
    <n v="24"/>
    <n v="8.3000000000000007"/>
    <n v="4.8"/>
    <s v="No"/>
    <x v="0"/>
  </r>
  <r>
    <s v="INC104842"/>
    <d v="2025-01-23T00:00:00"/>
    <d v="2025-01-25T22:33:00"/>
    <x v="0"/>
    <x v="4"/>
    <s v="Spam"/>
    <s v="Desktop Support"/>
    <s v="Delhi"/>
    <s v="Portal"/>
    <s v="Resolved"/>
    <n v="48"/>
    <n v="70.55"/>
    <n v="4.0999999999999996"/>
    <s v="No"/>
    <x v="1"/>
  </r>
  <r>
    <s v="INC104843"/>
    <d v="2025-01-18T00:00:00"/>
    <d v="2025-01-18T10:01:48"/>
    <x v="3"/>
    <x v="2"/>
    <s v="DNS"/>
    <s v="Service Desk"/>
    <s v="Delhi"/>
    <s v="Email"/>
    <s v="Resolved"/>
    <n v="8"/>
    <n v="10.029999999999999"/>
    <n v="3.9"/>
    <s v="No"/>
    <x v="1"/>
  </r>
  <r>
    <s v="INC104844"/>
    <d v="2025-02-05T00:00:00"/>
    <d v="2025-02-08T06:39:00"/>
    <x v="0"/>
    <x v="4"/>
    <s v="Configuration"/>
    <s v="Application Support"/>
    <s v="Hyderabad"/>
    <s v="Email"/>
    <s v="Resolved"/>
    <n v="48"/>
    <n v="78.650000000000006"/>
    <n v="2.2999999999999998"/>
    <s v="No"/>
    <x v="1"/>
  </r>
  <r>
    <s v="INC104845"/>
    <d v="2025-05-16T00:00:00"/>
    <d v="2025-05-16T09:03:36"/>
    <x v="1"/>
    <x v="1"/>
    <s v="Password Reset"/>
    <s v="Access Management"/>
    <s v="Mumbai"/>
    <s v="Phone"/>
    <s v="Resolved"/>
    <n v="24"/>
    <n v="9.06"/>
    <n v="3.1"/>
    <s v="No"/>
    <x v="0"/>
  </r>
  <r>
    <s v="INC104846"/>
    <d v="2025-05-19T00:00:00"/>
    <d v="2025-05-20T10:21:36"/>
    <x v="1"/>
    <x v="3"/>
    <s v="Monitor"/>
    <s v="Service Desk"/>
    <s v="Mumbai"/>
    <s v="Email"/>
    <s v="Resolved"/>
    <n v="24"/>
    <n v="34.36"/>
    <n v="2.2999999999999998"/>
    <s v="No"/>
    <x v="1"/>
  </r>
  <r>
    <s v="INC104847"/>
    <d v="2025-06-01T00:00:00"/>
    <d v="2025-06-01T04:40:48"/>
    <x v="1"/>
    <x v="2"/>
    <s v="Connectivity"/>
    <s v="Application Support"/>
    <s v="Noida"/>
    <s v="Phone"/>
    <s v="Resolved"/>
    <n v="24"/>
    <n v="4.68"/>
    <n v="4.4000000000000004"/>
    <s v="No"/>
    <x v="0"/>
  </r>
  <r>
    <s v="INC104848"/>
    <d v="2025-01-18T00:00:00"/>
    <d v="2025-01-18T12:30:36"/>
    <x v="1"/>
    <x v="2"/>
    <s v="Connectivity"/>
    <s v="Network Support"/>
    <s v="Bengaluru"/>
    <s v="Portal"/>
    <s v="In Progress"/>
    <n v="24"/>
    <n v="12.51"/>
    <n v="3.3"/>
    <s v="No"/>
    <x v="0"/>
  </r>
  <r>
    <s v="INC104849"/>
    <d v="2025-01-28T00:00:00"/>
    <d v="2025-01-29T17:04:12"/>
    <x v="0"/>
    <x v="4"/>
    <s v="Mailbox"/>
    <s v="Desktop Support"/>
    <s v="Gurugram"/>
    <s v="Chat"/>
    <s v="Closed"/>
    <n v="48"/>
    <n v="41.07"/>
    <n v="3.6"/>
    <s v="No"/>
    <x v="0"/>
  </r>
  <r>
    <s v="INC104850"/>
    <d v="2025-06-12T00:00:00"/>
    <d v="2025-06-12T07:24:36"/>
    <x v="0"/>
    <x v="2"/>
    <s v="Connectivity"/>
    <s v="Access Management"/>
    <s v="Delhi"/>
    <s v="Portal"/>
    <s v="Closed"/>
    <n v="48"/>
    <n v="7.41"/>
    <n v="4.8"/>
    <s v="No"/>
    <x v="0"/>
  </r>
  <r>
    <s v="INC104851"/>
    <d v="2025-06-18T00:00:00"/>
    <d v="2025-06-21T02:58:48"/>
    <x v="0"/>
    <x v="1"/>
    <s v="Password Reset"/>
    <s v="Network Support"/>
    <s v="Gurugram"/>
    <s v="Phone"/>
    <s v="Closed"/>
    <n v="48"/>
    <n v="74.98"/>
    <n v="2.8"/>
    <s v="No"/>
    <x v="1"/>
  </r>
  <r>
    <s v="INC104852"/>
    <d v="2025-05-12T00:00:00"/>
    <d v="2025-05-12T16:40:12"/>
    <x v="0"/>
    <x v="0"/>
    <s v="Performance"/>
    <s v="Access Management"/>
    <s v="Bengaluru"/>
    <s v="Email"/>
    <s v="Closed"/>
    <n v="48"/>
    <n v="16.670000000000002"/>
    <n v="4.8"/>
    <s v="No"/>
    <x v="0"/>
  </r>
  <r>
    <s v="INC104853"/>
    <d v="2025-01-20T00:00:00"/>
    <d v="2025-01-20T05:09:36"/>
    <x v="2"/>
    <x v="3"/>
    <s v="Monitor"/>
    <s v="Network Support"/>
    <s v="Noida"/>
    <s v="Portal"/>
    <s v="Resolved"/>
    <n v="4"/>
    <n v="5.16"/>
    <n v="3.1"/>
    <s v="No"/>
    <x v="1"/>
  </r>
  <r>
    <s v="INC104854"/>
    <d v="2025-01-13T00:00:00"/>
    <d v="2025-01-13T04:05:24"/>
    <x v="1"/>
    <x v="0"/>
    <s v="Installation"/>
    <s v="Desktop Support"/>
    <s v="Bengaluru"/>
    <s v="Portal"/>
    <s v="Closed"/>
    <n v="24"/>
    <n v="4.09"/>
    <n v="4.3"/>
    <s v="No"/>
    <x v="0"/>
  </r>
  <r>
    <s v="INC104855"/>
    <d v="2025-01-11T00:00:00"/>
    <d v="2025-01-11T12:17:23"/>
    <x v="1"/>
    <x v="2"/>
    <s v="DNS"/>
    <s v="Network Support"/>
    <s v="Noida"/>
    <s v="Chat"/>
    <s v="Resolved"/>
    <n v="24"/>
    <n v="12.29"/>
    <n v="5"/>
    <s v="No"/>
    <x v="0"/>
  </r>
  <r>
    <s v="INC104856"/>
    <d v="2025-05-06T00:00:00"/>
    <d v="2025-05-06T07:01:48"/>
    <x v="1"/>
    <x v="3"/>
    <s v="Peripheral"/>
    <s v="Network Support"/>
    <s v="Bengaluru"/>
    <s v="Phone"/>
    <s v="In Progress"/>
    <n v="24"/>
    <n v="7.03"/>
    <n v="4.5999999999999996"/>
    <s v="No"/>
    <x v="0"/>
  </r>
  <r>
    <s v="INC104857"/>
    <d v="2025-06-03T00:00:00"/>
    <d v="2025-06-03T07:04:48"/>
    <x v="1"/>
    <x v="4"/>
    <s v="Delivery"/>
    <s v="Service Desk"/>
    <s v="Hyderabad"/>
    <s v="Phone"/>
    <s v="Resolved"/>
    <n v="24"/>
    <n v="7.08"/>
    <n v="4.7"/>
    <s v="No"/>
    <x v="0"/>
  </r>
  <r>
    <s v="INC104858"/>
    <d v="2025-04-25T00:00:00"/>
    <d v="2025-04-25T09:08:24"/>
    <x v="0"/>
    <x v="2"/>
    <s v="Link Down"/>
    <s v="Desktop Support"/>
    <s v="Bengaluru"/>
    <s v="Portal"/>
    <s v="Closed"/>
    <n v="48"/>
    <n v="9.14"/>
    <n v="5"/>
    <s v="Yes"/>
    <x v="0"/>
  </r>
  <r>
    <s v="INC104859"/>
    <d v="2025-02-17T00:00:00"/>
    <d v="2025-02-17T08:30:36"/>
    <x v="0"/>
    <x v="4"/>
    <s v="Delivery"/>
    <s v="Application Support"/>
    <s v="Hyderabad"/>
    <s v="Email"/>
    <s v="Resolved"/>
    <n v="48"/>
    <n v="8.51"/>
    <n v="5"/>
    <s v="No"/>
    <x v="0"/>
  </r>
  <r>
    <s v="INC104860"/>
    <d v="2025-05-18T00:00:00"/>
    <d v="2025-05-18T05:06:00"/>
    <x v="1"/>
    <x v="4"/>
    <s v="Spam"/>
    <s v="Service Desk"/>
    <s v="Hyderabad"/>
    <s v="Portal"/>
    <s v="Resolved"/>
    <n v="24"/>
    <n v="5.0999999999999996"/>
    <n v="4.5"/>
    <s v="No"/>
    <x v="0"/>
  </r>
  <r>
    <s v="INC104861"/>
    <d v="2025-01-11T00:00:00"/>
    <d v="2025-01-11T04:57:00"/>
    <x v="1"/>
    <x v="2"/>
    <s v="Link Down"/>
    <s v="Desktop Support"/>
    <s v="Bengaluru"/>
    <s v="Email"/>
    <s v="Resolved"/>
    <n v="24"/>
    <n v="4.95"/>
    <n v="5"/>
    <s v="No"/>
    <x v="0"/>
  </r>
  <r>
    <s v="INC104862"/>
    <d v="2025-05-30T00:00:00"/>
    <d v="2025-05-30T08:51:36"/>
    <x v="3"/>
    <x v="0"/>
    <s v="Installation"/>
    <s v="Network Support"/>
    <s v="Hyderabad"/>
    <s v="Portal"/>
    <s v="Resolved"/>
    <n v="8"/>
    <n v="8.86"/>
    <n v="3.4"/>
    <s v="No"/>
    <x v="1"/>
  </r>
  <r>
    <s v="INC104863"/>
    <d v="2025-06-11T00:00:00"/>
    <d v="2025-06-11T09:45:00"/>
    <x v="3"/>
    <x v="2"/>
    <s v="Connectivity"/>
    <s v="Application Support"/>
    <s v="Gurugram"/>
    <s v="Phone"/>
    <s v="Closed"/>
    <n v="8"/>
    <n v="9.75"/>
    <n v="4.2"/>
    <s v="No"/>
    <x v="1"/>
  </r>
  <r>
    <s v="INC104864"/>
    <d v="2025-05-11T00:00:00"/>
    <d v="2025-05-11T01:10:48"/>
    <x v="3"/>
    <x v="0"/>
    <s v="Application Error"/>
    <s v="Network Support"/>
    <s v="Bengaluru"/>
    <s v="Phone"/>
    <s v="Resolved"/>
    <n v="8"/>
    <n v="1.18"/>
    <n v="4"/>
    <s v="No"/>
    <x v="0"/>
  </r>
  <r>
    <s v="INC104865"/>
    <d v="2025-06-09T00:00:00"/>
    <d v="2025-06-09T20:23:24"/>
    <x v="0"/>
    <x v="4"/>
    <s v="Delivery"/>
    <s v="Access Management"/>
    <s v="Delhi"/>
    <s v="Portal"/>
    <s v="Resolved"/>
    <n v="48"/>
    <n v="20.39"/>
    <n v="4.3"/>
    <s v="No"/>
    <x v="0"/>
  </r>
  <r>
    <s v="INC104866"/>
    <d v="2025-04-17T00:00:00"/>
    <d v="2025-04-19T04:21:36"/>
    <x v="0"/>
    <x v="4"/>
    <s v="Configuration"/>
    <s v="Network Support"/>
    <s v="Delhi"/>
    <s v="Email"/>
    <s v="Closed"/>
    <n v="48"/>
    <n v="52.36"/>
    <n v="3.8"/>
    <s v="No"/>
    <x v="1"/>
  </r>
  <r>
    <s v="INC104867"/>
    <d v="2025-03-26T00:00:00"/>
    <d v="2025-03-27T13:43:48"/>
    <x v="0"/>
    <x v="4"/>
    <s v="Spam"/>
    <s v="Application Support"/>
    <s v="Delhi"/>
    <s v="Portal"/>
    <s v="Resolved"/>
    <n v="48"/>
    <n v="37.729999999999997"/>
    <n v="4.3"/>
    <s v="No"/>
    <x v="0"/>
  </r>
  <r>
    <s v="INC104868"/>
    <d v="2025-02-28T00:00:00"/>
    <d v="2025-02-28T03:12:00"/>
    <x v="3"/>
    <x v="2"/>
    <s v="Connectivity"/>
    <s v="Service Desk"/>
    <s v="Delhi"/>
    <s v="Portal"/>
    <s v="In Progress"/>
    <n v="8"/>
    <n v="3.2"/>
    <n v="4"/>
    <s v="No"/>
    <x v="0"/>
  </r>
  <r>
    <s v="INC104869"/>
    <d v="2025-06-16T00:00:00"/>
    <d v="2025-06-16T02:25:12"/>
    <x v="3"/>
    <x v="0"/>
    <s v="Performance"/>
    <s v="Access Management"/>
    <s v="Noida"/>
    <s v="Portal"/>
    <s v="Resolved"/>
    <n v="8"/>
    <n v="2.42"/>
    <n v="3.6"/>
    <s v="No"/>
    <x v="0"/>
  </r>
  <r>
    <s v="INC104870"/>
    <d v="2025-05-07T00:00:00"/>
    <d v="2025-05-07T01:12:00"/>
    <x v="3"/>
    <x v="2"/>
    <s v="DNS"/>
    <s v="Service Desk"/>
    <s v="Mumbai"/>
    <s v="Portal"/>
    <s v="Resolved"/>
    <n v="8"/>
    <n v="1.2"/>
    <n v="5"/>
    <s v="No"/>
    <x v="0"/>
  </r>
  <r>
    <s v="INC104871"/>
    <d v="2025-02-04T00:00:00"/>
    <d v="2025-02-07T00:18:00"/>
    <x v="0"/>
    <x v="4"/>
    <s v="Delivery"/>
    <s v="Access Management"/>
    <s v="Hyderabad"/>
    <s v="Portal"/>
    <s v="Resolved"/>
    <n v="48"/>
    <n v="72.3"/>
    <n v="3.1"/>
    <s v="No"/>
    <x v="1"/>
  </r>
  <r>
    <s v="INC104872"/>
    <d v="2025-06-23T00:00:00"/>
    <d v="2025-06-23T05:06:36"/>
    <x v="3"/>
    <x v="2"/>
    <s v="Connectivity"/>
    <s v="Access Management"/>
    <s v="Hyderabad"/>
    <s v="Email"/>
    <s v="In Progress"/>
    <n v="8"/>
    <n v="5.1100000000000003"/>
    <n v="4"/>
    <s v="No"/>
    <x v="0"/>
  </r>
  <r>
    <s v="INC104873"/>
    <d v="2025-01-11T00:00:00"/>
    <d v="2025-01-11T13:24:36"/>
    <x v="1"/>
    <x v="2"/>
    <s v="Connectivity"/>
    <s v="Desktop Support"/>
    <s v="Gurugram"/>
    <s v="Phone"/>
    <s v="Closed"/>
    <n v="24"/>
    <n v="13.41"/>
    <n v="5"/>
    <s v="No"/>
    <x v="0"/>
  </r>
  <r>
    <s v="INC104874"/>
    <d v="2025-04-17T00:00:00"/>
    <d v="2025-04-17T01:55:48"/>
    <x v="3"/>
    <x v="2"/>
    <s v="Packet Loss"/>
    <s v="Desktop Support"/>
    <s v="Noida"/>
    <s v="Email"/>
    <s v="Closed"/>
    <n v="8"/>
    <n v="1.93"/>
    <n v="4.5"/>
    <s v="No"/>
    <x v="0"/>
  </r>
  <r>
    <s v="INC104875"/>
    <d v="2025-02-04T00:00:00"/>
    <d v="2025-02-04T11:31:48"/>
    <x v="1"/>
    <x v="2"/>
    <s v="DNS"/>
    <s v="Service Desk"/>
    <s v="Noida"/>
    <s v="Chat"/>
    <s v="Resolved"/>
    <n v="24"/>
    <n v="11.53"/>
    <n v="4.0999999999999996"/>
    <s v="No"/>
    <x v="0"/>
  </r>
  <r>
    <s v="INC104876"/>
    <d v="2025-05-01T00:00:00"/>
    <d v="2025-05-03T04:55:12"/>
    <x v="0"/>
    <x v="2"/>
    <s v="Connectivity"/>
    <s v="Desktop Support"/>
    <s v="Delhi"/>
    <s v="Phone"/>
    <s v="Resolved"/>
    <n v="48"/>
    <n v="52.92"/>
    <n v="2.5"/>
    <s v="No"/>
    <x v="1"/>
  </r>
  <r>
    <s v="INC104877"/>
    <d v="2025-03-16T00:00:00"/>
    <d v="2025-03-16T06:25:48"/>
    <x v="0"/>
    <x v="2"/>
    <s v="DNS"/>
    <s v="Desktop Support"/>
    <s v="Delhi"/>
    <s v="Portal"/>
    <s v="Resolved"/>
    <n v="48"/>
    <n v="6.43"/>
    <n v="4.0999999999999996"/>
    <s v="No"/>
    <x v="0"/>
  </r>
  <r>
    <s v="INC104878"/>
    <d v="2025-03-21T00:00:00"/>
    <d v="2025-03-21T00:57:00"/>
    <x v="2"/>
    <x v="1"/>
    <s v="VPN Access"/>
    <s v="Network Support"/>
    <s v="Noida"/>
    <s v="Email"/>
    <s v="Resolved"/>
    <n v="4"/>
    <n v="0.95"/>
    <n v="5"/>
    <s v="No"/>
    <x v="0"/>
  </r>
  <r>
    <s v="INC104879"/>
    <d v="2025-05-02T00:00:00"/>
    <d v="2025-05-02T03:55:12"/>
    <x v="1"/>
    <x v="1"/>
    <s v="Password Reset"/>
    <s v="Service Desk"/>
    <s v="Hyderabad"/>
    <s v="Chat"/>
    <s v="Resolved"/>
    <n v="24"/>
    <n v="3.92"/>
    <n v="4.3"/>
    <s v="No"/>
    <x v="0"/>
  </r>
  <r>
    <s v="INC104880"/>
    <d v="2025-05-17T00:00:00"/>
    <d v="2025-05-18T07:12:36"/>
    <x v="1"/>
    <x v="2"/>
    <s v="Connectivity"/>
    <s v="Access Management"/>
    <s v="Noida"/>
    <s v="Portal"/>
    <s v="Closed"/>
    <n v="24"/>
    <n v="31.21"/>
    <n v="3.8"/>
    <s v="No"/>
    <x v="1"/>
  </r>
  <r>
    <s v="INC104881"/>
    <d v="2025-03-10T00:00:00"/>
    <d v="2025-03-10T03:04:48"/>
    <x v="1"/>
    <x v="1"/>
    <s v="Password Reset"/>
    <s v="Access Management"/>
    <s v="Noida"/>
    <s v="Portal"/>
    <s v="In Progress"/>
    <n v="24"/>
    <n v="3.08"/>
    <n v="4"/>
    <s v="No"/>
    <x v="0"/>
  </r>
  <r>
    <s v="INC104882"/>
    <d v="2025-06-30T00:00:00"/>
    <d v="2025-06-30T14:46:12"/>
    <x v="1"/>
    <x v="3"/>
    <s v="Printer"/>
    <s v="Network Support"/>
    <s v="Hyderabad"/>
    <s v="Chat"/>
    <s v="Resolved"/>
    <n v="24"/>
    <n v="14.77"/>
    <n v="3.7"/>
    <s v="No"/>
    <x v="0"/>
  </r>
  <r>
    <s v="INC104883"/>
    <d v="2025-04-01T00:00:00"/>
    <d v="2025-04-01T01:19:12"/>
    <x v="3"/>
    <x v="1"/>
    <s v="Password Reset"/>
    <s v="Application Support"/>
    <s v="Noida"/>
    <s v="Phone"/>
    <s v="Closed"/>
    <n v="8"/>
    <n v="1.32"/>
    <n v="4.2"/>
    <s v="No"/>
    <x v="0"/>
  </r>
  <r>
    <s v="INC104884"/>
    <d v="2025-01-30T00:00:00"/>
    <d v="2025-01-31T03:18:00"/>
    <x v="0"/>
    <x v="3"/>
    <s v="Peripheral"/>
    <s v="Service Desk"/>
    <s v="Mumbai"/>
    <s v="Phone"/>
    <s v="Resolved"/>
    <n v="48"/>
    <n v="27.3"/>
    <n v="4.5999999999999996"/>
    <s v="No"/>
    <x v="0"/>
  </r>
  <r>
    <s v="INC104885"/>
    <d v="2025-01-02T00:00:00"/>
    <d v="2025-01-02T07:40:12"/>
    <x v="0"/>
    <x v="0"/>
    <s v="Application Error"/>
    <s v="Application Support"/>
    <s v="Hyderabad"/>
    <s v="Phone"/>
    <s v="Resolved"/>
    <n v="48"/>
    <n v="7.67"/>
    <n v="4.7"/>
    <s v="No"/>
    <x v="0"/>
  </r>
  <r>
    <s v="INC104886"/>
    <d v="2025-02-06T00:00:00"/>
    <d v="2025-02-06T02:36:00"/>
    <x v="3"/>
    <x v="3"/>
    <s v="Printer"/>
    <s v="Application Support"/>
    <s v="Delhi"/>
    <s v="Portal"/>
    <s v="Resolved"/>
    <n v="8"/>
    <n v="2.6"/>
    <n v="3.9"/>
    <s v="No"/>
    <x v="0"/>
  </r>
  <r>
    <s v="INC104887"/>
    <d v="2025-05-06T00:00:00"/>
    <d v="2025-05-07T10:34:47"/>
    <x v="1"/>
    <x v="2"/>
    <s v="DNS"/>
    <s v="Access Management"/>
    <s v="Bengaluru"/>
    <s v="Email"/>
    <s v="Resolved"/>
    <n v="24"/>
    <n v="34.58"/>
    <n v="3.7"/>
    <s v="No"/>
    <x v="1"/>
  </r>
  <r>
    <s v="INC104888"/>
    <d v="2025-04-08T00:00:00"/>
    <d v="2025-04-09T09:51:00"/>
    <x v="0"/>
    <x v="0"/>
    <s v="Application Error"/>
    <s v="Application Support"/>
    <s v="Noida"/>
    <s v="Phone"/>
    <s v="Closed"/>
    <n v="48"/>
    <n v="33.85"/>
    <n v="4.5"/>
    <s v="No"/>
    <x v="0"/>
  </r>
  <r>
    <s v="INC104889"/>
    <d v="2025-03-03T00:00:00"/>
    <d v="2025-03-04T02:13:48"/>
    <x v="0"/>
    <x v="1"/>
    <s v="Account Lock"/>
    <s v="Access Management"/>
    <s v="Delhi"/>
    <s v="Portal"/>
    <s v="Resolved"/>
    <n v="48"/>
    <n v="26.23"/>
    <n v="4.5999999999999996"/>
    <s v="No"/>
    <x v="0"/>
  </r>
  <r>
    <s v="INC104890"/>
    <d v="2025-03-29T00:00:00"/>
    <d v="2025-03-30T08:10:48"/>
    <x v="0"/>
    <x v="1"/>
    <s v="VPN Access"/>
    <s v="Access Management"/>
    <s v="Delhi"/>
    <s v="Portal"/>
    <s v="Resolved"/>
    <n v="48"/>
    <n v="32.18"/>
    <n v="4.4000000000000004"/>
    <s v="No"/>
    <x v="0"/>
  </r>
  <r>
    <s v="INC104891"/>
    <d v="2025-06-01T00:00:00"/>
    <d v="2025-06-04T01:01:12"/>
    <x v="0"/>
    <x v="3"/>
    <s v="Laptop"/>
    <s v="Application Support"/>
    <s v="Bengaluru"/>
    <s v="Portal"/>
    <s v="Resolved"/>
    <n v="48"/>
    <n v="73.02"/>
    <n v="2.6"/>
    <s v="No"/>
    <x v="1"/>
  </r>
  <r>
    <s v="INC104892"/>
    <d v="2025-04-14T00:00:00"/>
    <d v="2025-04-15T03:33:00"/>
    <x v="0"/>
    <x v="0"/>
    <s v="Installation"/>
    <s v="Desktop Support"/>
    <s v="Bengaluru"/>
    <s v="Phone"/>
    <s v="Closed"/>
    <n v="48"/>
    <n v="27.55"/>
    <n v="5"/>
    <s v="No"/>
    <x v="0"/>
  </r>
  <r>
    <s v="INC104893"/>
    <d v="2025-01-11T00:00:00"/>
    <d v="2025-01-13T02:32:24"/>
    <x v="0"/>
    <x v="1"/>
    <s v="Account Lock"/>
    <s v="Service Desk"/>
    <s v="Bengaluru"/>
    <s v="Email"/>
    <s v="Resolved"/>
    <n v="48"/>
    <n v="50.54"/>
    <n v="3.7"/>
    <s v="No"/>
    <x v="1"/>
  </r>
  <r>
    <s v="INC104894"/>
    <d v="2025-01-09T00:00:00"/>
    <d v="2025-01-09T08:36:00"/>
    <x v="3"/>
    <x v="2"/>
    <s v="Connectivity"/>
    <s v="Service Desk"/>
    <s v="Mumbai"/>
    <s v="Phone"/>
    <s v="Closed"/>
    <n v="8"/>
    <n v="8.6"/>
    <n v="3.9"/>
    <s v="No"/>
    <x v="1"/>
  </r>
  <r>
    <s v="INC104895"/>
    <d v="2025-03-29T00:00:00"/>
    <d v="2025-03-29T07:50:24"/>
    <x v="3"/>
    <x v="2"/>
    <s v="Link Down"/>
    <s v="Service Desk"/>
    <s v="Mumbai"/>
    <s v="Portal"/>
    <s v="Resolved"/>
    <n v="8"/>
    <n v="7.84"/>
    <n v="4.0999999999999996"/>
    <s v="No"/>
    <x v="0"/>
  </r>
  <r>
    <s v="INC104896"/>
    <d v="2025-03-15T00:00:00"/>
    <d v="2025-03-15T17:49:48"/>
    <x v="3"/>
    <x v="3"/>
    <s v="Monitor"/>
    <s v="Service Desk"/>
    <s v="Delhi"/>
    <s v="Email"/>
    <s v="Closed"/>
    <n v="8"/>
    <n v="17.829999999999998"/>
    <n v="1.7"/>
    <s v="No"/>
    <x v="1"/>
  </r>
  <r>
    <s v="INC104897"/>
    <d v="2025-06-03T00:00:00"/>
    <d v="2025-06-03T19:15:00"/>
    <x v="1"/>
    <x v="2"/>
    <s v="Link Down"/>
    <s v="Service Desk"/>
    <s v="Delhi"/>
    <s v="Portal"/>
    <s v="Resolved"/>
    <n v="24"/>
    <n v="19.25"/>
    <n v="5"/>
    <s v="No"/>
    <x v="0"/>
  </r>
  <r>
    <s v="INC104898"/>
    <d v="2025-04-16T00:00:00"/>
    <d v="2025-04-17T00:09:36"/>
    <x v="1"/>
    <x v="3"/>
    <s v="Peripheral"/>
    <s v="Desktop Support"/>
    <s v="Noida"/>
    <s v="Chat"/>
    <s v="Resolved"/>
    <n v="24"/>
    <n v="24.16"/>
    <n v="3.8"/>
    <s v="No"/>
    <x v="1"/>
  </r>
  <r>
    <s v="INC104899"/>
    <d v="2025-05-17T00:00:00"/>
    <d v="2025-05-17T01:19:12"/>
    <x v="2"/>
    <x v="2"/>
    <s v="Connectivity"/>
    <s v="Service Desk"/>
    <s v="Bengaluru"/>
    <s v="Email"/>
    <s v="Resolved"/>
    <n v="4"/>
    <n v="1.32"/>
    <n v="4.5999999999999996"/>
    <s v="No"/>
    <x v="0"/>
  </r>
  <r>
    <s v="INC104900"/>
    <d v="2025-04-16T00:00:00"/>
    <d v="2025-04-16T04:07:12"/>
    <x v="3"/>
    <x v="0"/>
    <s v="Installation"/>
    <s v="Service Desk"/>
    <s v="Hyderabad"/>
    <s v="Phone"/>
    <s v="Closed"/>
    <n v="8"/>
    <n v="4.12"/>
    <n v="4.0999999999999996"/>
    <s v="No"/>
    <x v="0"/>
  </r>
  <r>
    <s v="INC104901"/>
    <d v="2025-03-04T00:00:00"/>
    <d v="2025-03-04T11:54:00"/>
    <x v="1"/>
    <x v="0"/>
    <s v="Application Error"/>
    <s v="Application Support"/>
    <s v="Hyderabad"/>
    <s v="Portal"/>
    <s v="Pending"/>
    <n v="24"/>
    <n v="11.9"/>
    <n v="5"/>
    <s v="No"/>
    <x v="0"/>
  </r>
  <r>
    <s v="INC104902"/>
    <d v="2025-04-29T00:00:00"/>
    <d v="2025-04-29T11:20:24"/>
    <x v="0"/>
    <x v="1"/>
    <s v="VPN Access"/>
    <s v="Service Desk"/>
    <s v="Mumbai"/>
    <s v="Portal"/>
    <s v="Pending"/>
    <n v="48"/>
    <n v="11.34"/>
    <n v="5"/>
    <s v="No"/>
    <x v="0"/>
  </r>
  <r>
    <s v="INC104903"/>
    <d v="2025-04-23T00:00:00"/>
    <d v="2025-04-23T06:13:48"/>
    <x v="1"/>
    <x v="0"/>
    <s v="Performance"/>
    <s v="Network Support"/>
    <s v="Gurugram"/>
    <s v="Portal"/>
    <s v="Resolved"/>
    <n v="24"/>
    <n v="6.23"/>
    <n v="4.8"/>
    <s v="No"/>
    <x v="0"/>
  </r>
  <r>
    <s v="INC104904"/>
    <d v="2025-05-11T00:00:00"/>
    <d v="2025-05-11T11:45:00"/>
    <x v="1"/>
    <x v="3"/>
    <s v="Printer"/>
    <s v="Network Support"/>
    <s v="Bengaluru"/>
    <s v="Phone"/>
    <s v="Closed"/>
    <n v="24"/>
    <n v="11.75"/>
    <n v="3.5"/>
    <s v="No"/>
    <x v="0"/>
  </r>
  <r>
    <s v="INC104905"/>
    <d v="2025-02-04T00:00:00"/>
    <d v="2025-02-04T14:17:23"/>
    <x v="1"/>
    <x v="4"/>
    <s v="Mailbox"/>
    <s v="Application Support"/>
    <s v="Delhi"/>
    <s v="Portal"/>
    <s v="Resolved"/>
    <n v="24"/>
    <n v="14.29"/>
    <n v="4.2"/>
    <s v="No"/>
    <x v="0"/>
  </r>
  <r>
    <s v="INC104906"/>
    <d v="2025-04-27T00:00:00"/>
    <d v="2025-04-29T23:14:24"/>
    <x v="0"/>
    <x v="1"/>
    <s v="Account Lock"/>
    <s v="Access Management"/>
    <s v="Noida"/>
    <s v="Phone"/>
    <s v="Resolved"/>
    <n v="48"/>
    <n v="71.239999999999995"/>
    <n v="3.2"/>
    <s v="No"/>
    <x v="1"/>
  </r>
  <r>
    <s v="INC104907"/>
    <d v="2025-02-21T00:00:00"/>
    <d v="2025-02-21T00:56:24"/>
    <x v="2"/>
    <x v="0"/>
    <s v="Application Error"/>
    <s v="Application Support"/>
    <s v="Delhi"/>
    <s v="Portal"/>
    <s v="Resolved"/>
    <n v="4"/>
    <n v="0.94"/>
    <n v="4.4000000000000004"/>
    <s v="No"/>
    <x v="0"/>
  </r>
  <r>
    <s v="INC104908"/>
    <d v="2025-05-24T00:00:00"/>
    <d v="2025-05-24T05:22:48"/>
    <x v="1"/>
    <x v="2"/>
    <s v="Link Down"/>
    <s v="Network Support"/>
    <s v="Hyderabad"/>
    <s v="Email"/>
    <s v="Closed"/>
    <n v="24"/>
    <n v="5.38"/>
    <n v="4.0999999999999996"/>
    <s v="Yes"/>
    <x v="0"/>
  </r>
  <r>
    <s v="INC104909"/>
    <d v="2025-05-25T00:00:00"/>
    <d v="2025-05-25T03:18:36"/>
    <x v="1"/>
    <x v="0"/>
    <s v="License"/>
    <s v="Desktop Support"/>
    <s v="Noida"/>
    <s v="Portal"/>
    <s v="Pending"/>
    <n v="24"/>
    <n v="3.31"/>
    <n v="3.8"/>
    <s v="No"/>
    <x v="0"/>
  </r>
  <r>
    <s v="INC104910"/>
    <d v="2025-04-24T00:00:00"/>
    <d v="2025-04-25T18:37:48"/>
    <x v="0"/>
    <x v="0"/>
    <s v="Performance"/>
    <s v="Service Desk"/>
    <s v="Mumbai"/>
    <s v="Portal"/>
    <s v="Resolved"/>
    <n v="48"/>
    <n v="42.63"/>
    <n v="4.9000000000000004"/>
    <s v="No"/>
    <x v="0"/>
  </r>
  <r>
    <s v="INC104911"/>
    <d v="2025-06-21T00:00:00"/>
    <d v="2025-06-21T13:43:12"/>
    <x v="3"/>
    <x v="0"/>
    <s v="Application Error"/>
    <s v="Service Desk"/>
    <s v="Delhi"/>
    <s v="Email"/>
    <s v="Resolved"/>
    <n v="8"/>
    <n v="13.72"/>
    <n v="3.4"/>
    <s v="No"/>
    <x v="1"/>
  </r>
  <r>
    <s v="INC104912"/>
    <d v="2025-04-08T00:00:00"/>
    <d v="2025-04-08T03:44:24"/>
    <x v="3"/>
    <x v="1"/>
    <s v="Account Lock"/>
    <s v="Access Management"/>
    <s v="Hyderabad"/>
    <s v="Portal"/>
    <s v="Resolved"/>
    <n v="8"/>
    <n v="3.74"/>
    <n v="4.5"/>
    <s v="No"/>
    <x v="0"/>
  </r>
  <r>
    <s v="INC104913"/>
    <d v="2025-01-05T00:00:00"/>
    <d v="2025-01-06T05:36:00"/>
    <x v="0"/>
    <x v="4"/>
    <s v="Configuration"/>
    <s v="Access Management"/>
    <s v="Bengaluru"/>
    <s v="Portal"/>
    <s v="Resolved"/>
    <n v="48"/>
    <n v="29.6"/>
    <n v="3.8"/>
    <s v="No"/>
    <x v="0"/>
  </r>
  <r>
    <s v="INC104914"/>
    <d v="2025-04-20T00:00:00"/>
    <d v="2025-04-20T11:24:36"/>
    <x v="1"/>
    <x v="4"/>
    <s v="Mailbox"/>
    <s v="Application Support"/>
    <s v="Delhi"/>
    <s v="Email"/>
    <s v="Resolved"/>
    <n v="24"/>
    <n v="11.41"/>
    <n v="4.7"/>
    <s v="No"/>
    <x v="0"/>
  </r>
  <r>
    <s v="INC104915"/>
    <d v="2025-05-21T00:00:00"/>
    <d v="2025-05-21T19:51:36"/>
    <x v="1"/>
    <x v="0"/>
    <s v="License"/>
    <s v="Desktop Support"/>
    <s v="Noida"/>
    <s v="Portal"/>
    <s v="Resolved"/>
    <n v="24"/>
    <n v="19.86"/>
    <n v="4.0999999999999996"/>
    <s v="No"/>
    <x v="0"/>
  </r>
  <r>
    <s v="INC104916"/>
    <d v="2025-01-19T00:00:00"/>
    <d v="2025-01-19T01:33:36"/>
    <x v="3"/>
    <x v="4"/>
    <s v="Spam"/>
    <s v="Desktop Support"/>
    <s v="Gurugram"/>
    <s v="Email"/>
    <s v="Resolved"/>
    <n v="8"/>
    <n v="1.56"/>
    <n v="4.5"/>
    <s v="No"/>
    <x v="0"/>
  </r>
  <r>
    <s v="INC104917"/>
    <d v="2025-01-19T00:00:00"/>
    <d v="2025-01-20T09:55:48"/>
    <x v="0"/>
    <x v="4"/>
    <s v="Spam"/>
    <s v="Access Management"/>
    <s v="Delhi"/>
    <s v="Email"/>
    <s v="Closed"/>
    <n v="48"/>
    <n v="33.93"/>
    <n v="4.4000000000000004"/>
    <s v="No"/>
    <x v="0"/>
  </r>
  <r>
    <s v="INC104918"/>
    <d v="2025-02-19T00:00:00"/>
    <d v="2025-02-19T03:48:00"/>
    <x v="3"/>
    <x v="2"/>
    <s v="DNS"/>
    <s v="Application Support"/>
    <s v="Delhi"/>
    <s v="Portal"/>
    <s v="Resolved"/>
    <n v="8"/>
    <n v="3.8"/>
    <n v="4.8"/>
    <s v="No"/>
    <x v="0"/>
  </r>
  <r>
    <s v="INC104919"/>
    <d v="2025-06-02T00:00:00"/>
    <d v="2025-06-02T21:51:36"/>
    <x v="1"/>
    <x v="0"/>
    <s v="Performance"/>
    <s v="Desktop Support"/>
    <s v="Mumbai"/>
    <s v="Portal"/>
    <s v="Closed"/>
    <n v="24"/>
    <n v="21.86"/>
    <n v="4.4000000000000004"/>
    <s v="No"/>
    <x v="0"/>
  </r>
  <r>
    <s v="INC104920"/>
    <d v="2025-04-06T00:00:00"/>
    <d v="2025-04-07T18:36:36"/>
    <x v="0"/>
    <x v="2"/>
    <s v="Link Down"/>
    <s v="Network Support"/>
    <s v="Hyderabad"/>
    <s v="Portal"/>
    <s v="Closed"/>
    <n v="48"/>
    <n v="42.61"/>
    <n v="3.4"/>
    <s v="No"/>
    <x v="0"/>
  </r>
  <r>
    <s v="INC104921"/>
    <d v="2025-06-26T00:00:00"/>
    <d v="2025-06-27T07:10:48"/>
    <x v="0"/>
    <x v="3"/>
    <s v="Laptop"/>
    <s v="Access Management"/>
    <s v="Bengaluru"/>
    <s v="Portal"/>
    <s v="Resolved"/>
    <n v="48"/>
    <n v="31.18"/>
    <n v="4.5"/>
    <s v="No"/>
    <x v="0"/>
  </r>
  <r>
    <s v="INC104922"/>
    <d v="2025-06-08T00:00:00"/>
    <d v="2025-06-08T20:00:36"/>
    <x v="0"/>
    <x v="3"/>
    <s v="Laptop"/>
    <s v="Access Management"/>
    <s v="Mumbai"/>
    <s v="Portal"/>
    <s v="Resolved"/>
    <n v="48"/>
    <n v="20.010000000000002"/>
    <n v="5"/>
    <s v="No"/>
    <x v="0"/>
  </r>
  <r>
    <s v="INC104923"/>
    <d v="2025-04-11T00:00:00"/>
    <d v="2025-04-11T11:42:00"/>
    <x v="0"/>
    <x v="0"/>
    <s v="Installation"/>
    <s v="Service Desk"/>
    <s v="Delhi"/>
    <s v="Email"/>
    <s v="Pending"/>
    <n v="48"/>
    <n v="11.7"/>
    <n v="4.9000000000000004"/>
    <s v="No"/>
    <x v="0"/>
  </r>
  <r>
    <s v="INC104924"/>
    <d v="2025-05-03T00:00:00"/>
    <d v="2025-05-03T20:58:48"/>
    <x v="1"/>
    <x v="2"/>
    <s v="Connectivity"/>
    <s v="Service Desk"/>
    <s v="Gurugram"/>
    <s v="Portal"/>
    <s v="Resolved"/>
    <n v="24"/>
    <n v="20.98"/>
    <n v="5"/>
    <s v="No"/>
    <x v="0"/>
  </r>
  <r>
    <s v="INC104925"/>
    <d v="2025-03-01T00:00:00"/>
    <d v="2025-03-01T04:13:12"/>
    <x v="3"/>
    <x v="2"/>
    <s v="DNS"/>
    <s v="Access Management"/>
    <s v="Delhi"/>
    <s v="Phone"/>
    <s v="Resolved"/>
    <n v="8"/>
    <n v="4.22"/>
    <n v="4.2"/>
    <s v="No"/>
    <x v="0"/>
  </r>
  <r>
    <s v="INC104926"/>
    <d v="2025-01-17T00:00:00"/>
    <d v="2025-01-18T00:55:12"/>
    <x v="0"/>
    <x v="2"/>
    <s v="Connectivity"/>
    <s v="Access Management"/>
    <s v="Hyderabad"/>
    <s v="Phone"/>
    <s v="Resolved"/>
    <n v="48"/>
    <n v="24.92"/>
    <n v="3.3"/>
    <s v="No"/>
    <x v="0"/>
  </r>
  <r>
    <s v="INC104927"/>
    <d v="2025-03-14T00:00:00"/>
    <d v="2025-03-14T01:27:36"/>
    <x v="2"/>
    <x v="0"/>
    <s v="Performance"/>
    <s v="Desktop Support"/>
    <s v="Mumbai"/>
    <s v="Portal"/>
    <s v="In Progress"/>
    <n v="4"/>
    <n v="1.46"/>
    <n v="4"/>
    <s v="No"/>
    <x v="0"/>
  </r>
  <r>
    <s v="INC104928"/>
    <d v="2025-04-18T00:00:00"/>
    <d v="2025-04-20T15:45:36"/>
    <x v="0"/>
    <x v="4"/>
    <s v="Configuration"/>
    <s v="Service Desk"/>
    <s v="Hyderabad"/>
    <s v="Email"/>
    <s v="Resolved"/>
    <n v="48"/>
    <n v="63.76"/>
    <n v="3"/>
    <s v="No"/>
    <x v="1"/>
  </r>
  <r>
    <s v="INC104929"/>
    <d v="2025-02-02T00:00:00"/>
    <d v="2025-02-03T08:51:36"/>
    <x v="1"/>
    <x v="4"/>
    <s v="Spam"/>
    <s v="Application Support"/>
    <s v="Hyderabad"/>
    <s v="Portal"/>
    <s v="Resolved"/>
    <n v="24"/>
    <n v="32.86"/>
    <n v="3.7"/>
    <s v="No"/>
    <x v="1"/>
  </r>
  <r>
    <s v="INC104930"/>
    <d v="2025-02-10T00:00:00"/>
    <d v="2025-02-10T03:07:12"/>
    <x v="3"/>
    <x v="3"/>
    <s v="Printer"/>
    <s v="Application Support"/>
    <s v="Gurugram"/>
    <s v="Portal"/>
    <s v="Closed"/>
    <n v="8"/>
    <n v="3.12"/>
    <n v="5"/>
    <s v="No"/>
    <x v="0"/>
  </r>
  <r>
    <s v="INC104931"/>
    <d v="2025-01-03T00:00:00"/>
    <d v="2025-01-03T02:12:00"/>
    <x v="3"/>
    <x v="2"/>
    <s v="Connectivity"/>
    <s v="Access Management"/>
    <s v="Bengaluru"/>
    <s v="Chat"/>
    <s v="Resolved"/>
    <n v="8"/>
    <n v="2.2000000000000002"/>
    <n v="4.8"/>
    <s v="No"/>
    <x v="0"/>
  </r>
  <r>
    <s v="INC104932"/>
    <d v="2025-05-13T00:00:00"/>
    <d v="2025-05-13T10:03:00"/>
    <x v="1"/>
    <x v="1"/>
    <s v="Permission"/>
    <s v="Desktop Support"/>
    <s v="Bengaluru"/>
    <s v="Email"/>
    <s v="Closed"/>
    <n v="24"/>
    <n v="10.050000000000001"/>
    <n v="4.7"/>
    <s v="No"/>
    <x v="0"/>
  </r>
  <r>
    <s v="INC104933"/>
    <d v="2025-06-12T00:00:00"/>
    <d v="2025-06-12T07:03:36"/>
    <x v="1"/>
    <x v="2"/>
    <s v="DNS"/>
    <s v="Desktop Support"/>
    <s v="Mumbai"/>
    <s v="Portal"/>
    <s v="Resolved"/>
    <n v="24"/>
    <n v="7.06"/>
    <n v="5"/>
    <s v="No"/>
    <x v="0"/>
  </r>
  <r>
    <s v="INC104934"/>
    <d v="2025-05-30T00:00:00"/>
    <d v="2025-05-31T09:23:24"/>
    <x v="0"/>
    <x v="4"/>
    <s v="Configuration"/>
    <s v="Network Support"/>
    <s v="Mumbai"/>
    <s v="Phone"/>
    <s v="Closed"/>
    <n v="48"/>
    <n v="33.39"/>
    <n v="3.6"/>
    <s v="Yes"/>
    <x v="0"/>
  </r>
  <r>
    <s v="INC104935"/>
    <d v="2025-03-10T00:00:00"/>
    <d v="2025-03-11T00:42:00"/>
    <x v="0"/>
    <x v="0"/>
    <s v="Application Error"/>
    <s v="Application Support"/>
    <s v="Noida"/>
    <s v="Chat"/>
    <s v="Resolved"/>
    <n v="48"/>
    <n v="24.7"/>
    <n v="4.3"/>
    <s v="Yes"/>
    <x v="0"/>
  </r>
  <r>
    <s v="INC104936"/>
    <d v="2025-04-18T00:00:00"/>
    <d v="2025-04-18T20:16:48"/>
    <x v="1"/>
    <x v="0"/>
    <s v="Installation"/>
    <s v="Service Desk"/>
    <s v="Delhi"/>
    <s v="Email"/>
    <s v="Resolved"/>
    <n v="24"/>
    <n v="20.28"/>
    <n v="3.7"/>
    <s v="No"/>
    <x v="0"/>
  </r>
  <r>
    <s v="INC104937"/>
    <d v="2025-06-23T00:00:00"/>
    <d v="2025-06-23T18:54:00"/>
    <x v="0"/>
    <x v="2"/>
    <s v="Packet Loss"/>
    <s v="Service Desk"/>
    <s v="Hyderabad"/>
    <s v="Phone"/>
    <s v="Resolved"/>
    <n v="48"/>
    <n v="18.899999999999999"/>
    <n v="3.8"/>
    <s v="No"/>
    <x v="0"/>
  </r>
  <r>
    <s v="INC104938"/>
    <d v="2025-04-18T00:00:00"/>
    <d v="2025-04-20T08:09:36"/>
    <x v="1"/>
    <x v="2"/>
    <s v="DNS"/>
    <s v="Application Support"/>
    <s v="Mumbai"/>
    <s v="Phone"/>
    <s v="Resolved"/>
    <n v="24"/>
    <n v="56.16"/>
    <n v="1"/>
    <s v="No"/>
    <x v="1"/>
  </r>
  <r>
    <s v="INC104939"/>
    <d v="2025-02-23T00:00:00"/>
    <d v="2025-02-23T06:58:12"/>
    <x v="0"/>
    <x v="0"/>
    <s v="Installation"/>
    <s v="Service Desk"/>
    <s v="Hyderabad"/>
    <s v="Phone"/>
    <s v="Resolved"/>
    <n v="48"/>
    <n v="6.97"/>
    <n v="5"/>
    <s v="No"/>
    <x v="0"/>
  </r>
  <r>
    <s v="INC104940"/>
    <d v="2025-03-03T00:00:00"/>
    <d v="2025-03-03T04:00:36"/>
    <x v="3"/>
    <x v="3"/>
    <s v="Peripheral"/>
    <s v="Service Desk"/>
    <s v="Gurugram"/>
    <s v="Email"/>
    <s v="Resolved"/>
    <n v="8"/>
    <n v="4.01"/>
    <n v="3.9"/>
    <s v="No"/>
    <x v="0"/>
  </r>
  <r>
    <s v="INC104941"/>
    <d v="2025-05-12T00:00:00"/>
    <d v="2025-05-12T16:19:12"/>
    <x v="3"/>
    <x v="1"/>
    <s v="Password Reset"/>
    <s v="Access Management"/>
    <s v="Delhi"/>
    <s v="Phone"/>
    <s v="Resolved"/>
    <n v="8"/>
    <n v="16.32"/>
    <n v="2.4"/>
    <s v="No"/>
    <x v="1"/>
  </r>
  <r>
    <s v="INC104942"/>
    <d v="2025-03-22T00:00:00"/>
    <d v="2025-03-22T06:49:48"/>
    <x v="3"/>
    <x v="0"/>
    <s v="Performance"/>
    <s v="Access Management"/>
    <s v="Hyderabad"/>
    <s v="Email"/>
    <s v="Resolved"/>
    <n v="8"/>
    <n v="6.83"/>
    <n v="4.3"/>
    <s v="No"/>
    <x v="0"/>
  </r>
  <r>
    <s v="INC104943"/>
    <d v="2025-06-01T00:00:00"/>
    <d v="2025-06-01T10:42:00"/>
    <x v="1"/>
    <x v="3"/>
    <s v="Monitor"/>
    <s v="Desktop Support"/>
    <s v="Mumbai"/>
    <s v="Portal"/>
    <s v="Resolved"/>
    <n v="24"/>
    <n v="10.7"/>
    <n v="3.7"/>
    <s v="No"/>
    <x v="0"/>
  </r>
  <r>
    <s v="INC104944"/>
    <d v="2025-06-06T00:00:00"/>
    <d v="2025-06-07T08:04:12"/>
    <x v="0"/>
    <x v="2"/>
    <s v="Packet Loss"/>
    <s v="Service Desk"/>
    <s v="Hyderabad"/>
    <s v="Portal"/>
    <s v="Resolved"/>
    <n v="48"/>
    <n v="32.07"/>
    <n v="3.7"/>
    <s v="No"/>
    <x v="0"/>
  </r>
  <r>
    <s v="INC104945"/>
    <d v="2025-01-07T00:00:00"/>
    <d v="2025-01-07T08:28:12"/>
    <x v="0"/>
    <x v="0"/>
    <s v="Performance"/>
    <s v="Network Support"/>
    <s v="Noida"/>
    <s v="Portal"/>
    <s v="Closed"/>
    <n v="48"/>
    <n v="8.4700000000000006"/>
    <n v="4.8"/>
    <s v="No"/>
    <x v="0"/>
  </r>
  <r>
    <s v="INC104946"/>
    <d v="2025-05-11T00:00:00"/>
    <d v="2025-05-11T12:36:00"/>
    <x v="1"/>
    <x v="2"/>
    <s v="Link Down"/>
    <s v="Application Support"/>
    <s v="Hyderabad"/>
    <s v="Portal"/>
    <s v="Resolved"/>
    <n v="24"/>
    <n v="12.6"/>
    <n v="4.0999999999999996"/>
    <s v="No"/>
    <x v="0"/>
  </r>
  <r>
    <s v="INC104947"/>
    <d v="2025-03-08T00:00:00"/>
    <d v="2025-03-08T04:09:00"/>
    <x v="1"/>
    <x v="0"/>
    <s v="License"/>
    <s v="Application Support"/>
    <s v="Gurugram"/>
    <s v="Portal"/>
    <s v="Closed"/>
    <n v="24"/>
    <n v="4.1500000000000004"/>
    <n v="4"/>
    <s v="No"/>
    <x v="0"/>
  </r>
  <r>
    <s v="INC104948"/>
    <d v="2025-04-05T00:00:00"/>
    <d v="2025-04-05T02:18:00"/>
    <x v="1"/>
    <x v="0"/>
    <s v="License"/>
    <s v="Application Support"/>
    <s v="Mumbai"/>
    <s v="Email"/>
    <s v="Resolved"/>
    <n v="24"/>
    <n v="2.2999999999999998"/>
    <n v="5"/>
    <s v="Yes"/>
    <x v="0"/>
  </r>
  <r>
    <s v="INC104949"/>
    <d v="2025-02-17T00:00:00"/>
    <d v="2025-02-18T06:28:12"/>
    <x v="1"/>
    <x v="1"/>
    <s v="VPN Access"/>
    <s v="Application Support"/>
    <s v="Noida"/>
    <s v="Chat"/>
    <s v="Resolved"/>
    <n v="24"/>
    <n v="30.47"/>
    <n v="3.2"/>
    <s v="No"/>
    <x v="1"/>
  </r>
  <r>
    <s v="INC104950"/>
    <d v="2025-03-08T00:00:00"/>
    <d v="2025-03-08T07:22:48"/>
    <x v="1"/>
    <x v="3"/>
    <s v="Laptop"/>
    <s v="Desktop Support"/>
    <s v="Delhi"/>
    <s v="Portal"/>
    <s v="Resolved"/>
    <n v="24"/>
    <n v="7.38"/>
    <n v="4.7"/>
    <s v="No"/>
    <x v="0"/>
  </r>
  <r>
    <s v="INC104951"/>
    <d v="2025-03-01T00:00:00"/>
    <d v="2025-03-01T07:45:00"/>
    <x v="0"/>
    <x v="2"/>
    <s v="Link Down"/>
    <s v="Application Support"/>
    <s v="Mumbai"/>
    <s v="Portal"/>
    <s v="Resolved"/>
    <n v="48"/>
    <n v="7.75"/>
    <n v="4.8"/>
    <s v="No"/>
    <x v="0"/>
  </r>
  <r>
    <s v="INC104952"/>
    <d v="2025-01-10T00:00:00"/>
    <d v="2025-01-10T09:35:24"/>
    <x v="1"/>
    <x v="1"/>
    <s v="Permission"/>
    <s v="Application Support"/>
    <s v="Noida"/>
    <s v="Phone"/>
    <s v="Closed"/>
    <n v="24"/>
    <n v="9.59"/>
    <n v="5"/>
    <s v="No"/>
    <x v="0"/>
  </r>
  <r>
    <s v="INC104953"/>
    <d v="2025-05-22T00:00:00"/>
    <d v="2025-05-22T19:33:36"/>
    <x v="1"/>
    <x v="0"/>
    <s v="License"/>
    <s v="Application Support"/>
    <s v="Delhi"/>
    <s v="Portal"/>
    <s v="Resolved"/>
    <n v="24"/>
    <n v="19.559999999999999"/>
    <n v="4.3"/>
    <s v="No"/>
    <x v="0"/>
  </r>
  <r>
    <s v="INC104954"/>
    <d v="2025-01-26T00:00:00"/>
    <d v="2025-01-26T04:10:48"/>
    <x v="1"/>
    <x v="0"/>
    <s v="Installation"/>
    <s v="Application Support"/>
    <s v="Mumbai"/>
    <s v="Phone"/>
    <s v="Pending"/>
    <n v="24"/>
    <n v="4.18"/>
    <n v="4.2"/>
    <s v="No"/>
    <x v="0"/>
  </r>
  <r>
    <s v="INC104955"/>
    <d v="2025-03-10T00:00:00"/>
    <d v="2025-03-10T01:22:12"/>
    <x v="2"/>
    <x v="0"/>
    <s v="Performance"/>
    <s v="Network Support"/>
    <s v="Mumbai"/>
    <s v="Email"/>
    <s v="Closed"/>
    <n v="4"/>
    <n v="1.37"/>
    <n v="5"/>
    <s v="No"/>
    <x v="0"/>
  </r>
  <r>
    <s v="INC104956"/>
    <d v="2025-02-04T00:00:00"/>
    <d v="2025-02-04T21:19:12"/>
    <x v="1"/>
    <x v="1"/>
    <s v="Permission"/>
    <s v="Application Support"/>
    <s v="Gurugram"/>
    <s v="Email"/>
    <s v="Resolved"/>
    <n v="24"/>
    <n v="21.32"/>
    <n v="3.6"/>
    <s v="No"/>
    <x v="0"/>
  </r>
  <r>
    <s v="INC104957"/>
    <d v="2025-01-30T00:00:00"/>
    <d v="2025-01-30T04:21:36"/>
    <x v="3"/>
    <x v="2"/>
    <s v="Connectivity"/>
    <s v="Access Management"/>
    <s v="Hyderabad"/>
    <s v="Portal"/>
    <s v="Pending"/>
    <n v="8"/>
    <n v="4.3600000000000003"/>
    <n v="3.8"/>
    <s v="No"/>
    <x v="0"/>
  </r>
  <r>
    <s v="INC104958"/>
    <d v="2025-03-09T00:00:00"/>
    <d v="2025-03-09T10:21:00"/>
    <x v="3"/>
    <x v="3"/>
    <s v="Peripheral"/>
    <s v="Desktop Support"/>
    <s v="Mumbai"/>
    <s v="Portal"/>
    <s v="Resolved"/>
    <n v="8"/>
    <n v="10.35"/>
    <n v="2.8"/>
    <s v="No"/>
    <x v="1"/>
  </r>
  <r>
    <s v="INC104959"/>
    <d v="2025-06-16T00:00:00"/>
    <d v="2025-06-17T19:07:12"/>
    <x v="0"/>
    <x v="1"/>
    <s v="Account Lock"/>
    <s v="Desktop Support"/>
    <s v="Delhi"/>
    <s v="Email"/>
    <s v="Closed"/>
    <n v="48"/>
    <n v="43.12"/>
    <n v="2.4"/>
    <s v="No"/>
    <x v="0"/>
  </r>
  <r>
    <s v="INC104960"/>
    <d v="2025-06-20T00:00:00"/>
    <d v="2025-06-20T18:01:48"/>
    <x v="1"/>
    <x v="2"/>
    <s v="Packet Loss"/>
    <s v="Application Support"/>
    <s v="Noida"/>
    <s v="Portal"/>
    <s v="Resolved"/>
    <n v="24"/>
    <n v="18.03"/>
    <n v="3.7"/>
    <s v="Yes"/>
    <x v="0"/>
  </r>
  <r>
    <s v="INC104961"/>
    <d v="2025-03-11T00:00:00"/>
    <d v="2025-03-11T21:01:48"/>
    <x v="1"/>
    <x v="1"/>
    <s v="Account Lock"/>
    <s v="Desktop Support"/>
    <s v="Hyderabad"/>
    <s v="Portal"/>
    <s v="Resolved"/>
    <n v="24"/>
    <n v="21.03"/>
    <n v="4.2"/>
    <s v="Yes"/>
    <x v="0"/>
  </r>
  <r>
    <s v="INC104962"/>
    <d v="2025-04-02T00:00:00"/>
    <d v="2025-04-02T03:22:12"/>
    <x v="1"/>
    <x v="3"/>
    <s v="Laptop"/>
    <s v="Desktop Support"/>
    <s v="Gurugram"/>
    <s v="Portal"/>
    <s v="Resolved"/>
    <n v="24"/>
    <n v="3.37"/>
    <n v="3.9"/>
    <s v="No"/>
    <x v="0"/>
  </r>
  <r>
    <s v="INC104963"/>
    <d v="2025-06-28T00:00:00"/>
    <d v="2025-06-28T23:46:48"/>
    <x v="0"/>
    <x v="2"/>
    <s v="Link Down"/>
    <s v="Access Management"/>
    <s v="Hyderabad"/>
    <s v="Email"/>
    <s v="Closed"/>
    <n v="48"/>
    <n v="23.78"/>
    <n v="5"/>
    <s v="No"/>
    <x v="0"/>
  </r>
  <r>
    <s v="INC104964"/>
    <d v="2025-02-12T00:00:00"/>
    <d v="2025-02-12T14:46:48"/>
    <x v="3"/>
    <x v="2"/>
    <s v="Packet Loss"/>
    <s v="Network Support"/>
    <s v="Bengaluru"/>
    <s v="Email"/>
    <s v="Resolved"/>
    <n v="8"/>
    <n v="14.78"/>
    <n v="1.3"/>
    <s v="No"/>
    <x v="1"/>
  </r>
  <r>
    <s v="INC104965"/>
    <d v="2025-06-20T00:00:00"/>
    <d v="2025-06-20T01:28:48"/>
    <x v="2"/>
    <x v="1"/>
    <s v="Account Lock"/>
    <s v="Access Management"/>
    <s v="Mumbai"/>
    <s v="Phone"/>
    <s v="Resolved"/>
    <n v="4"/>
    <n v="1.48"/>
    <n v="4"/>
    <s v="No"/>
    <x v="0"/>
  </r>
  <r>
    <s v="INC104966"/>
    <d v="2025-01-20T00:00:00"/>
    <d v="2025-01-21T00:07:12"/>
    <x v="0"/>
    <x v="1"/>
    <s v="VPN Access"/>
    <s v="Network Support"/>
    <s v="Mumbai"/>
    <s v="Phone"/>
    <s v="In Progress"/>
    <n v="48"/>
    <n v="24.12"/>
    <n v="3.4"/>
    <s v="No"/>
    <x v="0"/>
  </r>
  <r>
    <s v="INC104967"/>
    <d v="2025-02-10T00:00:00"/>
    <d v="2025-02-10T15:00:00"/>
    <x v="0"/>
    <x v="3"/>
    <s v="Peripheral"/>
    <s v="Service Desk"/>
    <s v="Bengaluru"/>
    <s v="Portal"/>
    <s v="Resolved"/>
    <n v="48"/>
    <n v="15"/>
    <n v="5"/>
    <s v="No"/>
    <x v="0"/>
  </r>
  <r>
    <s v="INC104968"/>
    <d v="2025-03-03T00:00:00"/>
    <d v="2025-03-03T14:54:00"/>
    <x v="0"/>
    <x v="2"/>
    <s v="Packet Loss"/>
    <s v="Application Support"/>
    <s v="Bengaluru"/>
    <s v="Chat"/>
    <s v="Pending"/>
    <n v="48"/>
    <n v="14.9"/>
    <n v="5"/>
    <s v="No"/>
    <x v="0"/>
  </r>
  <r>
    <s v="INC104969"/>
    <d v="2025-01-07T00:00:00"/>
    <d v="2025-01-07T07:44:24"/>
    <x v="3"/>
    <x v="2"/>
    <s v="DNS"/>
    <s v="Application Support"/>
    <s v="Bengaluru"/>
    <s v="Phone"/>
    <s v="Resolved"/>
    <n v="8"/>
    <n v="7.74"/>
    <n v="3.7"/>
    <s v="No"/>
    <x v="0"/>
  </r>
  <r>
    <s v="INC104970"/>
    <d v="2025-05-28T00:00:00"/>
    <d v="2025-05-29T19:04:12"/>
    <x v="1"/>
    <x v="2"/>
    <s v="DNS"/>
    <s v="Access Management"/>
    <s v="Bengaluru"/>
    <s v="Portal"/>
    <s v="Closed"/>
    <n v="24"/>
    <n v="43.07"/>
    <n v="1.9"/>
    <s v="No"/>
    <x v="1"/>
  </r>
  <r>
    <s v="INC104971"/>
    <d v="2025-06-04T00:00:00"/>
    <d v="2025-06-06T19:42:00"/>
    <x v="0"/>
    <x v="1"/>
    <s v="Permission"/>
    <s v="Service Desk"/>
    <s v="Mumbai"/>
    <s v="Email"/>
    <s v="Resolved"/>
    <n v="48"/>
    <n v="67.7"/>
    <n v="2.5"/>
    <s v="No"/>
    <x v="1"/>
  </r>
  <r>
    <s v="INC104972"/>
    <d v="2025-03-11T00:00:00"/>
    <d v="2025-03-11T00:40:48"/>
    <x v="3"/>
    <x v="2"/>
    <s v="DNS"/>
    <s v="Network Support"/>
    <s v="Noida"/>
    <s v="Portal"/>
    <s v="Closed"/>
    <n v="8"/>
    <n v="0.68"/>
    <n v="5"/>
    <s v="No"/>
    <x v="0"/>
  </r>
  <r>
    <s v="INC104973"/>
    <d v="2025-06-01T00:00:00"/>
    <d v="2025-06-01T11:27:00"/>
    <x v="1"/>
    <x v="2"/>
    <s v="Packet Loss"/>
    <s v="Service Desk"/>
    <s v="Noida"/>
    <s v="Chat"/>
    <s v="In Progress"/>
    <n v="24"/>
    <n v="11.45"/>
    <n v="4"/>
    <s v="No"/>
    <x v="0"/>
  </r>
  <r>
    <s v="INC104974"/>
    <d v="2025-05-20T00:00:00"/>
    <d v="2025-05-20T09:01:48"/>
    <x v="1"/>
    <x v="2"/>
    <s v="DNS"/>
    <s v="Desktop Support"/>
    <s v="Mumbai"/>
    <s v="Portal"/>
    <s v="Resolved"/>
    <n v="24"/>
    <n v="9.0299999999999994"/>
    <n v="4.2"/>
    <s v="No"/>
    <x v="0"/>
  </r>
  <r>
    <s v="INC104975"/>
    <d v="2025-05-26T00:00:00"/>
    <d v="2025-05-26T04:35:24"/>
    <x v="1"/>
    <x v="0"/>
    <s v="Application Error"/>
    <s v="Service Desk"/>
    <s v="Mumbai"/>
    <s v="Portal"/>
    <s v="Closed"/>
    <n v="24"/>
    <n v="4.59"/>
    <n v="4.7"/>
    <s v="No"/>
    <x v="0"/>
  </r>
  <r>
    <s v="INC104976"/>
    <d v="2025-05-26T00:00:00"/>
    <d v="2025-05-26T23:54:00"/>
    <x v="1"/>
    <x v="0"/>
    <s v="Installation"/>
    <s v="Service Desk"/>
    <s v="Bengaluru"/>
    <s v="Chat"/>
    <s v="Pending"/>
    <n v="24"/>
    <n v="23.9"/>
    <n v="3.5"/>
    <s v="No"/>
    <x v="0"/>
  </r>
  <r>
    <s v="INC104977"/>
    <d v="2025-04-14T00:00:00"/>
    <d v="2025-04-14T09:34:47"/>
    <x v="1"/>
    <x v="0"/>
    <s v="License"/>
    <s v="Access Management"/>
    <s v="Noida"/>
    <s v="Email"/>
    <s v="Closed"/>
    <n v="24"/>
    <n v="9.58"/>
    <n v="3.4"/>
    <s v="No"/>
    <x v="0"/>
  </r>
  <r>
    <s v="INC104978"/>
    <d v="2025-01-21T00:00:00"/>
    <d v="2025-01-21T10:16:12"/>
    <x v="0"/>
    <x v="0"/>
    <s v="Installation"/>
    <s v="Desktop Support"/>
    <s v="Bengaluru"/>
    <s v="Portal"/>
    <s v="Pending"/>
    <n v="48"/>
    <n v="10.27"/>
    <n v="3.9"/>
    <s v="No"/>
    <x v="0"/>
  </r>
  <r>
    <s v="INC104979"/>
    <d v="2025-06-17T00:00:00"/>
    <d v="2025-06-17T16:07:48"/>
    <x v="1"/>
    <x v="4"/>
    <s v="Mailbox"/>
    <s v="Application Support"/>
    <s v="Bengaluru"/>
    <s v="Email"/>
    <s v="Closed"/>
    <n v="24"/>
    <n v="16.13"/>
    <n v="3.3"/>
    <s v="No"/>
    <x v="0"/>
  </r>
  <r>
    <s v="INC104980"/>
    <d v="2025-04-21T00:00:00"/>
    <d v="2025-04-21T01:22:48"/>
    <x v="3"/>
    <x v="3"/>
    <s v="Peripheral"/>
    <s v="Application Support"/>
    <s v="Noida"/>
    <s v="Phone"/>
    <s v="Resolved"/>
    <n v="8"/>
    <n v="1.38"/>
    <n v="4.3"/>
    <s v="No"/>
    <x v="0"/>
  </r>
  <r>
    <s v="INC104981"/>
    <d v="2025-06-13T00:00:00"/>
    <d v="2025-06-14T03:43:48"/>
    <x v="1"/>
    <x v="1"/>
    <s v="Permission"/>
    <s v="Desktop Support"/>
    <s v="Gurugram"/>
    <s v="Portal"/>
    <s v="Closed"/>
    <n v="24"/>
    <n v="27.73"/>
    <n v="3.7"/>
    <s v="No"/>
    <x v="1"/>
  </r>
  <r>
    <s v="INC104982"/>
    <d v="2025-06-23T00:00:00"/>
    <d v="2025-06-23T09:44:24"/>
    <x v="3"/>
    <x v="0"/>
    <s v="License"/>
    <s v="Application Support"/>
    <s v="Bengaluru"/>
    <s v="Email"/>
    <s v="Closed"/>
    <n v="8"/>
    <n v="9.74"/>
    <n v="3.6"/>
    <s v="No"/>
    <x v="1"/>
  </r>
  <r>
    <s v="INC104983"/>
    <d v="2025-02-03T00:00:00"/>
    <d v="2025-02-03T20:43:48"/>
    <x v="1"/>
    <x v="2"/>
    <s v="Connectivity"/>
    <s v="Access Management"/>
    <s v="Noida"/>
    <s v="Email"/>
    <s v="Resolved"/>
    <n v="24"/>
    <n v="20.73"/>
    <n v="4.7"/>
    <s v="No"/>
    <x v="0"/>
  </r>
  <r>
    <s v="INC104984"/>
    <d v="2025-03-14T00:00:00"/>
    <d v="2025-03-14T05:49:48"/>
    <x v="3"/>
    <x v="1"/>
    <s v="Password Reset"/>
    <s v="Application Support"/>
    <s v="Delhi"/>
    <s v="Email"/>
    <s v="Resolved"/>
    <n v="8"/>
    <n v="5.83"/>
    <n v="3.2"/>
    <s v="No"/>
    <x v="0"/>
  </r>
  <r>
    <s v="INC104985"/>
    <d v="2025-02-04T00:00:00"/>
    <d v="2025-02-04T22:43:12"/>
    <x v="0"/>
    <x v="0"/>
    <s v="Performance"/>
    <s v="Service Desk"/>
    <s v="Hyderabad"/>
    <s v="Chat"/>
    <s v="Resolved"/>
    <n v="48"/>
    <n v="22.72"/>
    <n v="4.5999999999999996"/>
    <s v="No"/>
    <x v="0"/>
  </r>
  <r>
    <s v="INC104986"/>
    <d v="2025-01-10T00:00:00"/>
    <d v="2025-01-10T05:07:12"/>
    <x v="3"/>
    <x v="0"/>
    <s v="Application Error"/>
    <s v="Application Support"/>
    <s v="Mumbai"/>
    <s v="Email"/>
    <s v="Closed"/>
    <n v="8"/>
    <n v="5.12"/>
    <n v="3.7"/>
    <s v="No"/>
    <x v="0"/>
  </r>
  <r>
    <s v="INC104987"/>
    <d v="2025-06-24T00:00:00"/>
    <d v="2025-06-24T22:17:23"/>
    <x v="0"/>
    <x v="2"/>
    <s v="Packet Loss"/>
    <s v="Service Desk"/>
    <s v="Delhi"/>
    <s v="Email"/>
    <s v="Closed"/>
    <n v="48"/>
    <n v="22.29"/>
    <n v="5"/>
    <s v="No"/>
    <x v="0"/>
  </r>
  <r>
    <s v="INC104988"/>
    <d v="2025-06-17T00:00:00"/>
    <d v="2025-06-17T06:25:12"/>
    <x v="0"/>
    <x v="3"/>
    <s v="Monitor"/>
    <s v="Network Support"/>
    <s v="Gurugram"/>
    <s v="Phone"/>
    <s v="Closed"/>
    <n v="48"/>
    <n v="6.42"/>
    <n v="4.8"/>
    <s v="No"/>
    <x v="0"/>
  </r>
  <r>
    <s v="INC104989"/>
    <d v="2025-06-18T00:00:00"/>
    <d v="2025-06-19T16:01:48"/>
    <x v="0"/>
    <x v="4"/>
    <s v="Mailbox"/>
    <s v="Desktop Support"/>
    <s v="Bengaluru"/>
    <s v="Portal"/>
    <s v="Resolved"/>
    <n v="48"/>
    <n v="40.03"/>
    <n v="3.6"/>
    <s v="Yes"/>
    <x v="0"/>
  </r>
  <r>
    <s v="INC104990"/>
    <d v="2025-06-09T00:00:00"/>
    <d v="2025-06-11T16:10:12"/>
    <x v="0"/>
    <x v="2"/>
    <s v="DNS"/>
    <s v="Desktop Support"/>
    <s v="Hyderabad"/>
    <s v="Portal"/>
    <s v="Resolved"/>
    <n v="48"/>
    <n v="64.17"/>
    <n v="3.6"/>
    <s v="No"/>
    <x v="1"/>
  </r>
  <r>
    <s v="INC104991"/>
    <d v="2025-04-28T00:00:00"/>
    <d v="2025-04-28T02:30:36"/>
    <x v="3"/>
    <x v="2"/>
    <s v="Connectivity"/>
    <s v="Desktop Support"/>
    <s v="Noida"/>
    <s v="Chat"/>
    <s v="Resolved"/>
    <n v="8"/>
    <n v="2.5099999999999998"/>
    <n v="4.8"/>
    <s v="Yes"/>
    <x v="0"/>
  </r>
  <r>
    <s v="INC104992"/>
    <d v="2025-04-05T00:00:00"/>
    <d v="2025-04-05T03:45:00"/>
    <x v="2"/>
    <x v="2"/>
    <s v="DNS"/>
    <s v="Service Desk"/>
    <s v="Mumbai"/>
    <s v="Phone"/>
    <s v="Closed"/>
    <n v="4"/>
    <n v="3.75"/>
    <n v="3.6"/>
    <s v="No"/>
    <x v="0"/>
  </r>
  <r>
    <s v="INC104993"/>
    <d v="2025-06-29T00:00:00"/>
    <d v="2025-06-29T04:06:36"/>
    <x v="3"/>
    <x v="0"/>
    <s v="Application Error"/>
    <s v="Service Desk"/>
    <s v="Delhi"/>
    <s v="Portal"/>
    <s v="Closed"/>
    <n v="8"/>
    <n v="4.1100000000000003"/>
    <n v="4.8"/>
    <s v="No"/>
    <x v="0"/>
  </r>
  <r>
    <s v="INC104994"/>
    <d v="2025-04-10T00:00:00"/>
    <d v="2025-04-10T16:04:12"/>
    <x v="0"/>
    <x v="1"/>
    <s v="Permission"/>
    <s v="Access Management"/>
    <s v="Bengaluru"/>
    <s v="Portal"/>
    <s v="In Progress"/>
    <n v="48"/>
    <n v="16.07"/>
    <n v="5"/>
    <s v="No"/>
    <x v="0"/>
  </r>
  <r>
    <s v="INC104995"/>
    <d v="2025-04-27T00:00:00"/>
    <d v="2025-04-27T00:30:36"/>
    <x v="3"/>
    <x v="0"/>
    <s v="License"/>
    <s v="Service Desk"/>
    <s v="Mumbai"/>
    <s v="Portal"/>
    <s v="Resolved"/>
    <n v="8"/>
    <n v="0.51"/>
    <n v="5"/>
    <s v="No"/>
    <x v="0"/>
  </r>
  <r>
    <s v="INC104996"/>
    <d v="2025-02-08T00:00:00"/>
    <d v="2025-02-08T06:49:48"/>
    <x v="3"/>
    <x v="4"/>
    <s v="Mailbox"/>
    <s v="Application Support"/>
    <s v="Hyderabad"/>
    <s v="Portal"/>
    <s v="Closed"/>
    <n v="8"/>
    <n v="6.83"/>
    <n v="3.9"/>
    <s v="No"/>
    <x v="0"/>
  </r>
  <r>
    <s v="INC104997"/>
    <d v="2025-05-16T00:00:00"/>
    <d v="2025-05-16T17:36:36"/>
    <x v="1"/>
    <x v="3"/>
    <s v="Peripheral"/>
    <s v="Service Desk"/>
    <s v="Gurugram"/>
    <s v="Portal"/>
    <s v="Closed"/>
    <n v="24"/>
    <n v="17.61"/>
    <n v="5"/>
    <s v="No"/>
    <x v="0"/>
  </r>
  <r>
    <s v="INC104998"/>
    <d v="2025-05-29T00:00:00"/>
    <d v="2025-05-29T05:01:48"/>
    <x v="1"/>
    <x v="3"/>
    <s v="Monitor"/>
    <s v="Network Support"/>
    <s v="Mumbai"/>
    <s v="Email"/>
    <s v="In Progress"/>
    <n v="24"/>
    <n v="5.03"/>
    <n v="5"/>
    <s v="No"/>
    <x v="0"/>
  </r>
  <r>
    <s v="INC104999"/>
    <d v="2025-05-03T00:00:00"/>
    <d v="2025-05-03T10:00:36"/>
    <x v="1"/>
    <x v="2"/>
    <s v="Packet Loss"/>
    <s v="Network Support"/>
    <s v="Delhi"/>
    <s v="Portal"/>
    <s v="Closed"/>
    <n v="24"/>
    <n v="10.01"/>
    <n v="3.8"/>
    <s v="Yes"/>
    <x v="0"/>
  </r>
  <r>
    <s v="INC105000"/>
    <d v="2025-04-01T00:00:00"/>
    <d v="2025-04-02T00:30:36"/>
    <x v="0"/>
    <x v="2"/>
    <s v="DNS"/>
    <s v="Service Desk"/>
    <s v="Delhi"/>
    <s v="Email"/>
    <s v="Resolved"/>
    <n v="48"/>
    <n v="24.51"/>
    <n v="4.4000000000000004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02602-88CD-4BA3-9152-C9C12DA3AD6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5">
    <pivotField showAll="0"/>
    <pivotField numFmtId="14" showAll="0"/>
    <pivotField numFmtId="22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4" item="1" hier="-1"/>
  </pageFields>
  <dataFields count="1">
    <dataField name="Count of SLA_Breached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5AE48-923E-4179-A8DC-D2977B8A252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5">
    <pivotField showAll="0"/>
    <pivotField numFmtId="14" showAll="0"/>
    <pivotField numFmtId="22"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SLA_Breached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BDAC-37F3-430D-9AE8-60A29C46A212}">
  <dimension ref="A1:B8"/>
  <sheetViews>
    <sheetView workbookViewId="0">
      <selection activeCell="B1" sqref="B1"/>
    </sheetView>
  </sheetViews>
  <sheetFormatPr defaultRowHeight="15" x14ac:dyDescent="0.25"/>
  <cols>
    <col min="1" max="1" width="13.42578125" bestFit="1" customWidth="1"/>
    <col min="2" max="2" width="22.28515625" bestFit="1" customWidth="1"/>
  </cols>
  <sheetData>
    <row r="1" spans="1:2" x14ac:dyDescent="0.25">
      <c r="A1" s="3" t="s">
        <v>5063</v>
      </c>
      <c r="B1" t="s">
        <v>61</v>
      </c>
    </row>
    <row r="3" spans="1:2" x14ac:dyDescent="0.25">
      <c r="A3" s="3" t="s">
        <v>5064</v>
      </c>
      <c r="B3" t="s">
        <v>5066</v>
      </c>
    </row>
    <row r="4" spans="1:2" x14ac:dyDescent="0.25">
      <c r="A4" s="4" t="s">
        <v>31</v>
      </c>
      <c r="B4" s="5">
        <v>34</v>
      </c>
    </row>
    <row r="5" spans="1:2" x14ac:dyDescent="0.25">
      <c r="A5" s="4" t="s">
        <v>38</v>
      </c>
      <c r="B5" s="5">
        <v>205</v>
      </c>
    </row>
    <row r="6" spans="1:2" x14ac:dyDescent="0.25">
      <c r="A6" s="4" t="s">
        <v>15</v>
      </c>
      <c r="B6" s="5">
        <v>287</v>
      </c>
    </row>
    <row r="7" spans="1:2" x14ac:dyDescent="0.25">
      <c r="A7" s="4" t="s">
        <v>24</v>
      </c>
      <c r="B7" s="5">
        <v>369</v>
      </c>
    </row>
    <row r="8" spans="1:2" x14ac:dyDescent="0.25">
      <c r="A8" s="4" t="s">
        <v>5065</v>
      </c>
      <c r="B8" s="5">
        <v>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4FB8-2379-4DED-8B34-8354600EDFDC}">
  <dimension ref="A3:D9"/>
  <sheetViews>
    <sheetView tabSelected="1" workbookViewId="0">
      <selection activeCell="A4" sqref="A4"/>
    </sheetView>
  </sheetViews>
  <sheetFormatPr defaultRowHeight="15" x14ac:dyDescent="0.25"/>
  <cols>
    <col min="1" max="1" width="22.28515625" bestFit="1" customWidth="1"/>
    <col min="2" max="2" width="16.85546875" bestFit="1" customWidth="1"/>
    <col min="3" max="3" width="4.28515625" bestFit="1" customWidth="1"/>
    <col min="4" max="4" width="11.28515625" bestFit="1" customWidth="1"/>
  </cols>
  <sheetData>
    <row r="3" spans="1:4" x14ac:dyDescent="0.25">
      <c r="A3" s="3" t="s">
        <v>5066</v>
      </c>
      <c r="B3" s="3" t="s">
        <v>5067</v>
      </c>
    </row>
    <row r="4" spans="1:4" x14ac:dyDescent="0.25">
      <c r="A4" s="3" t="s">
        <v>5064</v>
      </c>
      <c r="B4" t="s">
        <v>22</v>
      </c>
      <c r="C4" t="s">
        <v>61</v>
      </c>
      <c r="D4" t="s">
        <v>5065</v>
      </c>
    </row>
    <row r="5" spans="1:4" x14ac:dyDescent="0.25">
      <c r="A5" s="4" t="s">
        <v>31</v>
      </c>
      <c r="B5" s="5">
        <v>206</v>
      </c>
      <c r="C5" s="5">
        <v>34</v>
      </c>
      <c r="D5" s="5">
        <v>240</v>
      </c>
    </row>
    <row r="6" spans="1:4" x14ac:dyDescent="0.25">
      <c r="A6" s="4" t="s">
        <v>38</v>
      </c>
      <c r="B6" s="5">
        <v>884</v>
      </c>
      <c r="C6" s="5">
        <v>205</v>
      </c>
      <c r="D6" s="5">
        <v>1089</v>
      </c>
    </row>
    <row r="7" spans="1:4" x14ac:dyDescent="0.25">
      <c r="A7" s="4" t="s">
        <v>15</v>
      </c>
      <c r="B7" s="5">
        <v>1260</v>
      </c>
      <c r="C7" s="5">
        <v>287</v>
      </c>
      <c r="D7" s="5">
        <v>1547</v>
      </c>
    </row>
    <row r="8" spans="1:4" x14ac:dyDescent="0.25">
      <c r="A8" s="4" t="s">
        <v>24</v>
      </c>
      <c r="B8" s="5">
        <v>1755</v>
      </c>
      <c r="C8" s="5">
        <v>369</v>
      </c>
      <c r="D8" s="5">
        <v>2124</v>
      </c>
    </row>
    <row r="9" spans="1:4" x14ac:dyDescent="0.25">
      <c r="A9" s="4" t="s">
        <v>5065</v>
      </c>
      <c r="B9" s="5">
        <v>4105</v>
      </c>
      <c r="C9" s="5">
        <v>895</v>
      </c>
      <c r="D9" s="5">
        <v>5000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E042-7269-4A08-B6FA-AAFEE1414D44}">
  <dimension ref="A1:Q5001"/>
  <sheetViews>
    <sheetView workbookViewId="0">
      <selection activeCell="K22" sqref="K22"/>
    </sheetView>
  </sheetViews>
  <sheetFormatPr defaultRowHeight="15" x14ac:dyDescent="0.25"/>
  <cols>
    <col min="1" max="1" width="10.140625" bestFit="1" customWidth="1"/>
    <col min="2" max="2" width="12.5703125" bestFit="1" customWidth="1"/>
    <col min="3" max="3" width="15.5703125" bestFit="1" customWidth="1"/>
    <col min="4" max="4" width="8.140625" bestFit="1" customWidth="1"/>
    <col min="5" max="5" width="9.5703125" bestFit="1" customWidth="1"/>
    <col min="6" max="6" width="16" bestFit="1" customWidth="1"/>
    <col min="7" max="7" width="19.28515625" bestFit="1" customWidth="1"/>
    <col min="8" max="8" width="10.5703125" bestFit="1" customWidth="1"/>
    <col min="10" max="10" width="1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5063</v>
      </c>
    </row>
    <row r="2" spans="1:17" x14ac:dyDescent="0.25">
      <c r="A2" t="s">
        <v>14</v>
      </c>
      <c r="B2" s="1">
        <v>45674</v>
      </c>
      <c r="C2" s="2">
        <v>45674.415833333333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48</v>
      </c>
      <c r="L2">
        <v>9.98</v>
      </c>
      <c r="M2">
        <v>4.3</v>
      </c>
      <c r="N2" t="s">
        <v>22</v>
      </c>
      <c r="O2" t="str">
        <f>IF(L2&gt;K2,"Yes","No")</f>
        <v>No</v>
      </c>
    </row>
    <row r="3" spans="1:17" x14ac:dyDescent="0.25">
      <c r="A3" t="s">
        <v>23</v>
      </c>
      <c r="B3" s="1">
        <v>45798</v>
      </c>
      <c r="C3" s="2">
        <v>45798.286666666667</v>
      </c>
      <c r="D3" t="s">
        <v>24</v>
      </c>
      <c r="E3" t="s">
        <v>25</v>
      </c>
      <c r="F3" t="s">
        <v>26</v>
      </c>
      <c r="G3" t="s">
        <v>18</v>
      </c>
      <c r="H3" t="s">
        <v>27</v>
      </c>
      <c r="I3" t="s">
        <v>28</v>
      </c>
      <c r="J3" t="s">
        <v>29</v>
      </c>
      <c r="K3">
        <v>24</v>
      </c>
      <c r="L3">
        <v>6.88</v>
      </c>
      <c r="M3">
        <v>4.5999999999999996</v>
      </c>
      <c r="N3" t="s">
        <v>22</v>
      </c>
      <c r="O3" t="str">
        <f t="shared" ref="O3:O66" si="0">IF(L3&gt;K3,"Yes","No")</f>
        <v>No</v>
      </c>
    </row>
    <row r="4" spans="1:17" x14ac:dyDescent="0.25">
      <c r="A4" t="s">
        <v>30</v>
      </c>
      <c r="B4" s="1">
        <v>45776</v>
      </c>
      <c r="C4" s="2">
        <v>45776.127916666665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>
        <v>4</v>
      </c>
      <c r="L4">
        <v>3.07</v>
      </c>
      <c r="M4">
        <v>3.6</v>
      </c>
      <c r="N4" t="s">
        <v>22</v>
      </c>
      <c r="O4" t="str">
        <f t="shared" si="0"/>
        <v>No</v>
      </c>
    </row>
    <row r="5" spans="1:17" x14ac:dyDescent="0.25">
      <c r="A5" t="s">
        <v>37</v>
      </c>
      <c r="B5" s="1">
        <v>45737</v>
      </c>
      <c r="C5" s="2">
        <v>45737.117083333331</v>
      </c>
      <c r="D5" t="s">
        <v>38</v>
      </c>
      <c r="E5" t="s">
        <v>39</v>
      </c>
      <c r="F5" t="s">
        <v>40</v>
      </c>
      <c r="G5" t="s">
        <v>41</v>
      </c>
      <c r="H5" t="s">
        <v>19</v>
      </c>
      <c r="I5" t="s">
        <v>36</v>
      </c>
      <c r="J5" t="s">
        <v>21</v>
      </c>
      <c r="K5">
        <v>8</v>
      </c>
      <c r="L5">
        <v>2.81</v>
      </c>
      <c r="M5">
        <v>4.0999999999999996</v>
      </c>
      <c r="N5" t="s">
        <v>22</v>
      </c>
      <c r="O5" t="str">
        <f t="shared" si="0"/>
        <v>No</v>
      </c>
    </row>
    <row r="6" spans="1:17" x14ac:dyDescent="0.25">
      <c r="A6" t="s">
        <v>42</v>
      </c>
      <c r="B6" s="1">
        <v>45736</v>
      </c>
      <c r="C6" s="2">
        <v>45736.419166666667</v>
      </c>
      <c r="D6" t="s">
        <v>15</v>
      </c>
      <c r="E6" t="s">
        <v>16</v>
      </c>
      <c r="F6" t="s">
        <v>43</v>
      </c>
      <c r="G6" t="s">
        <v>41</v>
      </c>
      <c r="H6" t="s">
        <v>44</v>
      </c>
      <c r="I6" t="s">
        <v>45</v>
      </c>
      <c r="J6" t="s">
        <v>46</v>
      </c>
      <c r="K6">
        <v>48</v>
      </c>
      <c r="L6">
        <v>10.06</v>
      </c>
      <c r="M6">
        <v>2.7</v>
      </c>
      <c r="N6" t="s">
        <v>22</v>
      </c>
      <c r="O6" t="str">
        <f t="shared" si="0"/>
        <v>No</v>
      </c>
    </row>
    <row r="7" spans="1:17" x14ac:dyDescent="0.25">
      <c r="A7" t="s">
        <v>47</v>
      </c>
      <c r="B7" s="1">
        <v>45813</v>
      </c>
      <c r="C7" s="2">
        <v>45816.68041666667</v>
      </c>
      <c r="D7" t="s">
        <v>15</v>
      </c>
      <c r="E7" t="s">
        <v>25</v>
      </c>
      <c r="F7" t="s">
        <v>48</v>
      </c>
      <c r="G7" t="s">
        <v>18</v>
      </c>
      <c r="H7" t="s">
        <v>44</v>
      </c>
      <c r="I7" t="s">
        <v>36</v>
      </c>
      <c r="J7" t="s">
        <v>46</v>
      </c>
      <c r="K7">
        <v>48</v>
      </c>
      <c r="L7">
        <v>88.33</v>
      </c>
      <c r="M7">
        <v>3.7</v>
      </c>
      <c r="N7" t="s">
        <v>22</v>
      </c>
      <c r="O7" t="str">
        <f t="shared" si="0"/>
        <v>Yes</v>
      </c>
    </row>
    <row r="8" spans="1:17" x14ac:dyDescent="0.25">
      <c r="A8" t="s">
        <v>49</v>
      </c>
      <c r="B8" s="1">
        <v>45673</v>
      </c>
      <c r="C8" s="2">
        <v>45673.049166666664</v>
      </c>
      <c r="D8" t="s">
        <v>38</v>
      </c>
      <c r="E8" t="s">
        <v>45</v>
      </c>
      <c r="F8" t="s">
        <v>50</v>
      </c>
      <c r="G8" t="s">
        <v>51</v>
      </c>
      <c r="H8" t="s">
        <v>19</v>
      </c>
      <c r="I8" t="s">
        <v>45</v>
      </c>
      <c r="J8" t="s">
        <v>21</v>
      </c>
      <c r="K8">
        <v>8</v>
      </c>
      <c r="L8">
        <v>1.18</v>
      </c>
      <c r="M8">
        <v>5</v>
      </c>
      <c r="N8" t="s">
        <v>22</v>
      </c>
      <c r="O8" t="str">
        <f t="shared" si="0"/>
        <v>No</v>
      </c>
    </row>
    <row r="9" spans="1:17" x14ac:dyDescent="0.25">
      <c r="A9" t="s">
        <v>52</v>
      </c>
      <c r="B9" s="1">
        <v>45784</v>
      </c>
      <c r="C9" s="2">
        <v>45784.090416666666</v>
      </c>
      <c r="D9" t="s">
        <v>38</v>
      </c>
      <c r="E9" t="s">
        <v>25</v>
      </c>
      <c r="F9" t="s">
        <v>53</v>
      </c>
      <c r="G9" t="s">
        <v>34</v>
      </c>
      <c r="H9" t="s">
        <v>54</v>
      </c>
      <c r="I9" t="s">
        <v>45</v>
      </c>
      <c r="J9" t="s">
        <v>21</v>
      </c>
      <c r="K9">
        <v>8</v>
      </c>
      <c r="L9">
        <v>2.17</v>
      </c>
      <c r="M9">
        <v>5</v>
      </c>
      <c r="N9" t="s">
        <v>22</v>
      </c>
      <c r="O9" t="str">
        <f t="shared" si="0"/>
        <v>No</v>
      </c>
    </row>
    <row r="10" spans="1:17" x14ac:dyDescent="0.25">
      <c r="A10" t="s">
        <v>55</v>
      </c>
      <c r="B10" s="1">
        <v>45694</v>
      </c>
      <c r="C10" s="2">
        <v>45694.317499999997</v>
      </c>
      <c r="D10" t="s">
        <v>24</v>
      </c>
      <c r="E10" t="s">
        <v>16</v>
      </c>
      <c r="F10" t="s">
        <v>43</v>
      </c>
      <c r="G10" t="s">
        <v>56</v>
      </c>
      <c r="H10" t="s">
        <v>54</v>
      </c>
      <c r="I10" t="s">
        <v>20</v>
      </c>
      <c r="J10" t="s">
        <v>46</v>
      </c>
      <c r="K10">
        <v>24</v>
      </c>
      <c r="L10">
        <v>7.62</v>
      </c>
      <c r="M10">
        <v>4.0999999999999996</v>
      </c>
      <c r="N10" t="s">
        <v>22</v>
      </c>
      <c r="O10" t="str">
        <f t="shared" si="0"/>
        <v>No</v>
      </c>
    </row>
    <row r="11" spans="1:17" x14ac:dyDescent="0.25">
      <c r="A11" t="s">
        <v>57</v>
      </c>
      <c r="B11" s="1">
        <v>45675</v>
      </c>
      <c r="C11" s="2">
        <v>45675.184166666666</v>
      </c>
      <c r="D11" t="s">
        <v>24</v>
      </c>
      <c r="E11" t="s">
        <v>16</v>
      </c>
      <c r="F11" t="s">
        <v>58</v>
      </c>
      <c r="G11" t="s">
        <v>56</v>
      </c>
      <c r="H11" t="s">
        <v>27</v>
      </c>
      <c r="I11" t="s">
        <v>36</v>
      </c>
      <c r="J11" t="s">
        <v>21</v>
      </c>
      <c r="K11">
        <v>24</v>
      </c>
      <c r="L11">
        <v>4.42</v>
      </c>
      <c r="M11">
        <v>4</v>
      </c>
      <c r="N11" t="s">
        <v>22</v>
      </c>
      <c r="O11" t="str">
        <f t="shared" si="0"/>
        <v>No</v>
      </c>
    </row>
    <row r="12" spans="1:17" x14ac:dyDescent="0.25">
      <c r="A12" t="s">
        <v>59</v>
      </c>
      <c r="B12" s="1">
        <v>45753</v>
      </c>
      <c r="C12" s="2">
        <v>45753.290416666663</v>
      </c>
      <c r="D12" t="s">
        <v>24</v>
      </c>
      <c r="E12" t="s">
        <v>16</v>
      </c>
      <c r="F12" t="s">
        <v>60</v>
      </c>
      <c r="G12" t="s">
        <v>34</v>
      </c>
      <c r="H12" t="s">
        <v>35</v>
      </c>
      <c r="I12" t="s">
        <v>36</v>
      </c>
      <c r="J12" t="s">
        <v>21</v>
      </c>
      <c r="K12">
        <v>24</v>
      </c>
      <c r="L12">
        <v>6.97</v>
      </c>
      <c r="M12">
        <v>3.6</v>
      </c>
      <c r="N12" t="s">
        <v>61</v>
      </c>
      <c r="O12" t="str">
        <f t="shared" si="0"/>
        <v>No</v>
      </c>
    </row>
    <row r="13" spans="1:17" x14ac:dyDescent="0.25">
      <c r="A13" t="s">
        <v>62</v>
      </c>
      <c r="B13" s="1">
        <v>45834</v>
      </c>
      <c r="C13" s="2">
        <v>45834.648333333331</v>
      </c>
      <c r="D13" t="s">
        <v>24</v>
      </c>
      <c r="E13" t="s">
        <v>16</v>
      </c>
      <c r="F13" t="s">
        <v>43</v>
      </c>
      <c r="G13" t="s">
        <v>41</v>
      </c>
      <c r="H13" t="s">
        <v>54</v>
      </c>
      <c r="I13" t="s">
        <v>20</v>
      </c>
      <c r="J13" t="s">
        <v>46</v>
      </c>
      <c r="K13">
        <v>24</v>
      </c>
      <c r="L13">
        <v>15.56</v>
      </c>
      <c r="M13">
        <v>4.5999999999999996</v>
      </c>
      <c r="N13" t="s">
        <v>22</v>
      </c>
      <c r="O13" t="str">
        <f t="shared" si="0"/>
        <v>No</v>
      </c>
    </row>
    <row r="14" spans="1:17" x14ac:dyDescent="0.25">
      <c r="A14" t="s">
        <v>63</v>
      </c>
      <c r="B14" s="1">
        <v>45791</v>
      </c>
      <c r="C14" s="2">
        <v>45792.735000000001</v>
      </c>
      <c r="D14" t="s">
        <v>15</v>
      </c>
      <c r="E14" t="s">
        <v>32</v>
      </c>
      <c r="F14" t="s">
        <v>64</v>
      </c>
      <c r="G14" t="s">
        <v>34</v>
      </c>
      <c r="H14" t="s">
        <v>65</v>
      </c>
      <c r="I14" t="s">
        <v>36</v>
      </c>
      <c r="J14" t="s">
        <v>21</v>
      </c>
      <c r="K14">
        <v>48</v>
      </c>
      <c r="L14">
        <v>41.64</v>
      </c>
      <c r="M14">
        <v>4.8</v>
      </c>
      <c r="N14" t="s">
        <v>22</v>
      </c>
      <c r="O14" t="str">
        <f t="shared" si="0"/>
        <v>No</v>
      </c>
    </row>
    <row r="15" spans="1:17" x14ac:dyDescent="0.25">
      <c r="A15" t="s">
        <v>66</v>
      </c>
      <c r="B15" s="1">
        <v>45795</v>
      </c>
      <c r="C15" s="2">
        <v>45800.611250000002</v>
      </c>
      <c r="D15" t="s">
        <v>15</v>
      </c>
      <c r="E15" t="s">
        <v>16</v>
      </c>
      <c r="F15" t="s">
        <v>58</v>
      </c>
      <c r="G15" t="s">
        <v>18</v>
      </c>
      <c r="H15" t="s">
        <v>54</v>
      </c>
      <c r="I15" t="s">
        <v>45</v>
      </c>
      <c r="J15" t="s">
        <v>21</v>
      </c>
      <c r="K15">
        <v>48</v>
      </c>
      <c r="L15">
        <v>134.66999999999999</v>
      </c>
      <c r="M15">
        <v>1.7</v>
      </c>
      <c r="N15" t="s">
        <v>22</v>
      </c>
      <c r="O15" t="str">
        <f t="shared" si="0"/>
        <v>Yes</v>
      </c>
    </row>
    <row r="16" spans="1:17" x14ac:dyDescent="0.25">
      <c r="A16" t="s">
        <v>67</v>
      </c>
      <c r="B16" s="1">
        <v>45787</v>
      </c>
      <c r="C16" s="2">
        <v>45787.657500000001</v>
      </c>
      <c r="D16" t="s">
        <v>15</v>
      </c>
      <c r="E16" t="s">
        <v>16</v>
      </c>
      <c r="F16" t="s">
        <v>17</v>
      </c>
      <c r="G16" t="s">
        <v>18</v>
      </c>
      <c r="H16" t="s">
        <v>44</v>
      </c>
      <c r="I16" t="s">
        <v>36</v>
      </c>
      <c r="J16" t="s">
        <v>21</v>
      </c>
      <c r="K16">
        <v>48</v>
      </c>
      <c r="L16">
        <v>15.78</v>
      </c>
      <c r="M16">
        <v>5</v>
      </c>
      <c r="N16" t="s">
        <v>22</v>
      </c>
      <c r="O16" t="str">
        <f t="shared" si="0"/>
        <v>No</v>
      </c>
      <c r="Q16">
        <f>COUNTIF(O2:O5001,"Yes")</f>
        <v>895</v>
      </c>
    </row>
    <row r="17" spans="1:17" x14ac:dyDescent="0.25">
      <c r="A17" t="s">
        <v>68</v>
      </c>
      <c r="B17" s="1">
        <v>45800</v>
      </c>
      <c r="C17" s="2">
        <v>45800.272916666669</v>
      </c>
      <c r="D17" t="s">
        <v>38</v>
      </c>
      <c r="E17" t="s">
        <v>16</v>
      </c>
      <c r="F17" t="s">
        <v>58</v>
      </c>
      <c r="G17" t="s">
        <v>34</v>
      </c>
      <c r="H17" t="s">
        <v>65</v>
      </c>
      <c r="I17" t="s">
        <v>36</v>
      </c>
      <c r="J17" t="s">
        <v>21</v>
      </c>
      <c r="K17">
        <v>8</v>
      </c>
      <c r="L17">
        <v>6.55</v>
      </c>
      <c r="M17">
        <v>4.3</v>
      </c>
      <c r="N17" t="s">
        <v>22</v>
      </c>
      <c r="O17" t="str">
        <f t="shared" si="0"/>
        <v>No</v>
      </c>
    </row>
    <row r="18" spans="1:17" x14ac:dyDescent="0.25">
      <c r="A18" t="s">
        <v>69</v>
      </c>
      <c r="B18" s="1">
        <v>45750</v>
      </c>
      <c r="C18" s="2">
        <v>45751.495416666665</v>
      </c>
      <c r="D18" t="s">
        <v>15</v>
      </c>
      <c r="E18" t="s">
        <v>25</v>
      </c>
      <c r="F18" t="s">
        <v>70</v>
      </c>
      <c r="G18" t="s">
        <v>51</v>
      </c>
      <c r="H18" t="s">
        <v>65</v>
      </c>
      <c r="I18" t="s">
        <v>45</v>
      </c>
      <c r="J18" t="s">
        <v>21</v>
      </c>
      <c r="K18">
        <v>48</v>
      </c>
      <c r="L18">
        <v>35.89</v>
      </c>
      <c r="M18">
        <v>3.6</v>
      </c>
      <c r="N18" t="s">
        <v>22</v>
      </c>
      <c r="O18" t="str">
        <f t="shared" si="0"/>
        <v>No</v>
      </c>
    </row>
    <row r="19" spans="1:17" x14ac:dyDescent="0.25">
      <c r="A19" t="s">
        <v>71</v>
      </c>
      <c r="B19" s="1">
        <v>45681</v>
      </c>
      <c r="C19" s="2">
        <v>45682.910833333335</v>
      </c>
      <c r="D19" t="s">
        <v>15</v>
      </c>
      <c r="E19" t="s">
        <v>16</v>
      </c>
      <c r="F19" t="s">
        <v>17</v>
      </c>
      <c r="G19" t="s">
        <v>56</v>
      </c>
      <c r="H19" t="s">
        <v>35</v>
      </c>
      <c r="I19" t="s">
        <v>36</v>
      </c>
      <c r="J19" t="s">
        <v>21</v>
      </c>
      <c r="K19">
        <v>48</v>
      </c>
      <c r="L19">
        <v>45.86</v>
      </c>
      <c r="M19">
        <v>4.5</v>
      </c>
      <c r="N19" t="s">
        <v>22</v>
      </c>
      <c r="O19" t="str">
        <f t="shared" si="0"/>
        <v>No</v>
      </c>
    </row>
    <row r="20" spans="1:17" x14ac:dyDescent="0.25">
      <c r="A20" t="s">
        <v>72</v>
      </c>
      <c r="B20" s="1">
        <v>45809</v>
      </c>
      <c r="C20" s="2">
        <v>45810.918333333335</v>
      </c>
      <c r="D20" t="s">
        <v>24</v>
      </c>
      <c r="E20" t="s">
        <v>39</v>
      </c>
      <c r="F20" t="s">
        <v>40</v>
      </c>
      <c r="G20" t="s">
        <v>18</v>
      </c>
      <c r="H20" t="s">
        <v>35</v>
      </c>
      <c r="I20" t="s">
        <v>20</v>
      </c>
      <c r="J20" t="s">
        <v>21</v>
      </c>
      <c r="K20">
        <v>24</v>
      </c>
      <c r="L20">
        <v>46.04</v>
      </c>
      <c r="M20">
        <v>3.3</v>
      </c>
      <c r="N20" t="s">
        <v>22</v>
      </c>
      <c r="O20" t="str">
        <f t="shared" si="0"/>
        <v>Yes</v>
      </c>
    </row>
    <row r="21" spans="1:17" x14ac:dyDescent="0.25">
      <c r="A21" t="s">
        <v>73</v>
      </c>
      <c r="B21" s="1">
        <v>45739</v>
      </c>
      <c r="C21" s="2">
        <v>45740.830833333333</v>
      </c>
      <c r="D21" t="s">
        <v>15</v>
      </c>
      <c r="E21" t="s">
        <v>32</v>
      </c>
      <c r="F21" t="s">
        <v>64</v>
      </c>
      <c r="G21" t="s">
        <v>56</v>
      </c>
      <c r="H21" t="s">
        <v>44</v>
      </c>
      <c r="I21" t="s">
        <v>45</v>
      </c>
      <c r="J21" t="s">
        <v>21</v>
      </c>
      <c r="K21">
        <v>48</v>
      </c>
      <c r="L21">
        <v>43.94</v>
      </c>
      <c r="M21">
        <v>3.3</v>
      </c>
      <c r="N21" t="s">
        <v>22</v>
      </c>
      <c r="O21" t="str">
        <f t="shared" si="0"/>
        <v>No</v>
      </c>
    </row>
    <row r="22" spans="1:17" x14ac:dyDescent="0.25">
      <c r="A22" t="s">
        <v>74</v>
      </c>
      <c r="B22" s="1">
        <v>45748</v>
      </c>
      <c r="C22" s="2">
        <v>45749.087500000001</v>
      </c>
      <c r="D22" t="s">
        <v>15</v>
      </c>
      <c r="E22" t="s">
        <v>32</v>
      </c>
      <c r="F22" t="s">
        <v>75</v>
      </c>
      <c r="G22" t="s">
        <v>51</v>
      </c>
      <c r="H22" t="s">
        <v>19</v>
      </c>
      <c r="I22" t="s">
        <v>20</v>
      </c>
      <c r="J22" t="s">
        <v>21</v>
      </c>
      <c r="K22">
        <v>48</v>
      </c>
      <c r="L22">
        <v>26.1</v>
      </c>
      <c r="M22">
        <v>4.9000000000000004</v>
      </c>
      <c r="N22" t="s">
        <v>61</v>
      </c>
      <c r="O22" t="str">
        <f t="shared" si="0"/>
        <v>No</v>
      </c>
      <c r="Q22">
        <f>COUNTIF(O2:O5001,"Yes")/COUNTA(A2:A5001)*100</f>
        <v>17.899999999999999</v>
      </c>
    </row>
    <row r="23" spans="1:17" x14ac:dyDescent="0.25">
      <c r="A23" t="s">
        <v>76</v>
      </c>
      <c r="B23" s="1">
        <v>45725</v>
      </c>
      <c r="C23" s="2">
        <v>45725.446250000001</v>
      </c>
      <c r="D23" t="s">
        <v>24</v>
      </c>
      <c r="E23" t="s">
        <v>39</v>
      </c>
      <c r="F23" t="s">
        <v>40</v>
      </c>
      <c r="G23" t="s">
        <v>41</v>
      </c>
      <c r="H23" t="s">
        <v>35</v>
      </c>
      <c r="I23" t="s">
        <v>20</v>
      </c>
      <c r="J23" t="s">
        <v>21</v>
      </c>
      <c r="K23">
        <v>24</v>
      </c>
      <c r="L23">
        <v>10.71</v>
      </c>
      <c r="M23">
        <v>4.4000000000000004</v>
      </c>
      <c r="N23" t="s">
        <v>22</v>
      </c>
      <c r="O23" t="str">
        <f t="shared" si="0"/>
        <v>No</v>
      </c>
    </row>
    <row r="24" spans="1:17" x14ac:dyDescent="0.25">
      <c r="A24" t="s">
        <v>77</v>
      </c>
      <c r="B24" s="1">
        <v>45691</v>
      </c>
      <c r="C24" s="2">
        <v>45691.095000000001</v>
      </c>
      <c r="D24" t="s">
        <v>24</v>
      </c>
      <c r="E24" t="s">
        <v>39</v>
      </c>
      <c r="F24" t="s">
        <v>78</v>
      </c>
      <c r="G24" t="s">
        <v>41</v>
      </c>
      <c r="H24" t="s">
        <v>27</v>
      </c>
      <c r="I24" t="s">
        <v>36</v>
      </c>
      <c r="J24" t="s">
        <v>46</v>
      </c>
      <c r="K24">
        <v>24</v>
      </c>
      <c r="L24">
        <v>2.2799999999999998</v>
      </c>
      <c r="M24">
        <v>4.7</v>
      </c>
      <c r="N24" t="s">
        <v>61</v>
      </c>
      <c r="O24" t="str">
        <f t="shared" si="0"/>
        <v>No</v>
      </c>
    </row>
    <row r="25" spans="1:17" x14ac:dyDescent="0.25">
      <c r="A25" t="s">
        <v>79</v>
      </c>
      <c r="B25" s="1">
        <v>45825</v>
      </c>
      <c r="C25" s="2">
        <v>45825.517916666664</v>
      </c>
      <c r="D25" t="s">
        <v>24</v>
      </c>
      <c r="E25" t="s">
        <v>32</v>
      </c>
      <c r="F25" t="s">
        <v>80</v>
      </c>
      <c r="G25" t="s">
        <v>18</v>
      </c>
      <c r="H25" t="s">
        <v>65</v>
      </c>
      <c r="I25" t="s">
        <v>36</v>
      </c>
      <c r="J25" t="s">
        <v>46</v>
      </c>
      <c r="K25">
        <v>24</v>
      </c>
      <c r="L25">
        <v>12.43</v>
      </c>
      <c r="M25">
        <v>4.5999999999999996</v>
      </c>
      <c r="N25" t="s">
        <v>22</v>
      </c>
      <c r="O25" t="str">
        <f t="shared" si="0"/>
        <v>No</v>
      </c>
    </row>
    <row r="26" spans="1:17" x14ac:dyDescent="0.25">
      <c r="A26" t="s">
        <v>81</v>
      </c>
      <c r="B26" s="1">
        <v>45799</v>
      </c>
      <c r="C26" s="2">
        <v>45799.248749999999</v>
      </c>
      <c r="D26" t="s">
        <v>38</v>
      </c>
      <c r="E26" t="s">
        <v>32</v>
      </c>
      <c r="F26" t="s">
        <v>33</v>
      </c>
      <c r="G26" t="s">
        <v>56</v>
      </c>
      <c r="H26" t="s">
        <v>27</v>
      </c>
      <c r="I26" t="s">
        <v>20</v>
      </c>
      <c r="J26" t="s">
        <v>21</v>
      </c>
      <c r="K26">
        <v>8</v>
      </c>
      <c r="L26">
        <v>5.97</v>
      </c>
      <c r="M26">
        <v>4.3</v>
      </c>
      <c r="N26" t="s">
        <v>22</v>
      </c>
      <c r="O26" t="str">
        <f t="shared" si="0"/>
        <v>No</v>
      </c>
    </row>
    <row r="27" spans="1:17" x14ac:dyDescent="0.25">
      <c r="A27" t="s">
        <v>82</v>
      </c>
      <c r="B27" s="1">
        <v>45774</v>
      </c>
      <c r="C27" s="2">
        <v>45775.032500000001</v>
      </c>
      <c r="D27" t="s">
        <v>15</v>
      </c>
      <c r="E27" t="s">
        <v>32</v>
      </c>
      <c r="F27" t="s">
        <v>33</v>
      </c>
      <c r="G27" t="s">
        <v>34</v>
      </c>
      <c r="H27" t="s">
        <v>54</v>
      </c>
      <c r="I27" t="s">
        <v>36</v>
      </c>
      <c r="J27" t="s">
        <v>21</v>
      </c>
      <c r="K27">
        <v>48</v>
      </c>
      <c r="L27">
        <v>24.78</v>
      </c>
      <c r="M27">
        <v>5</v>
      </c>
      <c r="N27" t="s">
        <v>22</v>
      </c>
      <c r="O27" t="str">
        <f t="shared" si="0"/>
        <v>No</v>
      </c>
    </row>
    <row r="28" spans="1:17" x14ac:dyDescent="0.25">
      <c r="A28" t="s">
        <v>83</v>
      </c>
      <c r="B28" s="1">
        <v>45730</v>
      </c>
      <c r="C28" s="2">
        <v>45730.184583333335</v>
      </c>
      <c r="D28" t="s">
        <v>38</v>
      </c>
      <c r="E28" t="s">
        <v>25</v>
      </c>
      <c r="F28" t="s">
        <v>48</v>
      </c>
      <c r="G28" t="s">
        <v>18</v>
      </c>
      <c r="H28" t="s">
        <v>54</v>
      </c>
      <c r="I28" t="s">
        <v>36</v>
      </c>
      <c r="J28" t="s">
        <v>21</v>
      </c>
      <c r="K28">
        <v>8</v>
      </c>
      <c r="L28">
        <v>4.43</v>
      </c>
      <c r="M28">
        <v>3.8</v>
      </c>
      <c r="N28" t="s">
        <v>22</v>
      </c>
      <c r="O28" t="str">
        <f t="shared" si="0"/>
        <v>No</v>
      </c>
    </row>
    <row r="29" spans="1:17" x14ac:dyDescent="0.25">
      <c r="A29" t="s">
        <v>84</v>
      </c>
      <c r="B29" s="1">
        <v>45806</v>
      </c>
      <c r="C29" s="2">
        <v>45806.240833333337</v>
      </c>
      <c r="D29" t="s">
        <v>38</v>
      </c>
      <c r="E29" t="s">
        <v>25</v>
      </c>
      <c r="F29" t="s">
        <v>26</v>
      </c>
      <c r="G29" t="s">
        <v>51</v>
      </c>
      <c r="H29" t="s">
        <v>27</v>
      </c>
      <c r="I29" t="s">
        <v>36</v>
      </c>
      <c r="J29" t="s">
        <v>85</v>
      </c>
      <c r="K29">
        <v>8</v>
      </c>
      <c r="L29">
        <v>5.78</v>
      </c>
      <c r="M29">
        <v>4.5</v>
      </c>
      <c r="N29" t="s">
        <v>22</v>
      </c>
      <c r="O29" t="str">
        <f t="shared" si="0"/>
        <v>No</v>
      </c>
    </row>
    <row r="30" spans="1:17" x14ac:dyDescent="0.25">
      <c r="A30" t="s">
        <v>86</v>
      </c>
      <c r="B30" s="1">
        <v>45756</v>
      </c>
      <c r="C30" s="2">
        <v>45756.234166666669</v>
      </c>
      <c r="D30" t="s">
        <v>38</v>
      </c>
      <c r="E30" t="s">
        <v>39</v>
      </c>
      <c r="F30" t="s">
        <v>87</v>
      </c>
      <c r="G30" t="s">
        <v>34</v>
      </c>
      <c r="H30" t="s">
        <v>44</v>
      </c>
      <c r="I30" t="s">
        <v>45</v>
      </c>
      <c r="J30" t="s">
        <v>21</v>
      </c>
      <c r="K30">
        <v>8</v>
      </c>
      <c r="L30">
        <v>5.62</v>
      </c>
      <c r="M30">
        <v>3.4</v>
      </c>
      <c r="N30" t="s">
        <v>61</v>
      </c>
      <c r="O30" t="str">
        <f t="shared" si="0"/>
        <v>No</v>
      </c>
    </row>
    <row r="31" spans="1:17" x14ac:dyDescent="0.25">
      <c r="A31" t="s">
        <v>88</v>
      </c>
      <c r="B31" s="1">
        <v>45738</v>
      </c>
      <c r="C31" s="2">
        <v>45738.899155092593</v>
      </c>
      <c r="D31" t="s">
        <v>24</v>
      </c>
      <c r="E31" t="s">
        <v>32</v>
      </c>
      <c r="F31" t="s">
        <v>64</v>
      </c>
      <c r="G31" t="s">
        <v>56</v>
      </c>
      <c r="H31" t="s">
        <v>54</v>
      </c>
      <c r="I31" t="s">
        <v>36</v>
      </c>
      <c r="J31" t="s">
        <v>21</v>
      </c>
      <c r="K31">
        <v>24</v>
      </c>
      <c r="L31">
        <v>21.58</v>
      </c>
      <c r="M31">
        <v>3.8</v>
      </c>
      <c r="N31" t="s">
        <v>22</v>
      </c>
      <c r="O31" t="str">
        <f t="shared" si="0"/>
        <v>No</v>
      </c>
    </row>
    <row r="32" spans="1:17" x14ac:dyDescent="0.25">
      <c r="A32" t="s">
        <v>89</v>
      </c>
      <c r="B32" s="1">
        <v>45739</v>
      </c>
      <c r="C32" s="2">
        <v>45740.827499999999</v>
      </c>
      <c r="D32" t="s">
        <v>24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 t="s">
        <v>46</v>
      </c>
      <c r="K32">
        <v>24</v>
      </c>
      <c r="L32">
        <v>43.86</v>
      </c>
      <c r="M32">
        <v>2.7</v>
      </c>
      <c r="N32" t="s">
        <v>22</v>
      </c>
      <c r="O32" t="str">
        <f t="shared" si="0"/>
        <v>Yes</v>
      </c>
    </row>
    <row r="33" spans="1:15" x14ac:dyDescent="0.25">
      <c r="A33" t="s">
        <v>90</v>
      </c>
      <c r="B33" s="1">
        <v>45699</v>
      </c>
      <c r="C33" s="2">
        <v>45699.802916666667</v>
      </c>
      <c r="D33" t="s">
        <v>24</v>
      </c>
      <c r="E33" t="s">
        <v>32</v>
      </c>
      <c r="F33" t="s">
        <v>64</v>
      </c>
      <c r="G33" t="s">
        <v>34</v>
      </c>
      <c r="H33" t="s">
        <v>65</v>
      </c>
      <c r="I33" t="s">
        <v>45</v>
      </c>
      <c r="J33" t="s">
        <v>46</v>
      </c>
      <c r="K33">
        <v>24</v>
      </c>
      <c r="L33">
        <v>19.27</v>
      </c>
      <c r="M33">
        <v>4.7</v>
      </c>
      <c r="N33" t="s">
        <v>22</v>
      </c>
      <c r="O33" t="str">
        <f t="shared" si="0"/>
        <v>No</v>
      </c>
    </row>
    <row r="34" spans="1:15" x14ac:dyDescent="0.25">
      <c r="A34" t="s">
        <v>91</v>
      </c>
      <c r="B34" s="1">
        <v>45674</v>
      </c>
      <c r="C34" s="2">
        <v>45674.2</v>
      </c>
      <c r="D34" t="s">
        <v>24</v>
      </c>
      <c r="E34" t="s">
        <v>39</v>
      </c>
      <c r="F34" t="s">
        <v>78</v>
      </c>
      <c r="G34" t="s">
        <v>51</v>
      </c>
      <c r="H34" t="s">
        <v>54</v>
      </c>
      <c r="I34" t="s">
        <v>20</v>
      </c>
      <c r="J34" t="s">
        <v>29</v>
      </c>
      <c r="K34">
        <v>24</v>
      </c>
      <c r="L34">
        <v>4.8</v>
      </c>
      <c r="M34">
        <v>4.8</v>
      </c>
      <c r="N34" t="s">
        <v>22</v>
      </c>
      <c r="O34" t="str">
        <f t="shared" si="0"/>
        <v>No</v>
      </c>
    </row>
    <row r="35" spans="1:15" x14ac:dyDescent="0.25">
      <c r="A35" t="s">
        <v>92</v>
      </c>
      <c r="B35" s="1">
        <v>45758</v>
      </c>
      <c r="C35" s="2">
        <v>45758.834583333337</v>
      </c>
      <c r="D35" t="s">
        <v>15</v>
      </c>
      <c r="E35" t="s">
        <v>32</v>
      </c>
      <c r="F35" t="s">
        <v>64</v>
      </c>
      <c r="G35" t="s">
        <v>18</v>
      </c>
      <c r="H35" t="s">
        <v>54</v>
      </c>
      <c r="I35" t="s">
        <v>36</v>
      </c>
      <c r="J35" t="s">
        <v>21</v>
      </c>
      <c r="K35">
        <v>48</v>
      </c>
      <c r="L35">
        <v>20.03</v>
      </c>
      <c r="M35">
        <v>4.3</v>
      </c>
      <c r="N35" t="s">
        <v>22</v>
      </c>
      <c r="O35" t="str">
        <f t="shared" si="0"/>
        <v>No</v>
      </c>
    </row>
    <row r="36" spans="1:15" x14ac:dyDescent="0.25">
      <c r="A36" t="s">
        <v>93</v>
      </c>
      <c r="B36" s="1">
        <v>45818</v>
      </c>
      <c r="C36" s="2">
        <v>45818.103333333333</v>
      </c>
      <c r="D36" t="s">
        <v>31</v>
      </c>
      <c r="E36" t="s">
        <v>39</v>
      </c>
      <c r="F36" t="s">
        <v>40</v>
      </c>
      <c r="G36" t="s">
        <v>18</v>
      </c>
      <c r="H36" t="s">
        <v>54</v>
      </c>
      <c r="I36" t="s">
        <v>20</v>
      </c>
      <c r="J36" t="s">
        <v>85</v>
      </c>
      <c r="K36">
        <v>4</v>
      </c>
      <c r="L36">
        <v>2.48</v>
      </c>
      <c r="M36">
        <v>5</v>
      </c>
      <c r="N36" t="s">
        <v>22</v>
      </c>
      <c r="O36" t="str">
        <f t="shared" si="0"/>
        <v>No</v>
      </c>
    </row>
    <row r="37" spans="1:15" x14ac:dyDescent="0.25">
      <c r="A37" t="s">
        <v>94</v>
      </c>
      <c r="B37" s="1">
        <v>45669</v>
      </c>
      <c r="C37" s="2">
        <v>45670.293749999997</v>
      </c>
      <c r="D37" t="s">
        <v>24</v>
      </c>
      <c r="E37" t="s">
        <v>45</v>
      </c>
      <c r="F37" t="s">
        <v>50</v>
      </c>
      <c r="G37" t="s">
        <v>34</v>
      </c>
      <c r="H37" t="s">
        <v>44</v>
      </c>
      <c r="I37" t="s">
        <v>45</v>
      </c>
      <c r="J37" t="s">
        <v>21</v>
      </c>
      <c r="K37">
        <v>24</v>
      </c>
      <c r="L37">
        <v>31.05</v>
      </c>
      <c r="M37">
        <v>3.2</v>
      </c>
      <c r="N37" t="s">
        <v>22</v>
      </c>
      <c r="O37" t="str">
        <f t="shared" si="0"/>
        <v>Yes</v>
      </c>
    </row>
    <row r="38" spans="1:15" x14ac:dyDescent="0.25">
      <c r="A38" t="s">
        <v>95</v>
      </c>
      <c r="B38" s="1">
        <v>45813</v>
      </c>
      <c r="C38" s="2">
        <v>45813.051249999997</v>
      </c>
      <c r="D38" t="s">
        <v>38</v>
      </c>
      <c r="E38" t="s">
        <v>16</v>
      </c>
      <c r="F38" t="s">
        <v>60</v>
      </c>
      <c r="G38" t="s">
        <v>56</v>
      </c>
      <c r="H38" t="s">
        <v>65</v>
      </c>
      <c r="I38" t="s">
        <v>36</v>
      </c>
      <c r="J38" t="s">
        <v>46</v>
      </c>
      <c r="K38">
        <v>8</v>
      </c>
      <c r="L38">
        <v>1.23</v>
      </c>
      <c r="M38">
        <v>4.5</v>
      </c>
      <c r="N38" t="s">
        <v>22</v>
      </c>
      <c r="O38" t="str">
        <f t="shared" si="0"/>
        <v>No</v>
      </c>
    </row>
    <row r="39" spans="1:15" x14ac:dyDescent="0.25">
      <c r="A39" t="s">
        <v>96</v>
      </c>
      <c r="B39" s="1">
        <v>45807</v>
      </c>
      <c r="C39" s="2">
        <v>45808.176249999997</v>
      </c>
      <c r="D39" t="s">
        <v>24</v>
      </c>
      <c r="E39" t="s">
        <v>25</v>
      </c>
      <c r="F39" t="s">
        <v>48</v>
      </c>
      <c r="G39" t="s">
        <v>41</v>
      </c>
      <c r="H39" t="s">
        <v>27</v>
      </c>
      <c r="I39" t="s">
        <v>36</v>
      </c>
      <c r="J39" t="s">
        <v>21</v>
      </c>
      <c r="K39">
        <v>24</v>
      </c>
      <c r="L39">
        <v>28.23</v>
      </c>
      <c r="M39">
        <v>2.4</v>
      </c>
      <c r="N39" t="s">
        <v>22</v>
      </c>
      <c r="O39" t="str">
        <f t="shared" si="0"/>
        <v>Yes</v>
      </c>
    </row>
    <row r="40" spans="1:15" x14ac:dyDescent="0.25">
      <c r="A40" t="s">
        <v>97</v>
      </c>
      <c r="B40" s="1">
        <v>45708</v>
      </c>
      <c r="C40" s="2">
        <v>45710.032083333332</v>
      </c>
      <c r="D40" t="s">
        <v>15</v>
      </c>
      <c r="E40" t="s">
        <v>32</v>
      </c>
      <c r="F40" t="s">
        <v>80</v>
      </c>
      <c r="G40" t="s">
        <v>51</v>
      </c>
      <c r="H40" t="s">
        <v>19</v>
      </c>
      <c r="I40" t="s">
        <v>36</v>
      </c>
      <c r="J40" t="s">
        <v>85</v>
      </c>
      <c r="K40">
        <v>48</v>
      </c>
      <c r="L40">
        <v>48.77</v>
      </c>
      <c r="M40">
        <v>3.6</v>
      </c>
      <c r="N40" t="s">
        <v>22</v>
      </c>
      <c r="O40" t="str">
        <f t="shared" si="0"/>
        <v>Yes</v>
      </c>
    </row>
    <row r="41" spans="1:15" x14ac:dyDescent="0.25">
      <c r="A41" t="s">
        <v>98</v>
      </c>
      <c r="B41" s="1">
        <v>45772</v>
      </c>
      <c r="C41" s="2">
        <v>45773.052083333336</v>
      </c>
      <c r="D41" t="s">
        <v>24</v>
      </c>
      <c r="E41" t="s">
        <v>32</v>
      </c>
      <c r="F41" t="s">
        <v>80</v>
      </c>
      <c r="G41" t="s">
        <v>18</v>
      </c>
      <c r="H41" t="s">
        <v>35</v>
      </c>
      <c r="I41" t="s">
        <v>36</v>
      </c>
      <c r="J41" t="s">
        <v>29</v>
      </c>
      <c r="K41">
        <v>24</v>
      </c>
      <c r="L41">
        <v>25.25</v>
      </c>
      <c r="M41">
        <v>3.1</v>
      </c>
      <c r="N41" t="s">
        <v>22</v>
      </c>
      <c r="O41" t="str">
        <f t="shared" si="0"/>
        <v>Yes</v>
      </c>
    </row>
    <row r="42" spans="1:15" x14ac:dyDescent="0.25">
      <c r="A42" t="s">
        <v>99</v>
      </c>
      <c r="B42" s="1">
        <v>45687</v>
      </c>
      <c r="C42" s="2">
        <v>45687.70416666667</v>
      </c>
      <c r="D42" t="s">
        <v>24</v>
      </c>
      <c r="E42" t="s">
        <v>45</v>
      </c>
      <c r="F42" t="s">
        <v>100</v>
      </c>
      <c r="G42" t="s">
        <v>34</v>
      </c>
      <c r="H42" t="s">
        <v>19</v>
      </c>
      <c r="I42" t="s">
        <v>20</v>
      </c>
      <c r="J42" t="s">
        <v>46</v>
      </c>
      <c r="K42">
        <v>24</v>
      </c>
      <c r="L42">
        <v>16.899999999999999</v>
      </c>
      <c r="M42">
        <v>4</v>
      </c>
      <c r="N42" t="s">
        <v>22</v>
      </c>
      <c r="O42" t="str">
        <f t="shared" si="0"/>
        <v>No</v>
      </c>
    </row>
    <row r="43" spans="1:15" x14ac:dyDescent="0.25">
      <c r="A43" t="s">
        <v>101</v>
      </c>
      <c r="B43" s="1">
        <v>45795</v>
      </c>
      <c r="C43" s="2">
        <v>45795.669166666667</v>
      </c>
      <c r="D43" t="s">
        <v>24</v>
      </c>
      <c r="E43" t="s">
        <v>39</v>
      </c>
      <c r="F43" t="s">
        <v>87</v>
      </c>
      <c r="G43" t="s">
        <v>34</v>
      </c>
      <c r="H43" t="s">
        <v>27</v>
      </c>
      <c r="I43" t="s">
        <v>36</v>
      </c>
      <c r="J43" t="s">
        <v>46</v>
      </c>
      <c r="K43">
        <v>24</v>
      </c>
      <c r="L43">
        <v>16.059999999999999</v>
      </c>
      <c r="M43">
        <v>4.4000000000000004</v>
      </c>
      <c r="N43" t="s">
        <v>22</v>
      </c>
      <c r="O43" t="str">
        <f t="shared" si="0"/>
        <v>No</v>
      </c>
    </row>
    <row r="44" spans="1:15" x14ac:dyDescent="0.25">
      <c r="A44" t="s">
        <v>102</v>
      </c>
      <c r="B44" s="1">
        <v>45784</v>
      </c>
      <c r="C44" s="2">
        <v>45784.102083333331</v>
      </c>
      <c r="D44" t="s">
        <v>24</v>
      </c>
      <c r="E44" t="s">
        <v>16</v>
      </c>
      <c r="F44" t="s">
        <v>17</v>
      </c>
      <c r="G44" t="s">
        <v>41</v>
      </c>
      <c r="H44" t="s">
        <v>65</v>
      </c>
      <c r="I44" t="s">
        <v>28</v>
      </c>
      <c r="J44" t="s">
        <v>21</v>
      </c>
      <c r="K44">
        <v>24</v>
      </c>
      <c r="L44">
        <v>2.4500000000000002</v>
      </c>
      <c r="M44">
        <v>4.2</v>
      </c>
      <c r="N44" t="s">
        <v>22</v>
      </c>
      <c r="O44" t="str">
        <f t="shared" si="0"/>
        <v>No</v>
      </c>
    </row>
    <row r="45" spans="1:15" x14ac:dyDescent="0.25">
      <c r="A45" t="s">
        <v>103</v>
      </c>
      <c r="B45" s="1">
        <v>45722</v>
      </c>
      <c r="C45" s="2">
        <v>45723.209583333337</v>
      </c>
      <c r="D45" t="s">
        <v>15</v>
      </c>
      <c r="E45" t="s">
        <v>45</v>
      </c>
      <c r="F45" t="s">
        <v>104</v>
      </c>
      <c r="G45" t="s">
        <v>34</v>
      </c>
      <c r="H45" t="s">
        <v>27</v>
      </c>
      <c r="I45" t="s">
        <v>36</v>
      </c>
      <c r="J45" t="s">
        <v>21</v>
      </c>
      <c r="K45">
        <v>48</v>
      </c>
      <c r="L45">
        <v>29.03</v>
      </c>
      <c r="M45">
        <v>3.7</v>
      </c>
      <c r="N45" t="s">
        <v>61</v>
      </c>
      <c r="O45" t="str">
        <f t="shared" si="0"/>
        <v>No</v>
      </c>
    </row>
    <row r="46" spans="1:15" x14ac:dyDescent="0.25">
      <c r="A46" t="s">
        <v>105</v>
      </c>
      <c r="B46" s="1">
        <v>45670</v>
      </c>
      <c r="C46" s="2">
        <v>45670.376250000001</v>
      </c>
      <c r="D46" t="s">
        <v>24</v>
      </c>
      <c r="E46" t="s">
        <v>16</v>
      </c>
      <c r="F46" t="s">
        <v>58</v>
      </c>
      <c r="G46" t="s">
        <v>34</v>
      </c>
      <c r="H46" t="s">
        <v>35</v>
      </c>
      <c r="I46" t="s">
        <v>36</v>
      </c>
      <c r="J46" t="s">
        <v>21</v>
      </c>
      <c r="K46">
        <v>24</v>
      </c>
      <c r="L46">
        <v>9.0299999999999994</v>
      </c>
      <c r="M46">
        <v>3.5</v>
      </c>
      <c r="N46" t="s">
        <v>22</v>
      </c>
      <c r="O46" t="str">
        <f t="shared" si="0"/>
        <v>No</v>
      </c>
    </row>
    <row r="47" spans="1:15" x14ac:dyDescent="0.25">
      <c r="A47" t="s">
        <v>106</v>
      </c>
      <c r="B47" s="1">
        <v>45833</v>
      </c>
      <c r="C47" s="2">
        <v>45834.414166666669</v>
      </c>
      <c r="D47" t="s">
        <v>24</v>
      </c>
      <c r="E47" t="s">
        <v>39</v>
      </c>
      <c r="F47" t="s">
        <v>78</v>
      </c>
      <c r="G47" t="s">
        <v>51</v>
      </c>
      <c r="H47" t="s">
        <v>54</v>
      </c>
      <c r="I47" t="s">
        <v>45</v>
      </c>
      <c r="J47" t="s">
        <v>46</v>
      </c>
      <c r="K47">
        <v>24</v>
      </c>
      <c r="L47">
        <v>33.94</v>
      </c>
      <c r="M47">
        <v>3</v>
      </c>
      <c r="N47" t="s">
        <v>22</v>
      </c>
      <c r="O47" t="str">
        <f t="shared" si="0"/>
        <v>Yes</v>
      </c>
    </row>
    <row r="48" spans="1:15" x14ac:dyDescent="0.25">
      <c r="A48" t="s">
        <v>107</v>
      </c>
      <c r="B48" s="1">
        <v>45738</v>
      </c>
      <c r="C48" s="2">
        <v>45738.375416666669</v>
      </c>
      <c r="D48" t="s">
        <v>31</v>
      </c>
      <c r="E48" t="s">
        <v>16</v>
      </c>
      <c r="F48" t="s">
        <v>58</v>
      </c>
      <c r="G48" t="s">
        <v>18</v>
      </c>
      <c r="H48" t="s">
        <v>54</v>
      </c>
      <c r="I48" t="s">
        <v>20</v>
      </c>
      <c r="J48" t="s">
        <v>21</v>
      </c>
      <c r="K48">
        <v>4</v>
      </c>
      <c r="L48">
        <v>9.01</v>
      </c>
      <c r="M48">
        <v>1.7</v>
      </c>
      <c r="N48" t="s">
        <v>22</v>
      </c>
      <c r="O48" t="str">
        <f t="shared" si="0"/>
        <v>Yes</v>
      </c>
    </row>
    <row r="49" spans="1:15" x14ac:dyDescent="0.25">
      <c r="A49" t="s">
        <v>108</v>
      </c>
      <c r="B49" s="1">
        <v>45819</v>
      </c>
      <c r="C49" s="2">
        <v>45819.824999999997</v>
      </c>
      <c r="D49" t="s">
        <v>15</v>
      </c>
      <c r="E49" t="s">
        <v>32</v>
      </c>
      <c r="F49" t="s">
        <v>80</v>
      </c>
      <c r="G49" t="s">
        <v>51</v>
      </c>
      <c r="H49" t="s">
        <v>27</v>
      </c>
      <c r="I49" t="s">
        <v>36</v>
      </c>
      <c r="J49" t="s">
        <v>21</v>
      </c>
      <c r="K49">
        <v>48</v>
      </c>
      <c r="L49">
        <v>19.8</v>
      </c>
      <c r="M49">
        <v>5</v>
      </c>
      <c r="N49" t="s">
        <v>22</v>
      </c>
      <c r="O49" t="str">
        <f t="shared" si="0"/>
        <v>No</v>
      </c>
    </row>
    <row r="50" spans="1:15" x14ac:dyDescent="0.25">
      <c r="A50" t="s">
        <v>109</v>
      </c>
      <c r="B50" s="1">
        <v>45780</v>
      </c>
      <c r="C50" s="2">
        <v>45780.565821759257</v>
      </c>
      <c r="D50" t="s">
        <v>24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 t="s">
        <v>21</v>
      </c>
      <c r="K50">
        <v>24</v>
      </c>
      <c r="L50">
        <v>13.58</v>
      </c>
      <c r="M50">
        <v>5</v>
      </c>
      <c r="N50" t="s">
        <v>22</v>
      </c>
      <c r="O50" t="str">
        <f t="shared" si="0"/>
        <v>No</v>
      </c>
    </row>
    <row r="51" spans="1:15" x14ac:dyDescent="0.25">
      <c r="A51" t="s">
        <v>110</v>
      </c>
      <c r="B51" s="1">
        <v>45798</v>
      </c>
      <c r="C51" s="2">
        <v>45798.355000000003</v>
      </c>
      <c r="D51" t="s">
        <v>15</v>
      </c>
      <c r="E51" t="s">
        <v>32</v>
      </c>
      <c r="F51" t="s">
        <v>64</v>
      </c>
      <c r="G51" t="s">
        <v>34</v>
      </c>
      <c r="H51" t="s">
        <v>19</v>
      </c>
      <c r="I51" t="s">
        <v>45</v>
      </c>
      <c r="J51" t="s">
        <v>46</v>
      </c>
      <c r="K51">
        <v>48</v>
      </c>
      <c r="L51">
        <v>8.52</v>
      </c>
      <c r="M51">
        <v>5</v>
      </c>
      <c r="N51" t="s">
        <v>22</v>
      </c>
      <c r="O51" t="str">
        <f t="shared" si="0"/>
        <v>No</v>
      </c>
    </row>
    <row r="52" spans="1:15" x14ac:dyDescent="0.25">
      <c r="A52" t="s">
        <v>111</v>
      </c>
      <c r="B52" s="1">
        <v>45795</v>
      </c>
      <c r="C52" s="2">
        <v>45795.68041666667</v>
      </c>
      <c r="D52" t="s">
        <v>24</v>
      </c>
      <c r="E52" t="s">
        <v>45</v>
      </c>
      <c r="F52" t="s">
        <v>112</v>
      </c>
      <c r="G52" t="s">
        <v>56</v>
      </c>
      <c r="H52" t="s">
        <v>35</v>
      </c>
      <c r="I52" t="s">
        <v>36</v>
      </c>
      <c r="J52" t="s">
        <v>21</v>
      </c>
      <c r="K52">
        <v>24</v>
      </c>
      <c r="L52">
        <v>16.329999999999998</v>
      </c>
      <c r="M52">
        <v>3.3</v>
      </c>
      <c r="N52" t="s">
        <v>22</v>
      </c>
      <c r="O52" t="str">
        <f t="shared" si="0"/>
        <v>No</v>
      </c>
    </row>
    <row r="53" spans="1:15" x14ac:dyDescent="0.25">
      <c r="A53" t="s">
        <v>113</v>
      </c>
      <c r="B53" s="1">
        <v>45693</v>
      </c>
      <c r="C53" s="2">
        <v>45693.644999999997</v>
      </c>
      <c r="D53" t="s">
        <v>24</v>
      </c>
      <c r="E53" t="s">
        <v>16</v>
      </c>
      <c r="F53" t="s">
        <v>43</v>
      </c>
      <c r="G53" t="s">
        <v>51</v>
      </c>
      <c r="H53" t="s">
        <v>27</v>
      </c>
      <c r="I53" t="s">
        <v>45</v>
      </c>
      <c r="J53" t="s">
        <v>21</v>
      </c>
      <c r="K53">
        <v>24</v>
      </c>
      <c r="L53">
        <v>15.48</v>
      </c>
      <c r="M53">
        <v>4.0999999999999996</v>
      </c>
      <c r="N53" t="s">
        <v>22</v>
      </c>
      <c r="O53" t="str">
        <f t="shared" si="0"/>
        <v>No</v>
      </c>
    </row>
    <row r="54" spans="1:15" x14ac:dyDescent="0.25">
      <c r="A54" t="s">
        <v>114</v>
      </c>
      <c r="B54" s="1">
        <v>45723</v>
      </c>
      <c r="C54" s="2">
        <v>45723.762916666667</v>
      </c>
      <c r="D54" t="s">
        <v>24</v>
      </c>
      <c r="E54" t="s">
        <v>39</v>
      </c>
      <c r="F54" t="s">
        <v>40</v>
      </c>
      <c r="G54" t="s">
        <v>18</v>
      </c>
      <c r="H54" t="s">
        <v>19</v>
      </c>
      <c r="I54" t="s">
        <v>20</v>
      </c>
      <c r="J54" t="s">
        <v>21</v>
      </c>
      <c r="K54">
        <v>24</v>
      </c>
      <c r="L54">
        <v>18.309999999999999</v>
      </c>
      <c r="M54">
        <v>3.3</v>
      </c>
      <c r="N54" t="s">
        <v>22</v>
      </c>
      <c r="O54" t="str">
        <f t="shared" si="0"/>
        <v>No</v>
      </c>
    </row>
    <row r="55" spans="1:15" x14ac:dyDescent="0.25">
      <c r="A55" t="s">
        <v>115</v>
      </c>
      <c r="B55" s="1">
        <v>45742</v>
      </c>
      <c r="C55" s="2">
        <v>45742.107071759259</v>
      </c>
      <c r="D55" t="s">
        <v>31</v>
      </c>
      <c r="E55" t="s">
        <v>32</v>
      </c>
      <c r="F55" t="s">
        <v>64</v>
      </c>
      <c r="G55" t="s">
        <v>18</v>
      </c>
      <c r="H55" t="s">
        <v>19</v>
      </c>
      <c r="I55" t="s">
        <v>36</v>
      </c>
      <c r="J55" t="s">
        <v>21</v>
      </c>
      <c r="K55">
        <v>4</v>
      </c>
      <c r="L55">
        <v>2.57</v>
      </c>
      <c r="M55">
        <v>5</v>
      </c>
      <c r="N55" t="s">
        <v>22</v>
      </c>
      <c r="O55" t="str">
        <f t="shared" si="0"/>
        <v>No</v>
      </c>
    </row>
    <row r="56" spans="1:15" x14ac:dyDescent="0.25">
      <c r="A56" t="s">
        <v>116</v>
      </c>
      <c r="B56" s="1">
        <v>45748</v>
      </c>
      <c r="C56" s="2">
        <v>45749.186666666668</v>
      </c>
      <c r="D56" t="s">
        <v>15</v>
      </c>
      <c r="E56" t="s">
        <v>16</v>
      </c>
      <c r="F56" t="s">
        <v>60</v>
      </c>
      <c r="G56" t="s">
        <v>51</v>
      </c>
      <c r="H56" t="s">
        <v>35</v>
      </c>
      <c r="I56" t="s">
        <v>20</v>
      </c>
      <c r="J56" t="s">
        <v>21</v>
      </c>
      <c r="K56">
        <v>48</v>
      </c>
      <c r="L56">
        <v>28.48</v>
      </c>
      <c r="M56">
        <v>4.8</v>
      </c>
      <c r="N56" t="s">
        <v>22</v>
      </c>
      <c r="O56" t="str">
        <f t="shared" si="0"/>
        <v>No</v>
      </c>
    </row>
    <row r="57" spans="1:15" x14ac:dyDescent="0.25">
      <c r="A57" t="s">
        <v>117</v>
      </c>
      <c r="B57" s="1">
        <v>45665</v>
      </c>
      <c r="C57" s="2">
        <v>45665.397499999999</v>
      </c>
      <c r="D57" t="s">
        <v>24</v>
      </c>
      <c r="E57" t="s">
        <v>45</v>
      </c>
      <c r="F57" t="s">
        <v>112</v>
      </c>
      <c r="G57" t="s">
        <v>56</v>
      </c>
      <c r="H57" t="s">
        <v>19</v>
      </c>
      <c r="I57" t="s">
        <v>36</v>
      </c>
      <c r="J57" t="s">
        <v>21</v>
      </c>
      <c r="K57">
        <v>24</v>
      </c>
      <c r="L57">
        <v>9.5399999999999991</v>
      </c>
      <c r="M57">
        <v>3.8</v>
      </c>
      <c r="N57" t="s">
        <v>22</v>
      </c>
      <c r="O57" t="str">
        <f t="shared" si="0"/>
        <v>No</v>
      </c>
    </row>
    <row r="58" spans="1:15" x14ac:dyDescent="0.25">
      <c r="A58" t="s">
        <v>118</v>
      </c>
      <c r="B58" s="1">
        <v>45756</v>
      </c>
      <c r="C58" s="2">
        <v>45759.266250000001</v>
      </c>
      <c r="D58" t="s">
        <v>15</v>
      </c>
      <c r="E58" t="s">
        <v>39</v>
      </c>
      <c r="F58" t="s">
        <v>119</v>
      </c>
      <c r="G58" t="s">
        <v>18</v>
      </c>
      <c r="H58" t="s">
        <v>65</v>
      </c>
      <c r="I58" t="s">
        <v>20</v>
      </c>
      <c r="J58" t="s">
        <v>46</v>
      </c>
      <c r="K58">
        <v>48</v>
      </c>
      <c r="L58">
        <v>78.39</v>
      </c>
      <c r="M58">
        <v>3.3</v>
      </c>
      <c r="N58" t="s">
        <v>61</v>
      </c>
      <c r="O58" t="str">
        <f t="shared" si="0"/>
        <v>Yes</v>
      </c>
    </row>
    <row r="59" spans="1:15" x14ac:dyDescent="0.25">
      <c r="A59" t="s">
        <v>120</v>
      </c>
      <c r="B59" s="1">
        <v>45685</v>
      </c>
      <c r="C59" s="2">
        <v>45686.361250000002</v>
      </c>
      <c r="D59" t="s">
        <v>15</v>
      </c>
      <c r="E59" t="s">
        <v>39</v>
      </c>
      <c r="F59" t="s">
        <v>119</v>
      </c>
      <c r="G59" t="s">
        <v>51</v>
      </c>
      <c r="H59" t="s">
        <v>27</v>
      </c>
      <c r="I59" t="s">
        <v>28</v>
      </c>
      <c r="J59" t="s">
        <v>21</v>
      </c>
      <c r="K59">
        <v>48</v>
      </c>
      <c r="L59">
        <v>32.67</v>
      </c>
      <c r="M59">
        <v>3.2</v>
      </c>
      <c r="N59" t="s">
        <v>22</v>
      </c>
      <c r="O59" t="str">
        <f t="shared" si="0"/>
        <v>No</v>
      </c>
    </row>
    <row r="60" spans="1:15" x14ac:dyDescent="0.25">
      <c r="A60" t="s">
        <v>121</v>
      </c>
      <c r="B60" s="1">
        <v>45792</v>
      </c>
      <c r="C60" s="2">
        <v>45792.753750000003</v>
      </c>
      <c r="D60" t="s">
        <v>24</v>
      </c>
      <c r="E60" t="s">
        <v>25</v>
      </c>
      <c r="F60" t="s">
        <v>26</v>
      </c>
      <c r="G60" t="s">
        <v>18</v>
      </c>
      <c r="H60" t="s">
        <v>65</v>
      </c>
      <c r="I60" t="s">
        <v>45</v>
      </c>
      <c r="J60" t="s">
        <v>85</v>
      </c>
      <c r="K60">
        <v>24</v>
      </c>
      <c r="L60">
        <v>18.09</v>
      </c>
      <c r="M60">
        <v>4</v>
      </c>
      <c r="N60" t="s">
        <v>22</v>
      </c>
      <c r="O60" t="str">
        <f t="shared" si="0"/>
        <v>No</v>
      </c>
    </row>
    <row r="61" spans="1:15" x14ac:dyDescent="0.25">
      <c r="A61" t="s">
        <v>122</v>
      </c>
      <c r="B61" s="1">
        <v>45781</v>
      </c>
      <c r="C61" s="2">
        <v>45781.864583333336</v>
      </c>
      <c r="D61" t="s">
        <v>15</v>
      </c>
      <c r="E61" t="s">
        <v>45</v>
      </c>
      <c r="F61" t="s">
        <v>112</v>
      </c>
      <c r="G61" t="s">
        <v>56</v>
      </c>
      <c r="H61" t="s">
        <v>27</v>
      </c>
      <c r="I61" t="s">
        <v>28</v>
      </c>
      <c r="J61" t="s">
        <v>21</v>
      </c>
      <c r="K61">
        <v>48</v>
      </c>
      <c r="L61">
        <v>20.75</v>
      </c>
      <c r="M61">
        <v>4.4000000000000004</v>
      </c>
      <c r="N61" t="s">
        <v>61</v>
      </c>
      <c r="O61" t="str">
        <f t="shared" si="0"/>
        <v>No</v>
      </c>
    </row>
    <row r="62" spans="1:15" x14ac:dyDescent="0.25">
      <c r="A62" t="s">
        <v>123</v>
      </c>
      <c r="B62" s="1">
        <v>45824</v>
      </c>
      <c r="C62" s="2">
        <v>45825.129166666666</v>
      </c>
      <c r="D62" t="s">
        <v>24</v>
      </c>
      <c r="E62" t="s">
        <v>45</v>
      </c>
      <c r="F62" t="s">
        <v>100</v>
      </c>
      <c r="G62" t="s">
        <v>18</v>
      </c>
      <c r="H62" t="s">
        <v>35</v>
      </c>
      <c r="I62" t="s">
        <v>20</v>
      </c>
      <c r="J62" t="s">
        <v>21</v>
      </c>
      <c r="K62">
        <v>24</v>
      </c>
      <c r="L62">
        <v>27.1</v>
      </c>
      <c r="M62">
        <v>4.0999999999999996</v>
      </c>
      <c r="N62" t="s">
        <v>22</v>
      </c>
      <c r="O62" t="str">
        <f t="shared" si="0"/>
        <v>Yes</v>
      </c>
    </row>
    <row r="63" spans="1:15" x14ac:dyDescent="0.25">
      <c r="A63" t="s">
        <v>124</v>
      </c>
      <c r="B63" s="1">
        <v>45792</v>
      </c>
      <c r="C63" s="2">
        <v>45792.146249999998</v>
      </c>
      <c r="D63" t="s">
        <v>24</v>
      </c>
      <c r="E63" t="s">
        <v>39</v>
      </c>
      <c r="F63" t="s">
        <v>40</v>
      </c>
      <c r="G63" t="s">
        <v>34</v>
      </c>
      <c r="H63" t="s">
        <v>35</v>
      </c>
      <c r="I63" t="s">
        <v>36</v>
      </c>
      <c r="J63" t="s">
        <v>29</v>
      </c>
      <c r="K63">
        <v>24</v>
      </c>
      <c r="L63">
        <v>3.51</v>
      </c>
      <c r="M63">
        <v>5</v>
      </c>
      <c r="N63" t="s">
        <v>22</v>
      </c>
      <c r="O63" t="str">
        <f t="shared" si="0"/>
        <v>No</v>
      </c>
    </row>
    <row r="64" spans="1:15" x14ac:dyDescent="0.25">
      <c r="A64" t="s">
        <v>125</v>
      </c>
      <c r="B64" s="1">
        <v>45724</v>
      </c>
      <c r="C64" s="2">
        <v>45724.23</v>
      </c>
      <c r="D64" t="s">
        <v>38</v>
      </c>
      <c r="E64" t="s">
        <v>32</v>
      </c>
      <c r="F64" t="s">
        <v>64</v>
      </c>
      <c r="G64" t="s">
        <v>34</v>
      </c>
      <c r="H64" t="s">
        <v>44</v>
      </c>
      <c r="I64" t="s">
        <v>36</v>
      </c>
      <c r="J64" t="s">
        <v>29</v>
      </c>
      <c r="K64">
        <v>8</v>
      </c>
      <c r="L64">
        <v>5.52</v>
      </c>
      <c r="M64">
        <v>4.2</v>
      </c>
      <c r="N64" t="s">
        <v>22</v>
      </c>
      <c r="O64" t="str">
        <f t="shared" si="0"/>
        <v>No</v>
      </c>
    </row>
    <row r="65" spans="1:15" x14ac:dyDescent="0.25">
      <c r="A65" t="s">
        <v>126</v>
      </c>
      <c r="B65" s="1">
        <v>45833</v>
      </c>
      <c r="C65" s="2">
        <v>45833.931666666664</v>
      </c>
      <c r="D65" t="s">
        <v>24</v>
      </c>
      <c r="E65" t="s">
        <v>39</v>
      </c>
      <c r="F65" t="s">
        <v>119</v>
      </c>
      <c r="G65" t="s">
        <v>56</v>
      </c>
      <c r="H65" t="s">
        <v>35</v>
      </c>
      <c r="I65" t="s">
        <v>36</v>
      </c>
      <c r="J65" t="s">
        <v>21</v>
      </c>
      <c r="K65">
        <v>24</v>
      </c>
      <c r="L65">
        <v>22.36</v>
      </c>
      <c r="M65">
        <v>3.7</v>
      </c>
      <c r="N65" t="s">
        <v>22</v>
      </c>
      <c r="O65" t="str">
        <f t="shared" si="0"/>
        <v>No</v>
      </c>
    </row>
    <row r="66" spans="1:15" x14ac:dyDescent="0.25">
      <c r="A66" t="s">
        <v>127</v>
      </c>
      <c r="B66" s="1">
        <v>45732</v>
      </c>
      <c r="C66" s="2">
        <v>45732.28875</v>
      </c>
      <c r="D66" t="s">
        <v>24</v>
      </c>
      <c r="E66" t="s">
        <v>39</v>
      </c>
      <c r="F66" t="s">
        <v>40</v>
      </c>
      <c r="G66" t="s">
        <v>51</v>
      </c>
      <c r="H66" t="s">
        <v>65</v>
      </c>
      <c r="I66" t="s">
        <v>45</v>
      </c>
      <c r="J66" t="s">
        <v>21</v>
      </c>
      <c r="K66">
        <v>24</v>
      </c>
      <c r="L66">
        <v>6.93</v>
      </c>
      <c r="M66">
        <v>2.6</v>
      </c>
      <c r="N66" t="s">
        <v>22</v>
      </c>
      <c r="O66" t="str">
        <f t="shared" si="0"/>
        <v>No</v>
      </c>
    </row>
    <row r="67" spans="1:15" x14ac:dyDescent="0.25">
      <c r="A67" t="s">
        <v>128</v>
      </c>
      <c r="B67" s="1">
        <v>45716</v>
      </c>
      <c r="C67" s="2">
        <v>45717.855833333335</v>
      </c>
      <c r="D67" t="s">
        <v>24</v>
      </c>
      <c r="E67" t="s">
        <v>45</v>
      </c>
      <c r="F67" t="s">
        <v>50</v>
      </c>
      <c r="G67" t="s">
        <v>41</v>
      </c>
      <c r="H67" t="s">
        <v>65</v>
      </c>
      <c r="I67" t="s">
        <v>45</v>
      </c>
      <c r="J67" t="s">
        <v>21</v>
      </c>
      <c r="K67">
        <v>24</v>
      </c>
      <c r="L67">
        <v>44.54</v>
      </c>
      <c r="M67">
        <v>3.8</v>
      </c>
      <c r="N67" t="s">
        <v>22</v>
      </c>
      <c r="O67" t="str">
        <f t="shared" ref="O67:O130" si="1">IF(L67&gt;K67,"Yes","No")</f>
        <v>Yes</v>
      </c>
    </row>
    <row r="68" spans="1:15" x14ac:dyDescent="0.25">
      <c r="A68" t="s">
        <v>129</v>
      </c>
      <c r="B68" s="1">
        <v>45821</v>
      </c>
      <c r="C68" s="2">
        <v>45822.119583333333</v>
      </c>
      <c r="D68" t="s">
        <v>15</v>
      </c>
      <c r="E68" t="s">
        <v>32</v>
      </c>
      <c r="F68" t="s">
        <v>80</v>
      </c>
      <c r="G68" t="s">
        <v>34</v>
      </c>
      <c r="H68" t="s">
        <v>54</v>
      </c>
      <c r="I68" t="s">
        <v>45</v>
      </c>
      <c r="J68" t="s">
        <v>21</v>
      </c>
      <c r="K68">
        <v>48</v>
      </c>
      <c r="L68">
        <v>26.87</v>
      </c>
      <c r="M68">
        <v>3.9</v>
      </c>
      <c r="N68" t="s">
        <v>22</v>
      </c>
      <c r="O68" t="str">
        <f t="shared" si="1"/>
        <v>No</v>
      </c>
    </row>
    <row r="69" spans="1:15" x14ac:dyDescent="0.25">
      <c r="A69" t="s">
        <v>130</v>
      </c>
      <c r="B69" s="1">
        <v>45725</v>
      </c>
      <c r="C69" s="2">
        <v>45725.562083333331</v>
      </c>
      <c r="D69" t="s">
        <v>15</v>
      </c>
      <c r="E69" t="s">
        <v>16</v>
      </c>
      <c r="F69" t="s">
        <v>60</v>
      </c>
      <c r="G69" t="s">
        <v>18</v>
      </c>
      <c r="H69" t="s">
        <v>65</v>
      </c>
      <c r="I69" t="s">
        <v>45</v>
      </c>
      <c r="J69" t="s">
        <v>21</v>
      </c>
      <c r="K69">
        <v>48</v>
      </c>
      <c r="L69">
        <v>13.49</v>
      </c>
      <c r="M69">
        <v>4.7</v>
      </c>
      <c r="N69" t="s">
        <v>22</v>
      </c>
      <c r="O69" t="str">
        <f t="shared" si="1"/>
        <v>No</v>
      </c>
    </row>
    <row r="70" spans="1:15" x14ac:dyDescent="0.25">
      <c r="A70" t="s">
        <v>131</v>
      </c>
      <c r="B70" s="1">
        <v>45671</v>
      </c>
      <c r="C70" s="2">
        <v>45671.575416666667</v>
      </c>
      <c r="D70" t="s">
        <v>24</v>
      </c>
      <c r="E70" t="s">
        <v>45</v>
      </c>
      <c r="F70" t="s">
        <v>104</v>
      </c>
      <c r="G70" t="s">
        <v>34</v>
      </c>
      <c r="H70" t="s">
        <v>19</v>
      </c>
      <c r="I70" t="s">
        <v>36</v>
      </c>
      <c r="J70" t="s">
        <v>21</v>
      </c>
      <c r="K70">
        <v>24</v>
      </c>
      <c r="L70">
        <v>13.81</v>
      </c>
      <c r="M70">
        <v>5</v>
      </c>
      <c r="N70" t="s">
        <v>22</v>
      </c>
      <c r="O70" t="str">
        <f t="shared" si="1"/>
        <v>No</v>
      </c>
    </row>
    <row r="71" spans="1:15" x14ac:dyDescent="0.25">
      <c r="A71" t="s">
        <v>132</v>
      </c>
      <c r="B71" s="1">
        <v>45742</v>
      </c>
      <c r="C71" s="2">
        <v>45742.034166666665</v>
      </c>
      <c r="D71" t="s">
        <v>31</v>
      </c>
      <c r="E71" t="s">
        <v>45</v>
      </c>
      <c r="F71" t="s">
        <v>50</v>
      </c>
      <c r="G71" t="s">
        <v>34</v>
      </c>
      <c r="H71" t="s">
        <v>44</v>
      </c>
      <c r="I71" t="s">
        <v>36</v>
      </c>
      <c r="J71" t="s">
        <v>21</v>
      </c>
      <c r="K71">
        <v>4</v>
      </c>
      <c r="L71">
        <v>0.82</v>
      </c>
      <c r="M71">
        <v>4</v>
      </c>
      <c r="N71" t="s">
        <v>22</v>
      </c>
      <c r="O71" t="str">
        <f t="shared" si="1"/>
        <v>No</v>
      </c>
    </row>
    <row r="72" spans="1:15" x14ac:dyDescent="0.25">
      <c r="A72" t="s">
        <v>133</v>
      </c>
      <c r="B72" s="1">
        <v>45802</v>
      </c>
      <c r="C72" s="2">
        <v>45802.474999999999</v>
      </c>
      <c r="D72" t="s">
        <v>15</v>
      </c>
      <c r="E72" t="s">
        <v>16</v>
      </c>
      <c r="F72" t="s">
        <v>58</v>
      </c>
      <c r="G72" t="s">
        <v>41</v>
      </c>
      <c r="H72" t="s">
        <v>44</v>
      </c>
      <c r="I72" t="s">
        <v>36</v>
      </c>
      <c r="J72" t="s">
        <v>21</v>
      </c>
      <c r="K72">
        <v>48</v>
      </c>
      <c r="L72">
        <v>11.4</v>
      </c>
      <c r="M72">
        <v>4.7</v>
      </c>
      <c r="N72" t="s">
        <v>22</v>
      </c>
      <c r="O72" t="str">
        <f t="shared" si="1"/>
        <v>No</v>
      </c>
    </row>
    <row r="73" spans="1:15" x14ac:dyDescent="0.25">
      <c r="A73" t="s">
        <v>134</v>
      </c>
      <c r="B73" s="1">
        <v>45692</v>
      </c>
      <c r="C73" s="2">
        <v>45692.222916666666</v>
      </c>
      <c r="D73" t="s">
        <v>24</v>
      </c>
      <c r="E73" t="s">
        <v>45</v>
      </c>
      <c r="F73" t="s">
        <v>100</v>
      </c>
      <c r="G73" t="s">
        <v>41</v>
      </c>
      <c r="H73" t="s">
        <v>35</v>
      </c>
      <c r="I73" t="s">
        <v>28</v>
      </c>
      <c r="J73" t="s">
        <v>29</v>
      </c>
      <c r="K73">
        <v>24</v>
      </c>
      <c r="L73">
        <v>5.35</v>
      </c>
      <c r="M73">
        <v>5</v>
      </c>
      <c r="N73" t="s">
        <v>22</v>
      </c>
      <c r="O73" t="str">
        <f t="shared" si="1"/>
        <v>No</v>
      </c>
    </row>
    <row r="74" spans="1:15" x14ac:dyDescent="0.25">
      <c r="A74" t="s">
        <v>135</v>
      </c>
      <c r="B74" s="1">
        <v>45741</v>
      </c>
      <c r="C74" s="2">
        <v>45741.033750000002</v>
      </c>
      <c r="D74" t="s">
        <v>38</v>
      </c>
      <c r="E74" t="s">
        <v>32</v>
      </c>
      <c r="F74" t="s">
        <v>80</v>
      </c>
      <c r="G74" t="s">
        <v>51</v>
      </c>
      <c r="H74" t="s">
        <v>65</v>
      </c>
      <c r="I74" t="s">
        <v>36</v>
      </c>
      <c r="J74" t="s">
        <v>21</v>
      </c>
      <c r="K74">
        <v>8</v>
      </c>
      <c r="L74">
        <v>0.81</v>
      </c>
      <c r="M74">
        <v>5</v>
      </c>
      <c r="N74" t="s">
        <v>22</v>
      </c>
      <c r="O74" t="str">
        <f t="shared" si="1"/>
        <v>No</v>
      </c>
    </row>
    <row r="75" spans="1:15" x14ac:dyDescent="0.25">
      <c r="A75" t="s">
        <v>136</v>
      </c>
      <c r="B75" s="1">
        <v>45681</v>
      </c>
      <c r="C75" s="2">
        <v>45681.138749999998</v>
      </c>
      <c r="D75" t="s">
        <v>38</v>
      </c>
      <c r="E75" t="s">
        <v>39</v>
      </c>
      <c r="F75" t="s">
        <v>87</v>
      </c>
      <c r="G75" t="s">
        <v>34</v>
      </c>
      <c r="H75" t="s">
        <v>35</v>
      </c>
      <c r="I75" t="s">
        <v>36</v>
      </c>
      <c r="J75" t="s">
        <v>85</v>
      </c>
      <c r="K75">
        <v>8</v>
      </c>
      <c r="L75">
        <v>3.33</v>
      </c>
      <c r="M75">
        <v>4.5</v>
      </c>
      <c r="N75" t="s">
        <v>22</v>
      </c>
      <c r="O75" t="str">
        <f t="shared" si="1"/>
        <v>No</v>
      </c>
    </row>
    <row r="76" spans="1:15" x14ac:dyDescent="0.25">
      <c r="A76" t="s">
        <v>137</v>
      </c>
      <c r="B76" s="1">
        <v>45782</v>
      </c>
      <c r="C76" s="2">
        <v>45782.098333333335</v>
      </c>
      <c r="D76" t="s">
        <v>24</v>
      </c>
      <c r="E76" t="s">
        <v>32</v>
      </c>
      <c r="F76" t="s">
        <v>80</v>
      </c>
      <c r="G76" t="s">
        <v>51</v>
      </c>
      <c r="H76" t="s">
        <v>35</v>
      </c>
      <c r="I76" t="s">
        <v>36</v>
      </c>
      <c r="J76" t="s">
        <v>21</v>
      </c>
      <c r="K76">
        <v>24</v>
      </c>
      <c r="L76">
        <v>2.36</v>
      </c>
      <c r="M76">
        <v>5</v>
      </c>
      <c r="N76" t="s">
        <v>22</v>
      </c>
      <c r="O76" t="str">
        <f t="shared" si="1"/>
        <v>No</v>
      </c>
    </row>
    <row r="77" spans="1:15" x14ac:dyDescent="0.25">
      <c r="A77" t="s">
        <v>138</v>
      </c>
      <c r="B77" s="1">
        <v>45744</v>
      </c>
      <c r="C77" s="2">
        <v>45744.409166666665</v>
      </c>
      <c r="D77" t="s">
        <v>24</v>
      </c>
      <c r="E77" t="s">
        <v>45</v>
      </c>
      <c r="F77" t="s">
        <v>104</v>
      </c>
      <c r="G77" t="s">
        <v>41</v>
      </c>
      <c r="H77" t="s">
        <v>65</v>
      </c>
      <c r="I77" t="s">
        <v>28</v>
      </c>
      <c r="J77" t="s">
        <v>85</v>
      </c>
      <c r="K77">
        <v>24</v>
      </c>
      <c r="L77">
        <v>9.82</v>
      </c>
      <c r="M77">
        <v>4.2</v>
      </c>
      <c r="N77" t="s">
        <v>22</v>
      </c>
      <c r="O77" t="str">
        <f t="shared" si="1"/>
        <v>No</v>
      </c>
    </row>
    <row r="78" spans="1:15" x14ac:dyDescent="0.25">
      <c r="A78" t="s">
        <v>139</v>
      </c>
      <c r="B78" s="1">
        <v>45717</v>
      </c>
      <c r="C78" s="2">
        <v>45717.072083333333</v>
      </c>
      <c r="D78" t="s">
        <v>24</v>
      </c>
      <c r="E78" t="s">
        <v>45</v>
      </c>
      <c r="F78" t="s">
        <v>112</v>
      </c>
      <c r="G78" t="s">
        <v>51</v>
      </c>
      <c r="H78" t="s">
        <v>54</v>
      </c>
      <c r="I78" t="s">
        <v>36</v>
      </c>
      <c r="J78" t="s">
        <v>46</v>
      </c>
      <c r="K78">
        <v>24</v>
      </c>
      <c r="L78">
        <v>1.73</v>
      </c>
      <c r="M78">
        <v>5</v>
      </c>
      <c r="N78" t="s">
        <v>22</v>
      </c>
      <c r="O78" t="str">
        <f t="shared" si="1"/>
        <v>No</v>
      </c>
    </row>
    <row r="79" spans="1:15" x14ac:dyDescent="0.25">
      <c r="A79" t="s">
        <v>140</v>
      </c>
      <c r="B79" s="1">
        <v>45699</v>
      </c>
      <c r="C79" s="2">
        <v>45699.126250000001</v>
      </c>
      <c r="D79" t="s">
        <v>38</v>
      </c>
      <c r="E79" t="s">
        <v>32</v>
      </c>
      <c r="F79" t="s">
        <v>75</v>
      </c>
      <c r="G79" t="s">
        <v>18</v>
      </c>
      <c r="H79" t="s">
        <v>54</v>
      </c>
      <c r="I79" t="s">
        <v>45</v>
      </c>
      <c r="J79" t="s">
        <v>21</v>
      </c>
      <c r="K79">
        <v>8</v>
      </c>
      <c r="L79">
        <v>3.03</v>
      </c>
      <c r="M79">
        <v>4.8</v>
      </c>
      <c r="N79" t="s">
        <v>22</v>
      </c>
      <c r="O79" t="str">
        <f t="shared" si="1"/>
        <v>No</v>
      </c>
    </row>
    <row r="80" spans="1:15" x14ac:dyDescent="0.25">
      <c r="A80" t="s">
        <v>141</v>
      </c>
      <c r="B80" s="1">
        <v>45760</v>
      </c>
      <c r="C80" s="2">
        <v>45761.527499999997</v>
      </c>
      <c r="D80" t="s">
        <v>15</v>
      </c>
      <c r="E80" t="s">
        <v>32</v>
      </c>
      <c r="F80" t="s">
        <v>33</v>
      </c>
      <c r="G80" t="s">
        <v>34</v>
      </c>
      <c r="H80" t="s">
        <v>44</v>
      </c>
      <c r="I80" t="s">
        <v>36</v>
      </c>
      <c r="J80" t="s">
        <v>21</v>
      </c>
      <c r="K80">
        <v>48</v>
      </c>
      <c r="L80">
        <v>36.659999999999997</v>
      </c>
      <c r="M80">
        <v>4</v>
      </c>
      <c r="N80" t="s">
        <v>22</v>
      </c>
      <c r="O80" t="str">
        <f t="shared" si="1"/>
        <v>No</v>
      </c>
    </row>
    <row r="81" spans="1:15" x14ac:dyDescent="0.25">
      <c r="A81" t="s">
        <v>142</v>
      </c>
      <c r="B81" s="1">
        <v>45779</v>
      </c>
      <c r="C81" s="2">
        <v>45779.076666666668</v>
      </c>
      <c r="D81" t="s">
        <v>38</v>
      </c>
      <c r="E81" t="s">
        <v>39</v>
      </c>
      <c r="F81" t="s">
        <v>119</v>
      </c>
      <c r="G81" t="s">
        <v>34</v>
      </c>
      <c r="H81" t="s">
        <v>35</v>
      </c>
      <c r="I81" t="s">
        <v>36</v>
      </c>
      <c r="J81" t="s">
        <v>21</v>
      </c>
      <c r="K81">
        <v>8</v>
      </c>
      <c r="L81">
        <v>1.84</v>
      </c>
      <c r="M81">
        <v>4.9000000000000004</v>
      </c>
      <c r="N81" t="s">
        <v>61</v>
      </c>
      <c r="O81" t="str">
        <f t="shared" si="1"/>
        <v>No</v>
      </c>
    </row>
    <row r="82" spans="1:15" x14ac:dyDescent="0.25">
      <c r="A82" t="s">
        <v>143</v>
      </c>
      <c r="B82" s="1">
        <v>45828</v>
      </c>
      <c r="C82" s="2">
        <v>45829.28125</v>
      </c>
      <c r="D82" t="s">
        <v>15</v>
      </c>
      <c r="E82" t="s">
        <v>32</v>
      </c>
      <c r="F82" t="s">
        <v>80</v>
      </c>
      <c r="G82" t="s">
        <v>51</v>
      </c>
      <c r="H82" t="s">
        <v>19</v>
      </c>
      <c r="I82" t="s">
        <v>20</v>
      </c>
      <c r="J82" t="s">
        <v>46</v>
      </c>
      <c r="K82">
        <v>48</v>
      </c>
      <c r="L82">
        <v>30.75</v>
      </c>
      <c r="M82">
        <v>3.7</v>
      </c>
      <c r="N82" t="s">
        <v>22</v>
      </c>
      <c r="O82" t="str">
        <f t="shared" si="1"/>
        <v>No</v>
      </c>
    </row>
    <row r="83" spans="1:15" x14ac:dyDescent="0.25">
      <c r="A83" t="s">
        <v>144</v>
      </c>
      <c r="B83" s="1">
        <v>45737</v>
      </c>
      <c r="C83" s="2">
        <v>45737.203333333331</v>
      </c>
      <c r="D83" t="s">
        <v>38</v>
      </c>
      <c r="E83" t="s">
        <v>25</v>
      </c>
      <c r="F83" t="s">
        <v>70</v>
      </c>
      <c r="G83" t="s">
        <v>56</v>
      </c>
      <c r="H83" t="s">
        <v>19</v>
      </c>
      <c r="I83" t="s">
        <v>45</v>
      </c>
      <c r="J83" t="s">
        <v>21</v>
      </c>
      <c r="K83">
        <v>8</v>
      </c>
      <c r="L83">
        <v>4.88</v>
      </c>
      <c r="M83">
        <v>4.0999999999999996</v>
      </c>
      <c r="N83" t="s">
        <v>22</v>
      </c>
      <c r="O83" t="str">
        <f t="shared" si="1"/>
        <v>No</v>
      </c>
    </row>
    <row r="84" spans="1:15" x14ac:dyDescent="0.25">
      <c r="A84" t="s">
        <v>145</v>
      </c>
      <c r="B84" s="1">
        <v>45687</v>
      </c>
      <c r="C84" s="2">
        <v>45687.582499999997</v>
      </c>
      <c r="D84" t="s">
        <v>15</v>
      </c>
      <c r="E84" t="s">
        <v>32</v>
      </c>
      <c r="F84" t="s">
        <v>80</v>
      </c>
      <c r="G84" t="s">
        <v>18</v>
      </c>
      <c r="H84" t="s">
        <v>44</v>
      </c>
      <c r="I84" t="s">
        <v>45</v>
      </c>
      <c r="J84" t="s">
        <v>46</v>
      </c>
      <c r="K84">
        <v>48</v>
      </c>
      <c r="L84">
        <v>13.98</v>
      </c>
      <c r="M84">
        <v>3.8</v>
      </c>
      <c r="N84" t="s">
        <v>61</v>
      </c>
      <c r="O84" t="str">
        <f t="shared" si="1"/>
        <v>No</v>
      </c>
    </row>
    <row r="85" spans="1:15" x14ac:dyDescent="0.25">
      <c r="A85" t="s">
        <v>146</v>
      </c>
      <c r="B85" s="1">
        <v>45808</v>
      </c>
      <c r="C85" s="2">
        <v>45808.185833333337</v>
      </c>
      <c r="D85" t="s">
        <v>15</v>
      </c>
      <c r="E85" t="s">
        <v>25</v>
      </c>
      <c r="F85" t="s">
        <v>26</v>
      </c>
      <c r="G85" t="s">
        <v>34</v>
      </c>
      <c r="H85" t="s">
        <v>65</v>
      </c>
      <c r="I85" t="s">
        <v>36</v>
      </c>
      <c r="J85" t="s">
        <v>29</v>
      </c>
      <c r="K85">
        <v>48</v>
      </c>
      <c r="L85">
        <v>4.46</v>
      </c>
      <c r="M85">
        <v>4.5999999999999996</v>
      </c>
      <c r="N85" t="s">
        <v>22</v>
      </c>
      <c r="O85" t="str">
        <f t="shared" si="1"/>
        <v>No</v>
      </c>
    </row>
    <row r="86" spans="1:15" x14ac:dyDescent="0.25">
      <c r="A86" t="s">
        <v>147</v>
      </c>
      <c r="B86" s="1">
        <v>45771</v>
      </c>
      <c r="C86" s="2">
        <v>45772.879583333335</v>
      </c>
      <c r="D86" t="s">
        <v>15</v>
      </c>
      <c r="E86" t="s">
        <v>16</v>
      </c>
      <c r="F86" t="s">
        <v>43</v>
      </c>
      <c r="G86" t="s">
        <v>41</v>
      </c>
      <c r="H86" t="s">
        <v>35</v>
      </c>
      <c r="I86" t="s">
        <v>28</v>
      </c>
      <c r="J86" t="s">
        <v>21</v>
      </c>
      <c r="K86">
        <v>48</v>
      </c>
      <c r="L86">
        <v>45.11</v>
      </c>
      <c r="M86">
        <v>4.5999999999999996</v>
      </c>
      <c r="N86" t="s">
        <v>22</v>
      </c>
      <c r="O86" t="str">
        <f t="shared" si="1"/>
        <v>No</v>
      </c>
    </row>
    <row r="87" spans="1:15" x14ac:dyDescent="0.25">
      <c r="A87" t="s">
        <v>148</v>
      </c>
      <c r="B87" s="1">
        <v>45784</v>
      </c>
      <c r="C87" s="2">
        <v>45784.289166666669</v>
      </c>
      <c r="D87" t="s">
        <v>24</v>
      </c>
      <c r="E87" t="s">
        <v>39</v>
      </c>
      <c r="F87" t="s">
        <v>40</v>
      </c>
      <c r="G87" t="s">
        <v>41</v>
      </c>
      <c r="H87" t="s">
        <v>65</v>
      </c>
      <c r="I87" t="s">
        <v>45</v>
      </c>
      <c r="J87" t="s">
        <v>46</v>
      </c>
      <c r="K87">
        <v>24</v>
      </c>
      <c r="L87">
        <v>6.94</v>
      </c>
      <c r="M87">
        <v>4.9000000000000004</v>
      </c>
      <c r="N87" t="s">
        <v>61</v>
      </c>
      <c r="O87" t="str">
        <f t="shared" si="1"/>
        <v>No</v>
      </c>
    </row>
    <row r="88" spans="1:15" x14ac:dyDescent="0.25">
      <c r="A88" t="s">
        <v>149</v>
      </c>
      <c r="B88" s="1">
        <v>45675</v>
      </c>
      <c r="C88" s="2">
        <v>45676.453333333331</v>
      </c>
      <c r="D88" t="s">
        <v>24</v>
      </c>
      <c r="E88" t="s">
        <v>32</v>
      </c>
      <c r="F88" t="s">
        <v>64</v>
      </c>
      <c r="G88" t="s">
        <v>41</v>
      </c>
      <c r="H88" t="s">
        <v>54</v>
      </c>
      <c r="I88" t="s">
        <v>28</v>
      </c>
      <c r="J88" t="s">
        <v>29</v>
      </c>
      <c r="K88">
        <v>24</v>
      </c>
      <c r="L88">
        <v>34.880000000000003</v>
      </c>
      <c r="M88">
        <v>3.5</v>
      </c>
      <c r="N88" t="s">
        <v>22</v>
      </c>
      <c r="O88" t="str">
        <f t="shared" si="1"/>
        <v>Yes</v>
      </c>
    </row>
    <row r="89" spans="1:15" x14ac:dyDescent="0.25">
      <c r="A89" t="s">
        <v>150</v>
      </c>
      <c r="B89" s="1">
        <v>45714</v>
      </c>
      <c r="C89" s="2">
        <v>45715.814166666663</v>
      </c>
      <c r="D89" t="s">
        <v>15</v>
      </c>
      <c r="E89" t="s">
        <v>45</v>
      </c>
      <c r="F89" t="s">
        <v>104</v>
      </c>
      <c r="G89" t="s">
        <v>56</v>
      </c>
      <c r="H89" t="s">
        <v>27</v>
      </c>
      <c r="I89" t="s">
        <v>36</v>
      </c>
      <c r="J89" t="s">
        <v>46</v>
      </c>
      <c r="K89">
        <v>48</v>
      </c>
      <c r="L89">
        <v>43.54</v>
      </c>
      <c r="M89">
        <v>2.9</v>
      </c>
      <c r="N89" t="s">
        <v>22</v>
      </c>
      <c r="O89" t="str">
        <f t="shared" si="1"/>
        <v>No</v>
      </c>
    </row>
    <row r="90" spans="1:15" x14ac:dyDescent="0.25">
      <c r="A90" t="s">
        <v>151</v>
      </c>
      <c r="B90" s="1">
        <v>45796</v>
      </c>
      <c r="C90" s="2">
        <v>45796.800833333335</v>
      </c>
      <c r="D90" t="s">
        <v>24</v>
      </c>
      <c r="E90" t="s">
        <v>16</v>
      </c>
      <c r="F90" t="s">
        <v>60</v>
      </c>
      <c r="G90" t="s">
        <v>41</v>
      </c>
      <c r="H90" t="s">
        <v>65</v>
      </c>
      <c r="I90" t="s">
        <v>36</v>
      </c>
      <c r="J90" t="s">
        <v>21</v>
      </c>
      <c r="K90">
        <v>24</v>
      </c>
      <c r="L90">
        <v>19.22</v>
      </c>
      <c r="M90">
        <v>4.2</v>
      </c>
      <c r="N90" t="s">
        <v>22</v>
      </c>
      <c r="O90" t="str">
        <f t="shared" si="1"/>
        <v>No</v>
      </c>
    </row>
    <row r="91" spans="1:15" x14ac:dyDescent="0.25">
      <c r="A91" t="s">
        <v>152</v>
      </c>
      <c r="B91" s="1">
        <v>45808</v>
      </c>
      <c r="C91" s="2">
        <v>45808.147916666669</v>
      </c>
      <c r="D91" t="s">
        <v>24</v>
      </c>
      <c r="E91" t="s">
        <v>39</v>
      </c>
      <c r="F91" t="s">
        <v>87</v>
      </c>
      <c r="G91" t="s">
        <v>56</v>
      </c>
      <c r="H91" t="s">
        <v>54</v>
      </c>
      <c r="I91" t="s">
        <v>36</v>
      </c>
      <c r="J91" t="s">
        <v>21</v>
      </c>
      <c r="K91">
        <v>24</v>
      </c>
      <c r="L91">
        <v>3.55</v>
      </c>
      <c r="M91">
        <v>4.8</v>
      </c>
      <c r="N91" t="s">
        <v>22</v>
      </c>
      <c r="O91" t="str">
        <f t="shared" si="1"/>
        <v>No</v>
      </c>
    </row>
    <row r="92" spans="1:15" x14ac:dyDescent="0.25">
      <c r="A92" t="s">
        <v>153</v>
      </c>
      <c r="B92" s="1">
        <v>45736</v>
      </c>
      <c r="C92" s="2">
        <v>45736.268333333333</v>
      </c>
      <c r="D92" t="s">
        <v>38</v>
      </c>
      <c r="E92" t="s">
        <v>39</v>
      </c>
      <c r="F92" t="s">
        <v>87</v>
      </c>
      <c r="G92" t="s">
        <v>41</v>
      </c>
      <c r="H92" t="s">
        <v>65</v>
      </c>
      <c r="I92" t="s">
        <v>20</v>
      </c>
      <c r="J92" t="s">
        <v>21</v>
      </c>
      <c r="K92">
        <v>8</v>
      </c>
      <c r="L92">
        <v>6.44</v>
      </c>
      <c r="M92">
        <v>4.4000000000000004</v>
      </c>
      <c r="N92" t="s">
        <v>22</v>
      </c>
      <c r="O92" t="str">
        <f t="shared" si="1"/>
        <v>No</v>
      </c>
    </row>
    <row r="93" spans="1:15" x14ac:dyDescent="0.25">
      <c r="A93" t="s">
        <v>154</v>
      </c>
      <c r="B93" s="1">
        <v>45803</v>
      </c>
      <c r="C93" s="2">
        <v>45803.37</v>
      </c>
      <c r="D93" t="s">
        <v>38</v>
      </c>
      <c r="E93" t="s">
        <v>45</v>
      </c>
      <c r="F93" t="s">
        <v>100</v>
      </c>
      <c r="G93" t="s">
        <v>34</v>
      </c>
      <c r="H93" t="s">
        <v>44</v>
      </c>
      <c r="I93" t="s">
        <v>20</v>
      </c>
      <c r="J93" t="s">
        <v>21</v>
      </c>
      <c r="K93">
        <v>8</v>
      </c>
      <c r="L93">
        <v>8.8800000000000008</v>
      </c>
      <c r="M93">
        <v>4.5999999999999996</v>
      </c>
      <c r="N93" t="s">
        <v>22</v>
      </c>
      <c r="O93" t="str">
        <f t="shared" si="1"/>
        <v>Yes</v>
      </c>
    </row>
    <row r="94" spans="1:15" x14ac:dyDescent="0.25">
      <c r="A94" t="s">
        <v>155</v>
      </c>
      <c r="B94" s="1">
        <v>45810</v>
      </c>
      <c r="C94" s="2">
        <v>45810.543749999997</v>
      </c>
      <c r="D94" t="s">
        <v>24</v>
      </c>
      <c r="E94" t="s">
        <v>25</v>
      </c>
      <c r="F94" t="s">
        <v>70</v>
      </c>
      <c r="G94" t="s">
        <v>56</v>
      </c>
      <c r="H94" t="s">
        <v>54</v>
      </c>
      <c r="I94" t="s">
        <v>45</v>
      </c>
      <c r="J94" t="s">
        <v>21</v>
      </c>
      <c r="K94">
        <v>24</v>
      </c>
      <c r="L94">
        <v>13.05</v>
      </c>
      <c r="M94">
        <v>4.0999999999999996</v>
      </c>
      <c r="N94" t="s">
        <v>22</v>
      </c>
      <c r="O94" t="str">
        <f t="shared" si="1"/>
        <v>No</v>
      </c>
    </row>
    <row r="95" spans="1:15" x14ac:dyDescent="0.25">
      <c r="A95" t="s">
        <v>156</v>
      </c>
      <c r="B95" s="1">
        <v>45728</v>
      </c>
      <c r="C95" s="2">
        <v>45729.296249999999</v>
      </c>
      <c r="D95" t="s">
        <v>15</v>
      </c>
      <c r="E95" t="s">
        <v>25</v>
      </c>
      <c r="F95" t="s">
        <v>53</v>
      </c>
      <c r="G95" t="s">
        <v>41</v>
      </c>
      <c r="H95" t="s">
        <v>65</v>
      </c>
      <c r="I95" t="s">
        <v>36</v>
      </c>
      <c r="J95" t="s">
        <v>85</v>
      </c>
      <c r="K95">
        <v>48</v>
      </c>
      <c r="L95">
        <v>31.11</v>
      </c>
      <c r="M95">
        <v>4</v>
      </c>
      <c r="N95" t="s">
        <v>61</v>
      </c>
      <c r="O95" t="str">
        <f t="shared" si="1"/>
        <v>No</v>
      </c>
    </row>
    <row r="96" spans="1:15" x14ac:dyDescent="0.25">
      <c r="A96" t="s">
        <v>157</v>
      </c>
      <c r="B96" s="1">
        <v>45820</v>
      </c>
      <c r="C96" s="2">
        <v>45821.534583333334</v>
      </c>
      <c r="D96" t="s">
        <v>15</v>
      </c>
      <c r="E96" t="s">
        <v>16</v>
      </c>
      <c r="F96" t="s">
        <v>43</v>
      </c>
      <c r="G96" t="s">
        <v>51</v>
      </c>
      <c r="H96" t="s">
        <v>65</v>
      </c>
      <c r="I96" t="s">
        <v>36</v>
      </c>
      <c r="J96" t="s">
        <v>21</v>
      </c>
      <c r="K96">
        <v>48</v>
      </c>
      <c r="L96">
        <v>36.83</v>
      </c>
      <c r="M96">
        <v>4.7</v>
      </c>
      <c r="N96" t="s">
        <v>22</v>
      </c>
      <c r="O96" t="str">
        <f t="shared" si="1"/>
        <v>No</v>
      </c>
    </row>
    <row r="97" spans="1:15" x14ac:dyDescent="0.25">
      <c r="A97" t="s">
        <v>158</v>
      </c>
      <c r="B97" s="1">
        <v>45710</v>
      </c>
      <c r="C97" s="2">
        <v>45710.399155092593</v>
      </c>
      <c r="D97" t="s">
        <v>38</v>
      </c>
      <c r="E97" t="s">
        <v>45</v>
      </c>
      <c r="F97" t="s">
        <v>112</v>
      </c>
      <c r="G97" t="s">
        <v>18</v>
      </c>
      <c r="H97" t="s">
        <v>35</v>
      </c>
      <c r="I97" t="s">
        <v>36</v>
      </c>
      <c r="J97" t="s">
        <v>21</v>
      </c>
      <c r="K97">
        <v>8</v>
      </c>
      <c r="L97">
        <v>9.58</v>
      </c>
      <c r="M97">
        <v>3.2</v>
      </c>
      <c r="N97" t="s">
        <v>22</v>
      </c>
      <c r="O97" t="str">
        <f t="shared" si="1"/>
        <v>Yes</v>
      </c>
    </row>
    <row r="98" spans="1:15" x14ac:dyDescent="0.25">
      <c r="A98" t="s">
        <v>159</v>
      </c>
      <c r="B98" s="1">
        <v>45701</v>
      </c>
      <c r="C98" s="2">
        <v>45702.384583333333</v>
      </c>
      <c r="D98" t="s">
        <v>15</v>
      </c>
      <c r="E98" t="s">
        <v>39</v>
      </c>
      <c r="F98" t="s">
        <v>87</v>
      </c>
      <c r="G98" t="s">
        <v>18</v>
      </c>
      <c r="H98" t="s">
        <v>54</v>
      </c>
      <c r="I98" t="s">
        <v>20</v>
      </c>
      <c r="J98" t="s">
        <v>21</v>
      </c>
      <c r="K98">
        <v>48</v>
      </c>
      <c r="L98">
        <v>33.229999999999997</v>
      </c>
      <c r="M98">
        <v>4.2</v>
      </c>
      <c r="N98" t="s">
        <v>22</v>
      </c>
      <c r="O98" t="str">
        <f t="shared" si="1"/>
        <v>No</v>
      </c>
    </row>
    <row r="99" spans="1:15" x14ac:dyDescent="0.25">
      <c r="A99" t="s">
        <v>160</v>
      </c>
      <c r="B99" s="1">
        <v>45781</v>
      </c>
      <c r="C99" s="2">
        <v>45781.749583333331</v>
      </c>
      <c r="D99" t="s">
        <v>24</v>
      </c>
      <c r="E99" t="s">
        <v>16</v>
      </c>
      <c r="F99" t="s">
        <v>43</v>
      </c>
      <c r="G99" t="s">
        <v>51</v>
      </c>
      <c r="H99" t="s">
        <v>54</v>
      </c>
      <c r="I99" t="s">
        <v>36</v>
      </c>
      <c r="J99" t="s">
        <v>29</v>
      </c>
      <c r="K99">
        <v>24</v>
      </c>
      <c r="L99">
        <v>17.989999999999998</v>
      </c>
      <c r="M99">
        <v>2.8</v>
      </c>
      <c r="N99" t="s">
        <v>22</v>
      </c>
      <c r="O99" t="str">
        <f t="shared" si="1"/>
        <v>No</v>
      </c>
    </row>
    <row r="100" spans="1:15" x14ac:dyDescent="0.25">
      <c r="A100" t="s">
        <v>161</v>
      </c>
      <c r="B100" s="1">
        <v>45773</v>
      </c>
      <c r="C100" s="2">
        <v>45773.208333333336</v>
      </c>
      <c r="D100" t="s">
        <v>38</v>
      </c>
      <c r="E100" t="s">
        <v>39</v>
      </c>
      <c r="F100" t="s">
        <v>119</v>
      </c>
      <c r="G100" t="s">
        <v>34</v>
      </c>
      <c r="H100" t="s">
        <v>44</v>
      </c>
      <c r="I100" t="s">
        <v>36</v>
      </c>
      <c r="J100" t="s">
        <v>21</v>
      </c>
      <c r="K100">
        <v>8</v>
      </c>
      <c r="L100">
        <v>5</v>
      </c>
      <c r="M100">
        <v>4</v>
      </c>
      <c r="N100" t="s">
        <v>22</v>
      </c>
      <c r="O100" t="str">
        <f t="shared" si="1"/>
        <v>No</v>
      </c>
    </row>
    <row r="101" spans="1:15" x14ac:dyDescent="0.25">
      <c r="A101" t="s">
        <v>162</v>
      </c>
      <c r="B101" s="1">
        <v>45683</v>
      </c>
      <c r="C101" s="2">
        <v>45683.247083333335</v>
      </c>
      <c r="D101" t="s">
        <v>31</v>
      </c>
      <c r="E101" t="s">
        <v>16</v>
      </c>
      <c r="F101" t="s">
        <v>60</v>
      </c>
      <c r="G101" t="s">
        <v>34</v>
      </c>
      <c r="H101" t="s">
        <v>44</v>
      </c>
      <c r="I101" t="s">
        <v>36</v>
      </c>
      <c r="J101" t="s">
        <v>21</v>
      </c>
      <c r="K101">
        <v>4</v>
      </c>
      <c r="L101">
        <v>5.93</v>
      </c>
      <c r="M101">
        <v>4.0999999999999996</v>
      </c>
      <c r="N101" t="s">
        <v>22</v>
      </c>
      <c r="O101" t="str">
        <f t="shared" si="1"/>
        <v>Yes</v>
      </c>
    </row>
    <row r="102" spans="1:15" x14ac:dyDescent="0.25">
      <c r="A102" t="s">
        <v>163</v>
      </c>
      <c r="B102" s="1">
        <v>45808</v>
      </c>
      <c r="C102" s="2">
        <v>45808.55541666667</v>
      </c>
      <c r="D102" t="s">
        <v>24</v>
      </c>
      <c r="E102" t="s">
        <v>45</v>
      </c>
      <c r="F102" t="s">
        <v>50</v>
      </c>
      <c r="G102" t="s">
        <v>56</v>
      </c>
      <c r="H102" t="s">
        <v>27</v>
      </c>
      <c r="I102" t="s">
        <v>36</v>
      </c>
      <c r="J102" t="s">
        <v>21</v>
      </c>
      <c r="K102">
        <v>24</v>
      </c>
      <c r="L102">
        <v>13.33</v>
      </c>
      <c r="M102">
        <v>4.5999999999999996</v>
      </c>
      <c r="N102" t="s">
        <v>22</v>
      </c>
      <c r="O102" t="str">
        <f t="shared" si="1"/>
        <v>No</v>
      </c>
    </row>
    <row r="103" spans="1:15" x14ac:dyDescent="0.25">
      <c r="A103" t="s">
        <v>164</v>
      </c>
      <c r="B103" s="1">
        <v>45694</v>
      </c>
      <c r="C103" s="2">
        <v>45694.745833333334</v>
      </c>
      <c r="D103" t="s">
        <v>24</v>
      </c>
      <c r="E103" t="s">
        <v>45</v>
      </c>
      <c r="F103" t="s">
        <v>104</v>
      </c>
      <c r="G103" t="s">
        <v>34</v>
      </c>
      <c r="H103" t="s">
        <v>27</v>
      </c>
      <c r="I103" t="s">
        <v>28</v>
      </c>
      <c r="J103" t="s">
        <v>21</v>
      </c>
      <c r="K103">
        <v>24</v>
      </c>
      <c r="L103">
        <v>17.899999999999999</v>
      </c>
      <c r="M103">
        <v>4.7</v>
      </c>
      <c r="N103" t="s">
        <v>22</v>
      </c>
      <c r="O103" t="str">
        <f t="shared" si="1"/>
        <v>No</v>
      </c>
    </row>
    <row r="104" spans="1:15" x14ac:dyDescent="0.25">
      <c r="A104" t="s">
        <v>165</v>
      </c>
      <c r="B104" s="1">
        <v>45803</v>
      </c>
      <c r="C104" s="2">
        <v>45804.247916666667</v>
      </c>
      <c r="D104" t="s">
        <v>24</v>
      </c>
      <c r="E104" t="s">
        <v>16</v>
      </c>
      <c r="F104" t="s">
        <v>43</v>
      </c>
      <c r="G104" t="s">
        <v>18</v>
      </c>
      <c r="H104" t="s">
        <v>27</v>
      </c>
      <c r="I104" t="s">
        <v>36</v>
      </c>
      <c r="J104" t="s">
        <v>21</v>
      </c>
      <c r="K104">
        <v>24</v>
      </c>
      <c r="L104">
        <v>29.95</v>
      </c>
      <c r="M104">
        <v>4.0999999999999996</v>
      </c>
      <c r="N104" t="s">
        <v>22</v>
      </c>
      <c r="O104" t="str">
        <f t="shared" si="1"/>
        <v>Yes</v>
      </c>
    </row>
    <row r="105" spans="1:15" x14ac:dyDescent="0.25">
      <c r="A105" t="s">
        <v>166</v>
      </c>
      <c r="B105" s="1">
        <v>45659</v>
      </c>
      <c r="C105" s="2">
        <v>45659.119583333333</v>
      </c>
      <c r="D105" t="s">
        <v>38</v>
      </c>
      <c r="E105" t="s">
        <v>16</v>
      </c>
      <c r="F105" t="s">
        <v>60</v>
      </c>
      <c r="G105" t="s">
        <v>34</v>
      </c>
      <c r="H105" t="s">
        <v>44</v>
      </c>
      <c r="I105" t="s">
        <v>28</v>
      </c>
      <c r="J105" t="s">
        <v>21</v>
      </c>
      <c r="K105">
        <v>8</v>
      </c>
      <c r="L105">
        <v>2.87</v>
      </c>
      <c r="M105">
        <v>5</v>
      </c>
      <c r="N105" t="s">
        <v>22</v>
      </c>
      <c r="O105" t="str">
        <f t="shared" si="1"/>
        <v>No</v>
      </c>
    </row>
    <row r="106" spans="1:15" x14ac:dyDescent="0.25">
      <c r="A106" t="s">
        <v>167</v>
      </c>
      <c r="B106" s="1">
        <v>45802</v>
      </c>
      <c r="C106" s="2">
        <v>45805.333749999998</v>
      </c>
      <c r="D106" t="s">
        <v>15</v>
      </c>
      <c r="E106" t="s">
        <v>45</v>
      </c>
      <c r="F106" t="s">
        <v>100</v>
      </c>
      <c r="G106" t="s">
        <v>34</v>
      </c>
      <c r="H106" t="s">
        <v>19</v>
      </c>
      <c r="I106" t="s">
        <v>45</v>
      </c>
      <c r="J106" t="s">
        <v>21</v>
      </c>
      <c r="K106">
        <v>48</v>
      </c>
      <c r="L106">
        <v>80.010000000000005</v>
      </c>
      <c r="M106">
        <v>2.8</v>
      </c>
      <c r="N106" t="s">
        <v>22</v>
      </c>
      <c r="O106" t="str">
        <f t="shared" si="1"/>
        <v>Yes</v>
      </c>
    </row>
    <row r="107" spans="1:15" x14ac:dyDescent="0.25">
      <c r="A107" t="s">
        <v>168</v>
      </c>
      <c r="B107" s="1">
        <v>45800</v>
      </c>
      <c r="C107" s="2">
        <v>45800.659166666665</v>
      </c>
      <c r="D107" t="s">
        <v>15</v>
      </c>
      <c r="E107" t="s">
        <v>45</v>
      </c>
      <c r="F107" t="s">
        <v>104</v>
      </c>
      <c r="G107" t="s">
        <v>56</v>
      </c>
      <c r="H107" t="s">
        <v>27</v>
      </c>
      <c r="I107" t="s">
        <v>45</v>
      </c>
      <c r="J107" t="s">
        <v>21</v>
      </c>
      <c r="K107">
        <v>48</v>
      </c>
      <c r="L107">
        <v>15.82</v>
      </c>
      <c r="M107">
        <v>5</v>
      </c>
      <c r="N107" t="s">
        <v>22</v>
      </c>
      <c r="O107" t="str">
        <f t="shared" si="1"/>
        <v>No</v>
      </c>
    </row>
    <row r="108" spans="1:15" x14ac:dyDescent="0.25">
      <c r="A108" t="s">
        <v>169</v>
      </c>
      <c r="B108" s="1">
        <v>45799</v>
      </c>
      <c r="C108" s="2">
        <v>45799.232916666668</v>
      </c>
      <c r="D108" t="s">
        <v>24</v>
      </c>
      <c r="E108" t="s">
        <v>25</v>
      </c>
      <c r="F108" t="s">
        <v>26</v>
      </c>
      <c r="G108" t="s">
        <v>56</v>
      </c>
      <c r="H108" t="s">
        <v>35</v>
      </c>
      <c r="I108" t="s">
        <v>45</v>
      </c>
      <c r="J108" t="s">
        <v>21</v>
      </c>
      <c r="K108">
        <v>24</v>
      </c>
      <c r="L108">
        <v>5.59</v>
      </c>
      <c r="M108">
        <v>5</v>
      </c>
      <c r="N108" t="s">
        <v>61</v>
      </c>
      <c r="O108" t="str">
        <f t="shared" si="1"/>
        <v>No</v>
      </c>
    </row>
    <row r="109" spans="1:15" x14ac:dyDescent="0.25">
      <c r="A109" t="s">
        <v>170</v>
      </c>
      <c r="B109" s="1">
        <v>45778</v>
      </c>
      <c r="C109" s="2">
        <v>45779.524155092593</v>
      </c>
      <c r="D109" t="s">
        <v>15</v>
      </c>
      <c r="E109" t="s">
        <v>32</v>
      </c>
      <c r="F109" t="s">
        <v>64</v>
      </c>
      <c r="G109" t="s">
        <v>56</v>
      </c>
      <c r="H109" t="s">
        <v>27</v>
      </c>
      <c r="I109" t="s">
        <v>45</v>
      </c>
      <c r="J109" t="s">
        <v>46</v>
      </c>
      <c r="K109">
        <v>48</v>
      </c>
      <c r="L109">
        <v>36.58</v>
      </c>
      <c r="M109">
        <v>4.0999999999999996</v>
      </c>
      <c r="N109" t="s">
        <v>22</v>
      </c>
      <c r="O109" t="str">
        <f t="shared" si="1"/>
        <v>No</v>
      </c>
    </row>
    <row r="110" spans="1:15" x14ac:dyDescent="0.25">
      <c r="A110" t="s">
        <v>171</v>
      </c>
      <c r="B110" s="1">
        <v>45743</v>
      </c>
      <c r="C110" s="2">
        <v>45743.315405092595</v>
      </c>
      <c r="D110" t="s">
        <v>24</v>
      </c>
      <c r="E110" t="s">
        <v>39</v>
      </c>
      <c r="F110" t="s">
        <v>87</v>
      </c>
      <c r="G110" t="s">
        <v>41</v>
      </c>
      <c r="H110" t="s">
        <v>27</v>
      </c>
      <c r="I110" t="s">
        <v>45</v>
      </c>
      <c r="J110" t="s">
        <v>21</v>
      </c>
      <c r="K110">
        <v>24</v>
      </c>
      <c r="L110">
        <v>7.57</v>
      </c>
      <c r="M110">
        <v>3.8</v>
      </c>
      <c r="N110" t="s">
        <v>22</v>
      </c>
      <c r="O110" t="str">
        <f t="shared" si="1"/>
        <v>No</v>
      </c>
    </row>
    <row r="111" spans="1:15" x14ac:dyDescent="0.25">
      <c r="A111" t="s">
        <v>172</v>
      </c>
      <c r="B111" s="1">
        <v>45785</v>
      </c>
      <c r="C111" s="2">
        <v>45786.437083333331</v>
      </c>
      <c r="D111" t="s">
        <v>24</v>
      </c>
      <c r="E111" t="s">
        <v>45</v>
      </c>
      <c r="F111" t="s">
        <v>100</v>
      </c>
      <c r="G111" t="s">
        <v>34</v>
      </c>
      <c r="H111" t="s">
        <v>44</v>
      </c>
      <c r="I111" t="s">
        <v>36</v>
      </c>
      <c r="J111" t="s">
        <v>85</v>
      </c>
      <c r="K111">
        <v>24</v>
      </c>
      <c r="L111">
        <v>34.49</v>
      </c>
      <c r="M111">
        <v>2.9</v>
      </c>
      <c r="N111" t="s">
        <v>22</v>
      </c>
      <c r="O111" t="str">
        <f t="shared" si="1"/>
        <v>Yes</v>
      </c>
    </row>
    <row r="112" spans="1:15" x14ac:dyDescent="0.25">
      <c r="A112" t="s">
        <v>173</v>
      </c>
      <c r="B112" s="1">
        <v>45708</v>
      </c>
      <c r="C112" s="2">
        <v>45708.674166666664</v>
      </c>
      <c r="D112" t="s">
        <v>38</v>
      </c>
      <c r="E112" t="s">
        <v>25</v>
      </c>
      <c r="F112" t="s">
        <v>53</v>
      </c>
      <c r="G112" t="s">
        <v>51</v>
      </c>
      <c r="H112" t="s">
        <v>35</v>
      </c>
      <c r="I112" t="s">
        <v>28</v>
      </c>
      <c r="J112" t="s">
        <v>21</v>
      </c>
      <c r="K112">
        <v>8</v>
      </c>
      <c r="L112">
        <v>16.18</v>
      </c>
      <c r="M112">
        <v>2.9</v>
      </c>
      <c r="N112" t="s">
        <v>22</v>
      </c>
      <c r="O112" t="str">
        <f t="shared" si="1"/>
        <v>Yes</v>
      </c>
    </row>
    <row r="113" spans="1:15" x14ac:dyDescent="0.25">
      <c r="A113" t="s">
        <v>174</v>
      </c>
      <c r="B113" s="1">
        <v>45799</v>
      </c>
      <c r="C113" s="2">
        <v>45799.080416666664</v>
      </c>
      <c r="D113" t="s">
        <v>38</v>
      </c>
      <c r="E113" t="s">
        <v>25</v>
      </c>
      <c r="F113" t="s">
        <v>70</v>
      </c>
      <c r="G113" t="s">
        <v>34</v>
      </c>
      <c r="H113" t="s">
        <v>44</v>
      </c>
      <c r="I113" t="s">
        <v>36</v>
      </c>
      <c r="J113" t="s">
        <v>21</v>
      </c>
      <c r="K113">
        <v>8</v>
      </c>
      <c r="L113">
        <v>1.93</v>
      </c>
      <c r="M113">
        <v>3.6</v>
      </c>
      <c r="N113" t="s">
        <v>22</v>
      </c>
      <c r="O113" t="str">
        <f t="shared" si="1"/>
        <v>No</v>
      </c>
    </row>
    <row r="114" spans="1:15" x14ac:dyDescent="0.25">
      <c r="A114" t="s">
        <v>175</v>
      </c>
      <c r="B114" s="1">
        <v>45758</v>
      </c>
      <c r="C114" s="2">
        <v>45758.220405092594</v>
      </c>
      <c r="D114" t="s">
        <v>24</v>
      </c>
      <c r="E114" t="s">
        <v>16</v>
      </c>
      <c r="F114" t="s">
        <v>17</v>
      </c>
      <c r="G114" t="s">
        <v>41</v>
      </c>
      <c r="H114" t="s">
        <v>35</v>
      </c>
      <c r="I114" t="s">
        <v>36</v>
      </c>
      <c r="J114" t="s">
        <v>46</v>
      </c>
      <c r="K114">
        <v>24</v>
      </c>
      <c r="L114">
        <v>5.29</v>
      </c>
      <c r="M114">
        <v>4.2</v>
      </c>
      <c r="N114" t="s">
        <v>22</v>
      </c>
      <c r="O114" t="str">
        <f t="shared" si="1"/>
        <v>No</v>
      </c>
    </row>
    <row r="115" spans="1:15" x14ac:dyDescent="0.25">
      <c r="A115" t="s">
        <v>176</v>
      </c>
      <c r="B115" s="1">
        <v>45741</v>
      </c>
      <c r="C115" s="2">
        <v>45741.070416666669</v>
      </c>
      <c r="D115" t="s">
        <v>38</v>
      </c>
      <c r="E115" t="s">
        <v>39</v>
      </c>
      <c r="F115" t="s">
        <v>40</v>
      </c>
      <c r="G115" t="s">
        <v>34</v>
      </c>
      <c r="H115" t="s">
        <v>19</v>
      </c>
      <c r="I115" t="s">
        <v>36</v>
      </c>
      <c r="J115" t="s">
        <v>21</v>
      </c>
      <c r="K115">
        <v>8</v>
      </c>
      <c r="L115">
        <v>1.69</v>
      </c>
      <c r="M115">
        <v>4.5</v>
      </c>
      <c r="N115" t="s">
        <v>22</v>
      </c>
      <c r="O115" t="str">
        <f t="shared" si="1"/>
        <v>No</v>
      </c>
    </row>
    <row r="116" spans="1:15" x14ac:dyDescent="0.25">
      <c r="A116" t="s">
        <v>177</v>
      </c>
      <c r="B116" s="1">
        <v>45749</v>
      </c>
      <c r="C116" s="2">
        <v>45749.120833333334</v>
      </c>
      <c r="D116" t="s">
        <v>15</v>
      </c>
      <c r="E116" t="s">
        <v>39</v>
      </c>
      <c r="F116" t="s">
        <v>87</v>
      </c>
      <c r="G116" t="s">
        <v>18</v>
      </c>
      <c r="H116" t="s">
        <v>27</v>
      </c>
      <c r="I116" t="s">
        <v>45</v>
      </c>
      <c r="J116" t="s">
        <v>21</v>
      </c>
      <c r="K116">
        <v>48</v>
      </c>
      <c r="L116">
        <v>2.9</v>
      </c>
      <c r="M116">
        <v>5</v>
      </c>
      <c r="N116" t="s">
        <v>22</v>
      </c>
      <c r="O116" t="str">
        <f t="shared" si="1"/>
        <v>No</v>
      </c>
    </row>
    <row r="117" spans="1:15" x14ac:dyDescent="0.25">
      <c r="A117" t="s">
        <v>178</v>
      </c>
      <c r="B117" s="1">
        <v>45760</v>
      </c>
      <c r="C117" s="2">
        <v>45760.307916666665</v>
      </c>
      <c r="D117" t="s">
        <v>24</v>
      </c>
      <c r="E117" t="s">
        <v>25</v>
      </c>
      <c r="F117" t="s">
        <v>70</v>
      </c>
      <c r="G117" t="s">
        <v>34</v>
      </c>
      <c r="H117" t="s">
        <v>19</v>
      </c>
      <c r="I117" t="s">
        <v>36</v>
      </c>
      <c r="J117" t="s">
        <v>21</v>
      </c>
      <c r="K117">
        <v>24</v>
      </c>
      <c r="L117">
        <v>7.39</v>
      </c>
      <c r="M117">
        <v>5</v>
      </c>
      <c r="N117" t="s">
        <v>22</v>
      </c>
      <c r="O117" t="str">
        <f t="shared" si="1"/>
        <v>No</v>
      </c>
    </row>
    <row r="118" spans="1:15" x14ac:dyDescent="0.25">
      <c r="A118" t="s">
        <v>179</v>
      </c>
      <c r="B118" s="1">
        <v>45664</v>
      </c>
      <c r="C118" s="2">
        <v>45666.155416666668</v>
      </c>
      <c r="D118" t="s">
        <v>15</v>
      </c>
      <c r="E118" t="s">
        <v>39</v>
      </c>
      <c r="F118" t="s">
        <v>119</v>
      </c>
      <c r="G118" t="s">
        <v>34</v>
      </c>
      <c r="H118" t="s">
        <v>35</v>
      </c>
      <c r="I118" t="s">
        <v>36</v>
      </c>
      <c r="J118" t="s">
        <v>85</v>
      </c>
      <c r="K118">
        <v>48</v>
      </c>
      <c r="L118">
        <v>51.73</v>
      </c>
      <c r="M118">
        <v>4.2</v>
      </c>
      <c r="N118" t="s">
        <v>22</v>
      </c>
      <c r="O118" t="str">
        <f t="shared" si="1"/>
        <v>Yes</v>
      </c>
    </row>
    <row r="119" spans="1:15" x14ac:dyDescent="0.25">
      <c r="A119" t="s">
        <v>180</v>
      </c>
      <c r="B119" s="1">
        <v>45683</v>
      </c>
      <c r="C119" s="2">
        <v>45683.263333333336</v>
      </c>
      <c r="D119" t="s">
        <v>38</v>
      </c>
      <c r="E119" t="s">
        <v>16</v>
      </c>
      <c r="F119" t="s">
        <v>58</v>
      </c>
      <c r="G119" t="s">
        <v>34</v>
      </c>
      <c r="H119" t="s">
        <v>44</v>
      </c>
      <c r="I119" t="s">
        <v>36</v>
      </c>
      <c r="J119" t="s">
        <v>21</v>
      </c>
      <c r="K119">
        <v>8</v>
      </c>
      <c r="L119">
        <v>6.32</v>
      </c>
      <c r="M119">
        <v>3.3</v>
      </c>
      <c r="N119" t="s">
        <v>22</v>
      </c>
      <c r="O119" t="str">
        <f t="shared" si="1"/>
        <v>No</v>
      </c>
    </row>
    <row r="120" spans="1:15" x14ac:dyDescent="0.25">
      <c r="A120" t="s">
        <v>181</v>
      </c>
      <c r="B120" s="1">
        <v>45702</v>
      </c>
      <c r="C120" s="2">
        <v>45702.147083333337</v>
      </c>
      <c r="D120" t="s">
        <v>38</v>
      </c>
      <c r="E120" t="s">
        <v>25</v>
      </c>
      <c r="F120" t="s">
        <v>70</v>
      </c>
      <c r="G120" t="s">
        <v>34</v>
      </c>
      <c r="H120" t="s">
        <v>65</v>
      </c>
      <c r="I120" t="s">
        <v>36</v>
      </c>
      <c r="J120" t="s">
        <v>21</v>
      </c>
      <c r="K120">
        <v>8</v>
      </c>
      <c r="L120">
        <v>3.53</v>
      </c>
      <c r="M120">
        <v>5</v>
      </c>
      <c r="N120" t="s">
        <v>22</v>
      </c>
      <c r="O120" t="str">
        <f t="shared" si="1"/>
        <v>No</v>
      </c>
    </row>
    <row r="121" spans="1:15" x14ac:dyDescent="0.25">
      <c r="A121" t="s">
        <v>182</v>
      </c>
      <c r="B121" s="1">
        <v>45678</v>
      </c>
      <c r="C121" s="2">
        <v>45678.241666666669</v>
      </c>
      <c r="D121" t="s">
        <v>38</v>
      </c>
      <c r="E121" t="s">
        <v>25</v>
      </c>
      <c r="F121" t="s">
        <v>70</v>
      </c>
      <c r="G121" t="s">
        <v>41</v>
      </c>
      <c r="H121" t="s">
        <v>54</v>
      </c>
      <c r="I121" t="s">
        <v>36</v>
      </c>
      <c r="J121" t="s">
        <v>21</v>
      </c>
      <c r="K121">
        <v>8</v>
      </c>
      <c r="L121">
        <v>5.8</v>
      </c>
      <c r="M121">
        <v>4.0999999999999996</v>
      </c>
      <c r="N121" t="s">
        <v>61</v>
      </c>
      <c r="O121" t="str">
        <f t="shared" si="1"/>
        <v>No</v>
      </c>
    </row>
    <row r="122" spans="1:15" x14ac:dyDescent="0.25">
      <c r="A122" t="s">
        <v>183</v>
      </c>
      <c r="B122" s="1">
        <v>45737</v>
      </c>
      <c r="C122" s="2">
        <v>45737.053333333337</v>
      </c>
      <c r="D122" t="s">
        <v>38</v>
      </c>
      <c r="E122" t="s">
        <v>39</v>
      </c>
      <c r="F122" t="s">
        <v>119</v>
      </c>
      <c r="G122" t="s">
        <v>18</v>
      </c>
      <c r="H122" t="s">
        <v>35</v>
      </c>
      <c r="I122" t="s">
        <v>20</v>
      </c>
      <c r="J122" t="s">
        <v>21</v>
      </c>
      <c r="K122">
        <v>8</v>
      </c>
      <c r="L122">
        <v>1.28</v>
      </c>
      <c r="M122">
        <v>3.7</v>
      </c>
      <c r="N122" t="s">
        <v>22</v>
      </c>
      <c r="O122" t="str">
        <f t="shared" si="1"/>
        <v>No</v>
      </c>
    </row>
    <row r="123" spans="1:15" x14ac:dyDescent="0.25">
      <c r="A123" t="s">
        <v>184</v>
      </c>
      <c r="B123" s="1">
        <v>45778</v>
      </c>
      <c r="C123" s="2">
        <v>45778.092083333337</v>
      </c>
      <c r="D123" t="s">
        <v>31</v>
      </c>
      <c r="E123" t="s">
        <v>25</v>
      </c>
      <c r="F123" t="s">
        <v>70</v>
      </c>
      <c r="G123" t="s">
        <v>18</v>
      </c>
      <c r="H123" t="s">
        <v>44</v>
      </c>
      <c r="I123" t="s">
        <v>36</v>
      </c>
      <c r="J123" t="s">
        <v>21</v>
      </c>
      <c r="K123">
        <v>4</v>
      </c>
      <c r="L123">
        <v>2.21</v>
      </c>
      <c r="M123">
        <v>3.7</v>
      </c>
      <c r="N123" t="s">
        <v>22</v>
      </c>
      <c r="O123" t="str">
        <f t="shared" si="1"/>
        <v>No</v>
      </c>
    </row>
    <row r="124" spans="1:15" x14ac:dyDescent="0.25">
      <c r="A124" t="s">
        <v>185</v>
      </c>
      <c r="B124" s="1">
        <v>45776</v>
      </c>
      <c r="C124" s="2">
        <v>45777.26458333333</v>
      </c>
      <c r="D124" t="s">
        <v>15</v>
      </c>
      <c r="E124" t="s">
        <v>32</v>
      </c>
      <c r="F124" t="s">
        <v>33</v>
      </c>
      <c r="G124" t="s">
        <v>56</v>
      </c>
      <c r="H124" t="s">
        <v>35</v>
      </c>
      <c r="I124" t="s">
        <v>28</v>
      </c>
      <c r="J124" t="s">
        <v>46</v>
      </c>
      <c r="K124">
        <v>48</v>
      </c>
      <c r="L124">
        <v>30.35</v>
      </c>
      <c r="M124">
        <v>3.6</v>
      </c>
      <c r="N124" t="s">
        <v>22</v>
      </c>
      <c r="O124" t="str">
        <f t="shared" si="1"/>
        <v>No</v>
      </c>
    </row>
    <row r="125" spans="1:15" x14ac:dyDescent="0.25">
      <c r="A125" t="s">
        <v>186</v>
      </c>
      <c r="B125" s="1">
        <v>45743</v>
      </c>
      <c r="C125" s="2">
        <v>45743.201249999998</v>
      </c>
      <c r="D125" t="s">
        <v>38</v>
      </c>
      <c r="E125" t="s">
        <v>32</v>
      </c>
      <c r="F125" t="s">
        <v>33</v>
      </c>
      <c r="G125" t="s">
        <v>34</v>
      </c>
      <c r="H125" t="s">
        <v>35</v>
      </c>
      <c r="I125" t="s">
        <v>45</v>
      </c>
      <c r="J125" t="s">
        <v>85</v>
      </c>
      <c r="K125">
        <v>8</v>
      </c>
      <c r="L125">
        <v>4.83</v>
      </c>
      <c r="M125">
        <v>3.4</v>
      </c>
      <c r="N125" t="s">
        <v>22</v>
      </c>
      <c r="O125" t="str">
        <f t="shared" si="1"/>
        <v>No</v>
      </c>
    </row>
    <row r="126" spans="1:15" x14ac:dyDescent="0.25">
      <c r="A126" t="s">
        <v>187</v>
      </c>
      <c r="B126" s="1">
        <v>45812</v>
      </c>
      <c r="C126" s="2">
        <v>45812.299583333333</v>
      </c>
      <c r="D126" t="s">
        <v>24</v>
      </c>
      <c r="E126" t="s">
        <v>39</v>
      </c>
      <c r="F126" t="s">
        <v>78</v>
      </c>
      <c r="G126" t="s">
        <v>51</v>
      </c>
      <c r="H126" t="s">
        <v>44</v>
      </c>
      <c r="I126" t="s">
        <v>20</v>
      </c>
      <c r="J126" t="s">
        <v>85</v>
      </c>
      <c r="K126">
        <v>24</v>
      </c>
      <c r="L126">
        <v>7.19</v>
      </c>
      <c r="M126">
        <v>5</v>
      </c>
      <c r="N126" t="s">
        <v>22</v>
      </c>
      <c r="O126" t="str">
        <f t="shared" si="1"/>
        <v>No</v>
      </c>
    </row>
    <row r="127" spans="1:15" x14ac:dyDescent="0.25">
      <c r="A127" t="s">
        <v>188</v>
      </c>
      <c r="B127" s="1">
        <v>45760</v>
      </c>
      <c r="C127" s="2">
        <v>45760.289583333331</v>
      </c>
      <c r="D127" t="s">
        <v>24</v>
      </c>
      <c r="E127" t="s">
        <v>32</v>
      </c>
      <c r="F127" t="s">
        <v>64</v>
      </c>
      <c r="G127" t="s">
        <v>56</v>
      </c>
      <c r="H127" t="s">
        <v>19</v>
      </c>
      <c r="I127" t="s">
        <v>28</v>
      </c>
      <c r="J127" t="s">
        <v>21</v>
      </c>
      <c r="K127">
        <v>24</v>
      </c>
      <c r="L127">
        <v>6.95</v>
      </c>
      <c r="M127">
        <v>2.9</v>
      </c>
      <c r="N127" t="s">
        <v>22</v>
      </c>
      <c r="O127" t="str">
        <f t="shared" si="1"/>
        <v>No</v>
      </c>
    </row>
    <row r="128" spans="1:15" x14ac:dyDescent="0.25">
      <c r="A128" t="s">
        <v>189</v>
      </c>
      <c r="B128" s="1">
        <v>45672</v>
      </c>
      <c r="C128" s="2">
        <v>45672.843333333331</v>
      </c>
      <c r="D128" t="s">
        <v>24</v>
      </c>
      <c r="E128" t="s">
        <v>45</v>
      </c>
      <c r="F128" t="s">
        <v>112</v>
      </c>
      <c r="G128" t="s">
        <v>34</v>
      </c>
      <c r="H128" t="s">
        <v>54</v>
      </c>
      <c r="I128" t="s">
        <v>36</v>
      </c>
      <c r="J128" t="s">
        <v>21</v>
      </c>
      <c r="K128">
        <v>24</v>
      </c>
      <c r="L128">
        <v>20.239999999999998</v>
      </c>
      <c r="M128">
        <v>4.5999999999999996</v>
      </c>
      <c r="N128" t="s">
        <v>22</v>
      </c>
      <c r="O128" t="str">
        <f t="shared" si="1"/>
        <v>No</v>
      </c>
    </row>
    <row r="129" spans="1:15" x14ac:dyDescent="0.25">
      <c r="A129" t="s">
        <v>190</v>
      </c>
      <c r="B129" s="1">
        <v>45796</v>
      </c>
      <c r="C129" s="2">
        <v>45796.805833333332</v>
      </c>
      <c r="D129" t="s">
        <v>24</v>
      </c>
      <c r="E129" t="s">
        <v>45</v>
      </c>
      <c r="F129" t="s">
        <v>100</v>
      </c>
      <c r="G129" t="s">
        <v>41</v>
      </c>
      <c r="H129" t="s">
        <v>54</v>
      </c>
      <c r="I129" t="s">
        <v>45</v>
      </c>
      <c r="J129" t="s">
        <v>21</v>
      </c>
      <c r="K129">
        <v>24</v>
      </c>
      <c r="L129">
        <v>19.34</v>
      </c>
      <c r="M129">
        <v>4.5999999999999996</v>
      </c>
      <c r="N129" t="s">
        <v>22</v>
      </c>
      <c r="O129" t="str">
        <f t="shared" si="1"/>
        <v>No</v>
      </c>
    </row>
    <row r="130" spans="1:15" x14ac:dyDescent="0.25">
      <c r="A130" t="s">
        <v>191</v>
      </c>
      <c r="B130" s="1">
        <v>45762</v>
      </c>
      <c r="C130" s="2">
        <v>45762.129583333335</v>
      </c>
      <c r="D130" t="s">
        <v>15</v>
      </c>
      <c r="E130" t="s">
        <v>32</v>
      </c>
      <c r="F130" t="s">
        <v>64</v>
      </c>
      <c r="G130" t="s">
        <v>51</v>
      </c>
      <c r="H130" t="s">
        <v>44</v>
      </c>
      <c r="I130" t="s">
        <v>36</v>
      </c>
      <c r="J130" t="s">
        <v>21</v>
      </c>
      <c r="K130">
        <v>48</v>
      </c>
      <c r="L130">
        <v>3.11</v>
      </c>
      <c r="M130">
        <v>4.5999999999999996</v>
      </c>
      <c r="N130" t="s">
        <v>61</v>
      </c>
      <c r="O130" t="str">
        <f t="shared" si="1"/>
        <v>No</v>
      </c>
    </row>
    <row r="131" spans="1:15" x14ac:dyDescent="0.25">
      <c r="A131" t="s">
        <v>192</v>
      </c>
      <c r="B131" s="1">
        <v>45772</v>
      </c>
      <c r="C131" s="2">
        <v>45772.126666666663</v>
      </c>
      <c r="D131" t="s">
        <v>15</v>
      </c>
      <c r="E131" t="s">
        <v>25</v>
      </c>
      <c r="F131" t="s">
        <v>70</v>
      </c>
      <c r="G131" t="s">
        <v>56</v>
      </c>
      <c r="H131" t="s">
        <v>54</v>
      </c>
      <c r="I131" t="s">
        <v>36</v>
      </c>
      <c r="J131" t="s">
        <v>21</v>
      </c>
      <c r="K131">
        <v>48</v>
      </c>
      <c r="L131">
        <v>3.04</v>
      </c>
      <c r="M131">
        <v>5</v>
      </c>
      <c r="N131" t="s">
        <v>22</v>
      </c>
      <c r="O131" t="str">
        <f t="shared" ref="O131:O194" si="2">IF(L131&gt;K131,"Yes","No")</f>
        <v>No</v>
      </c>
    </row>
    <row r="132" spans="1:15" x14ac:dyDescent="0.25">
      <c r="A132" t="s">
        <v>193</v>
      </c>
      <c r="B132" s="1">
        <v>45760</v>
      </c>
      <c r="C132" s="2">
        <v>45763.840416666666</v>
      </c>
      <c r="D132" t="s">
        <v>15</v>
      </c>
      <c r="E132" t="s">
        <v>16</v>
      </c>
      <c r="F132" t="s">
        <v>58</v>
      </c>
      <c r="G132" t="s">
        <v>18</v>
      </c>
      <c r="H132" t="s">
        <v>27</v>
      </c>
      <c r="I132" t="s">
        <v>36</v>
      </c>
      <c r="J132" t="s">
        <v>21</v>
      </c>
      <c r="K132">
        <v>48</v>
      </c>
      <c r="L132">
        <v>92.17</v>
      </c>
      <c r="M132">
        <v>2</v>
      </c>
      <c r="N132" t="s">
        <v>22</v>
      </c>
      <c r="O132" t="str">
        <f t="shared" si="2"/>
        <v>Yes</v>
      </c>
    </row>
    <row r="133" spans="1:15" x14ac:dyDescent="0.25">
      <c r="A133" t="s">
        <v>194</v>
      </c>
      <c r="B133" s="1">
        <v>45758</v>
      </c>
      <c r="C133" s="2">
        <v>45758.647499999999</v>
      </c>
      <c r="D133" t="s">
        <v>24</v>
      </c>
      <c r="E133" t="s">
        <v>16</v>
      </c>
      <c r="F133" t="s">
        <v>43</v>
      </c>
      <c r="G133" t="s">
        <v>51</v>
      </c>
      <c r="H133" t="s">
        <v>27</v>
      </c>
      <c r="I133" t="s">
        <v>45</v>
      </c>
      <c r="J133" t="s">
        <v>21</v>
      </c>
      <c r="K133">
        <v>24</v>
      </c>
      <c r="L133">
        <v>15.54</v>
      </c>
      <c r="M133">
        <v>3.7</v>
      </c>
      <c r="N133" t="s">
        <v>22</v>
      </c>
      <c r="O133" t="str">
        <f t="shared" si="2"/>
        <v>No</v>
      </c>
    </row>
    <row r="134" spans="1:15" x14ac:dyDescent="0.25">
      <c r="A134" t="s">
        <v>195</v>
      </c>
      <c r="B134" s="1">
        <v>45674</v>
      </c>
      <c r="C134" s="2">
        <v>45674.201666666668</v>
      </c>
      <c r="D134" t="s">
        <v>38</v>
      </c>
      <c r="E134" t="s">
        <v>45</v>
      </c>
      <c r="F134" t="s">
        <v>112</v>
      </c>
      <c r="G134" t="s">
        <v>34</v>
      </c>
      <c r="H134" t="s">
        <v>35</v>
      </c>
      <c r="I134" t="s">
        <v>20</v>
      </c>
      <c r="J134" t="s">
        <v>46</v>
      </c>
      <c r="K134">
        <v>8</v>
      </c>
      <c r="L134">
        <v>4.84</v>
      </c>
      <c r="M134">
        <v>4.5999999999999996</v>
      </c>
      <c r="N134" t="s">
        <v>22</v>
      </c>
      <c r="O134" t="str">
        <f t="shared" si="2"/>
        <v>No</v>
      </c>
    </row>
    <row r="135" spans="1:15" x14ac:dyDescent="0.25">
      <c r="A135" t="s">
        <v>196</v>
      </c>
      <c r="B135" s="1">
        <v>45759</v>
      </c>
      <c r="C135" s="2">
        <v>45759.249166666668</v>
      </c>
      <c r="D135" t="s">
        <v>24</v>
      </c>
      <c r="E135" t="s">
        <v>16</v>
      </c>
      <c r="F135" t="s">
        <v>60</v>
      </c>
      <c r="G135" t="s">
        <v>34</v>
      </c>
      <c r="H135" t="s">
        <v>65</v>
      </c>
      <c r="I135" t="s">
        <v>36</v>
      </c>
      <c r="J135" t="s">
        <v>46</v>
      </c>
      <c r="K135">
        <v>24</v>
      </c>
      <c r="L135">
        <v>5.98</v>
      </c>
      <c r="M135">
        <v>4.5999999999999996</v>
      </c>
      <c r="N135" t="s">
        <v>22</v>
      </c>
      <c r="O135" t="str">
        <f t="shared" si="2"/>
        <v>No</v>
      </c>
    </row>
    <row r="136" spans="1:15" x14ac:dyDescent="0.25">
      <c r="A136" t="s">
        <v>197</v>
      </c>
      <c r="B136" s="1">
        <v>45801</v>
      </c>
      <c r="C136" s="2">
        <v>45801.399583333332</v>
      </c>
      <c r="D136" t="s">
        <v>24</v>
      </c>
      <c r="E136" t="s">
        <v>32</v>
      </c>
      <c r="F136" t="s">
        <v>75</v>
      </c>
      <c r="G136" t="s">
        <v>34</v>
      </c>
      <c r="H136" t="s">
        <v>44</v>
      </c>
      <c r="I136" t="s">
        <v>20</v>
      </c>
      <c r="J136" t="s">
        <v>29</v>
      </c>
      <c r="K136">
        <v>24</v>
      </c>
      <c r="L136">
        <v>9.59</v>
      </c>
      <c r="M136">
        <v>4.0999999999999996</v>
      </c>
      <c r="N136" t="s">
        <v>22</v>
      </c>
      <c r="O136" t="str">
        <f t="shared" si="2"/>
        <v>No</v>
      </c>
    </row>
    <row r="137" spans="1:15" x14ac:dyDescent="0.25">
      <c r="A137" t="s">
        <v>198</v>
      </c>
      <c r="B137" s="1">
        <v>45713</v>
      </c>
      <c r="C137" s="2">
        <v>45713.321250000001</v>
      </c>
      <c r="D137" t="s">
        <v>24</v>
      </c>
      <c r="E137" t="s">
        <v>32</v>
      </c>
      <c r="F137" t="s">
        <v>33</v>
      </c>
      <c r="G137" t="s">
        <v>34</v>
      </c>
      <c r="H137" t="s">
        <v>27</v>
      </c>
      <c r="I137" t="s">
        <v>36</v>
      </c>
      <c r="J137" t="s">
        <v>21</v>
      </c>
      <c r="K137">
        <v>24</v>
      </c>
      <c r="L137">
        <v>7.71</v>
      </c>
      <c r="M137">
        <v>4.5</v>
      </c>
      <c r="N137" t="s">
        <v>22</v>
      </c>
      <c r="O137" t="str">
        <f t="shared" si="2"/>
        <v>No</v>
      </c>
    </row>
    <row r="138" spans="1:15" x14ac:dyDescent="0.25">
      <c r="A138" t="s">
        <v>199</v>
      </c>
      <c r="B138" s="1">
        <v>45767</v>
      </c>
      <c r="C138" s="2">
        <v>45768.083333333336</v>
      </c>
      <c r="D138" t="s">
        <v>24</v>
      </c>
      <c r="E138" t="s">
        <v>16</v>
      </c>
      <c r="F138" t="s">
        <v>60</v>
      </c>
      <c r="G138" t="s">
        <v>56</v>
      </c>
      <c r="H138" t="s">
        <v>35</v>
      </c>
      <c r="I138" t="s">
        <v>36</v>
      </c>
      <c r="J138" t="s">
        <v>29</v>
      </c>
      <c r="K138">
        <v>24</v>
      </c>
      <c r="L138">
        <v>26</v>
      </c>
      <c r="M138">
        <v>4.5999999999999996</v>
      </c>
      <c r="N138" t="s">
        <v>22</v>
      </c>
      <c r="O138" t="str">
        <f t="shared" si="2"/>
        <v>Yes</v>
      </c>
    </row>
    <row r="139" spans="1:15" x14ac:dyDescent="0.25">
      <c r="A139" t="s">
        <v>200</v>
      </c>
      <c r="B139" s="1">
        <v>45663</v>
      </c>
      <c r="C139" s="2">
        <v>45665.097916666666</v>
      </c>
      <c r="D139" t="s">
        <v>15</v>
      </c>
      <c r="E139" t="s">
        <v>45</v>
      </c>
      <c r="F139" t="s">
        <v>100</v>
      </c>
      <c r="G139" t="s">
        <v>41</v>
      </c>
      <c r="H139" t="s">
        <v>44</v>
      </c>
      <c r="I139" t="s">
        <v>36</v>
      </c>
      <c r="J139" t="s">
        <v>21</v>
      </c>
      <c r="K139">
        <v>48</v>
      </c>
      <c r="L139">
        <v>50.35</v>
      </c>
      <c r="M139">
        <v>4.5999999999999996</v>
      </c>
      <c r="N139" t="s">
        <v>22</v>
      </c>
      <c r="O139" t="str">
        <f t="shared" si="2"/>
        <v>Yes</v>
      </c>
    </row>
    <row r="140" spans="1:15" x14ac:dyDescent="0.25">
      <c r="A140" t="s">
        <v>201</v>
      </c>
      <c r="B140" s="1">
        <v>45720</v>
      </c>
      <c r="C140" s="2">
        <v>45720.218333333331</v>
      </c>
      <c r="D140" t="s">
        <v>38</v>
      </c>
      <c r="E140" t="s">
        <v>16</v>
      </c>
      <c r="F140" t="s">
        <v>17</v>
      </c>
      <c r="G140" t="s">
        <v>34</v>
      </c>
      <c r="H140" t="s">
        <v>19</v>
      </c>
      <c r="I140" t="s">
        <v>45</v>
      </c>
      <c r="J140" t="s">
        <v>21</v>
      </c>
      <c r="K140">
        <v>8</v>
      </c>
      <c r="L140">
        <v>5.24</v>
      </c>
      <c r="M140">
        <v>4.5</v>
      </c>
      <c r="N140" t="s">
        <v>22</v>
      </c>
      <c r="O140" t="str">
        <f t="shared" si="2"/>
        <v>No</v>
      </c>
    </row>
    <row r="141" spans="1:15" x14ac:dyDescent="0.25">
      <c r="A141" t="s">
        <v>202</v>
      </c>
      <c r="B141" s="1">
        <v>45737</v>
      </c>
      <c r="C141" s="2">
        <v>45738.165000000001</v>
      </c>
      <c r="D141" t="s">
        <v>15</v>
      </c>
      <c r="E141" t="s">
        <v>39</v>
      </c>
      <c r="F141" t="s">
        <v>87</v>
      </c>
      <c r="G141" t="s">
        <v>56</v>
      </c>
      <c r="H141" t="s">
        <v>35</v>
      </c>
      <c r="I141" t="s">
        <v>45</v>
      </c>
      <c r="J141" t="s">
        <v>21</v>
      </c>
      <c r="K141">
        <v>48</v>
      </c>
      <c r="L141">
        <v>27.96</v>
      </c>
      <c r="M141">
        <v>4.0999999999999996</v>
      </c>
      <c r="N141" t="s">
        <v>22</v>
      </c>
      <c r="O141" t="str">
        <f t="shared" si="2"/>
        <v>No</v>
      </c>
    </row>
    <row r="142" spans="1:15" x14ac:dyDescent="0.25">
      <c r="A142" t="s">
        <v>203</v>
      </c>
      <c r="B142" s="1">
        <v>45835</v>
      </c>
      <c r="C142" s="2">
        <v>45835.741249999999</v>
      </c>
      <c r="D142" t="s">
        <v>24</v>
      </c>
      <c r="E142" t="s">
        <v>32</v>
      </c>
      <c r="F142" t="s">
        <v>80</v>
      </c>
      <c r="G142" t="s">
        <v>51</v>
      </c>
      <c r="H142" t="s">
        <v>19</v>
      </c>
      <c r="I142" t="s">
        <v>36</v>
      </c>
      <c r="J142" t="s">
        <v>21</v>
      </c>
      <c r="K142">
        <v>24</v>
      </c>
      <c r="L142">
        <v>17.79</v>
      </c>
      <c r="M142">
        <v>4.4000000000000004</v>
      </c>
      <c r="N142" t="s">
        <v>61</v>
      </c>
      <c r="O142" t="str">
        <f t="shared" si="2"/>
        <v>No</v>
      </c>
    </row>
    <row r="143" spans="1:15" x14ac:dyDescent="0.25">
      <c r="A143" t="s">
        <v>204</v>
      </c>
      <c r="B143" s="1">
        <v>45696</v>
      </c>
      <c r="C143" s="2">
        <v>45696.192083333335</v>
      </c>
      <c r="D143" t="s">
        <v>38</v>
      </c>
      <c r="E143" t="s">
        <v>45</v>
      </c>
      <c r="F143" t="s">
        <v>104</v>
      </c>
      <c r="G143" t="s">
        <v>41</v>
      </c>
      <c r="H143" t="s">
        <v>27</v>
      </c>
      <c r="I143" t="s">
        <v>36</v>
      </c>
      <c r="J143" t="s">
        <v>21</v>
      </c>
      <c r="K143">
        <v>8</v>
      </c>
      <c r="L143">
        <v>4.6100000000000003</v>
      </c>
      <c r="M143">
        <v>3.7</v>
      </c>
      <c r="N143" t="s">
        <v>22</v>
      </c>
      <c r="O143" t="str">
        <f t="shared" si="2"/>
        <v>No</v>
      </c>
    </row>
    <row r="144" spans="1:15" x14ac:dyDescent="0.25">
      <c r="A144" t="s">
        <v>205</v>
      </c>
      <c r="B144" s="1">
        <v>45708</v>
      </c>
      <c r="C144" s="2">
        <v>45708.84375</v>
      </c>
      <c r="D144" t="s">
        <v>24</v>
      </c>
      <c r="E144" t="s">
        <v>39</v>
      </c>
      <c r="F144" t="s">
        <v>119</v>
      </c>
      <c r="G144" t="s">
        <v>34</v>
      </c>
      <c r="H144" t="s">
        <v>44</v>
      </c>
      <c r="I144" t="s">
        <v>45</v>
      </c>
      <c r="J144" t="s">
        <v>46</v>
      </c>
      <c r="K144">
        <v>24</v>
      </c>
      <c r="L144">
        <v>20.25</v>
      </c>
      <c r="M144">
        <v>4.7</v>
      </c>
      <c r="N144" t="s">
        <v>61</v>
      </c>
      <c r="O144" t="str">
        <f t="shared" si="2"/>
        <v>No</v>
      </c>
    </row>
    <row r="145" spans="1:15" x14ac:dyDescent="0.25">
      <c r="A145" t="s">
        <v>206</v>
      </c>
      <c r="B145" s="1">
        <v>45731</v>
      </c>
      <c r="C145" s="2">
        <v>45731.442499999997</v>
      </c>
      <c r="D145" t="s">
        <v>38</v>
      </c>
      <c r="E145" t="s">
        <v>16</v>
      </c>
      <c r="F145" t="s">
        <v>17</v>
      </c>
      <c r="G145" t="s">
        <v>34</v>
      </c>
      <c r="H145" t="s">
        <v>65</v>
      </c>
      <c r="I145" t="s">
        <v>20</v>
      </c>
      <c r="J145" t="s">
        <v>21</v>
      </c>
      <c r="K145">
        <v>8</v>
      </c>
      <c r="L145">
        <v>10.62</v>
      </c>
      <c r="M145">
        <v>4</v>
      </c>
      <c r="N145" t="s">
        <v>22</v>
      </c>
      <c r="O145" t="str">
        <f t="shared" si="2"/>
        <v>Yes</v>
      </c>
    </row>
    <row r="146" spans="1:15" x14ac:dyDescent="0.25">
      <c r="A146" t="s">
        <v>207</v>
      </c>
      <c r="B146" s="1">
        <v>45837</v>
      </c>
      <c r="C146" s="2">
        <v>45837.989166666666</v>
      </c>
      <c r="D146" t="s">
        <v>15</v>
      </c>
      <c r="E146" t="s">
        <v>16</v>
      </c>
      <c r="F146" t="s">
        <v>17</v>
      </c>
      <c r="G146" t="s">
        <v>34</v>
      </c>
      <c r="H146" t="s">
        <v>54</v>
      </c>
      <c r="I146" t="s">
        <v>36</v>
      </c>
      <c r="J146" t="s">
        <v>29</v>
      </c>
      <c r="K146">
        <v>48</v>
      </c>
      <c r="L146">
        <v>23.74</v>
      </c>
      <c r="M146">
        <v>5</v>
      </c>
      <c r="N146" t="s">
        <v>22</v>
      </c>
      <c r="O146" t="str">
        <f t="shared" si="2"/>
        <v>No</v>
      </c>
    </row>
    <row r="147" spans="1:15" x14ac:dyDescent="0.25">
      <c r="A147" t="s">
        <v>208</v>
      </c>
      <c r="B147" s="1">
        <v>45812</v>
      </c>
      <c r="C147" s="2">
        <v>45812.084583333337</v>
      </c>
      <c r="D147" t="s">
        <v>38</v>
      </c>
      <c r="E147" t="s">
        <v>32</v>
      </c>
      <c r="F147" t="s">
        <v>64</v>
      </c>
      <c r="G147" t="s">
        <v>41</v>
      </c>
      <c r="H147" t="s">
        <v>54</v>
      </c>
      <c r="I147" t="s">
        <v>20</v>
      </c>
      <c r="J147" t="s">
        <v>21</v>
      </c>
      <c r="K147">
        <v>8</v>
      </c>
      <c r="L147">
        <v>2.0299999999999998</v>
      </c>
      <c r="M147">
        <v>4.2</v>
      </c>
      <c r="N147" t="s">
        <v>22</v>
      </c>
      <c r="O147" t="str">
        <f t="shared" si="2"/>
        <v>No</v>
      </c>
    </row>
    <row r="148" spans="1:15" x14ac:dyDescent="0.25">
      <c r="A148" t="s">
        <v>209</v>
      </c>
      <c r="B148" s="1">
        <v>45664</v>
      </c>
      <c r="C148" s="2">
        <v>45664.195833333331</v>
      </c>
      <c r="D148" t="s">
        <v>38</v>
      </c>
      <c r="E148" t="s">
        <v>32</v>
      </c>
      <c r="F148" t="s">
        <v>80</v>
      </c>
      <c r="G148" t="s">
        <v>34</v>
      </c>
      <c r="H148" t="s">
        <v>35</v>
      </c>
      <c r="I148" t="s">
        <v>45</v>
      </c>
      <c r="J148" t="s">
        <v>46</v>
      </c>
      <c r="K148">
        <v>8</v>
      </c>
      <c r="L148">
        <v>4.7</v>
      </c>
      <c r="M148">
        <v>3.7</v>
      </c>
      <c r="N148" t="s">
        <v>22</v>
      </c>
      <c r="O148" t="str">
        <f t="shared" si="2"/>
        <v>No</v>
      </c>
    </row>
    <row r="149" spans="1:15" x14ac:dyDescent="0.25">
      <c r="A149" t="s">
        <v>210</v>
      </c>
      <c r="B149" s="1">
        <v>45700</v>
      </c>
      <c r="C149" s="2">
        <v>45700.111250000002</v>
      </c>
      <c r="D149" t="s">
        <v>38</v>
      </c>
      <c r="E149" t="s">
        <v>39</v>
      </c>
      <c r="F149" t="s">
        <v>40</v>
      </c>
      <c r="G149" t="s">
        <v>51</v>
      </c>
      <c r="H149" t="s">
        <v>35</v>
      </c>
      <c r="I149" t="s">
        <v>45</v>
      </c>
      <c r="J149" t="s">
        <v>29</v>
      </c>
      <c r="K149">
        <v>8</v>
      </c>
      <c r="L149">
        <v>2.67</v>
      </c>
      <c r="M149">
        <v>5</v>
      </c>
      <c r="N149" t="s">
        <v>22</v>
      </c>
      <c r="O149" t="str">
        <f t="shared" si="2"/>
        <v>No</v>
      </c>
    </row>
    <row r="150" spans="1:15" x14ac:dyDescent="0.25">
      <c r="A150" t="s">
        <v>211</v>
      </c>
      <c r="B150" s="1">
        <v>45806</v>
      </c>
      <c r="C150" s="2">
        <v>45806.195833333331</v>
      </c>
      <c r="D150" t="s">
        <v>24</v>
      </c>
      <c r="E150" t="s">
        <v>39</v>
      </c>
      <c r="F150" t="s">
        <v>119</v>
      </c>
      <c r="G150" t="s">
        <v>41</v>
      </c>
      <c r="H150" t="s">
        <v>35</v>
      </c>
      <c r="I150" t="s">
        <v>36</v>
      </c>
      <c r="J150" t="s">
        <v>21</v>
      </c>
      <c r="K150">
        <v>24</v>
      </c>
      <c r="L150">
        <v>4.7</v>
      </c>
      <c r="M150">
        <v>4.5999999999999996</v>
      </c>
      <c r="N150" t="s">
        <v>22</v>
      </c>
      <c r="O150" t="str">
        <f t="shared" si="2"/>
        <v>No</v>
      </c>
    </row>
    <row r="151" spans="1:15" x14ac:dyDescent="0.25">
      <c r="A151" t="s">
        <v>212</v>
      </c>
      <c r="B151" s="1">
        <v>45668</v>
      </c>
      <c r="C151" s="2">
        <v>45668.400833333333</v>
      </c>
      <c r="D151" t="s">
        <v>38</v>
      </c>
      <c r="E151" t="s">
        <v>16</v>
      </c>
      <c r="F151" t="s">
        <v>58</v>
      </c>
      <c r="G151" t="s">
        <v>56</v>
      </c>
      <c r="H151" t="s">
        <v>54</v>
      </c>
      <c r="I151" t="s">
        <v>28</v>
      </c>
      <c r="J151" t="s">
        <v>29</v>
      </c>
      <c r="K151">
        <v>8</v>
      </c>
      <c r="L151">
        <v>9.6199999999999992</v>
      </c>
      <c r="M151">
        <v>4.2</v>
      </c>
      <c r="N151" t="s">
        <v>22</v>
      </c>
      <c r="O151" t="str">
        <f t="shared" si="2"/>
        <v>Yes</v>
      </c>
    </row>
    <row r="152" spans="1:15" x14ac:dyDescent="0.25">
      <c r="A152" t="s">
        <v>213</v>
      </c>
      <c r="B152" s="1">
        <v>45812</v>
      </c>
      <c r="C152" s="2">
        <v>45812.09375</v>
      </c>
      <c r="D152" t="s">
        <v>31</v>
      </c>
      <c r="E152" t="s">
        <v>25</v>
      </c>
      <c r="F152" t="s">
        <v>70</v>
      </c>
      <c r="G152" t="s">
        <v>56</v>
      </c>
      <c r="H152" t="s">
        <v>44</v>
      </c>
      <c r="I152" t="s">
        <v>45</v>
      </c>
      <c r="J152" t="s">
        <v>46</v>
      </c>
      <c r="K152">
        <v>4</v>
      </c>
      <c r="L152">
        <v>2.25</v>
      </c>
      <c r="M152">
        <v>5</v>
      </c>
      <c r="N152" t="s">
        <v>22</v>
      </c>
      <c r="O152" t="str">
        <f t="shared" si="2"/>
        <v>No</v>
      </c>
    </row>
    <row r="153" spans="1:15" x14ac:dyDescent="0.25">
      <c r="A153" t="s">
        <v>214</v>
      </c>
      <c r="B153" s="1">
        <v>45708</v>
      </c>
      <c r="C153" s="2">
        <v>45708.397083333337</v>
      </c>
      <c r="D153" t="s">
        <v>24</v>
      </c>
      <c r="E153" t="s">
        <v>32</v>
      </c>
      <c r="F153" t="s">
        <v>33</v>
      </c>
      <c r="G153" t="s">
        <v>51</v>
      </c>
      <c r="H153" t="s">
        <v>54</v>
      </c>
      <c r="I153" t="s">
        <v>36</v>
      </c>
      <c r="J153" t="s">
        <v>21</v>
      </c>
      <c r="K153">
        <v>24</v>
      </c>
      <c r="L153">
        <v>9.5299999999999994</v>
      </c>
      <c r="M153">
        <v>5</v>
      </c>
      <c r="N153" t="s">
        <v>22</v>
      </c>
      <c r="O153" t="str">
        <f t="shared" si="2"/>
        <v>No</v>
      </c>
    </row>
    <row r="154" spans="1:15" x14ac:dyDescent="0.25">
      <c r="A154" t="s">
        <v>215</v>
      </c>
      <c r="B154" s="1">
        <v>45824</v>
      </c>
      <c r="C154" s="2">
        <v>45824.209583333337</v>
      </c>
      <c r="D154" t="s">
        <v>38</v>
      </c>
      <c r="E154" t="s">
        <v>16</v>
      </c>
      <c r="F154" t="s">
        <v>58</v>
      </c>
      <c r="G154" t="s">
        <v>41</v>
      </c>
      <c r="H154" t="s">
        <v>35</v>
      </c>
      <c r="I154" t="s">
        <v>20</v>
      </c>
      <c r="J154" t="s">
        <v>46</v>
      </c>
      <c r="K154">
        <v>8</v>
      </c>
      <c r="L154">
        <v>5.03</v>
      </c>
      <c r="M154">
        <v>4.3</v>
      </c>
      <c r="N154" t="s">
        <v>22</v>
      </c>
      <c r="O154" t="str">
        <f t="shared" si="2"/>
        <v>No</v>
      </c>
    </row>
    <row r="155" spans="1:15" x14ac:dyDescent="0.25">
      <c r="A155" t="s">
        <v>216</v>
      </c>
      <c r="B155" s="1">
        <v>45711</v>
      </c>
      <c r="C155" s="2">
        <v>45711.118333333332</v>
      </c>
      <c r="D155" t="s">
        <v>38</v>
      </c>
      <c r="E155" t="s">
        <v>32</v>
      </c>
      <c r="F155" t="s">
        <v>33</v>
      </c>
      <c r="G155" t="s">
        <v>56</v>
      </c>
      <c r="H155" t="s">
        <v>19</v>
      </c>
      <c r="I155" t="s">
        <v>20</v>
      </c>
      <c r="J155" t="s">
        <v>46</v>
      </c>
      <c r="K155">
        <v>8</v>
      </c>
      <c r="L155">
        <v>2.84</v>
      </c>
      <c r="M155">
        <v>5</v>
      </c>
      <c r="N155" t="s">
        <v>22</v>
      </c>
      <c r="O155" t="str">
        <f t="shared" si="2"/>
        <v>No</v>
      </c>
    </row>
    <row r="156" spans="1:15" x14ac:dyDescent="0.25">
      <c r="A156" t="s">
        <v>217</v>
      </c>
      <c r="B156" s="1">
        <v>45736</v>
      </c>
      <c r="C156" s="2">
        <v>45737.228333333333</v>
      </c>
      <c r="D156" t="s">
        <v>24</v>
      </c>
      <c r="E156" t="s">
        <v>32</v>
      </c>
      <c r="F156" t="s">
        <v>80</v>
      </c>
      <c r="G156" t="s">
        <v>51</v>
      </c>
      <c r="H156" t="s">
        <v>19</v>
      </c>
      <c r="I156" t="s">
        <v>20</v>
      </c>
      <c r="J156" t="s">
        <v>21</v>
      </c>
      <c r="K156">
        <v>24</v>
      </c>
      <c r="L156">
        <v>29.48</v>
      </c>
      <c r="M156">
        <v>3.2</v>
      </c>
      <c r="N156" t="s">
        <v>22</v>
      </c>
      <c r="O156" t="str">
        <f t="shared" si="2"/>
        <v>Yes</v>
      </c>
    </row>
    <row r="157" spans="1:15" x14ac:dyDescent="0.25">
      <c r="A157" t="s">
        <v>218</v>
      </c>
      <c r="B157" s="1">
        <v>45777</v>
      </c>
      <c r="C157" s="2">
        <v>45777.635416666664</v>
      </c>
      <c r="D157" t="s">
        <v>38</v>
      </c>
      <c r="E157" t="s">
        <v>25</v>
      </c>
      <c r="F157" t="s">
        <v>53</v>
      </c>
      <c r="G157" t="s">
        <v>51</v>
      </c>
      <c r="H157" t="s">
        <v>44</v>
      </c>
      <c r="I157" t="s">
        <v>20</v>
      </c>
      <c r="J157" t="s">
        <v>21</v>
      </c>
      <c r="K157">
        <v>8</v>
      </c>
      <c r="L157">
        <v>15.25</v>
      </c>
      <c r="M157">
        <v>2.9</v>
      </c>
      <c r="N157" t="s">
        <v>22</v>
      </c>
      <c r="O157" t="str">
        <f t="shared" si="2"/>
        <v>Yes</v>
      </c>
    </row>
    <row r="158" spans="1:15" x14ac:dyDescent="0.25">
      <c r="A158" t="s">
        <v>219</v>
      </c>
      <c r="B158" s="1">
        <v>45680</v>
      </c>
      <c r="C158" s="2">
        <v>45680.371249999997</v>
      </c>
      <c r="D158" t="s">
        <v>24</v>
      </c>
      <c r="E158" t="s">
        <v>25</v>
      </c>
      <c r="F158" t="s">
        <v>70</v>
      </c>
      <c r="G158" t="s">
        <v>51</v>
      </c>
      <c r="H158" t="s">
        <v>27</v>
      </c>
      <c r="I158" t="s">
        <v>36</v>
      </c>
      <c r="J158" t="s">
        <v>21</v>
      </c>
      <c r="K158">
        <v>24</v>
      </c>
      <c r="L158">
        <v>8.91</v>
      </c>
      <c r="M158">
        <v>4.5</v>
      </c>
      <c r="N158" t="s">
        <v>22</v>
      </c>
      <c r="O158" t="str">
        <f t="shared" si="2"/>
        <v>No</v>
      </c>
    </row>
    <row r="159" spans="1:15" x14ac:dyDescent="0.25">
      <c r="A159" t="s">
        <v>220</v>
      </c>
      <c r="B159" s="1">
        <v>45758</v>
      </c>
      <c r="C159" s="2">
        <v>45758.47625</v>
      </c>
      <c r="D159" t="s">
        <v>24</v>
      </c>
      <c r="E159" t="s">
        <v>25</v>
      </c>
      <c r="F159" t="s">
        <v>70</v>
      </c>
      <c r="G159" t="s">
        <v>51</v>
      </c>
      <c r="H159" t="s">
        <v>54</v>
      </c>
      <c r="I159" t="s">
        <v>20</v>
      </c>
      <c r="J159" t="s">
        <v>21</v>
      </c>
      <c r="K159">
        <v>24</v>
      </c>
      <c r="L159">
        <v>11.43</v>
      </c>
      <c r="M159">
        <v>4.4000000000000004</v>
      </c>
      <c r="N159" t="s">
        <v>22</v>
      </c>
      <c r="O159" t="str">
        <f t="shared" si="2"/>
        <v>No</v>
      </c>
    </row>
    <row r="160" spans="1:15" x14ac:dyDescent="0.25">
      <c r="A160" t="s">
        <v>221</v>
      </c>
      <c r="B160" s="1">
        <v>45749</v>
      </c>
      <c r="C160" s="2">
        <v>45750.38208333333</v>
      </c>
      <c r="D160" t="s">
        <v>15</v>
      </c>
      <c r="E160" t="s">
        <v>32</v>
      </c>
      <c r="F160" t="s">
        <v>80</v>
      </c>
      <c r="G160" t="s">
        <v>51</v>
      </c>
      <c r="H160" t="s">
        <v>65</v>
      </c>
      <c r="I160" t="s">
        <v>36</v>
      </c>
      <c r="J160" t="s">
        <v>85</v>
      </c>
      <c r="K160">
        <v>48</v>
      </c>
      <c r="L160">
        <v>33.17</v>
      </c>
      <c r="M160">
        <v>5</v>
      </c>
      <c r="N160" t="s">
        <v>22</v>
      </c>
      <c r="O160" t="str">
        <f t="shared" si="2"/>
        <v>No</v>
      </c>
    </row>
    <row r="161" spans="1:15" x14ac:dyDescent="0.25">
      <c r="A161" t="s">
        <v>222</v>
      </c>
      <c r="B161" s="1">
        <v>45799</v>
      </c>
      <c r="C161" s="2">
        <v>45799.352500000001</v>
      </c>
      <c r="D161" t="s">
        <v>15</v>
      </c>
      <c r="E161" t="s">
        <v>16</v>
      </c>
      <c r="F161" t="s">
        <v>60</v>
      </c>
      <c r="G161" t="s">
        <v>41</v>
      </c>
      <c r="H161" t="s">
        <v>27</v>
      </c>
      <c r="I161" t="s">
        <v>20</v>
      </c>
      <c r="J161" t="s">
        <v>85</v>
      </c>
      <c r="K161">
        <v>48</v>
      </c>
      <c r="L161">
        <v>8.4600000000000009</v>
      </c>
      <c r="M161">
        <v>3.9</v>
      </c>
      <c r="N161" t="s">
        <v>22</v>
      </c>
      <c r="O161" t="str">
        <f t="shared" si="2"/>
        <v>No</v>
      </c>
    </row>
    <row r="162" spans="1:15" x14ac:dyDescent="0.25">
      <c r="A162" t="s">
        <v>223</v>
      </c>
      <c r="B162" s="1">
        <v>45838</v>
      </c>
      <c r="C162" s="2">
        <v>45838.025416666664</v>
      </c>
      <c r="D162" t="s">
        <v>38</v>
      </c>
      <c r="E162" t="s">
        <v>39</v>
      </c>
      <c r="F162" t="s">
        <v>78</v>
      </c>
      <c r="G162" t="s">
        <v>51</v>
      </c>
      <c r="H162" t="s">
        <v>44</v>
      </c>
      <c r="I162" t="s">
        <v>36</v>
      </c>
      <c r="J162" t="s">
        <v>46</v>
      </c>
      <c r="K162">
        <v>8</v>
      </c>
      <c r="L162">
        <v>0.61</v>
      </c>
      <c r="M162">
        <v>4.9000000000000004</v>
      </c>
      <c r="N162" t="s">
        <v>22</v>
      </c>
      <c r="O162" t="str">
        <f t="shared" si="2"/>
        <v>No</v>
      </c>
    </row>
    <row r="163" spans="1:15" x14ac:dyDescent="0.25">
      <c r="A163" t="s">
        <v>224</v>
      </c>
      <c r="B163" s="1">
        <v>45778</v>
      </c>
      <c r="C163" s="2">
        <v>45779.135833333334</v>
      </c>
      <c r="D163" t="s">
        <v>24</v>
      </c>
      <c r="E163" t="s">
        <v>45</v>
      </c>
      <c r="F163" t="s">
        <v>112</v>
      </c>
      <c r="G163" t="s">
        <v>18</v>
      </c>
      <c r="H163" t="s">
        <v>65</v>
      </c>
      <c r="I163" t="s">
        <v>36</v>
      </c>
      <c r="J163" t="s">
        <v>21</v>
      </c>
      <c r="K163">
        <v>24</v>
      </c>
      <c r="L163">
        <v>27.26</v>
      </c>
      <c r="M163">
        <v>3.7</v>
      </c>
      <c r="N163" t="s">
        <v>22</v>
      </c>
      <c r="O163" t="str">
        <f t="shared" si="2"/>
        <v>Yes</v>
      </c>
    </row>
    <row r="164" spans="1:15" x14ac:dyDescent="0.25">
      <c r="A164" t="s">
        <v>225</v>
      </c>
      <c r="B164" s="1">
        <v>45732</v>
      </c>
      <c r="C164" s="2">
        <v>45732.38958333333</v>
      </c>
      <c r="D164" t="s">
        <v>24</v>
      </c>
      <c r="E164" t="s">
        <v>16</v>
      </c>
      <c r="F164" t="s">
        <v>43</v>
      </c>
      <c r="G164" t="s">
        <v>56</v>
      </c>
      <c r="H164" t="s">
        <v>44</v>
      </c>
      <c r="I164" t="s">
        <v>36</v>
      </c>
      <c r="J164" t="s">
        <v>21</v>
      </c>
      <c r="K164">
        <v>24</v>
      </c>
      <c r="L164">
        <v>9.35</v>
      </c>
      <c r="M164">
        <v>5</v>
      </c>
      <c r="N164" t="s">
        <v>22</v>
      </c>
      <c r="O164" t="str">
        <f t="shared" si="2"/>
        <v>No</v>
      </c>
    </row>
    <row r="165" spans="1:15" x14ac:dyDescent="0.25">
      <c r="A165" t="s">
        <v>226</v>
      </c>
      <c r="B165" s="1">
        <v>45731</v>
      </c>
      <c r="C165" s="2">
        <v>45731.725416666668</v>
      </c>
      <c r="D165" t="s">
        <v>15</v>
      </c>
      <c r="E165" t="s">
        <v>45</v>
      </c>
      <c r="F165" t="s">
        <v>112</v>
      </c>
      <c r="G165" t="s">
        <v>56</v>
      </c>
      <c r="H165" t="s">
        <v>19</v>
      </c>
      <c r="I165" t="s">
        <v>20</v>
      </c>
      <c r="J165" t="s">
        <v>21</v>
      </c>
      <c r="K165">
        <v>48</v>
      </c>
      <c r="L165">
        <v>17.41</v>
      </c>
      <c r="M165">
        <v>3.9</v>
      </c>
      <c r="N165" t="s">
        <v>61</v>
      </c>
      <c r="O165" t="str">
        <f t="shared" si="2"/>
        <v>No</v>
      </c>
    </row>
    <row r="166" spans="1:15" x14ac:dyDescent="0.25">
      <c r="A166" t="s">
        <v>227</v>
      </c>
      <c r="B166" s="1">
        <v>45733</v>
      </c>
      <c r="C166" s="2">
        <v>45733.72583333333</v>
      </c>
      <c r="D166" t="s">
        <v>24</v>
      </c>
      <c r="E166" t="s">
        <v>32</v>
      </c>
      <c r="F166" t="s">
        <v>80</v>
      </c>
      <c r="G166" t="s">
        <v>34</v>
      </c>
      <c r="H166" t="s">
        <v>19</v>
      </c>
      <c r="I166" t="s">
        <v>45</v>
      </c>
      <c r="J166" t="s">
        <v>21</v>
      </c>
      <c r="K166">
        <v>24</v>
      </c>
      <c r="L166">
        <v>17.420000000000002</v>
      </c>
      <c r="M166">
        <v>3.9</v>
      </c>
      <c r="N166" t="s">
        <v>22</v>
      </c>
      <c r="O166" t="str">
        <f t="shared" si="2"/>
        <v>No</v>
      </c>
    </row>
    <row r="167" spans="1:15" x14ac:dyDescent="0.25">
      <c r="A167" t="s">
        <v>228</v>
      </c>
      <c r="B167" s="1">
        <v>45805</v>
      </c>
      <c r="C167" s="2">
        <v>45805.084166666667</v>
      </c>
      <c r="D167" t="s">
        <v>38</v>
      </c>
      <c r="E167" t="s">
        <v>39</v>
      </c>
      <c r="F167" t="s">
        <v>119</v>
      </c>
      <c r="G167" t="s">
        <v>18</v>
      </c>
      <c r="H167" t="s">
        <v>27</v>
      </c>
      <c r="I167" t="s">
        <v>20</v>
      </c>
      <c r="J167" t="s">
        <v>46</v>
      </c>
      <c r="K167">
        <v>8</v>
      </c>
      <c r="L167">
        <v>2.02</v>
      </c>
      <c r="M167">
        <v>4.3</v>
      </c>
      <c r="N167" t="s">
        <v>22</v>
      </c>
      <c r="O167" t="str">
        <f t="shared" si="2"/>
        <v>No</v>
      </c>
    </row>
    <row r="168" spans="1:15" x14ac:dyDescent="0.25">
      <c r="A168" t="s">
        <v>229</v>
      </c>
      <c r="B168" s="1">
        <v>45716</v>
      </c>
      <c r="C168" s="2">
        <v>45716.118750000001</v>
      </c>
      <c r="D168" t="s">
        <v>38</v>
      </c>
      <c r="E168" t="s">
        <v>25</v>
      </c>
      <c r="F168" t="s">
        <v>70</v>
      </c>
      <c r="G168" t="s">
        <v>18</v>
      </c>
      <c r="H168" t="s">
        <v>44</v>
      </c>
      <c r="I168" t="s">
        <v>36</v>
      </c>
      <c r="J168" t="s">
        <v>21</v>
      </c>
      <c r="K168">
        <v>8</v>
      </c>
      <c r="L168">
        <v>2.85</v>
      </c>
      <c r="M168">
        <v>3.1</v>
      </c>
      <c r="N168" t="s">
        <v>22</v>
      </c>
      <c r="O168" t="str">
        <f t="shared" si="2"/>
        <v>No</v>
      </c>
    </row>
    <row r="169" spans="1:15" x14ac:dyDescent="0.25">
      <c r="A169" t="s">
        <v>230</v>
      </c>
      <c r="B169" s="1">
        <v>45688</v>
      </c>
      <c r="C169" s="2">
        <v>45688.358749999999</v>
      </c>
      <c r="D169" t="s">
        <v>15</v>
      </c>
      <c r="E169" t="s">
        <v>39</v>
      </c>
      <c r="F169" t="s">
        <v>78</v>
      </c>
      <c r="G169" t="s">
        <v>51</v>
      </c>
      <c r="H169" t="s">
        <v>27</v>
      </c>
      <c r="I169" t="s">
        <v>36</v>
      </c>
      <c r="J169" t="s">
        <v>21</v>
      </c>
      <c r="K169">
        <v>48</v>
      </c>
      <c r="L169">
        <v>8.61</v>
      </c>
      <c r="M169">
        <v>5</v>
      </c>
      <c r="N169" t="s">
        <v>22</v>
      </c>
      <c r="O169" t="str">
        <f t="shared" si="2"/>
        <v>No</v>
      </c>
    </row>
    <row r="170" spans="1:15" x14ac:dyDescent="0.25">
      <c r="A170" t="s">
        <v>231</v>
      </c>
      <c r="B170" s="1">
        <v>45718</v>
      </c>
      <c r="C170" s="2">
        <v>45718.093333333331</v>
      </c>
      <c r="D170" t="s">
        <v>24</v>
      </c>
      <c r="E170" t="s">
        <v>16</v>
      </c>
      <c r="F170" t="s">
        <v>60</v>
      </c>
      <c r="G170" t="s">
        <v>51</v>
      </c>
      <c r="H170" t="s">
        <v>27</v>
      </c>
      <c r="I170" t="s">
        <v>45</v>
      </c>
      <c r="J170" t="s">
        <v>21</v>
      </c>
      <c r="K170">
        <v>24</v>
      </c>
      <c r="L170">
        <v>2.2400000000000002</v>
      </c>
      <c r="M170">
        <v>3.9</v>
      </c>
      <c r="N170" t="s">
        <v>22</v>
      </c>
      <c r="O170" t="str">
        <f t="shared" si="2"/>
        <v>No</v>
      </c>
    </row>
    <row r="171" spans="1:15" x14ac:dyDescent="0.25">
      <c r="A171" t="s">
        <v>232</v>
      </c>
      <c r="B171" s="1">
        <v>45662</v>
      </c>
      <c r="C171" s="2">
        <v>45662.351666666669</v>
      </c>
      <c r="D171" t="s">
        <v>24</v>
      </c>
      <c r="E171" t="s">
        <v>16</v>
      </c>
      <c r="F171" t="s">
        <v>58</v>
      </c>
      <c r="G171" t="s">
        <v>18</v>
      </c>
      <c r="H171" t="s">
        <v>65</v>
      </c>
      <c r="I171" t="s">
        <v>36</v>
      </c>
      <c r="J171" t="s">
        <v>29</v>
      </c>
      <c r="K171">
        <v>24</v>
      </c>
      <c r="L171">
        <v>8.44</v>
      </c>
      <c r="M171">
        <v>3.5</v>
      </c>
      <c r="N171" t="s">
        <v>22</v>
      </c>
      <c r="O171" t="str">
        <f t="shared" si="2"/>
        <v>No</v>
      </c>
    </row>
    <row r="172" spans="1:15" x14ac:dyDescent="0.25">
      <c r="A172" t="s">
        <v>233</v>
      </c>
      <c r="B172" s="1">
        <v>45677</v>
      </c>
      <c r="C172" s="2">
        <v>45677.25</v>
      </c>
      <c r="D172" t="s">
        <v>24</v>
      </c>
      <c r="E172" t="s">
        <v>45</v>
      </c>
      <c r="F172" t="s">
        <v>112</v>
      </c>
      <c r="G172" t="s">
        <v>18</v>
      </c>
      <c r="H172" t="s">
        <v>54</v>
      </c>
      <c r="I172" t="s">
        <v>45</v>
      </c>
      <c r="J172" t="s">
        <v>21</v>
      </c>
      <c r="K172">
        <v>24</v>
      </c>
      <c r="L172">
        <v>6</v>
      </c>
      <c r="M172">
        <v>5</v>
      </c>
      <c r="N172" t="s">
        <v>22</v>
      </c>
      <c r="O172" t="str">
        <f t="shared" si="2"/>
        <v>No</v>
      </c>
    </row>
    <row r="173" spans="1:15" x14ac:dyDescent="0.25">
      <c r="A173" t="s">
        <v>234</v>
      </c>
      <c r="B173" s="1">
        <v>45674</v>
      </c>
      <c r="C173" s="2">
        <v>45674.222083333334</v>
      </c>
      <c r="D173" t="s">
        <v>24</v>
      </c>
      <c r="E173" t="s">
        <v>32</v>
      </c>
      <c r="F173" t="s">
        <v>33</v>
      </c>
      <c r="G173" t="s">
        <v>34</v>
      </c>
      <c r="H173" t="s">
        <v>19</v>
      </c>
      <c r="I173" t="s">
        <v>28</v>
      </c>
      <c r="J173" t="s">
        <v>21</v>
      </c>
      <c r="K173">
        <v>24</v>
      </c>
      <c r="L173">
        <v>5.33</v>
      </c>
      <c r="M173">
        <v>4.5</v>
      </c>
      <c r="N173" t="s">
        <v>22</v>
      </c>
      <c r="O173" t="str">
        <f t="shared" si="2"/>
        <v>No</v>
      </c>
    </row>
    <row r="174" spans="1:15" x14ac:dyDescent="0.25">
      <c r="A174" t="s">
        <v>235</v>
      </c>
      <c r="B174" s="1">
        <v>45797</v>
      </c>
      <c r="C174" s="2">
        <v>45797.53833333333</v>
      </c>
      <c r="D174" t="s">
        <v>24</v>
      </c>
      <c r="E174" t="s">
        <v>45</v>
      </c>
      <c r="F174" t="s">
        <v>50</v>
      </c>
      <c r="G174" t="s">
        <v>34</v>
      </c>
      <c r="H174" t="s">
        <v>19</v>
      </c>
      <c r="I174" t="s">
        <v>45</v>
      </c>
      <c r="J174" t="s">
        <v>21</v>
      </c>
      <c r="K174">
        <v>24</v>
      </c>
      <c r="L174">
        <v>12.92</v>
      </c>
      <c r="M174">
        <v>4.2</v>
      </c>
      <c r="N174" t="s">
        <v>22</v>
      </c>
      <c r="O174" t="str">
        <f t="shared" si="2"/>
        <v>No</v>
      </c>
    </row>
    <row r="175" spans="1:15" x14ac:dyDescent="0.25">
      <c r="A175" t="s">
        <v>236</v>
      </c>
      <c r="B175" s="1">
        <v>45788</v>
      </c>
      <c r="C175" s="2">
        <v>45788.909583333334</v>
      </c>
      <c r="D175" t="s">
        <v>24</v>
      </c>
      <c r="E175" t="s">
        <v>39</v>
      </c>
      <c r="F175" t="s">
        <v>40</v>
      </c>
      <c r="G175" t="s">
        <v>41</v>
      </c>
      <c r="H175" t="s">
        <v>19</v>
      </c>
      <c r="I175" t="s">
        <v>36</v>
      </c>
      <c r="J175" t="s">
        <v>21</v>
      </c>
      <c r="K175">
        <v>24</v>
      </c>
      <c r="L175">
        <v>21.83</v>
      </c>
      <c r="M175">
        <v>3.7</v>
      </c>
      <c r="N175" t="s">
        <v>22</v>
      </c>
      <c r="O175" t="str">
        <f t="shared" si="2"/>
        <v>No</v>
      </c>
    </row>
    <row r="176" spans="1:15" x14ac:dyDescent="0.25">
      <c r="A176" t="s">
        <v>237</v>
      </c>
      <c r="B176" s="1">
        <v>45784</v>
      </c>
      <c r="C176" s="2">
        <v>45784.92083333333</v>
      </c>
      <c r="D176" t="s">
        <v>24</v>
      </c>
      <c r="E176" t="s">
        <v>39</v>
      </c>
      <c r="F176" t="s">
        <v>87</v>
      </c>
      <c r="G176" t="s">
        <v>18</v>
      </c>
      <c r="H176" t="s">
        <v>35</v>
      </c>
      <c r="I176" t="s">
        <v>45</v>
      </c>
      <c r="J176" t="s">
        <v>21</v>
      </c>
      <c r="K176">
        <v>24</v>
      </c>
      <c r="L176">
        <v>22.1</v>
      </c>
      <c r="M176">
        <v>4.5999999999999996</v>
      </c>
      <c r="N176" t="s">
        <v>22</v>
      </c>
      <c r="O176" t="str">
        <f t="shared" si="2"/>
        <v>No</v>
      </c>
    </row>
    <row r="177" spans="1:15" x14ac:dyDescent="0.25">
      <c r="A177" t="s">
        <v>238</v>
      </c>
      <c r="B177" s="1">
        <v>45741</v>
      </c>
      <c r="C177" s="2">
        <v>45741.895416666666</v>
      </c>
      <c r="D177" t="s">
        <v>24</v>
      </c>
      <c r="E177" t="s">
        <v>16</v>
      </c>
      <c r="F177" t="s">
        <v>60</v>
      </c>
      <c r="G177" t="s">
        <v>51</v>
      </c>
      <c r="H177" t="s">
        <v>44</v>
      </c>
      <c r="I177" t="s">
        <v>28</v>
      </c>
      <c r="J177" t="s">
        <v>46</v>
      </c>
      <c r="K177">
        <v>24</v>
      </c>
      <c r="L177">
        <v>21.49</v>
      </c>
      <c r="M177">
        <v>3.6</v>
      </c>
      <c r="N177" t="s">
        <v>22</v>
      </c>
      <c r="O177" t="str">
        <f t="shared" si="2"/>
        <v>No</v>
      </c>
    </row>
    <row r="178" spans="1:15" x14ac:dyDescent="0.25">
      <c r="A178" t="s">
        <v>239</v>
      </c>
      <c r="B178" s="1">
        <v>45787</v>
      </c>
      <c r="C178" s="2">
        <v>45787.283750000002</v>
      </c>
      <c r="D178" t="s">
        <v>24</v>
      </c>
      <c r="E178" t="s">
        <v>32</v>
      </c>
      <c r="F178" t="s">
        <v>33</v>
      </c>
      <c r="G178" t="s">
        <v>41</v>
      </c>
      <c r="H178" t="s">
        <v>54</v>
      </c>
      <c r="I178" t="s">
        <v>45</v>
      </c>
      <c r="J178" t="s">
        <v>21</v>
      </c>
      <c r="K178">
        <v>24</v>
      </c>
      <c r="L178">
        <v>6.81</v>
      </c>
      <c r="M178">
        <v>5</v>
      </c>
      <c r="N178" t="s">
        <v>22</v>
      </c>
      <c r="O178" t="str">
        <f t="shared" si="2"/>
        <v>No</v>
      </c>
    </row>
    <row r="179" spans="1:15" x14ac:dyDescent="0.25">
      <c r="A179" t="s">
        <v>240</v>
      </c>
      <c r="B179" s="1">
        <v>45687</v>
      </c>
      <c r="C179" s="2">
        <v>45687.166250000002</v>
      </c>
      <c r="D179" t="s">
        <v>38</v>
      </c>
      <c r="E179" t="s">
        <v>45</v>
      </c>
      <c r="F179" t="s">
        <v>104</v>
      </c>
      <c r="G179" t="s">
        <v>41</v>
      </c>
      <c r="H179" t="s">
        <v>54</v>
      </c>
      <c r="I179" t="s">
        <v>20</v>
      </c>
      <c r="J179" t="s">
        <v>21</v>
      </c>
      <c r="K179">
        <v>8</v>
      </c>
      <c r="L179">
        <v>3.99</v>
      </c>
      <c r="M179">
        <v>3.7</v>
      </c>
      <c r="N179" t="s">
        <v>22</v>
      </c>
      <c r="O179" t="str">
        <f t="shared" si="2"/>
        <v>No</v>
      </c>
    </row>
    <row r="180" spans="1:15" x14ac:dyDescent="0.25">
      <c r="A180" t="s">
        <v>241</v>
      </c>
      <c r="B180" s="1">
        <v>45821</v>
      </c>
      <c r="C180" s="2">
        <v>45821.113333333335</v>
      </c>
      <c r="D180" t="s">
        <v>38</v>
      </c>
      <c r="E180" t="s">
        <v>45</v>
      </c>
      <c r="F180" t="s">
        <v>100</v>
      </c>
      <c r="G180" t="s">
        <v>41</v>
      </c>
      <c r="H180" t="s">
        <v>44</v>
      </c>
      <c r="I180" t="s">
        <v>36</v>
      </c>
      <c r="J180" t="s">
        <v>85</v>
      </c>
      <c r="K180">
        <v>8</v>
      </c>
      <c r="L180">
        <v>2.72</v>
      </c>
      <c r="M180">
        <v>4.8</v>
      </c>
      <c r="N180" t="s">
        <v>22</v>
      </c>
      <c r="O180" t="str">
        <f t="shared" si="2"/>
        <v>No</v>
      </c>
    </row>
    <row r="181" spans="1:15" x14ac:dyDescent="0.25">
      <c r="A181" t="s">
        <v>242</v>
      </c>
      <c r="B181" s="1">
        <v>45748</v>
      </c>
      <c r="C181" s="2">
        <v>45748.286666666667</v>
      </c>
      <c r="D181" t="s">
        <v>24</v>
      </c>
      <c r="E181" t="s">
        <v>45</v>
      </c>
      <c r="F181" t="s">
        <v>100</v>
      </c>
      <c r="G181" t="s">
        <v>56</v>
      </c>
      <c r="H181" t="s">
        <v>44</v>
      </c>
      <c r="I181" t="s">
        <v>20</v>
      </c>
      <c r="J181" t="s">
        <v>46</v>
      </c>
      <c r="K181">
        <v>24</v>
      </c>
      <c r="L181">
        <v>6.88</v>
      </c>
      <c r="M181">
        <v>5</v>
      </c>
      <c r="N181" t="s">
        <v>61</v>
      </c>
      <c r="O181" t="str">
        <f t="shared" si="2"/>
        <v>No</v>
      </c>
    </row>
    <row r="182" spans="1:15" x14ac:dyDescent="0.25">
      <c r="A182" t="s">
        <v>243</v>
      </c>
      <c r="B182" s="1">
        <v>45827</v>
      </c>
      <c r="C182" s="2">
        <v>45827.10083333333</v>
      </c>
      <c r="D182" t="s">
        <v>38</v>
      </c>
      <c r="E182" t="s">
        <v>45</v>
      </c>
      <c r="F182" t="s">
        <v>112</v>
      </c>
      <c r="G182" t="s">
        <v>56</v>
      </c>
      <c r="H182" t="s">
        <v>54</v>
      </c>
      <c r="I182" t="s">
        <v>36</v>
      </c>
      <c r="J182" t="s">
        <v>29</v>
      </c>
      <c r="K182">
        <v>8</v>
      </c>
      <c r="L182">
        <v>2.42</v>
      </c>
      <c r="M182">
        <v>5</v>
      </c>
      <c r="N182" t="s">
        <v>22</v>
      </c>
      <c r="O182" t="str">
        <f t="shared" si="2"/>
        <v>No</v>
      </c>
    </row>
    <row r="183" spans="1:15" x14ac:dyDescent="0.25">
      <c r="A183" t="s">
        <v>244</v>
      </c>
      <c r="B183" s="1">
        <v>45685</v>
      </c>
      <c r="C183" s="2">
        <v>45685.068749999999</v>
      </c>
      <c r="D183" t="s">
        <v>38</v>
      </c>
      <c r="E183" t="s">
        <v>16</v>
      </c>
      <c r="F183" t="s">
        <v>58</v>
      </c>
      <c r="G183" t="s">
        <v>18</v>
      </c>
      <c r="H183" t="s">
        <v>35</v>
      </c>
      <c r="I183" t="s">
        <v>20</v>
      </c>
      <c r="J183" t="s">
        <v>21</v>
      </c>
      <c r="K183">
        <v>8</v>
      </c>
      <c r="L183">
        <v>1.65</v>
      </c>
      <c r="M183">
        <v>3.7</v>
      </c>
      <c r="N183" t="s">
        <v>22</v>
      </c>
      <c r="O183" t="str">
        <f t="shared" si="2"/>
        <v>No</v>
      </c>
    </row>
    <row r="184" spans="1:15" x14ac:dyDescent="0.25">
      <c r="A184" t="s">
        <v>245</v>
      </c>
      <c r="B184" s="1">
        <v>45748</v>
      </c>
      <c r="C184" s="2">
        <v>45749.268333333333</v>
      </c>
      <c r="D184" t="s">
        <v>15</v>
      </c>
      <c r="E184" t="s">
        <v>39</v>
      </c>
      <c r="F184" t="s">
        <v>78</v>
      </c>
      <c r="G184" t="s">
        <v>41</v>
      </c>
      <c r="H184" t="s">
        <v>65</v>
      </c>
      <c r="I184" t="s">
        <v>20</v>
      </c>
      <c r="J184" t="s">
        <v>85</v>
      </c>
      <c r="K184">
        <v>48</v>
      </c>
      <c r="L184">
        <v>30.44</v>
      </c>
      <c r="M184">
        <v>4</v>
      </c>
      <c r="N184" t="s">
        <v>22</v>
      </c>
      <c r="O184" t="str">
        <f t="shared" si="2"/>
        <v>No</v>
      </c>
    </row>
    <row r="185" spans="1:15" x14ac:dyDescent="0.25">
      <c r="A185" t="s">
        <v>246</v>
      </c>
      <c r="B185" s="1">
        <v>45784</v>
      </c>
      <c r="C185" s="2">
        <v>45785.095000000001</v>
      </c>
      <c r="D185" t="s">
        <v>24</v>
      </c>
      <c r="E185" t="s">
        <v>25</v>
      </c>
      <c r="F185" t="s">
        <v>53</v>
      </c>
      <c r="G185" t="s">
        <v>51</v>
      </c>
      <c r="H185" t="s">
        <v>27</v>
      </c>
      <c r="I185" t="s">
        <v>28</v>
      </c>
      <c r="J185" t="s">
        <v>46</v>
      </c>
      <c r="K185">
        <v>24</v>
      </c>
      <c r="L185">
        <v>26.28</v>
      </c>
      <c r="M185">
        <v>4.7</v>
      </c>
      <c r="N185" t="s">
        <v>61</v>
      </c>
      <c r="O185" t="str">
        <f t="shared" si="2"/>
        <v>Yes</v>
      </c>
    </row>
    <row r="186" spans="1:15" x14ac:dyDescent="0.25">
      <c r="A186" t="s">
        <v>247</v>
      </c>
      <c r="B186" s="1">
        <v>45747</v>
      </c>
      <c r="C186" s="2">
        <v>45747.665833333333</v>
      </c>
      <c r="D186" t="s">
        <v>15</v>
      </c>
      <c r="E186" t="s">
        <v>32</v>
      </c>
      <c r="F186" t="s">
        <v>33</v>
      </c>
      <c r="G186" t="s">
        <v>34</v>
      </c>
      <c r="H186" t="s">
        <v>44</v>
      </c>
      <c r="I186" t="s">
        <v>36</v>
      </c>
      <c r="J186" t="s">
        <v>21</v>
      </c>
      <c r="K186">
        <v>48</v>
      </c>
      <c r="L186">
        <v>15.98</v>
      </c>
      <c r="M186">
        <v>5</v>
      </c>
      <c r="N186" t="s">
        <v>22</v>
      </c>
      <c r="O186" t="str">
        <f t="shared" si="2"/>
        <v>No</v>
      </c>
    </row>
    <row r="187" spans="1:15" x14ac:dyDescent="0.25">
      <c r="A187" t="s">
        <v>248</v>
      </c>
      <c r="B187" s="1">
        <v>45738</v>
      </c>
      <c r="C187" s="2">
        <v>45738.10125</v>
      </c>
      <c r="D187" t="s">
        <v>38</v>
      </c>
      <c r="E187" t="s">
        <v>25</v>
      </c>
      <c r="F187" t="s">
        <v>53</v>
      </c>
      <c r="G187" t="s">
        <v>18</v>
      </c>
      <c r="H187" t="s">
        <v>44</v>
      </c>
      <c r="I187" t="s">
        <v>20</v>
      </c>
      <c r="J187" t="s">
        <v>21</v>
      </c>
      <c r="K187">
        <v>8</v>
      </c>
      <c r="L187">
        <v>2.4300000000000002</v>
      </c>
      <c r="M187">
        <v>4.5</v>
      </c>
      <c r="N187" t="s">
        <v>61</v>
      </c>
      <c r="O187" t="str">
        <f t="shared" si="2"/>
        <v>No</v>
      </c>
    </row>
    <row r="188" spans="1:15" x14ac:dyDescent="0.25">
      <c r="A188" t="s">
        <v>249</v>
      </c>
      <c r="B188" s="1">
        <v>45688</v>
      </c>
      <c r="C188" s="2">
        <v>45688.146666666667</v>
      </c>
      <c r="D188" t="s">
        <v>15</v>
      </c>
      <c r="E188" t="s">
        <v>16</v>
      </c>
      <c r="F188" t="s">
        <v>17</v>
      </c>
      <c r="G188" t="s">
        <v>51</v>
      </c>
      <c r="H188" t="s">
        <v>54</v>
      </c>
      <c r="I188" t="s">
        <v>36</v>
      </c>
      <c r="J188" t="s">
        <v>21</v>
      </c>
      <c r="K188">
        <v>48</v>
      </c>
      <c r="L188">
        <v>3.52</v>
      </c>
      <c r="M188">
        <v>4.9000000000000004</v>
      </c>
      <c r="N188" t="s">
        <v>22</v>
      </c>
      <c r="O188" t="str">
        <f t="shared" si="2"/>
        <v>No</v>
      </c>
    </row>
    <row r="189" spans="1:15" x14ac:dyDescent="0.25">
      <c r="A189" t="s">
        <v>250</v>
      </c>
      <c r="B189" s="1">
        <v>45726</v>
      </c>
      <c r="C189" s="2">
        <v>45726.8</v>
      </c>
      <c r="D189" t="s">
        <v>24</v>
      </c>
      <c r="E189" t="s">
        <v>16</v>
      </c>
      <c r="F189" t="s">
        <v>60</v>
      </c>
      <c r="G189" t="s">
        <v>51</v>
      </c>
      <c r="H189" t="s">
        <v>54</v>
      </c>
      <c r="I189" t="s">
        <v>45</v>
      </c>
      <c r="J189" t="s">
        <v>46</v>
      </c>
      <c r="K189">
        <v>24</v>
      </c>
      <c r="L189">
        <v>19.2</v>
      </c>
      <c r="M189">
        <v>4.2</v>
      </c>
      <c r="N189" t="s">
        <v>22</v>
      </c>
      <c r="O189" t="str">
        <f t="shared" si="2"/>
        <v>No</v>
      </c>
    </row>
    <row r="190" spans="1:15" x14ac:dyDescent="0.25">
      <c r="A190" t="s">
        <v>251</v>
      </c>
      <c r="B190" s="1">
        <v>45701</v>
      </c>
      <c r="C190" s="2">
        <v>45701.11041666667</v>
      </c>
      <c r="D190" t="s">
        <v>15</v>
      </c>
      <c r="E190" t="s">
        <v>39</v>
      </c>
      <c r="F190" t="s">
        <v>78</v>
      </c>
      <c r="G190" t="s">
        <v>56</v>
      </c>
      <c r="H190" t="s">
        <v>35</v>
      </c>
      <c r="I190" t="s">
        <v>45</v>
      </c>
      <c r="J190" t="s">
        <v>21</v>
      </c>
      <c r="K190">
        <v>48</v>
      </c>
      <c r="L190">
        <v>2.65</v>
      </c>
      <c r="M190">
        <v>4.7</v>
      </c>
      <c r="N190" t="s">
        <v>22</v>
      </c>
      <c r="O190" t="str">
        <f t="shared" si="2"/>
        <v>No</v>
      </c>
    </row>
    <row r="191" spans="1:15" x14ac:dyDescent="0.25">
      <c r="A191" t="s">
        <v>252</v>
      </c>
      <c r="B191" s="1">
        <v>45712</v>
      </c>
      <c r="C191" s="2">
        <v>45712.557500000003</v>
      </c>
      <c r="D191" t="s">
        <v>24</v>
      </c>
      <c r="E191" t="s">
        <v>39</v>
      </c>
      <c r="F191" t="s">
        <v>119</v>
      </c>
      <c r="G191" t="s">
        <v>56</v>
      </c>
      <c r="H191" t="s">
        <v>19</v>
      </c>
      <c r="I191" t="s">
        <v>45</v>
      </c>
      <c r="J191" t="s">
        <v>46</v>
      </c>
      <c r="K191">
        <v>24</v>
      </c>
      <c r="L191">
        <v>13.38</v>
      </c>
      <c r="M191">
        <v>4.7</v>
      </c>
      <c r="N191" t="s">
        <v>22</v>
      </c>
      <c r="O191" t="str">
        <f t="shared" si="2"/>
        <v>No</v>
      </c>
    </row>
    <row r="192" spans="1:15" x14ac:dyDescent="0.25">
      <c r="A192" t="s">
        <v>253</v>
      </c>
      <c r="B192" s="1">
        <v>45781</v>
      </c>
      <c r="C192" s="2">
        <v>45781.087916666664</v>
      </c>
      <c r="D192" t="s">
        <v>38</v>
      </c>
      <c r="E192" t="s">
        <v>32</v>
      </c>
      <c r="F192" t="s">
        <v>75</v>
      </c>
      <c r="G192" t="s">
        <v>41</v>
      </c>
      <c r="H192" t="s">
        <v>65</v>
      </c>
      <c r="I192" t="s">
        <v>36</v>
      </c>
      <c r="J192" t="s">
        <v>46</v>
      </c>
      <c r="K192">
        <v>8</v>
      </c>
      <c r="L192">
        <v>2.11</v>
      </c>
      <c r="M192">
        <v>5</v>
      </c>
      <c r="N192" t="s">
        <v>22</v>
      </c>
      <c r="O192" t="str">
        <f t="shared" si="2"/>
        <v>No</v>
      </c>
    </row>
    <row r="193" spans="1:15" x14ac:dyDescent="0.25">
      <c r="A193" t="s">
        <v>254</v>
      </c>
      <c r="B193" s="1">
        <v>45772</v>
      </c>
      <c r="C193" s="2">
        <v>45772.426249999997</v>
      </c>
      <c r="D193" t="s">
        <v>24</v>
      </c>
      <c r="E193" t="s">
        <v>39</v>
      </c>
      <c r="F193" t="s">
        <v>119</v>
      </c>
      <c r="G193" t="s">
        <v>34</v>
      </c>
      <c r="H193" t="s">
        <v>27</v>
      </c>
      <c r="I193" t="s">
        <v>45</v>
      </c>
      <c r="J193" t="s">
        <v>46</v>
      </c>
      <c r="K193">
        <v>24</v>
      </c>
      <c r="L193">
        <v>10.23</v>
      </c>
      <c r="M193">
        <v>3.8</v>
      </c>
      <c r="N193" t="s">
        <v>22</v>
      </c>
      <c r="O193" t="str">
        <f t="shared" si="2"/>
        <v>No</v>
      </c>
    </row>
    <row r="194" spans="1:15" x14ac:dyDescent="0.25">
      <c r="A194" t="s">
        <v>255</v>
      </c>
      <c r="B194" s="1">
        <v>45767</v>
      </c>
      <c r="C194" s="2">
        <v>45767.193749999999</v>
      </c>
      <c r="D194" t="s">
        <v>38</v>
      </c>
      <c r="E194" t="s">
        <v>39</v>
      </c>
      <c r="F194" t="s">
        <v>78</v>
      </c>
      <c r="G194" t="s">
        <v>34</v>
      </c>
      <c r="H194" t="s">
        <v>19</v>
      </c>
      <c r="I194" t="s">
        <v>45</v>
      </c>
      <c r="J194" t="s">
        <v>21</v>
      </c>
      <c r="K194">
        <v>8</v>
      </c>
      <c r="L194">
        <v>4.6500000000000004</v>
      </c>
      <c r="M194">
        <v>4</v>
      </c>
      <c r="N194" t="s">
        <v>22</v>
      </c>
      <c r="O194" t="str">
        <f t="shared" si="2"/>
        <v>No</v>
      </c>
    </row>
    <row r="195" spans="1:15" x14ac:dyDescent="0.25">
      <c r="A195" t="s">
        <v>256</v>
      </c>
      <c r="B195" s="1">
        <v>45723</v>
      </c>
      <c r="C195" s="2">
        <v>45723.092499999999</v>
      </c>
      <c r="D195" t="s">
        <v>31</v>
      </c>
      <c r="E195" t="s">
        <v>32</v>
      </c>
      <c r="F195" t="s">
        <v>75</v>
      </c>
      <c r="G195" t="s">
        <v>51</v>
      </c>
      <c r="H195" t="s">
        <v>44</v>
      </c>
      <c r="I195" t="s">
        <v>45</v>
      </c>
      <c r="J195" t="s">
        <v>29</v>
      </c>
      <c r="K195">
        <v>4</v>
      </c>
      <c r="L195">
        <v>2.2200000000000002</v>
      </c>
      <c r="M195">
        <v>4</v>
      </c>
      <c r="N195" t="s">
        <v>22</v>
      </c>
      <c r="O195" t="str">
        <f t="shared" ref="O195:O258" si="3">IF(L195&gt;K195,"Yes","No")</f>
        <v>No</v>
      </c>
    </row>
    <row r="196" spans="1:15" x14ac:dyDescent="0.25">
      <c r="A196" t="s">
        <v>257</v>
      </c>
      <c r="B196" s="1">
        <v>45831</v>
      </c>
      <c r="C196" s="2">
        <v>45831.335416666669</v>
      </c>
      <c r="D196" t="s">
        <v>38</v>
      </c>
      <c r="E196" t="s">
        <v>32</v>
      </c>
      <c r="F196" t="s">
        <v>75</v>
      </c>
      <c r="G196" t="s">
        <v>34</v>
      </c>
      <c r="H196" t="s">
        <v>35</v>
      </c>
      <c r="I196" t="s">
        <v>45</v>
      </c>
      <c r="J196" t="s">
        <v>21</v>
      </c>
      <c r="K196">
        <v>8</v>
      </c>
      <c r="L196">
        <v>8.0500000000000007</v>
      </c>
      <c r="M196">
        <v>3.6</v>
      </c>
      <c r="N196" t="s">
        <v>22</v>
      </c>
      <c r="O196" t="str">
        <f t="shared" si="3"/>
        <v>Yes</v>
      </c>
    </row>
    <row r="197" spans="1:15" x14ac:dyDescent="0.25">
      <c r="A197" t="s">
        <v>258</v>
      </c>
      <c r="B197" s="1">
        <v>45673</v>
      </c>
      <c r="C197" s="2">
        <v>45673.1175</v>
      </c>
      <c r="D197" t="s">
        <v>15</v>
      </c>
      <c r="E197" t="s">
        <v>16</v>
      </c>
      <c r="F197" t="s">
        <v>60</v>
      </c>
      <c r="G197" t="s">
        <v>51</v>
      </c>
      <c r="H197" t="s">
        <v>19</v>
      </c>
      <c r="I197" t="s">
        <v>20</v>
      </c>
      <c r="J197" t="s">
        <v>46</v>
      </c>
      <c r="K197">
        <v>48</v>
      </c>
      <c r="L197">
        <v>2.82</v>
      </c>
      <c r="M197">
        <v>5</v>
      </c>
      <c r="N197" t="s">
        <v>61</v>
      </c>
      <c r="O197" t="str">
        <f t="shared" si="3"/>
        <v>No</v>
      </c>
    </row>
    <row r="198" spans="1:15" x14ac:dyDescent="0.25">
      <c r="A198" t="s">
        <v>259</v>
      </c>
      <c r="B198" s="1">
        <v>45720</v>
      </c>
      <c r="C198" s="2">
        <v>45720.307916666665</v>
      </c>
      <c r="D198" t="s">
        <v>38</v>
      </c>
      <c r="E198" t="s">
        <v>39</v>
      </c>
      <c r="F198" t="s">
        <v>119</v>
      </c>
      <c r="G198" t="s">
        <v>51</v>
      </c>
      <c r="H198" t="s">
        <v>44</v>
      </c>
      <c r="I198" t="s">
        <v>36</v>
      </c>
      <c r="J198" t="s">
        <v>21</v>
      </c>
      <c r="K198">
        <v>8</v>
      </c>
      <c r="L198">
        <v>7.39</v>
      </c>
      <c r="M198">
        <v>4</v>
      </c>
      <c r="N198" t="s">
        <v>22</v>
      </c>
      <c r="O198" t="str">
        <f t="shared" si="3"/>
        <v>No</v>
      </c>
    </row>
    <row r="199" spans="1:15" x14ac:dyDescent="0.25">
      <c r="A199" t="s">
        <v>260</v>
      </c>
      <c r="B199" s="1">
        <v>45679</v>
      </c>
      <c r="C199" s="2">
        <v>45680.199583333335</v>
      </c>
      <c r="D199" t="s">
        <v>15</v>
      </c>
      <c r="E199" t="s">
        <v>25</v>
      </c>
      <c r="F199" t="s">
        <v>26</v>
      </c>
      <c r="G199" t="s">
        <v>34</v>
      </c>
      <c r="H199" t="s">
        <v>44</v>
      </c>
      <c r="I199" t="s">
        <v>36</v>
      </c>
      <c r="J199" t="s">
        <v>21</v>
      </c>
      <c r="K199">
        <v>48</v>
      </c>
      <c r="L199">
        <v>28.79</v>
      </c>
      <c r="M199">
        <v>3.8</v>
      </c>
      <c r="N199" t="s">
        <v>22</v>
      </c>
      <c r="O199" t="str">
        <f t="shared" si="3"/>
        <v>No</v>
      </c>
    </row>
    <row r="200" spans="1:15" x14ac:dyDescent="0.25">
      <c r="A200" t="s">
        <v>261</v>
      </c>
      <c r="B200" s="1">
        <v>45719</v>
      </c>
      <c r="C200" s="2">
        <v>45720.077916666669</v>
      </c>
      <c r="D200" t="s">
        <v>24</v>
      </c>
      <c r="E200" t="s">
        <v>32</v>
      </c>
      <c r="F200" t="s">
        <v>75</v>
      </c>
      <c r="G200" t="s">
        <v>41</v>
      </c>
      <c r="H200" t="s">
        <v>35</v>
      </c>
      <c r="I200" t="s">
        <v>45</v>
      </c>
      <c r="J200" t="s">
        <v>21</v>
      </c>
      <c r="K200">
        <v>24</v>
      </c>
      <c r="L200">
        <v>25.87</v>
      </c>
      <c r="M200">
        <v>4.5999999999999996</v>
      </c>
      <c r="N200" t="s">
        <v>22</v>
      </c>
      <c r="O200" t="str">
        <f t="shared" si="3"/>
        <v>Yes</v>
      </c>
    </row>
    <row r="201" spans="1:15" x14ac:dyDescent="0.25">
      <c r="A201" t="s">
        <v>262</v>
      </c>
      <c r="B201" s="1">
        <v>45832</v>
      </c>
      <c r="C201" s="2">
        <v>45832.176249999997</v>
      </c>
      <c r="D201" t="s">
        <v>38</v>
      </c>
      <c r="E201" t="s">
        <v>16</v>
      </c>
      <c r="F201" t="s">
        <v>60</v>
      </c>
      <c r="G201" t="s">
        <v>18</v>
      </c>
      <c r="H201" t="s">
        <v>27</v>
      </c>
      <c r="I201" t="s">
        <v>20</v>
      </c>
      <c r="J201" t="s">
        <v>46</v>
      </c>
      <c r="K201">
        <v>8</v>
      </c>
      <c r="L201">
        <v>4.2300000000000004</v>
      </c>
      <c r="M201">
        <v>4.4000000000000004</v>
      </c>
      <c r="N201" t="s">
        <v>22</v>
      </c>
      <c r="O201" t="str">
        <f t="shared" si="3"/>
        <v>No</v>
      </c>
    </row>
    <row r="202" spans="1:15" x14ac:dyDescent="0.25">
      <c r="A202" t="s">
        <v>263</v>
      </c>
      <c r="B202" s="1">
        <v>45724</v>
      </c>
      <c r="C202" s="2">
        <v>45724.136666666665</v>
      </c>
      <c r="D202" t="s">
        <v>24</v>
      </c>
      <c r="E202" t="s">
        <v>32</v>
      </c>
      <c r="F202" t="s">
        <v>33</v>
      </c>
      <c r="G202" t="s">
        <v>18</v>
      </c>
      <c r="H202" t="s">
        <v>19</v>
      </c>
      <c r="I202" t="s">
        <v>36</v>
      </c>
      <c r="J202" t="s">
        <v>46</v>
      </c>
      <c r="K202">
        <v>24</v>
      </c>
      <c r="L202">
        <v>3.28</v>
      </c>
      <c r="M202">
        <v>5</v>
      </c>
      <c r="N202" t="s">
        <v>22</v>
      </c>
      <c r="O202" t="str">
        <f t="shared" si="3"/>
        <v>No</v>
      </c>
    </row>
    <row r="203" spans="1:15" x14ac:dyDescent="0.25">
      <c r="A203" t="s">
        <v>264</v>
      </c>
      <c r="B203" s="1">
        <v>45822</v>
      </c>
      <c r="C203" s="2">
        <v>45822.473333333335</v>
      </c>
      <c r="D203" t="s">
        <v>24</v>
      </c>
      <c r="E203" t="s">
        <v>16</v>
      </c>
      <c r="F203" t="s">
        <v>58</v>
      </c>
      <c r="G203" t="s">
        <v>51</v>
      </c>
      <c r="H203" t="s">
        <v>54</v>
      </c>
      <c r="I203" t="s">
        <v>36</v>
      </c>
      <c r="J203" t="s">
        <v>21</v>
      </c>
      <c r="K203">
        <v>24</v>
      </c>
      <c r="L203">
        <v>11.36</v>
      </c>
      <c r="M203">
        <v>5</v>
      </c>
      <c r="N203" t="s">
        <v>22</v>
      </c>
      <c r="O203" t="str">
        <f t="shared" si="3"/>
        <v>No</v>
      </c>
    </row>
    <row r="204" spans="1:15" x14ac:dyDescent="0.25">
      <c r="A204" t="s">
        <v>265</v>
      </c>
      <c r="B204" s="1">
        <v>45747</v>
      </c>
      <c r="C204" s="2">
        <v>45747.783333333333</v>
      </c>
      <c r="D204" t="s">
        <v>24</v>
      </c>
      <c r="E204" t="s">
        <v>16</v>
      </c>
      <c r="F204" t="s">
        <v>17</v>
      </c>
      <c r="G204" t="s">
        <v>18</v>
      </c>
      <c r="H204" t="s">
        <v>54</v>
      </c>
      <c r="I204" t="s">
        <v>28</v>
      </c>
      <c r="J204" t="s">
        <v>21</v>
      </c>
      <c r="K204">
        <v>24</v>
      </c>
      <c r="L204">
        <v>18.8</v>
      </c>
      <c r="M204">
        <v>3.4</v>
      </c>
      <c r="N204" t="s">
        <v>22</v>
      </c>
      <c r="O204" t="str">
        <f t="shared" si="3"/>
        <v>No</v>
      </c>
    </row>
    <row r="205" spans="1:15" x14ac:dyDescent="0.25">
      <c r="A205" t="s">
        <v>266</v>
      </c>
      <c r="B205" s="1">
        <v>45784</v>
      </c>
      <c r="C205" s="2">
        <v>45784.294583333336</v>
      </c>
      <c r="D205" t="s">
        <v>38</v>
      </c>
      <c r="E205" t="s">
        <v>16</v>
      </c>
      <c r="F205" t="s">
        <v>17</v>
      </c>
      <c r="G205" t="s">
        <v>18</v>
      </c>
      <c r="H205" t="s">
        <v>65</v>
      </c>
      <c r="I205" t="s">
        <v>20</v>
      </c>
      <c r="J205" t="s">
        <v>46</v>
      </c>
      <c r="K205">
        <v>8</v>
      </c>
      <c r="L205">
        <v>7.07</v>
      </c>
      <c r="M205">
        <v>3.6</v>
      </c>
      <c r="N205" t="s">
        <v>22</v>
      </c>
      <c r="O205" t="str">
        <f t="shared" si="3"/>
        <v>No</v>
      </c>
    </row>
    <row r="206" spans="1:15" x14ac:dyDescent="0.25">
      <c r="A206" t="s">
        <v>267</v>
      </c>
      <c r="B206" s="1">
        <v>45740</v>
      </c>
      <c r="C206" s="2">
        <v>45740.485833333332</v>
      </c>
      <c r="D206" t="s">
        <v>24</v>
      </c>
      <c r="E206" t="s">
        <v>39</v>
      </c>
      <c r="F206" t="s">
        <v>40</v>
      </c>
      <c r="G206" t="s">
        <v>56</v>
      </c>
      <c r="H206" t="s">
        <v>65</v>
      </c>
      <c r="I206" t="s">
        <v>45</v>
      </c>
      <c r="J206" t="s">
        <v>21</v>
      </c>
      <c r="K206">
        <v>24</v>
      </c>
      <c r="L206">
        <v>11.66</v>
      </c>
      <c r="M206">
        <v>4.0999999999999996</v>
      </c>
      <c r="N206" t="s">
        <v>22</v>
      </c>
      <c r="O206" t="str">
        <f t="shared" si="3"/>
        <v>No</v>
      </c>
    </row>
    <row r="207" spans="1:15" x14ac:dyDescent="0.25">
      <c r="A207" t="s">
        <v>268</v>
      </c>
      <c r="B207" s="1">
        <v>45706</v>
      </c>
      <c r="C207" s="2">
        <v>45706.441250000003</v>
      </c>
      <c r="D207" t="s">
        <v>24</v>
      </c>
      <c r="E207" t="s">
        <v>16</v>
      </c>
      <c r="F207" t="s">
        <v>17</v>
      </c>
      <c r="G207" t="s">
        <v>51</v>
      </c>
      <c r="H207" t="s">
        <v>65</v>
      </c>
      <c r="I207" t="s">
        <v>20</v>
      </c>
      <c r="J207" t="s">
        <v>21</v>
      </c>
      <c r="K207">
        <v>24</v>
      </c>
      <c r="L207">
        <v>10.59</v>
      </c>
      <c r="M207">
        <v>4.7</v>
      </c>
      <c r="N207" t="s">
        <v>22</v>
      </c>
      <c r="O207" t="str">
        <f t="shared" si="3"/>
        <v>No</v>
      </c>
    </row>
    <row r="208" spans="1:15" x14ac:dyDescent="0.25">
      <c r="A208" t="s">
        <v>269</v>
      </c>
      <c r="B208" s="1">
        <v>45796</v>
      </c>
      <c r="C208" s="2">
        <v>45796.197500000002</v>
      </c>
      <c r="D208" t="s">
        <v>38</v>
      </c>
      <c r="E208" t="s">
        <v>32</v>
      </c>
      <c r="F208" t="s">
        <v>75</v>
      </c>
      <c r="G208" t="s">
        <v>56</v>
      </c>
      <c r="H208" t="s">
        <v>44</v>
      </c>
      <c r="I208" t="s">
        <v>28</v>
      </c>
      <c r="J208" t="s">
        <v>46</v>
      </c>
      <c r="K208">
        <v>8</v>
      </c>
      <c r="L208">
        <v>4.74</v>
      </c>
      <c r="M208">
        <v>4.8</v>
      </c>
      <c r="N208" t="s">
        <v>22</v>
      </c>
      <c r="O208" t="str">
        <f t="shared" si="3"/>
        <v>No</v>
      </c>
    </row>
    <row r="209" spans="1:15" x14ac:dyDescent="0.25">
      <c r="A209" t="s">
        <v>270</v>
      </c>
      <c r="B209" s="1">
        <v>45833</v>
      </c>
      <c r="C209" s="2">
        <v>45834.968333333331</v>
      </c>
      <c r="D209" t="s">
        <v>15</v>
      </c>
      <c r="E209" t="s">
        <v>39</v>
      </c>
      <c r="F209" t="s">
        <v>40</v>
      </c>
      <c r="G209" t="s">
        <v>41</v>
      </c>
      <c r="H209" t="s">
        <v>44</v>
      </c>
      <c r="I209" t="s">
        <v>45</v>
      </c>
      <c r="J209" t="s">
        <v>21</v>
      </c>
      <c r="K209">
        <v>48</v>
      </c>
      <c r="L209">
        <v>47.24</v>
      </c>
      <c r="M209">
        <v>3.9</v>
      </c>
      <c r="N209" t="s">
        <v>22</v>
      </c>
      <c r="O209" t="str">
        <f t="shared" si="3"/>
        <v>No</v>
      </c>
    </row>
    <row r="210" spans="1:15" x14ac:dyDescent="0.25">
      <c r="A210" t="s">
        <v>271</v>
      </c>
      <c r="B210" s="1">
        <v>45705</v>
      </c>
      <c r="C210" s="2">
        <v>45705.716666666667</v>
      </c>
      <c r="D210" t="s">
        <v>15</v>
      </c>
      <c r="E210" t="s">
        <v>39</v>
      </c>
      <c r="F210" t="s">
        <v>40</v>
      </c>
      <c r="G210" t="s">
        <v>51</v>
      </c>
      <c r="H210" t="s">
        <v>19</v>
      </c>
      <c r="I210" t="s">
        <v>36</v>
      </c>
      <c r="J210" t="s">
        <v>21</v>
      </c>
      <c r="K210">
        <v>48</v>
      </c>
      <c r="L210">
        <v>17.2</v>
      </c>
      <c r="M210">
        <v>4.2</v>
      </c>
      <c r="N210" t="s">
        <v>22</v>
      </c>
      <c r="O210" t="str">
        <f t="shared" si="3"/>
        <v>No</v>
      </c>
    </row>
    <row r="211" spans="1:15" x14ac:dyDescent="0.25">
      <c r="A211" t="s">
        <v>272</v>
      </c>
      <c r="B211" s="1">
        <v>45798</v>
      </c>
      <c r="C211" s="2">
        <v>45798.694166666668</v>
      </c>
      <c r="D211" t="s">
        <v>24</v>
      </c>
      <c r="E211" t="s">
        <v>16</v>
      </c>
      <c r="F211" t="s">
        <v>43</v>
      </c>
      <c r="G211" t="s">
        <v>56</v>
      </c>
      <c r="H211" t="s">
        <v>44</v>
      </c>
      <c r="I211" t="s">
        <v>45</v>
      </c>
      <c r="J211" t="s">
        <v>21</v>
      </c>
      <c r="K211">
        <v>24</v>
      </c>
      <c r="L211">
        <v>16.66</v>
      </c>
      <c r="M211">
        <v>5</v>
      </c>
      <c r="N211" t="s">
        <v>22</v>
      </c>
      <c r="O211" t="str">
        <f t="shared" si="3"/>
        <v>No</v>
      </c>
    </row>
    <row r="212" spans="1:15" x14ac:dyDescent="0.25">
      <c r="A212" t="s">
        <v>273</v>
      </c>
      <c r="B212" s="1">
        <v>45705</v>
      </c>
      <c r="C212" s="2">
        <v>45705.262071759258</v>
      </c>
      <c r="D212" t="s">
        <v>31</v>
      </c>
      <c r="E212" t="s">
        <v>39</v>
      </c>
      <c r="F212" t="s">
        <v>78</v>
      </c>
      <c r="G212" t="s">
        <v>41</v>
      </c>
      <c r="H212" t="s">
        <v>54</v>
      </c>
      <c r="I212" t="s">
        <v>28</v>
      </c>
      <c r="J212" t="s">
        <v>21</v>
      </c>
      <c r="K212">
        <v>4</v>
      </c>
      <c r="L212">
        <v>6.29</v>
      </c>
      <c r="M212">
        <v>2.8</v>
      </c>
      <c r="N212" t="s">
        <v>22</v>
      </c>
      <c r="O212" t="str">
        <f t="shared" si="3"/>
        <v>Yes</v>
      </c>
    </row>
    <row r="213" spans="1:15" x14ac:dyDescent="0.25">
      <c r="A213" t="s">
        <v>274</v>
      </c>
      <c r="B213" s="1">
        <v>45787</v>
      </c>
      <c r="C213" s="2">
        <v>45791.525000000001</v>
      </c>
      <c r="D213" t="s">
        <v>15</v>
      </c>
      <c r="E213" t="s">
        <v>25</v>
      </c>
      <c r="F213" t="s">
        <v>53</v>
      </c>
      <c r="G213" t="s">
        <v>51</v>
      </c>
      <c r="H213" t="s">
        <v>54</v>
      </c>
      <c r="I213" t="s">
        <v>45</v>
      </c>
      <c r="J213" t="s">
        <v>46</v>
      </c>
      <c r="K213">
        <v>48</v>
      </c>
      <c r="L213">
        <v>108.6</v>
      </c>
      <c r="M213">
        <v>2.8</v>
      </c>
      <c r="N213" t="s">
        <v>22</v>
      </c>
      <c r="O213" t="str">
        <f t="shared" si="3"/>
        <v>Yes</v>
      </c>
    </row>
    <row r="214" spans="1:15" x14ac:dyDescent="0.25">
      <c r="A214" t="s">
        <v>275</v>
      </c>
      <c r="B214" s="1">
        <v>45800</v>
      </c>
      <c r="C214" s="2">
        <v>45801.960833333331</v>
      </c>
      <c r="D214" t="s">
        <v>15</v>
      </c>
      <c r="E214" t="s">
        <v>39</v>
      </c>
      <c r="F214" t="s">
        <v>119</v>
      </c>
      <c r="G214" t="s">
        <v>18</v>
      </c>
      <c r="H214" t="s">
        <v>44</v>
      </c>
      <c r="I214" t="s">
        <v>36</v>
      </c>
      <c r="J214" t="s">
        <v>21</v>
      </c>
      <c r="K214">
        <v>48</v>
      </c>
      <c r="L214">
        <v>47.06</v>
      </c>
      <c r="M214">
        <v>3.8</v>
      </c>
      <c r="N214" t="s">
        <v>22</v>
      </c>
      <c r="O214" t="str">
        <f t="shared" si="3"/>
        <v>No</v>
      </c>
    </row>
    <row r="215" spans="1:15" x14ac:dyDescent="0.25">
      <c r="A215" t="s">
        <v>276</v>
      </c>
      <c r="B215" s="1">
        <v>45739</v>
      </c>
      <c r="C215" s="2">
        <v>45739.862083333333</v>
      </c>
      <c r="D215" t="s">
        <v>15</v>
      </c>
      <c r="E215" t="s">
        <v>32</v>
      </c>
      <c r="F215" t="s">
        <v>64</v>
      </c>
      <c r="G215" t="s">
        <v>56</v>
      </c>
      <c r="H215" t="s">
        <v>19</v>
      </c>
      <c r="I215" t="s">
        <v>28</v>
      </c>
      <c r="J215" t="s">
        <v>21</v>
      </c>
      <c r="K215">
        <v>48</v>
      </c>
      <c r="L215">
        <v>20.69</v>
      </c>
      <c r="M215">
        <v>4.4000000000000004</v>
      </c>
      <c r="N215" t="s">
        <v>61</v>
      </c>
      <c r="O215" t="str">
        <f t="shared" si="3"/>
        <v>No</v>
      </c>
    </row>
    <row r="216" spans="1:15" x14ac:dyDescent="0.25">
      <c r="A216" t="s">
        <v>277</v>
      </c>
      <c r="B216" s="1">
        <v>45791</v>
      </c>
      <c r="C216" s="2">
        <v>45791.058749999997</v>
      </c>
      <c r="D216" t="s">
        <v>38</v>
      </c>
      <c r="E216" t="s">
        <v>32</v>
      </c>
      <c r="F216" t="s">
        <v>33</v>
      </c>
      <c r="G216" t="s">
        <v>34</v>
      </c>
      <c r="H216" t="s">
        <v>54</v>
      </c>
      <c r="I216" t="s">
        <v>20</v>
      </c>
      <c r="J216" t="s">
        <v>21</v>
      </c>
      <c r="K216">
        <v>8</v>
      </c>
      <c r="L216">
        <v>1.41</v>
      </c>
      <c r="M216">
        <v>5</v>
      </c>
      <c r="N216" t="s">
        <v>61</v>
      </c>
      <c r="O216" t="str">
        <f t="shared" si="3"/>
        <v>No</v>
      </c>
    </row>
    <row r="217" spans="1:15" x14ac:dyDescent="0.25">
      <c r="A217" t="s">
        <v>278</v>
      </c>
      <c r="B217" s="1">
        <v>45707</v>
      </c>
      <c r="C217" s="2">
        <v>45708.33666666667</v>
      </c>
      <c r="D217" t="s">
        <v>15</v>
      </c>
      <c r="E217" t="s">
        <v>32</v>
      </c>
      <c r="F217" t="s">
        <v>75</v>
      </c>
      <c r="G217" t="s">
        <v>18</v>
      </c>
      <c r="H217" t="s">
        <v>44</v>
      </c>
      <c r="I217" t="s">
        <v>36</v>
      </c>
      <c r="J217" t="s">
        <v>21</v>
      </c>
      <c r="K217">
        <v>48</v>
      </c>
      <c r="L217">
        <v>32.08</v>
      </c>
      <c r="M217">
        <v>5</v>
      </c>
      <c r="N217" t="s">
        <v>22</v>
      </c>
      <c r="O217" t="str">
        <f t="shared" si="3"/>
        <v>No</v>
      </c>
    </row>
    <row r="218" spans="1:15" x14ac:dyDescent="0.25">
      <c r="A218" t="s">
        <v>279</v>
      </c>
      <c r="B218" s="1">
        <v>45672</v>
      </c>
      <c r="C218" s="2">
        <v>45673.345405092594</v>
      </c>
      <c r="D218" t="s">
        <v>24</v>
      </c>
      <c r="E218" t="s">
        <v>16</v>
      </c>
      <c r="F218" t="s">
        <v>43</v>
      </c>
      <c r="G218" t="s">
        <v>34</v>
      </c>
      <c r="H218" t="s">
        <v>44</v>
      </c>
      <c r="I218" t="s">
        <v>28</v>
      </c>
      <c r="J218" t="s">
        <v>21</v>
      </c>
      <c r="K218">
        <v>24</v>
      </c>
      <c r="L218">
        <v>32.29</v>
      </c>
      <c r="M218">
        <v>3.6</v>
      </c>
      <c r="N218" t="s">
        <v>22</v>
      </c>
      <c r="O218" t="str">
        <f t="shared" si="3"/>
        <v>Yes</v>
      </c>
    </row>
    <row r="219" spans="1:15" x14ac:dyDescent="0.25">
      <c r="A219" t="s">
        <v>280</v>
      </c>
      <c r="B219" s="1">
        <v>45675</v>
      </c>
      <c r="C219" s="2">
        <v>45675.081250000003</v>
      </c>
      <c r="D219" t="s">
        <v>31</v>
      </c>
      <c r="E219" t="s">
        <v>25</v>
      </c>
      <c r="F219" t="s">
        <v>70</v>
      </c>
      <c r="G219" t="s">
        <v>56</v>
      </c>
      <c r="H219" t="s">
        <v>35</v>
      </c>
      <c r="I219" t="s">
        <v>20</v>
      </c>
      <c r="J219" t="s">
        <v>21</v>
      </c>
      <c r="K219">
        <v>4</v>
      </c>
      <c r="L219">
        <v>1.95</v>
      </c>
      <c r="M219">
        <v>4.0999999999999996</v>
      </c>
      <c r="N219" t="s">
        <v>22</v>
      </c>
      <c r="O219" t="str">
        <f t="shared" si="3"/>
        <v>No</v>
      </c>
    </row>
    <row r="220" spans="1:15" x14ac:dyDescent="0.25">
      <c r="A220" t="s">
        <v>281</v>
      </c>
      <c r="B220" s="1">
        <v>45738</v>
      </c>
      <c r="C220" s="2">
        <v>45740.11791666667</v>
      </c>
      <c r="D220" t="s">
        <v>15</v>
      </c>
      <c r="E220" t="s">
        <v>25</v>
      </c>
      <c r="F220" t="s">
        <v>48</v>
      </c>
      <c r="G220" t="s">
        <v>34</v>
      </c>
      <c r="H220" t="s">
        <v>54</v>
      </c>
      <c r="I220" t="s">
        <v>20</v>
      </c>
      <c r="J220" t="s">
        <v>46</v>
      </c>
      <c r="K220">
        <v>48</v>
      </c>
      <c r="L220">
        <v>50.83</v>
      </c>
      <c r="M220">
        <v>4.7</v>
      </c>
      <c r="N220" t="s">
        <v>22</v>
      </c>
      <c r="O220" t="str">
        <f t="shared" si="3"/>
        <v>Yes</v>
      </c>
    </row>
    <row r="221" spans="1:15" x14ac:dyDescent="0.25">
      <c r="A221" t="s">
        <v>282</v>
      </c>
      <c r="B221" s="1">
        <v>45821</v>
      </c>
      <c r="C221" s="2">
        <v>45822.002500000002</v>
      </c>
      <c r="D221" t="s">
        <v>24</v>
      </c>
      <c r="E221" t="s">
        <v>39</v>
      </c>
      <c r="F221" t="s">
        <v>78</v>
      </c>
      <c r="G221" t="s">
        <v>34</v>
      </c>
      <c r="H221" t="s">
        <v>27</v>
      </c>
      <c r="I221" t="s">
        <v>28</v>
      </c>
      <c r="J221" t="s">
        <v>21</v>
      </c>
      <c r="K221">
        <v>24</v>
      </c>
      <c r="L221">
        <v>24.06</v>
      </c>
      <c r="M221">
        <v>4.0999999999999996</v>
      </c>
      <c r="N221" t="s">
        <v>22</v>
      </c>
      <c r="O221" t="str">
        <f t="shared" si="3"/>
        <v>Yes</v>
      </c>
    </row>
    <row r="222" spans="1:15" x14ac:dyDescent="0.25">
      <c r="A222" t="s">
        <v>283</v>
      </c>
      <c r="B222" s="1">
        <v>45681</v>
      </c>
      <c r="C222" s="2">
        <v>45681.527499999997</v>
      </c>
      <c r="D222" t="s">
        <v>24</v>
      </c>
      <c r="E222" t="s">
        <v>32</v>
      </c>
      <c r="F222" t="s">
        <v>64</v>
      </c>
      <c r="G222" t="s">
        <v>34</v>
      </c>
      <c r="H222" t="s">
        <v>27</v>
      </c>
      <c r="I222" t="s">
        <v>36</v>
      </c>
      <c r="J222" t="s">
        <v>85</v>
      </c>
      <c r="K222">
        <v>24</v>
      </c>
      <c r="L222">
        <v>12.66</v>
      </c>
      <c r="M222">
        <v>4.5</v>
      </c>
      <c r="N222" t="s">
        <v>22</v>
      </c>
      <c r="O222" t="str">
        <f t="shared" si="3"/>
        <v>No</v>
      </c>
    </row>
    <row r="223" spans="1:15" x14ac:dyDescent="0.25">
      <c r="A223" t="s">
        <v>284</v>
      </c>
      <c r="B223" s="1">
        <v>45740</v>
      </c>
      <c r="C223" s="2">
        <v>45740.313750000001</v>
      </c>
      <c r="D223" t="s">
        <v>38</v>
      </c>
      <c r="E223" t="s">
        <v>25</v>
      </c>
      <c r="F223" t="s">
        <v>26</v>
      </c>
      <c r="G223" t="s">
        <v>18</v>
      </c>
      <c r="H223" t="s">
        <v>44</v>
      </c>
      <c r="I223" t="s">
        <v>20</v>
      </c>
      <c r="J223" t="s">
        <v>85</v>
      </c>
      <c r="K223">
        <v>8</v>
      </c>
      <c r="L223">
        <v>7.53</v>
      </c>
      <c r="M223">
        <v>4.5</v>
      </c>
      <c r="N223" t="s">
        <v>22</v>
      </c>
      <c r="O223" t="str">
        <f t="shared" si="3"/>
        <v>No</v>
      </c>
    </row>
    <row r="224" spans="1:15" x14ac:dyDescent="0.25">
      <c r="A224" t="s">
        <v>285</v>
      </c>
      <c r="B224" s="1">
        <v>45785</v>
      </c>
      <c r="C224" s="2">
        <v>45785.195416666669</v>
      </c>
      <c r="D224" t="s">
        <v>24</v>
      </c>
      <c r="E224" t="s">
        <v>32</v>
      </c>
      <c r="F224" t="s">
        <v>75</v>
      </c>
      <c r="G224" t="s">
        <v>51</v>
      </c>
      <c r="H224" t="s">
        <v>44</v>
      </c>
      <c r="I224" t="s">
        <v>36</v>
      </c>
      <c r="J224" t="s">
        <v>21</v>
      </c>
      <c r="K224">
        <v>24</v>
      </c>
      <c r="L224">
        <v>4.6900000000000004</v>
      </c>
      <c r="M224">
        <v>5</v>
      </c>
      <c r="N224" t="s">
        <v>22</v>
      </c>
      <c r="O224" t="str">
        <f t="shared" si="3"/>
        <v>No</v>
      </c>
    </row>
    <row r="225" spans="1:15" x14ac:dyDescent="0.25">
      <c r="A225" t="s">
        <v>286</v>
      </c>
      <c r="B225" s="1">
        <v>45694</v>
      </c>
      <c r="C225" s="2">
        <v>45694.448750000003</v>
      </c>
      <c r="D225" t="s">
        <v>24</v>
      </c>
      <c r="E225" t="s">
        <v>39</v>
      </c>
      <c r="F225" t="s">
        <v>40</v>
      </c>
      <c r="G225" t="s">
        <v>18</v>
      </c>
      <c r="H225" t="s">
        <v>54</v>
      </c>
      <c r="I225" t="s">
        <v>20</v>
      </c>
      <c r="J225" t="s">
        <v>46</v>
      </c>
      <c r="K225">
        <v>24</v>
      </c>
      <c r="L225">
        <v>10.77</v>
      </c>
      <c r="M225">
        <v>5</v>
      </c>
      <c r="N225" t="s">
        <v>22</v>
      </c>
      <c r="O225" t="str">
        <f t="shared" si="3"/>
        <v>No</v>
      </c>
    </row>
    <row r="226" spans="1:15" x14ac:dyDescent="0.25">
      <c r="A226" t="s">
        <v>287</v>
      </c>
      <c r="B226" s="1">
        <v>45788</v>
      </c>
      <c r="C226" s="2">
        <v>45789.448333333334</v>
      </c>
      <c r="D226" t="s">
        <v>15</v>
      </c>
      <c r="E226" t="s">
        <v>25</v>
      </c>
      <c r="F226" t="s">
        <v>53</v>
      </c>
      <c r="G226" t="s">
        <v>34</v>
      </c>
      <c r="H226" t="s">
        <v>27</v>
      </c>
      <c r="I226" t="s">
        <v>20</v>
      </c>
      <c r="J226" t="s">
        <v>46</v>
      </c>
      <c r="K226">
        <v>48</v>
      </c>
      <c r="L226">
        <v>34.76</v>
      </c>
      <c r="M226">
        <v>4.0999999999999996</v>
      </c>
      <c r="N226" t="s">
        <v>22</v>
      </c>
      <c r="O226" t="str">
        <f t="shared" si="3"/>
        <v>No</v>
      </c>
    </row>
    <row r="227" spans="1:15" x14ac:dyDescent="0.25">
      <c r="A227" t="s">
        <v>288</v>
      </c>
      <c r="B227" s="1">
        <v>45713</v>
      </c>
      <c r="C227" s="2">
        <v>45713.172500000001</v>
      </c>
      <c r="D227" t="s">
        <v>38</v>
      </c>
      <c r="E227" t="s">
        <v>39</v>
      </c>
      <c r="F227" t="s">
        <v>40</v>
      </c>
      <c r="G227" t="s">
        <v>34</v>
      </c>
      <c r="H227" t="s">
        <v>65</v>
      </c>
      <c r="I227" t="s">
        <v>20</v>
      </c>
      <c r="J227" t="s">
        <v>21</v>
      </c>
      <c r="K227">
        <v>8</v>
      </c>
      <c r="L227">
        <v>4.1399999999999997</v>
      </c>
      <c r="M227">
        <v>5</v>
      </c>
      <c r="N227" t="s">
        <v>22</v>
      </c>
      <c r="O227" t="str">
        <f t="shared" si="3"/>
        <v>No</v>
      </c>
    </row>
    <row r="228" spans="1:15" x14ac:dyDescent="0.25">
      <c r="A228" t="s">
        <v>289</v>
      </c>
      <c r="B228" s="1">
        <v>45804</v>
      </c>
      <c r="C228" s="2">
        <v>45804.071250000001</v>
      </c>
      <c r="D228" t="s">
        <v>38</v>
      </c>
      <c r="E228" t="s">
        <v>32</v>
      </c>
      <c r="F228" t="s">
        <v>75</v>
      </c>
      <c r="G228" t="s">
        <v>51</v>
      </c>
      <c r="H228" t="s">
        <v>27</v>
      </c>
      <c r="I228" t="s">
        <v>20</v>
      </c>
      <c r="J228" t="s">
        <v>21</v>
      </c>
      <c r="K228">
        <v>8</v>
      </c>
      <c r="L228">
        <v>1.71</v>
      </c>
      <c r="M228">
        <v>5</v>
      </c>
      <c r="N228" t="s">
        <v>22</v>
      </c>
      <c r="O228" t="str">
        <f t="shared" si="3"/>
        <v>No</v>
      </c>
    </row>
    <row r="229" spans="1:15" x14ac:dyDescent="0.25">
      <c r="A229" t="s">
        <v>290</v>
      </c>
      <c r="B229" s="1">
        <v>45762</v>
      </c>
      <c r="C229" s="2">
        <v>45763.884583333333</v>
      </c>
      <c r="D229" t="s">
        <v>15</v>
      </c>
      <c r="E229" t="s">
        <v>32</v>
      </c>
      <c r="F229" t="s">
        <v>64</v>
      </c>
      <c r="G229" t="s">
        <v>34</v>
      </c>
      <c r="H229" t="s">
        <v>54</v>
      </c>
      <c r="I229" t="s">
        <v>20</v>
      </c>
      <c r="J229" t="s">
        <v>85</v>
      </c>
      <c r="K229">
        <v>48</v>
      </c>
      <c r="L229">
        <v>45.23</v>
      </c>
      <c r="M229">
        <v>4.2</v>
      </c>
      <c r="N229" t="s">
        <v>22</v>
      </c>
      <c r="O229" t="str">
        <f t="shared" si="3"/>
        <v>No</v>
      </c>
    </row>
    <row r="230" spans="1:15" x14ac:dyDescent="0.25">
      <c r="A230" t="s">
        <v>291</v>
      </c>
      <c r="B230" s="1">
        <v>45756</v>
      </c>
      <c r="C230" s="2">
        <v>45756.717916666668</v>
      </c>
      <c r="D230" t="s">
        <v>24</v>
      </c>
      <c r="E230" t="s">
        <v>16</v>
      </c>
      <c r="F230" t="s">
        <v>17</v>
      </c>
      <c r="G230" t="s">
        <v>56</v>
      </c>
      <c r="H230" t="s">
        <v>65</v>
      </c>
      <c r="I230" t="s">
        <v>36</v>
      </c>
      <c r="J230" t="s">
        <v>21</v>
      </c>
      <c r="K230">
        <v>24</v>
      </c>
      <c r="L230">
        <v>17.23</v>
      </c>
      <c r="M230">
        <v>3.9</v>
      </c>
      <c r="N230" t="s">
        <v>22</v>
      </c>
      <c r="O230" t="str">
        <f t="shared" si="3"/>
        <v>No</v>
      </c>
    </row>
    <row r="231" spans="1:15" x14ac:dyDescent="0.25">
      <c r="A231" t="s">
        <v>292</v>
      </c>
      <c r="B231" s="1">
        <v>45689</v>
      </c>
      <c r="C231" s="2">
        <v>45689.199166666665</v>
      </c>
      <c r="D231" t="s">
        <v>38</v>
      </c>
      <c r="E231" t="s">
        <v>32</v>
      </c>
      <c r="F231" t="s">
        <v>80</v>
      </c>
      <c r="G231" t="s">
        <v>41</v>
      </c>
      <c r="H231" t="s">
        <v>27</v>
      </c>
      <c r="I231" t="s">
        <v>36</v>
      </c>
      <c r="J231" t="s">
        <v>21</v>
      </c>
      <c r="K231">
        <v>8</v>
      </c>
      <c r="L231">
        <v>4.78</v>
      </c>
      <c r="M231">
        <v>4.0999999999999996</v>
      </c>
      <c r="N231" t="s">
        <v>22</v>
      </c>
      <c r="O231" t="str">
        <f t="shared" si="3"/>
        <v>No</v>
      </c>
    </row>
    <row r="232" spans="1:15" x14ac:dyDescent="0.25">
      <c r="A232" t="s">
        <v>293</v>
      </c>
      <c r="B232" s="1">
        <v>45741</v>
      </c>
      <c r="C232" s="2">
        <v>45743.423750000002</v>
      </c>
      <c r="D232" t="s">
        <v>15</v>
      </c>
      <c r="E232" t="s">
        <v>16</v>
      </c>
      <c r="F232" t="s">
        <v>17</v>
      </c>
      <c r="G232" t="s">
        <v>34</v>
      </c>
      <c r="H232" t="s">
        <v>65</v>
      </c>
      <c r="I232" t="s">
        <v>36</v>
      </c>
      <c r="J232" t="s">
        <v>21</v>
      </c>
      <c r="K232">
        <v>48</v>
      </c>
      <c r="L232">
        <v>58.17</v>
      </c>
      <c r="M232">
        <v>3.9</v>
      </c>
      <c r="N232" t="s">
        <v>61</v>
      </c>
      <c r="O232" t="str">
        <f t="shared" si="3"/>
        <v>Yes</v>
      </c>
    </row>
    <row r="233" spans="1:15" x14ac:dyDescent="0.25">
      <c r="A233" t="s">
        <v>294</v>
      </c>
      <c r="B233" s="1">
        <v>45813</v>
      </c>
      <c r="C233" s="2">
        <v>45814.911666666667</v>
      </c>
      <c r="D233" t="s">
        <v>15</v>
      </c>
      <c r="E233" t="s">
        <v>39</v>
      </c>
      <c r="F233" t="s">
        <v>78</v>
      </c>
      <c r="G233" t="s">
        <v>56</v>
      </c>
      <c r="H233" t="s">
        <v>54</v>
      </c>
      <c r="I233" t="s">
        <v>20</v>
      </c>
      <c r="J233" t="s">
        <v>21</v>
      </c>
      <c r="K233">
        <v>48</v>
      </c>
      <c r="L233">
        <v>45.88</v>
      </c>
      <c r="M233">
        <v>3.3</v>
      </c>
      <c r="N233" t="s">
        <v>22</v>
      </c>
      <c r="O233" t="str">
        <f t="shared" si="3"/>
        <v>No</v>
      </c>
    </row>
    <row r="234" spans="1:15" x14ac:dyDescent="0.25">
      <c r="A234" t="s">
        <v>295</v>
      </c>
      <c r="B234" s="1">
        <v>45661</v>
      </c>
      <c r="C234" s="2">
        <v>45661.035833333335</v>
      </c>
      <c r="D234" t="s">
        <v>24</v>
      </c>
      <c r="E234" t="s">
        <v>39</v>
      </c>
      <c r="F234" t="s">
        <v>40</v>
      </c>
      <c r="G234" t="s">
        <v>41</v>
      </c>
      <c r="H234" t="s">
        <v>44</v>
      </c>
      <c r="I234" t="s">
        <v>45</v>
      </c>
      <c r="J234" t="s">
        <v>21</v>
      </c>
      <c r="K234">
        <v>24</v>
      </c>
      <c r="L234">
        <v>0.86</v>
      </c>
      <c r="M234">
        <v>4.5999999999999996</v>
      </c>
      <c r="N234" t="s">
        <v>22</v>
      </c>
      <c r="O234" t="str">
        <f t="shared" si="3"/>
        <v>No</v>
      </c>
    </row>
    <row r="235" spans="1:15" x14ac:dyDescent="0.25">
      <c r="A235" t="s">
        <v>296</v>
      </c>
      <c r="B235" s="1">
        <v>45795</v>
      </c>
      <c r="C235" s="2">
        <v>45795.604166666664</v>
      </c>
      <c r="D235" t="s">
        <v>24</v>
      </c>
      <c r="E235" t="s">
        <v>32</v>
      </c>
      <c r="F235" t="s">
        <v>64</v>
      </c>
      <c r="G235" t="s">
        <v>41</v>
      </c>
      <c r="H235" t="s">
        <v>19</v>
      </c>
      <c r="I235" t="s">
        <v>45</v>
      </c>
      <c r="J235" t="s">
        <v>29</v>
      </c>
      <c r="K235">
        <v>24</v>
      </c>
      <c r="L235">
        <v>14.5</v>
      </c>
      <c r="M235">
        <v>4.3</v>
      </c>
      <c r="N235" t="s">
        <v>22</v>
      </c>
      <c r="O235" t="str">
        <f t="shared" si="3"/>
        <v>No</v>
      </c>
    </row>
    <row r="236" spans="1:15" x14ac:dyDescent="0.25">
      <c r="A236" t="s">
        <v>297</v>
      </c>
      <c r="B236" s="1">
        <v>45747</v>
      </c>
      <c r="C236" s="2">
        <v>45748.181250000001</v>
      </c>
      <c r="D236" t="s">
        <v>15</v>
      </c>
      <c r="E236" t="s">
        <v>25</v>
      </c>
      <c r="F236" t="s">
        <v>53</v>
      </c>
      <c r="G236" t="s">
        <v>51</v>
      </c>
      <c r="H236" t="s">
        <v>54</v>
      </c>
      <c r="I236" t="s">
        <v>36</v>
      </c>
      <c r="J236" t="s">
        <v>21</v>
      </c>
      <c r="K236">
        <v>48</v>
      </c>
      <c r="L236">
        <v>28.35</v>
      </c>
      <c r="M236">
        <v>5</v>
      </c>
      <c r="N236" t="s">
        <v>22</v>
      </c>
      <c r="O236" t="str">
        <f t="shared" si="3"/>
        <v>No</v>
      </c>
    </row>
    <row r="237" spans="1:15" x14ac:dyDescent="0.25">
      <c r="A237" t="s">
        <v>298</v>
      </c>
      <c r="B237" s="1">
        <v>45788</v>
      </c>
      <c r="C237" s="2">
        <v>45788.400833333333</v>
      </c>
      <c r="D237" t="s">
        <v>24</v>
      </c>
      <c r="E237" t="s">
        <v>39</v>
      </c>
      <c r="F237" t="s">
        <v>87</v>
      </c>
      <c r="G237" t="s">
        <v>34</v>
      </c>
      <c r="H237" t="s">
        <v>65</v>
      </c>
      <c r="I237" t="s">
        <v>45</v>
      </c>
      <c r="J237" t="s">
        <v>21</v>
      </c>
      <c r="K237">
        <v>24</v>
      </c>
      <c r="L237">
        <v>9.6199999999999992</v>
      </c>
      <c r="M237">
        <v>4.5999999999999996</v>
      </c>
      <c r="N237" t="s">
        <v>61</v>
      </c>
      <c r="O237" t="str">
        <f t="shared" si="3"/>
        <v>No</v>
      </c>
    </row>
    <row r="238" spans="1:15" x14ac:dyDescent="0.25">
      <c r="A238" t="s">
        <v>299</v>
      </c>
      <c r="B238" s="1">
        <v>45778</v>
      </c>
      <c r="C238" s="2">
        <v>45778.118333333332</v>
      </c>
      <c r="D238" t="s">
        <v>15</v>
      </c>
      <c r="E238" t="s">
        <v>25</v>
      </c>
      <c r="F238" t="s">
        <v>70</v>
      </c>
      <c r="G238" t="s">
        <v>51</v>
      </c>
      <c r="H238" t="s">
        <v>35</v>
      </c>
      <c r="I238" t="s">
        <v>45</v>
      </c>
      <c r="J238" t="s">
        <v>21</v>
      </c>
      <c r="K238">
        <v>48</v>
      </c>
      <c r="L238">
        <v>2.84</v>
      </c>
      <c r="M238">
        <v>5</v>
      </c>
      <c r="N238" t="s">
        <v>22</v>
      </c>
      <c r="O238" t="str">
        <f t="shared" si="3"/>
        <v>No</v>
      </c>
    </row>
    <row r="239" spans="1:15" x14ac:dyDescent="0.25">
      <c r="A239" t="s">
        <v>300</v>
      </c>
      <c r="B239" s="1">
        <v>45736</v>
      </c>
      <c r="C239" s="2">
        <v>45736.274155092593</v>
      </c>
      <c r="D239" t="s">
        <v>24</v>
      </c>
      <c r="E239" t="s">
        <v>39</v>
      </c>
      <c r="F239" t="s">
        <v>87</v>
      </c>
      <c r="G239" t="s">
        <v>56</v>
      </c>
      <c r="H239" t="s">
        <v>19</v>
      </c>
      <c r="I239" t="s">
        <v>28</v>
      </c>
      <c r="J239" t="s">
        <v>46</v>
      </c>
      <c r="K239">
        <v>24</v>
      </c>
      <c r="L239">
        <v>6.58</v>
      </c>
      <c r="M239">
        <v>4</v>
      </c>
      <c r="N239" t="s">
        <v>22</v>
      </c>
      <c r="O239" t="str">
        <f t="shared" si="3"/>
        <v>No</v>
      </c>
    </row>
    <row r="240" spans="1:15" x14ac:dyDescent="0.25">
      <c r="A240" t="s">
        <v>301</v>
      </c>
      <c r="B240" s="1">
        <v>45713</v>
      </c>
      <c r="C240" s="2">
        <v>45713.043333333335</v>
      </c>
      <c r="D240" t="s">
        <v>24</v>
      </c>
      <c r="E240" t="s">
        <v>32</v>
      </c>
      <c r="F240" t="s">
        <v>64</v>
      </c>
      <c r="G240" t="s">
        <v>18</v>
      </c>
      <c r="H240" t="s">
        <v>44</v>
      </c>
      <c r="I240" t="s">
        <v>20</v>
      </c>
      <c r="J240" t="s">
        <v>21</v>
      </c>
      <c r="K240">
        <v>24</v>
      </c>
      <c r="L240">
        <v>1.04</v>
      </c>
      <c r="M240">
        <v>5</v>
      </c>
      <c r="N240" t="s">
        <v>22</v>
      </c>
      <c r="O240" t="str">
        <f t="shared" si="3"/>
        <v>No</v>
      </c>
    </row>
    <row r="241" spans="1:15" x14ac:dyDescent="0.25">
      <c r="A241" t="s">
        <v>302</v>
      </c>
      <c r="B241" s="1">
        <v>45771</v>
      </c>
      <c r="C241" s="2">
        <v>45772.931250000001</v>
      </c>
      <c r="D241" t="s">
        <v>24</v>
      </c>
      <c r="E241" t="s">
        <v>39</v>
      </c>
      <c r="F241" t="s">
        <v>78</v>
      </c>
      <c r="G241" t="s">
        <v>56</v>
      </c>
      <c r="H241" t="s">
        <v>65</v>
      </c>
      <c r="I241" t="s">
        <v>45</v>
      </c>
      <c r="J241" t="s">
        <v>21</v>
      </c>
      <c r="K241">
        <v>24</v>
      </c>
      <c r="L241">
        <v>46.35</v>
      </c>
      <c r="M241">
        <v>3.4</v>
      </c>
      <c r="N241" t="s">
        <v>22</v>
      </c>
      <c r="O241" t="str">
        <f t="shared" si="3"/>
        <v>Yes</v>
      </c>
    </row>
    <row r="242" spans="1:15" x14ac:dyDescent="0.25">
      <c r="A242" t="s">
        <v>303</v>
      </c>
      <c r="B242" s="1">
        <v>45683</v>
      </c>
      <c r="C242" s="2">
        <v>45684.039583333331</v>
      </c>
      <c r="D242" t="s">
        <v>15</v>
      </c>
      <c r="E242" t="s">
        <v>16</v>
      </c>
      <c r="F242" t="s">
        <v>58</v>
      </c>
      <c r="G242" t="s">
        <v>18</v>
      </c>
      <c r="H242" t="s">
        <v>44</v>
      </c>
      <c r="I242" t="s">
        <v>20</v>
      </c>
      <c r="J242" t="s">
        <v>46</v>
      </c>
      <c r="K242">
        <v>48</v>
      </c>
      <c r="L242">
        <v>24.95</v>
      </c>
      <c r="M242">
        <v>5</v>
      </c>
      <c r="N242" t="s">
        <v>22</v>
      </c>
      <c r="O242" t="str">
        <f t="shared" si="3"/>
        <v>No</v>
      </c>
    </row>
    <row r="243" spans="1:15" x14ac:dyDescent="0.25">
      <c r="A243" t="s">
        <v>304</v>
      </c>
      <c r="B243" s="1">
        <v>45763</v>
      </c>
      <c r="C243" s="2">
        <v>45763.250833333332</v>
      </c>
      <c r="D243" t="s">
        <v>38</v>
      </c>
      <c r="E243" t="s">
        <v>39</v>
      </c>
      <c r="F243" t="s">
        <v>119</v>
      </c>
      <c r="G243" t="s">
        <v>18</v>
      </c>
      <c r="H243" t="s">
        <v>44</v>
      </c>
      <c r="I243" t="s">
        <v>36</v>
      </c>
      <c r="J243" t="s">
        <v>85</v>
      </c>
      <c r="K243">
        <v>8</v>
      </c>
      <c r="L243">
        <v>6.02</v>
      </c>
      <c r="M243">
        <v>3.2</v>
      </c>
      <c r="N243" t="s">
        <v>22</v>
      </c>
      <c r="O243" t="str">
        <f t="shared" si="3"/>
        <v>No</v>
      </c>
    </row>
    <row r="244" spans="1:15" x14ac:dyDescent="0.25">
      <c r="A244" t="s">
        <v>305</v>
      </c>
      <c r="B244" s="1">
        <v>45675</v>
      </c>
      <c r="C244" s="2">
        <v>45675.421666666669</v>
      </c>
      <c r="D244" t="s">
        <v>15</v>
      </c>
      <c r="E244" t="s">
        <v>25</v>
      </c>
      <c r="F244" t="s">
        <v>53</v>
      </c>
      <c r="G244" t="s">
        <v>41</v>
      </c>
      <c r="H244" t="s">
        <v>35</v>
      </c>
      <c r="I244" t="s">
        <v>36</v>
      </c>
      <c r="J244" t="s">
        <v>21</v>
      </c>
      <c r="K244">
        <v>48</v>
      </c>
      <c r="L244">
        <v>10.119999999999999</v>
      </c>
      <c r="M244">
        <v>5</v>
      </c>
      <c r="N244" t="s">
        <v>22</v>
      </c>
      <c r="O244" t="str">
        <f t="shared" si="3"/>
        <v>No</v>
      </c>
    </row>
    <row r="245" spans="1:15" x14ac:dyDescent="0.25">
      <c r="A245" t="s">
        <v>306</v>
      </c>
      <c r="B245" s="1">
        <v>45775</v>
      </c>
      <c r="C245" s="2">
        <v>45775.022499999999</v>
      </c>
      <c r="D245" t="s">
        <v>38</v>
      </c>
      <c r="E245" t="s">
        <v>45</v>
      </c>
      <c r="F245" t="s">
        <v>100</v>
      </c>
      <c r="G245" t="s">
        <v>56</v>
      </c>
      <c r="H245" t="s">
        <v>65</v>
      </c>
      <c r="I245" t="s">
        <v>45</v>
      </c>
      <c r="J245" t="s">
        <v>46</v>
      </c>
      <c r="K245">
        <v>8</v>
      </c>
      <c r="L245">
        <v>0.54</v>
      </c>
      <c r="M245">
        <v>4.3</v>
      </c>
      <c r="N245" t="s">
        <v>22</v>
      </c>
      <c r="O245" t="str">
        <f t="shared" si="3"/>
        <v>No</v>
      </c>
    </row>
    <row r="246" spans="1:15" x14ac:dyDescent="0.25">
      <c r="A246" t="s">
        <v>307</v>
      </c>
      <c r="B246" s="1">
        <v>45771</v>
      </c>
      <c r="C246" s="2">
        <v>45771.378333333334</v>
      </c>
      <c r="D246" t="s">
        <v>24</v>
      </c>
      <c r="E246" t="s">
        <v>25</v>
      </c>
      <c r="F246" t="s">
        <v>70</v>
      </c>
      <c r="G246" t="s">
        <v>18</v>
      </c>
      <c r="H246" t="s">
        <v>27</v>
      </c>
      <c r="I246" t="s">
        <v>20</v>
      </c>
      <c r="J246" t="s">
        <v>21</v>
      </c>
      <c r="K246">
        <v>24</v>
      </c>
      <c r="L246">
        <v>9.08</v>
      </c>
      <c r="M246">
        <v>5</v>
      </c>
      <c r="N246" t="s">
        <v>22</v>
      </c>
      <c r="O246" t="str">
        <f t="shared" si="3"/>
        <v>No</v>
      </c>
    </row>
    <row r="247" spans="1:15" x14ac:dyDescent="0.25">
      <c r="A247" t="s">
        <v>308</v>
      </c>
      <c r="B247" s="1">
        <v>45673</v>
      </c>
      <c r="C247" s="2">
        <v>45673.112083333333</v>
      </c>
      <c r="D247" t="s">
        <v>38</v>
      </c>
      <c r="E247" t="s">
        <v>16</v>
      </c>
      <c r="F247" t="s">
        <v>17</v>
      </c>
      <c r="G247" t="s">
        <v>41</v>
      </c>
      <c r="H247" t="s">
        <v>35</v>
      </c>
      <c r="I247" t="s">
        <v>36</v>
      </c>
      <c r="J247" t="s">
        <v>21</v>
      </c>
      <c r="K247">
        <v>8</v>
      </c>
      <c r="L247">
        <v>2.69</v>
      </c>
      <c r="M247">
        <v>4.8</v>
      </c>
      <c r="N247" t="s">
        <v>22</v>
      </c>
      <c r="O247" t="str">
        <f t="shared" si="3"/>
        <v>No</v>
      </c>
    </row>
    <row r="248" spans="1:15" x14ac:dyDescent="0.25">
      <c r="A248" t="s">
        <v>309</v>
      </c>
      <c r="B248" s="1">
        <v>45795</v>
      </c>
      <c r="C248" s="2">
        <v>45796.255833333336</v>
      </c>
      <c r="D248" t="s">
        <v>15</v>
      </c>
      <c r="E248" t="s">
        <v>16</v>
      </c>
      <c r="F248" t="s">
        <v>60</v>
      </c>
      <c r="G248" t="s">
        <v>18</v>
      </c>
      <c r="H248" t="s">
        <v>54</v>
      </c>
      <c r="I248" t="s">
        <v>36</v>
      </c>
      <c r="J248" t="s">
        <v>21</v>
      </c>
      <c r="K248">
        <v>48</v>
      </c>
      <c r="L248">
        <v>30.14</v>
      </c>
      <c r="M248">
        <v>4.5999999999999996</v>
      </c>
      <c r="N248" t="s">
        <v>22</v>
      </c>
      <c r="O248" t="str">
        <f t="shared" si="3"/>
        <v>No</v>
      </c>
    </row>
    <row r="249" spans="1:15" x14ac:dyDescent="0.25">
      <c r="A249" t="s">
        <v>310</v>
      </c>
      <c r="B249" s="1">
        <v>45733</v>
      </c>
      <c r="C249" s="2">
        <v>45733.784166666665</v>
      </c>
      <c r="D249" t="s">
        <v>15</v>
      </c>
      <c r="E249" t="s">
        <v>16</v>
      </c>
      <c r="F249" t="s">
        <v>58</v>
      </c>
      <c r="G249" t="s">
        <v>51</v>
      </c>
      <c r="H249" t="s">
        <v>35</v>
      </c>
      <c r="I249" t="s">
        <v>45</v>
      </c>
      <c r="J249" t="s">
        <v>21</v>
      </c>
      <c r="K249">
        <v>48</v>
      </c>
      <c r="L249">
        <v>18.82</v>
      </c>
      <c r="M249">
        <v>4.0999999999999996</v>
      </c>
      <c r="N249" t="s">
        <v>22</v>
      </c>
      <c r="O249" t="str">
        <f t="shared" si="3"/>
        <v>No</v>
      </c>
    </row>
    <row r="250" spans="1:15" x14ac:dyDescent="0.25">
      <c r="A250" t="s">
        <v>311</v>
      </c>
      <c r="B250" s="1">
        <v>45800</v>
      </c>
      <c r="C250" s="2">
        <v>45802.209583333337</v>
      </c>
      <c r="D250" t="s">
        <v>24</v>
      </c>
      <c r="E250" t="s">
        <v>39</v>
      </c>
      <c r="F250" t="s">
        <v>87</v>
      </c>
      <c r="G250" t="s">
        <v>56</v>
      </c>
      <c r="H250" t="s">
        <v>44</v>
      </c>
      <c r="I250" t="s">
        <v>36</v>
      </c>
      <c r="J250" t="s">
        <v>29</v>
      </c>
      <c r="K250">
        <v>24</v>
      </c>
      <c r="L250">
        <v>53.03</v>
      </c>
      <c r="M250">
        <v>1.7</v>
      </c>
      <c r="N250" t="s">
        <v>22</v>
      </c>
      <c r="O250" t="str">
        <f t="shared" si="3"/>
        <v>Yes</v>
      </c>
    </row>
    <row r="251" spans="1:15" x14ac:dyDescent="0.25">
      <c r="A251" t="s">
        <v>312</v>
      </c>
      <c r="B251" s="1">
        <v>45665</v>
      </c>
      <c r="C251" s="2">
        <v>45667.182500000003</v>
      </c>
      <c r="D251" t="s">
        <v>15</v>
      </c>
      <c r="E251" t="s">
        <v>25</v>
      </c>
      <c r="F251" t="s">
        <v>53</v>
      </c>
      <c r="G251" t="s">
        <v>56</v>
      </c>
      <c r="H251" t="s">
        <v>19</v>
      </c>
      <c r="I251" t="s">
        <v>36</v>
      </c>
      <c r="J251" t="s">
        <v>21</v>
      </c>
      <c r="K251">
        <v>48</v>
      </c>
      <c r="L251">
        <v>52.38</v>
      </c>
      <c r="M251">
        <v>3.3</v>
      </c>
      <c r="N251" t="s">
        <v>22</v>
      </c>
      <c r="O251" t="str">
        <f t="shared" si="3"/>
        <v>Yes</v>
      </c>
    </row>
    <row r="252" spans="1:15" x14ac:dyDescent="0.25">
      <c r="A252" t="s">
        <v>313</v>
      </c>
      <c r="B252" s="1">
        <v>45690</v>
      </c>
      <c r="C252" s="2">
        <v>45692.843333333331</v>
      </c>
      <c r="D252" t="s">
        <v>15</v>
      </c>
      <c r="E252" t="s">
        <v>25</v>
      </c>
      <c r="F252" t="s">
        <v>26</v>
      </c>
      <c r="G252" t="s">
        <v>56</v>
      </c>
      <c r="H252" t="s">
        <v>44</v>
      </c>
      <c r="I252" t="s">
        <v>45</v>
      </c>
      <c r="J252" t="s">
        <v>46</v>
      </c>
      <c r="K252">
        <v>48</v>
      </c>
      <c r="L252">
        <v>68.239999999999995</v>
      </c>
      <c r="M252">
        <v>3.5</v>
      </c>
      <c r="N252" t="s">
        <v>22</v>
      </c>
      <c r="O252" t="str">
        <f t="shared" si="3"/>
        <v>Yes</v>
      </c>
    </row>
    <row r="253" spans="1:15" x14ac:dyDescent="0.25">
      <c r="A253" t="s">
        <v>314</v>
      </c>
      <c r="B253" s="1">
        <v>45747</v>
      </c>
      <c r="C253" s="2">
        <v>45747.174166666664</v>
      </c>
      <c r="D253" t="s">
        <v>38</v>
      </c>
      <c r="E253" t="s">
        <v>32</v>
      </c>
      <c r="F253" t="s">
        <v>64</v>
      </c>
      <c r="G253" t="s">
        <v>56</v>
      </c>
      <c r="H253" t="s">
        <v>35</v>
      </c>
      <c r="I253" t="s">
        <v>28</v>
      </c>
      <c r="J253" t="s">
        <v>21</v>
      </c>
      <c r="K253">
        <v>8</v>
      </c>
      <c r="L253">
        <v>4.18</v>
      </c>
      <c r="M253">
        <v>4.2</v>
      </c>
      <c r="N253" t="s">
        <v>22</v>
      </c>
      <c r="O253" t="str">
        <f t="shared" si="3"/>
        <v>No</v>
      </c>
    </row>
    <row r="254" spans="1:15" x14ac:dyDescent="0.25">
      <c r="A254" t="s">
        <v>315</v>
      </c>
      <c r="B254" s="1">
        <v>45692</v>
      </c>
      <c r="C254" s="2">
        <v>45692.206250000003</v>
      </c>
      <c r="D254" t="s">
        <v>38</v>
      </c>
      <c r="E254" t="s">
        <v>45</v>
      </c>
      <c r="F254" t="s">
        <v>50</v>
      </c>
      <c r="G254" t="s">
        <v>56</v>
      </c>
      <c r="H254" t="s">
        <v>54</v>
      </c>
      <c r="I254" t="s">
        <v>36</v>
      </c>
      <c r="J254" t="s">
        <v>21</v>
      </c>
      <c r="K254">
        <v>8</v>
      </c>
      <c r="L254">
        <v>4.95</v>
      </c>
      <c r="M254">
        <v>4.4000000000000004</v>
      </c>
      <c r="N254" t="s">
        <v>22</v>
      </c>
      <c r="O254" t="str">
        <f t="shared" si="3"/>
        <v>No</v>
      </c>
    </row>
    <row r="255" spans="1:15" x14ac:dyDescent="0.25">
      <c r="A255" t="s">
        <v>316</v>
      </c>
      <c r="B255" s="1">
        <v>45717</v>
      </c>
      <c r="C255" s="2">
        <v>45719.671249999999</v>
      </c>
      <c r="D255" t="s">
        <v>15</v>
      </c>
      <c r="E255" t="s">
        <v>25</v>
      </c>
      <c r="F255" t="s">
        <v>26</v>
      </c>
      <c r="G255" t="s">
        <v>34</v>
      </c>
      <c r="H255" t="s">
        <v>27</v>
      </c>
      <c r="I255" t="s">
        <v>36</v>
      </c>
      <c r="J255" t="s">
        <v>85</v>
      </c>
      <c r="K255">
        <v>48</v>
      </c>
      <c r="L255">
        <v>64.11</v>
      </c>
      <c r="M255">
        <v>2.7</v>
      </c>
      <c r="N255" t="s">
        <v>61</v>
      </c>
      <c r="O255" t="str">
        <f t="shared" si="3"/>
        <v>Yes</v>
      </c>
    </row>
    <row r="256" spans="1:15" x14ac:dyDescent="0.25">
      <c r="A256" t="s">
        <v>317</v>
      </c>
      <c r="B256" s="1">
        <v>45777</v>
      </c>
      <c r="C256" s="2">
        <v>45777.122499999998</v>
      </c>
      <c r="D256" t="s">
        <v>38</v>
      </c>
      <c r="E256" t="s">
        <v>39</v>
      </c>
      <c r="F256" t="s">
        <v>78</v>
      </c>
      <c r="G256" t="s">
        <v>51</v>
      </c>
      <c r="H256" t="s">
        <v>19</v>
      </c>
      <c r="I256" t="s">
        <v>36</v>
      </c>
      <c r="J256" t="s">
        <v>46</v>
      </c>
      <c r="K256">
        <v>8</v>
      </c>
      <c r="L256">
        <v>2.94</v>
      </c>
      <c r="M256">
        <v>4.5999999999999996</v>
      </c>
      <c r="N256" t="s">
        <v>22</v>
      </c>
      <c r="O256" t="str">
        <f t="shared" si="3"/>
        <v>No</v>
      </c>
    </row>
    <row r="257" spans="1:15" x14ac:dyDescent="0.25">
      <c r="A257" t="s">
        <v>318</v>
      </c>
      <c r="B257" s="1">
        <v>45684</v>
      </c>
      <c r="C257" s="2">
        <v>45684.241666666669</v>
      </c>
      <c r="D257" t="s">
        <v>38</v>
      </c>
      <c r="E257" t="s">
        <v>45</v>
      </c>
      <c r="F257" t="s">
        <v>50</v>
      </c>
      <c r="G257" t="s">
        <v>41</v>
      </c>
      <c r="H257" t="s">
        <v>19</v>
      </c>
      <c r="I257" t="s">
        <v>36</v>
      </c>
      <c r="J257" t="s">
        <v>21</v>
      </c>
      <c r="K257">
        <v>8</v>
      </c>
      <c r="L257">
        <v>5.8</v>
      </c>
      <c r="M257">
        <v>5</v>
      </c>
      <c r="N257" t="s">
        <v>22</v>
      </c>
      <c r="O257" t="str">
        <f t="shared" si="3"/>
        <v>No</v>
      </c>
    </row>
    <row r="258" spans="1:15" x14ac:dyDescent="0.25">
      <c r="A258" t="s">
        <v>319</v>
      </c>
      <c r="B258" s="1">
        <v>45780</v>
      </c>
      <c r="C258" s="2">
        <v>45780.130833333336</v>
      </c>
      <c r="D258" t="s">
        <v>38</v>
      </c>
      <c r="E258" t="s">
        <v>32</v>
      </c>
      <c r="F258" t="s">
        <v>75</v>
      </c>
      <c r="G258" t="s">
        <v>34</v>
      </c>
      <c r="H258" t="s">
        <v>44</v>
      </c>
      <c r="I258" t="s">
        <v>20</v>
      </c>
      <c r="J258" t="s">
        <v>21</v>
      </c>
      <c r="K258">
        <v>8</v>
      </c>
      <c r="L258">
        <v>3.14</v>
      </c>
      <c r="M258">
        <v>4.7</v>
      </c>
      <c r="N258" t="s">
        <v>22</v>
      </c>
      <c r="O258" t="str">
        <f t="shared" si="3"/>
        <v>No</v>
      </c>
    </row>
    <row r="259" spans="1:15" x14ac:dyDescent="0.25">
      <c r="A259" t="s">
        <v>320</v>
      </c>
      <c r="B259" s="1">
        <v>45676</v>
      </c>
      <c r="C259" s="2">
        <v>45676.754166666666</v>
      </c>
      <c r="D259" t="s">
        <v>24</v>
      </c>
      <c r="E259" t="s">
        <v>32</v>
      </c>
      <c r="F259" t="s">
        <v>33</v>
      </c>
      <c r="G259" t="s">
        <v>41</v>
      </c>
      <c r="H259" t="s">
        <v>19</v>
      </c>
      <c r="I259" t="s">
        <v>36</v>
      </c>
      <c r="J259" t="s">
        <v>21</v>
      </c>
      <c r="K259">
        <v>24</v>
      </c>
      <c r="L259">
        <v>18.100000000000001</v>
      </c>
      <c r="M259">
        <v>4.4000000000000004</v>
      </c>
      <c r="N259" t="s">
        <v>22</v>
      </c>
      <c r="O259" t="str">
        <f t="shared" ref="O259:O322" si="4">IF(L259&gt;K259,"Yes","No")</f>
        <v>No</v>
      </c>
    </row>
    <row r="260" spans="1:15" x14ac:dyDescent="0.25">
      <c r="A260" t="s">
        <v>321</v>
      </c>
      <c r="B260" s="1">
        <v>45689</v>
      </c>
      <c r="C260" s="2">
        <v>45689.154999999999</v>
      </c>
      <c r="D260" t="s">
        <v>24</v>
      </c>
      <c r="E260" t="s">
        <v>39</v>
      </c>
      <c r="F260" t="s">
        <v>40</v>
      </c>
      <c r="G260" t="s">
        <v>41</v>
      </c>
      <c r="H260" t="s">
        <v>65</v>
      </c>
      <c r="I260" t="s">
        <v>36</v>
      </c>
      <c r="J260" t="s">
        <v>85</v>
      </c>
      <c r="K260">
        <v>24</v>
      </c>
      <c r="L260">
        <v>3.72</v>
      </c>
      <c r="M260">
        <v>5</v>
      </c>
      <c r="N260" t="s">
        <v>22</v>
      </c>
      <c r="O260" t="str">
        <f t="shared" si="4"/>
        <v>No</v>
      </c>
    </row>
    <row r="261" spans="1:15" x14ac:dyDescent="0.25">
      <c r="A261" t="s">
        <v>322</v>
      </c>
      <c r="B261" s="1">
        <v>45764</v>
      </c>
      <c r="C261" s="2">
        <v>45764.322916666664</v>
      </c>
      <c r="D261" t="s">
        <v>24</v>
      </c>
      <c r="E261" t="s">
        <v>16</v>
      </c>
      <c r="F261" t="s">
        <v>58</v>
      </c>
      <c r="G261" t="s">
        <v>56</v>
      </c>
      <c r="H261" t="s">
        <v>35</v>
      </c>
      <c r="I261" t="s">
        <v>28</v>
      </c>
      <c r="J261" t="s">
        <v>21</v>
      </c>
      <c r="K261">
        <v>24</v>
      </c>
      <c r="L261">
        <v>7.75</v>
      </c>
      <c r="M261">
        <v>4.3</v>
      </c>
      <c r="N261" t="s">
        <v>22</v>
      </c>
      <c r="O261" t="str">
        <f t="shared" si="4"/>
        <v>No</v>
      </c>
    </row>
    <row r="262" spans="1:15" x14ac:dyDescent="0.25">
      <c r="A262" t="s">
        <v>323</v>
      </c>
      <c r="B262" s="1">
        <v>45801</v>
      </c>
      <c r="C262" s="2">
        <v>45801.629166666666</v>
      </c>
      <c r="D262" t="s">
        <v>24</v>
      </c>
      <c r="E262" t="s">
        <v>39</v>
      </c>
      <c r="F262" t="s">
        <v>119</v>
      </c>
      <c r="G262" t="s">
        <v>18</v>
      </c>
      <c r="H262" t="s">
        <v>35</v>
      </c>
      <c r="I262" t="s">
        <v>20</v>
      </c>
      <c r="J262" t="s">
        <v>21</v>
      </c>
      <c r="K262">
        <v>24</v>
      </c>
      <c r="L262">
        <v>15.1</v>
      </c>
      <c r="M262">
        <v>5</v>
      </c>
      <c r="N262" t="s">
        <v>22</v>
      </c>
      <c r="O262" t="str">
        <f t="shared" si="4"/>
        <v>No</v>
      </c>
    </row>
    <row r="263" spans="1:15" x14ac:dyDescent="0.25">
      <c r="A263" t="s">
        <v>324</v>
      </c>
      <c r="B263" s="1">
        <v>45688</v>
      </c>
      <c r="C263" s="2">
        <v>45688.228333333333</v>
      </c>
      <c r="D263" t="s">
        <v>38</v>
      </c>
      <c r="E263" t="s">
        <v>45</v>
      </c>
      <c r="F263" t="s">
        <v>50</v>
      </c>
      <c r="G263" t="s">
        <v>51</v>
      </c>
      <c r="H263" t="s">
        <v>54</v>
      </c>
      <c r="I263" t="s">
        <v>36</v>
      </c>
      <c r="J263" t="s">
        <v>46</v>
      </c>
      <c r="K263">
        <v>8</v>
      </c>
      <c r="L263">
        <v>5.48</v>
      </c>
      <c r="M263">
        <v>4.4000000000000004</v>
      </c>
      <c r="N263" t="s">
        <v>22</v>
      </c>
      <c r="O263" t="str">
        <f t="shared" si="4"/>
        <v>No</v>
      </c>
    </row>
    <row r="264" spans="1:15" x14ac:dyDescent="0.25">
      <c r="A264" t="s">
        <v>325</v>
      </c>
      <c r="B264" s="1">
        <v>45712</v>
      </c>
      <c r="C264" s="2">
        <v>45713.760833333334</v>
      </c>
      <c r="D264" t="s">
        <v>15</v>
      </c>
      <c r="E264" t="s">
        <v>32</v>
      </c>
      <c r="F264" t="s">
        <v>64</v>
      </c>
      <c r="G264" t="s">
        <v>51</v>
      </c>
      <c r="H264" t="s">
        <v>19</v>
      </c>
      <c r="I264" t="s">
        <v>36</v>
      </c>
      <c r="J264" t="s">
        <v>85</v>
      </c>
      <c r="K264">
        <v>48</v>
      </c>
      <c r="L264">
        <v>42.26</v>
      </c>
      <c r="M264">
        <v>4.0999999999999996</v>
      </c>
      <c r="N264" t="s">
        <v>22</v>
      </c>
      <c r="O264" t="str">
        <f t="shared" si="4"/>
        <v>No</v>
      </c>
    </row>
    <row r="265" spans="1:15" x14ac:dyDescent="0.25">
      <c r="A265" t="s">
        <v>326</v>
      </c>
      <c r="B265" s="1">
        <v>45825</v>
      </c>
      <c r="C265" s="2">
        <v>45825.185416666667</v>
      </c>
      <c r="D265" t="s">
        <v>24</v>
      </c>
      <c r="E265" t="s">
        <v>39</v>
      </c>
      <c r="F265" t="s">
        <v>119</v>
      </c>
      <c r="G265" t="s">
        <v>41</v>
      </c>
      <c r="H265" t="s">
        <v>35</v>
      </c>
      <c r="I265" t="s">
        <v>20</v>
      </c>
      <c r="J265" t="s">
        <v>21</v>
      </c>
      <c r="K265">
        <v>24</v>
      </c>
      <c r="L265">
        <v>4.45</v>
      </c>
      <c r="M265">
        <v>5</v>
      </c>
      <c r="N265" t="s">
        <v>22</v>
      </c>
      <c r="O265" t="str">
        <f t="shared" si="4"/>
        <v>No</v>
      </c>
    </row>
    <row r="266" spans="1:15" x14ac:dyDescent="0.25">
      <c r="A266" t="s">
        <v>327</v>
      </c>
      <c r="B266" s="1">
        <v>45837</v>
      </c>
      <c r="C266" s="2">
        <v>45838.221666666665</v>
      </c>
      <c r="D266" t="s">
        <v>15</v>
      </c>
      <c r="E266" t="s">
        <v>16</v>
      </c>
      <c r="F266" t="s">
        <v>17</v>
      </c>
      <c r="G266" t="s">
        <v>56</v>
      </c>
      <c r="H266" t="s">
        <v>54</v>
      </c>
      <c r="I266" t="s">
        <v>45</v>
      </c>
      <c r="J266" t="s">
        <v>46</v>
      </c>
      <c r="K266">
        <v>48</v>
      </c>
      <c r="L266">
        <v>29.32</v>
      </c>
      <c r="M266">
        <v>4.9000000000000004</v>
      </c>
      <c r="N266" t="s">
        <v>22</v>
      </c>
      <c r="O266" t="str">
        <f t="shared" si="4"/>
        <v>No</v>
      </c>
    </row>
    <row r="267" spans="1:15" x14ac:dyDescent="0.25">
      <c r="A267" t="s">
        <v>328</v>
      </c>
      <c r="B267" s="1">
        <v>45763</v>
      </c>
      <c r="C267" s="2">
        <v>45763.037916666668</v>
      </c>
      <c r="D267" t="s">
        <v>38</v>
      </c>
      <c r="E267" t="s">
        <v>32</v>
      </c>
      <c r="F267" t="s">
        <v>75</v>
      </c>
      <c r="G267" t="s">
        <v>51</v>
      </c>
      <c r="H267" t="s">
        <v>65</v>
      </c>
      <c r="I267" t="s">
        <v>28</v>
      </c>
      <c r="J267" t="s">
        <v>21</v>
      </c>
      <c r="K267">
        <v>8</v>
      </c>
      <c r="L267">
        <v>0.91</v>
      </c>
      <c r="M267">
        <v>4.0999999999999996</v>
      </c>
      <c r="N267" t="s">
        <v>22</v>
      </c>
      <c r="O267" t="str">
        <f t="shared" si="4"/>
        <v>No</v>
      </c>
    </row>
    <row r="268" spans="1:15" x14ac:dyDescent="0.25">
      <c r="A268" t="s">
        <v>329</v>
      </c>
      <c r="B268" s="1">
        <v>45738</v>
      </c>
      <c r="C268" s="2">
        <v>45738.41</v>
      </c>
      <c r="D268" t="s">
        <v>24</v>
      </c>
      <c r="E268" t="s">
        <v>25</v>
      </c>
      <c r="F268" t="s">
        <v>53</v>
      </c>
      <c r="G268" t="s">
        <v>51</v>
      </c>
      <c r="H268" t="s">
        <v>27</v>
      </c>
      <c r="I268" t="s">
        <v>36</v>
      </c>
      <c r="J268" t="s">
        <v>46</v>
      </c>
      <c r="K268">
        <v>24</v>
      </c>
      <c r="L268">
        <v>9.84</v>
      </c>
      <c r="M268">
        <v>4.5</v>
      </c>
      <c r="N268" t="s">
        <v>22</v>
      </c>
      <c r="O268" t="str">
        <f t="shared" si="4"/>
        <v>No</v>
      </c>
    </row>
    <row r="269" spans="1:15" x14ac:dyDescent="0.25">
      <c r="A269" t="s">
        <v>330</v>
      </c>
      <c r="B269" s="1">
        <v>45720</v>
      </c>
      <c r="C269" s="2">
        <v>45720.535416666666</v>
      </c>
      <c r="D269" t="s">
        <v>24</v>
      </c>
      <c r="E269" t="s">
        <v>39</v>
      </c>
      <c r="F269" t="s">
        <v>87</v>
      </c>
      <c r="G269" t="s">
        <v>56</v>
      </c>
      <c r="H269" t="s">
        <v>19</v>
      </c>
      <c r="I269" t="s">
        <v>20</v>
      </c>
      <c r="J269" t="s">
        <v>21</v>
      </c>
      <c r="K269">
        <v>24</v>
      </c>
      <c r="L269">
        <v>12.85</v>
      </c>
      <c r="M269">
        <v>5</v>
      </c>
      <c r="N269" t="s">
        <v>22</v>
      </c>
      <c r="O269" t="str">
        <f t="shared" si="4"/>
        <v>No</v>
      </c>
    </row>
    <row r="270" spans="1:15" x14ac:dyDescent="0.25">
      <c r="A270" t="s">
        <v>331</v>
      </c>
      <c r="B270" s="1">
        <v>45768</v>
      </c>
      <c r="C270" s="2">
        <v>45768.158750000002</v>
      </c>
      <c r="D270" t="s">
        <v>38</v>
      </c>
      <c r="E270" t="s">
        <v>45</v>
      </c>
      <c r="F270" t="s">
        <v>112</v>
      </c>
      <c r="G270" t="s">
        <v>51</v>
      </c>
      <c r="H270" t="s">
        <v>65</v>
      </c>
      <c r="I270" t="s">
        <v>36</v>
      </c>
      <c r="J270" t="s">
        <v>29</v>
      </c>
      <c r="K270">
        <v>8</v>
      </c>
      <c r="L270">
        <v>3.81</v>
      </c>
      <c r="M270">
        <v>5</v>
      </c>
      <c r="N270" t="s">
        <v>22</v>
      </c>
      <c r="O270" t="str">
        <f t="shared" si="4"/>
        <v>No</v>
      </c>
    </row>
    <row r="271" spans="1:15" x14ac:dyDescent="0.25">
      <c r="A271" t="s">
        <v>332</v>
      </c>
      <c r="B271" s="1">
        <v>45764</v>
      </c>
      <c r="C271" s="2">
        <v>45764.2575</v>
      </c>
      <c r="D271" t="s">
        <v>31</v>
      </c>
      <c r="E271" t="s">
        <v>16</v>
      </c>
      <c r="F271" t="s">
        <v>43</v>
      </c>
      <c r="G271" t="s">
        <v>56</v>
      </c>
      <c r="H271" t="s">
        <v>19</v>
      </c>
      <c r="I271" t="s">
        <v>36</v>
      </c>
      <c r="J271" t="s">
        <v>46</v>
      </c>
      <c r="K271">
        <v>4</v>
      </c>
      <c r="L271">
        <v>6.18</v>
      </c>
      <c r="M271">
        <v>3.1</v>
      </c>
      <c r="N271" t="s">
        <v>61</v>
      </c>
      <c r="O271" t="str">
        <f t="shared" si="4"/>
        <v>Yes</v>
      </c>
    </row>
    <row r="272" spans="1:15" x14ac:dyDescent="0.25">
      <c r="A272" t="s">
        <v>333</v>
      </c>
      <c r="B272" s="1">
        <v>45711</v>
      </c>
      <c r="C272" s="2">
        <v>45712.078333333331</v>
      </c>
      <c r="D272" t="s">
        <v>15</v>
      </c>
      <c r="E272" t="s">
        <v>32</v>
      </c>
      <c r="F272" t="s">
        <v>64</v>
      </c>
      <c r="G272" t="s">
        <v>18</v>
      </c>
      <c r="H272" t="s">
        <v>65</v>
      </c>
      <c r="I272" t="s">
        <v>20</v>
      </c>
      <c r="J272" t="s">
        <v>85</v>
      </c>
      <c r="K272">
        <v>48</v>
      </c>
      <c r="L272">
        <v>25.88</v>
      </c>
      <c r="M272">
        <v>4.8</v>
      </c>
      <c r="N272" t="s">
        <v>22</v>
      </c>
      <c r="O272" t="str">
        <f t="shared" si="4"/>
        <v>No</v>
      </c>
    </row>
    <row r="273" spans="1:15" x14ac:dyDescent="0.25">
      <c r="A273" t="s">
        <v>334</v>
      </c>
      <c r="B273" s="1">
        <v>45662</v>
      </c>
      <c r="C273" s="2">
        <v>45662.264999999999</v>
      </c>
      <c r="D273" t="s">
        <v>38</v>
      </c>
      <c r="E273" t="s">
        <v>32</v>
      </c>
      <c r="F273" t="s">
        <v>64</v>
      </c>
      <c r="G273" t="s">
        <v>56</v>
      </c>
      <c r="H273" t="s">
        <v>54</v>
      </c>
      <c r="I273" t="s">
        <v>20</v>
      </c>
      <c r="J273" t="s">
        <v>21</v>
      </c>
      <c r="K273">
        <v>8</v>
      </c>
      <c r="L273">
        <v>6.36</v>
      </c>
      <c r="M273">
        <v>3.8</v>
      </c>
      <c r="N273" t="s">
        <v>22</v>
      </c>
      <c r="O273" t="str">
        <f t="shared" si="4"/>
        <v>No</v>
      </c>
    </row>
    <row r="274" spans="1:15" x14ac:dyDescent="0.25">
      <c r="A274" t="s">
        <v>335</v>
      </c>
      <c r="B274" s="1">
        <v>45685</v>
      </c>
      <c r="C274" s="2">
        <v>45685.21</v>
      </c>
      <c r="D274" t="s">
        <v>38</v>
      </c>
      <c r="E274" t="s">
        <v>32</v>
      </c>
      <c r="F274" t="s">
        <v>64</v>
      </c>
      <c r="G274" t="s">
        <v>51</v>
      </c>
      <c r="H274" t="s">
        <v>54</v>
      </c>
      <c r="I274" t="s">
        <v>36</v>
      </c>
      <c r="J274" t="s">
        <v>29</v>
      </c>
      <c r="K274">
        <v>8</v>
      </c>
      <c r="L274">
        <v>5.04</v>
      </c>
      <c r="M274">
        <v>4.5</v>
      </c>
      <c r="N274" t="s">
        <v>22</v>
      </c>
      <c r="O274" t="str">
        <f t="shared" si="4"/>
        <v>No</v>
      </c>
    </row>
    <row r="275" spans="1:15" x14ac:dyDescent="0.25">
      <c r="A275" t="s">
        <v>336</v>
      </c>
      <c r="B275" s="1">
        <v>45831</v>
      </c>
      <c r="C275" s="2">
        <v>45832.026250000003</v>
      </c>
      <c r="D275" t="s">
        <v>15</v>
      </c>
      <c r="E275" t="s">
        <v>45</v>
      </c>
      <c r="F275" t="s">
        <v>112</v>
      </c>
      <c r="G275" t="s">
        <v>41</v>
      </c>
      <c r="H275" t="s">
        <v>65</v>
      </c>
      <c r="I275" t="s">
        <v>36</v>
      </c>
      <c r="J275" t="s">
        <v>21</v>
      </c>
      <c r="K275">
        <v>48</v>
      </c>
      <c r="L275">
        <v>24.63</v>
      </c>
      <c r="M275">
        <v>4.0999999999999996</v>
      </c>
      <c r="N275" t="s">
        <v>22</v>
      </c>
      <c r="O275" t="str">
        <f t="shared" si="4"/>
        <v>No</v>
      </c>
    </row>
    <row r="276" spans="1:15" x14ac:dyDescent="0.25">
      <c r="A276" t="s">
        <v>337</v>
      </c>
      <c r="B276" s="1">
        <v>45733</v>
      </c>
      <c r="C276" s="2">
        <v>45733.251250000001</v>
      </c>
      <c r="D276" t="s">
        <v>38</v>
      </c>
      <c r="E276" t="s">
        <v>16</v>
      </c>
      <c r="F276" t="s">
        <v>58</v>
      </c>
      <c r="G276" t="s">
        <v>51</v>
      </c>
      <c r="H276" t="s">
        <v>27</v>
      </c>
      <c r="I276" t="s">
        <v>20</v>
      </c>
      <c r="J276" t="s">
        <v>21</v>
      </c>
      <c r="K276">
        <v>8</v>
      </c>
      <c r="L276">
        <v>6.03</v>
      </c>
      <c r="M276">
        <v>3.8</v>
      </c>
      <c r="N276" t="s">
        <v>22</v>
      </c>
      <c r="O276" t="str">
        <f t="shared" si="4"/>
        <v>No</v>
      </c>
    </row>
    <row r="277" spans="1:15" x14ac:dyDescent="0.25">
      <c r="A277" t="s">
        <v>338</v>
      </c>
      <c r="B277" s="1">
        <v>45745</v>
      </c>
      <c r="C277" s="2">
        <v>45745.589583333334</v>
      </c>
      <c r="D277" t="s">
        <v>24</v>
      </c>
      <c r="E277" t="s">
        <v>39</v>
      </c>
      <c r="F277" t="s">
        <v>78</v>
      </c>
      <c r="G277" t="s">
        <v>18</v>
      </c>
      <c r="H277" t="s">
        <v>44</v>
      </c>
      <c r="I277" t="s">
        <v>36</v>
      </c>
      <c r="J277" t="s">
        <v>21</v>
      </c>
      <c r="K277">
        <v>24</v>
      </c>
      <c r="L277">
        <v>14.15</v>
      </c>
      <c r="M277">
        <v>3.9</v>
      </c>
      <c r="N277" t="s">
        <v>22</v>
      </c>
      <c r="O277" t="str">
        <f t="shared" si="4"/>
        <v>No</v>
      </c>
    </row>
    <row r="278" spans="1:15" x14ac:dyDescent="0.25">
      <c r="A278" t="s">
        <v>339</v>
      </c>
      <c r="B278" s="1">
        <v>45742</v>
      </c>
      <c r="C278" s="2">
        <v>45742.552083333336</v>
      </c>
      <c r="D278" t="s">
        <v>24</v>
      </c>
      <c r="E278" t="s">
        <v>32</v>
      </c>
      <c r="F278" t="s">
        <v>64</v>
      </c>
      <c r="G278" t="s">
        <v>41</v>
      </c>
      <c r="H278" t="s">
        <v>27</v>
      </c>
      <c r="I278" t="s">
        <v>36</v>
      </c>
      <c r="J278" t="s">
        <v>46</v>
      </c>
      <c r="K278">
        <v>24</v>
      </c>
      <c r="L278">
        <v>13.25</v>
      </c>
      <c r="M278">
        <v>5</v>
      </c>
      <c r="N278" t="s">
        <v>22</v>
      </c>
      <c r="O278" t="str">
        <f t="shared" si="4"/>
        <v>No</v>
      </c>
    </row>
    <row r="279" spans="1:15" x14ac:dyDescent="0.25">
      <c r="A279" t="s">
        <v>340</v>
      </c>
      <c r="B279" s="1">
        <v>45799</v>
      </c>
      <c r="C279" s="2">
        <v>45799.440405092595</v>
      </c>
      <c r="D279" t="s">
        <v>24</v>
      </c>
      <c r="E279" t="s">
        <v>25</v>
      </c>
      <c r="F279" t="s">
        <v>26</v>
      </c>
      <c r="G279" t="s">
        <v>51</v>
      </c>
      <c r="H279" t="s">
        <v>19</v>
      </c>
      <c r="I279" t="s">
        <v>36</v>
      </c>
      <c r="J279" t="s">
        <v>21</v>
      </c>
      <c r="K279">
        <v>24</v>
      </c>
      <c r="L279">
        <v>10.57</v>
      </c>
      <c r="M279">
        <v>4.2</v>
      </c>
      <c r="N279" t="s">
        <v>22</v>
      </c>
      <c r="O279" t="str">
        <f t="shared" si="4"/>
        <v>No</v>
      </c>
    </row>
    <row r="280" spans="1:15" x14ac:dyDescent="0.25">
      <c r="A280" t="s">
        <v>341</v>
      </c>
      <c r="B280" s="1">
        <v>45669</v>
      </c>
      <c r="C280" s="2">
        <v>45669.73541666667</v>
      </c>
      <c r="D280" t="s">
        <v>15</v>
      </c>
      <c r="E280" t="s">
        <v>32</v>
      </c>
      <c r="F280" t="s">
        <v>80</v>
      </c>
      <c r="G280" t="s">
        <v>18</v>
      </c>
      <c r="H280" t="s">
        <v>44</v>
      </c>
      <c r="I280" t="s">
        <v>36</v>
      </c>
      <c r="J280" t="s">
        <v>46</v>
      </c>
      <c r="K280">
        <v>48</v>
      </c>
      <c r="L280">
        <v>17.649999999999999</v>
      </c>
      <c r="M280">
        <v>5</v>
      </c>
      <c r="N280" t="s">
        <v>22</v>
      </c>
      <c r="O280" t="str">
        <f t="shared" si="4"/>
        <v>No</v>
      </c>
    </row>
    <row r="281" spans="1:15" x14ac:dyDescent="0.25">
      <c r="A281" t="s">
        <v>342</v>
      </c>
      <c r="B281" s="1">
        <v>45672</v>
      </c>
      <c r="C281" s="2">
        <v>45672.653749999998</v>
      </c>
      <c r="D281" t="s">
        <v>15</v>
      </c>
      <c r="E281" t="s">
        <v>16</v>
      </c>
      <c r="F281" t="s">
        <v>60</v>
      </c>
      <c r="G281" t="s">
        <v>56</v>
      </c>
      <c r="H281" t="s">
        <v>19</v>
      </c>
      <c r="I281" t="s">
        <v>20</v>
      </c>
      <c r="J281" t="s">
        <v>46</v>
      </c>
      <c r="K281">
        <v>48</v>
      </c>
      <c r="L281">
        <v>15.69</v>
      </c>
      <c r="M281">
        <v>4.3</v>
      </c>
      <c r="N281" t="s">
        <v>22</v>
      </c>
      <c r="O281" t="str">
        <f t="shared" si="4"/>
        <v>No</v>
      </c>
    </row>
    <row r="282" spans="1:15" x14ac:dyDescent="0.25">
      <c r="A282" t="s">
        <v>343</v>
      </c>
      <c r="B282" s="1">
        <v>45707</v>
      </c>
      <c r="C282" s="2">
        <v>45708.105833333335</v>
      </c>
      <c r="D282" t="s">
        <v>15</v>
      </c>
      <c r="E282" t="s">
        <v>25</v>
      </c>
      <c r="F282" t="s">
        <v>26</v>
      </c>
      <c r="G282" t="s">
        <v>51</v>
      </c>
      <c r="H282" t="s">
        <v>35</v>
      </c>
      <c r="I282" t="s">
        <v>36</v>
      </c>
      <c r="J282" t="s">
        <v>46</v>
      </c>
      <c r="K282">
        <v>48</v>
      </c>
      <c r="L282">
        <v>26.54</v>
      </c>
      <c r="M282">
        <v>4</v>
      </c>
      <c r="N282" t="s">
        <v>22</v>
      </c>
      <c r="O282" t="str">
        <f t="shared" si="4"/>
        <v>No</v>
      </c>
    </row>
    <row r="283" spans="1:15" x14ac:dyDescent="0.25">
      <c r="A283" t="s">
        <v>344</v>
      </c>
      <c r="B283" s="1">
        <v>45746</v>
      </c>
      <c r="C283" s="2">
        <v>45747.047500000001</v>
      </c>
      <c r="D283" t="s">
        <v>15</v>
      </c>
      <c r="E283" t="s">
        <v>39</v>
      </c>
      <c r="F283" t="s">
        <v>119</v>
      </c>
      <c r="G283" t="s">
        <v>56</v>
      </c>
      <c r="H283" t="s">
        <v>35</v>
      </c>
      <c r="I283" t="s">
        <v>45</v>
      </c>
      <c r="J283" t="s">
        <v>21</v>
      </c>
      <c r="K283">
        <v>48</v>
      </c>
      <c r="L283">
        <v>25.14</v>
      </c>
      <c r="M283">
        <v>4.5999999999999996</v>
      </c>
      <c r="N283" t="s">
        <v>22</v>
      </c>
      <c r="O283" t="str">
        <f t="shared" si="4"/>
        <v>No</v>
      </c>
    </row>
    <row r="284" spans="1:15" x14ac:dyDescent="0.25">
      <c r="A284" t="s">
        <v>345</v>
      </c>
      <c r="B284" s="1">
        <v>45779</v>
      </c>
      <c r="C284" s="2">
        <v>45780.308749999997</v>
      </c>
      <c r="D284" t="s">
        <v>24</v>
      </c>
      <c r="E284" t="s">
        <v>16</v>
      </c>
      <c r="F284" t="s">
        <v>58</v>
      </c>
      <c r="G284" t="s">
        <v>51</v>
      </c>
      <c r="H284" t="s">
        <v>65</v>
      </c>
      <c r="I284" t="s">
        <v>45</v>
      </c>
      <c r="J284" t="s">
        <v>46</v>
      </c>
      <c r="K284">
        <v>24</v>
      </c>
      <c r="L284">
        <v>31.41</v>
      </c>
      <c r="M284">
        <v>2.6</v>
      </c>
      <c r="N284" t="s">
        <v>22</v>
      </c>
      <c r="O284" t="str">
        <f t="shared" si="4"/>
        <v>Yes</v>
      </c>
    </row>
    <row r="285" spans="1:15" x14ac:dyDescent="0.25">
      <c r="A285" t="s">
        <v>346</v>
      </c>
      <c r="B285" s="1">
        <v>45746</v>
      </c>
      <c r="C285" s="2">
        <v>45746.138333333336</v>
      </c>
      <c r="D285" t="s">
        <v>24</v>
      </c>
      <c r="E285" t="s">
        <v>32</v>
      </c>
      <c r="F285" t="s">
        <v>64</v>
      </c>
      <c r="G285" t="s">
        <v>34</v>
      </c>
      <c r="H285" t="s">
        <v>19</v>
      </c>
      <c r="I285" t="s">
        <v>36</v>
      </c>
      <c r="J285" t="s">
        <v>21</v>
      </c>
      <c r="K285">
        <v>24</v>
      </c>
      <c r="L285">
        <v>3.32</v>
      </c>
      <c r="M285">
        <v>5</v>
      </c>
      <c r="N285" t="s">
        <v>61</v>
      </c>
      <c r="O285" t="str">
        <f t="shared" si="4"/>
        <v>No</v>
      </c>
    </row>
    <row r="286" spans="1:15" x14ac:dyDescent="0.25">
      <c r="A286" t="s">
        <v>347</v>
      </c>
      <c r="B286" s="1">
        <v>45737</v>
      </c>
      <c r="C286" s="2">
        <v>45740.249583333331</v>
      </c>
      <c r="D286" t="s">
        <v>15</v>
      </c>
      <c r="E286" t="s">
        <v>39</v>
      </c>
      <c r="F286" t="s">
        <v>119</v>
      </c>
      <c r="G286" t="s">
        <v>51</v>
      </c>
      <c r="H286" t="s">
        <v>65</v>
      </c>
      <c r="I286" t="s">
        <v>45</v>
      </c>
      <c r="J286" t="s">
        <v>46</v>
      </c>
      <c r="K286">
        <v>48</v>
      </c>
      <c r="L286">
        <v>77.989999999999995</v>
      </c>
      <c r="M286">
        <v>3</v>
      </c>
      <c r="N286" t="s">
        <v>22</v>
      </c>
      <c r="O286" t="str">
        <f t="shared" si="4"/>
        <v>Yes</v>
      </c>
    </row>
    <row r="287" spans="1:15" x14ac:dyDescent="0.25">
      <c r="A287" t="s">
        <v>348</v>
      </c>
      <c r="B287" s="1">
        <v>45827</v>
      </c>
      <c r="C287" s="2">
        <v>45827.190405092595</v>
      </c>
      <c r="D287" t="s">
        <v>24</v>
      </c>
      <c r="E287" t="s">
        <v>45</v>
      </c>
      <c r="F287" t="s">
        <v>50</v>
      </c>
      <c r="G287" t="s">
        <v>41</v>
      </c>
      <c r="H287" t="s">
        <v>54</v>
      </c>
      <c r="I287" t="s">
        <v>36</v>
      </c>
      <c r="J287" t="s">
        <v>21</v>
      </c>
      <c r="K287">
        <v>24</v>
      </c>
      <c r="L287">
        <v>4.57</v>
      </c>
      <c r="M287">
        <v>4.4000000000000004</v>
      </c>
      <c r="N287" t="s">
        <v>22</v>
      </c>
      <c r="O287" t="str">
        <f t="shared" si="4"/>
        <v>No</v>
      </c>
    </row>
    <row r="288" spans="1:15" x14ac:dyDescent="0.25">
      <c r="A288" t="s">
        <v>349</v>
      </c>
      <c r="B288" s="1">
        <v>45687</v>
      </c>
      <c r="C288" s="2">
        <v>45687.508750000001</v>
      </c>
      <c r="D288" t="s">
        <v>24</v>
      </c>
      <c r="E288" t="s">
        <v>16</v>
      </c>
      <c r="F288" t="s">
        <v>58</v>
      </c>
      <c r="G288" t="s">
        <v>18</v>
      </c>
      <c r="H288" t="s">
        <v>44</v>
      </c>
      <c r="I288" t="s">
        <v>20</v>
      </c>
      <c r="J288" t="s">
        <v>46</v>
      </c>
      <c r="K288">
        <v>24</v>
      </c>
      <c r="L288">
        <v>12.21</v>
      </c>
      <c r="M288">
        <v>3.9</v>
      </c>
      <c r="N288" t="s">
        <v>22</v>
      </c>
      <c r="O288" t="str">
        <f t="shared" si="4"/>
        <v>No</v>
      </c>
    </row>
    <row r="289" spans="1:15" x14ac:dyDescent="0.25">
      <c r="A289" t="s">
        <v>350</v>
      </c>
      <c r="B289" s="1">
        <v>45761</v>
      </c>
      <c r="C289" s="2">
        <v>45761.69</v>
      </c>
      <c r="D289" t="s">
        <v>24</v>
      </c>
      <c r="E289" t="s">
        <v>25</v>
      </c>
      <c r="F289" t="s">
        <v>70</v>
      </c>
      <c r="G289" t="s">
        <v>56</v>
      </c>
      <c r="H289" t="s">
        <v>19</v>
      </c>
      <c r="I289" t="s">
        <v>20</v>
      </c>
      <c r="J289" t="s">
        <v>46</v>
      </c>
      <c r="K289">
        <v>24</v>
      </c>
      <c r="L289">
        <v>16.559999999999999</v>
      </c>
      <c r="M289">
        <v>5</v>
      </c>
      <c r="N289" t="s">
        <v>22</v>
      </c>
      <c r="O289" t="str">
        <f t="shared" si="4"/>
        <v>No</v>
      </c>
    </row>
    <row r="290" spans="1:15" x14ac:dyDescent="0.25">
      <c r="A290" t="s">
        <v>351</v>
      </c>
      <c r="B290" s="1">
        <v>45756</v>
      </c>
      <c r="C290" s="2">
        <v>45756.077499999999</v>
      </c>
      <c r="D290" t="s">
        <v>38</v>
      </c>
      <c r="E290" t="s">
        <v>16</v>
      </c>
      <c r="F290" t="s">
        <v>60</v>
      </c>
      <c r="G290" t="s">
        <v>56</v>
      </c>
      <c r="H290" t="s">
        <v>35</v>
      </c>
      <c r="I290" t="s">
        <v>20</v>
      </c>
      <c r="J290" t="s">
        <v>21</v>
      </c>
      <c r="K290">
        <v>8</v>
      </c>
      <c r="L290">
        <v>1.86</v>
      </c>
      <c r="M290">
        <v>4.7</v>
      </c>
      <c r="N290" t="s">
        <v>22</v>
      </c>
      <c r="O290" t="str">
        <f t="shared" si="4"/>
        <v>No</v>
      </c>
    </row>
    <row r="291" spans="1:15" x14ac:dyDescent="0.25">
      <c r="A291" t="s">
        <v>352</v>
      </c>
      <c r="B291" s="1">
        <v>45743</v>
      </c>
      <c r="C291" s="2">
        <v>45743.186249999999</v>
      </c>
      <c r="D291" t="s">
        <v>24</v>
      </c>
      <c r="E291" t="s">
        <v>32</v>
      </c>
      <c r="F291" t="s">
        <v>33</v>
      </c>
      <c r="G291" t="s">
        <v>18</v>
      </c>
      <c r="H291" t="s">
        <v>44</v>
      </c>
      <c r="I291" t="s">
        <v>36</v>
      </c>
      <c r="J291" t="s">
        <v>21</v>
      </c>
      <c r="K291">
        <v>24</v>
      </c>
      <c r="L291">
        <v>4.47</v>
      </c>
      <c r="M291">
        <v>4.7</v>
      </c>
      <c r="N291" t="s">
        <v>22</v>
      </c>
      <c r="O291" t="str">
        <f t="shared" si="4"/>
        <v>No</v>
      </c>
    </row>
    <row r="292" spans="1:15" x14ac:dyDescent="0.25">
      <c r="A292" t="s">
        <v>353</v>
      </c>
      <c r="B292" s="1">
        <v>45804</v>
      </c>
      <c r="C292" s="2">
        <v>45804.154999999999</v>
      </c>
      <c r="D292" t="s">
        <v>38</v>
      </c>
      <c r="E292" t="s">
        <v>16</v>
      </c>
      <c r="F292" t="s">
        <v>58</v>
      </c>
      <c r="G292" t="s">
        <v>41</v>
      </c>
      <c r="H292" t="s">
        <v>54</v>
      </c>
      <c r="I292" t="s">
        <v>20</v>
      </c>
      <c r="J292" t="s">
        <v>21</v>
      </c>
      <c r="K292">
        <v>8</v>
      </c>
      <c r="L292">
        <v>3.72</v>
      </c>
      <c r="M292">
        <v>5</v>
      </c>
      <c r="N292" t="s">
        <v>22</v>
      </c>
      <c r="O292" t="str">
        <f t="shared" si="4"/>
        <v>No</v>
      </c>
    </row>
    <row r="293" spans="1:15" x14ac:dyDescent="0.25">
      <c r="A293" t="s">
        <v>354</v>
      </c>
      <c r="B293" s="1">
        <v>45706</v>
      </c>
      <c r="C293" s="2">
        <v>45707.61791666667</v>
      </c>
      <c r="D293" t="s">
        <v>15</v>
      </c>
      <c r="E293" t="s">
        <v>16</v>
      </c>
      <c r="F293" t="s">
        <v>17</v>
      </c>
      <c r="G293" t="s">
        <v>41</v>
      </c>
      <c r="H293" t="s">
        <v>65</v>
      </c>
      <c r="I293" t="s">
        <v>45</v>
      </c>
      <c r="J293" t="s">
        <v>46</v>
      </c>
      <c r="K293">
        <v>48</v>
      </c>
      <c r="L293">
        <v>38.83</v>
      </c>
      <c r="M293">
        <v>3.5</v>
      </c>
      <c r="N293" t="s">
        <v>22</v>
      </c>
      <c r="O293" t="str">
        <f t="shared" si="4"/>
        <v>No</v>
      </c>
    </row>
    <row r="294" spans="1:15" x14ac:dyDescent="0.25">
      <c r="A294" t="s">
        <v>355</v>
      </c>
      <c r="B294" s="1">
        <v>45830</v>
      </c>
      <c r="C294" s="2">
        <v>45830.321666666663</v>
      </c>
      <c r="D294" t="s">
        <v>38</v>
      </c>
      <c r="E294" t="s">
        <v>32</v>
      </c>
      <c r="F294" t="s">
        <v>64</v>
      </c>
      <c r="G294" t="s">
        <v>41</v>
      </c>
      <c r="H294" t="s">
        <v>27</v>
      </c>
      <c r="I294" t="s">
        <v>36</v>
      </c>
      <c r="J294" t="s">
        <v>29</v>
      </c>
      <c r="K294">
        <v>8</v>
      </c>
      <c r="L294">
        <v>7.72</v>
      </c>
      <c r="M294">
        <v>4.5999999999999996</v>
      </c>
      <c r="N294" t="s">
        <v>22</v>
      </c>
      <c r="O294" t="str">
        <f t="shared" si="4"/>
        <v>No</v>
      </c>
    </row>
    <row r="295" spans="1:15" x14ac:dyDescent="0.25">
      <c r="A295" t="s">
        <v>356</v>
      </c>
      <c r="B295" s="1">
        <v>45718</v>
      </c>
      <c r="C295" s="2">
        <v>45718.026666666665</v>
      </c>
      <c r="D295" t="s">
        <v>31</v>
      </c>
      <c r="E295" t="s">
        <v>39</v>
      </c>
      <c r="F295" t="s">
        <v>40</v>
      </c>
      <c r="G295" t="s">
        <v>34</v>
      </c>
      <c r="H295" t="s">
        <v>54</v>
      </c>
      <c r="I295" t="s">
        <v>36</v>
      </c>
      <c r="J295" t="s">
        <v>21</v>
      </c>
      <c r="K295">
        <v>4</v>
      </c>
      <c r="L295">
        <v>0.64</v>
      </c>
      <c r="M295">
        <v>4.8</v>
      </c>
      <c r="N295" t="s">
        <v>22</v>
      </c>
      <c r="O295" t="str">
        <f t="shared" si="4"/>
        <v>No</v>
      </c>
    </row>
    <row r="296" spans="1:15" x14ac:dyDescent="0.25">
      <c r="A296" t="s">
        <v>357</v>
      </c>
      <c r="B296" s="1">
        <v>45756</v>
      </c>
      <c r="C296" s="2">
        <v>45756.15</v>
      </c>
      <c r="D296" t="s">
        <v>38</v>
      </c>
      <c r="E296" t="s">
        <v>16</v>
      </c>
      <c r="F296" t="s">
        <v>58</v>
      </c>
      <c r="G296" t="s">
        <v>18</v>
      </c>
      <c r="H296" t="s">
        <v>19</v>
      </c>
      <c r="I296" t="s">
        <v>36</v>
      </c>
      <c r="J296" t="s">
        <v>85</v>
      </c>
      <c r="K296">
        <v>8</v>
      </c>
      <c r="L296">
        <v>3.6</v>
      </c>
      <c r="M296">
        <v>3.6</v>
      </c>
      <c r="N296" t="s">
        <v>22</v>
      </c>
      <c r="O296" t="str">
        <f t="shared" si="4"/>
        <v>No</v>
      </c>
    </row>
    <row r="297" spans="1:15" x14ac:dyDescent="0.25">
      <c r="A297" t="s">
        <v>358</v>
      </c>
      <c r="B297" s="1">
        <v>45752</v>
      </c>
      <c r="C297" s="2">
        <v>45752.094166666669</v>
      </c>
      <c r="D297" t="s">
        <v>24</v>
      </c>
      <c r="E297" t="s">
        <v>25</v>
      </c>
      <c r="F297" t="s">
        <v>70</v>
      </c>
      <c r="G297" t="s">
        <v>34</v>
      </c>
      <c r="H297" t="s">
        <v>65</v>
      </c>
      <c r="I297" t="s">
        <v>36</v>
      </c>
      <c r="J297" t="s">
        <v>21</v>
      </c>
      <c r="K297">
        <v>24</v>
      </c>
      <c r="L297">
        <v>2.2599999999999998</v>
      </c>
      <c r="M297">
        <v>4.5</v>
      </c>
      <c r="N297" t="s">
        <v>61</v>
      </c>
      <c r="O297" t="str">
        <f t="shared" si="4"/>
        <v>No</v>
      </c>
    </row>
    <row r="298" spans="1:15" x14ac:dyDescent="0.25">
      <c r="A298" t="s">
        <v>359</v>
      </c>
      <c r="B298" s="1">
        <v>45811</v>
      </c>
      <c r="C298" s="2">
        <v>45811.237083333333</v>
      </c>
      <c r="D298" t="s">
        <v>24</v>
      </c>
      <c r="E298" t="s">
        <v>32</v>
      </c>
      <c r="F298" t="s">
        <v>80</v>
      </c>
      <c r="G298" t="s">
        <v>18</v>
      </c>
      <c r="H298" t="s">
        <v>44</v>
      </c>
      <c r="I298" t="s">
        <v>36</v>
      </c>
      <c r="J298" t="s">
        <v>29</v>
      </c>
      <c r="K298">
        <v>24</v>
      </c>
      <c r="L298">
        <v>5.69</v>
      </c>
      <c r="M298">
        <v>4</v>
      </c>
      <c r="N298" t="s">
        <v>22</v>
      </c>
      <c r="O298" t="str">
        <f t="shared" si="4"/>
        <v>No</v>
      </c>
    </row>
    <row r="299" spans="1:15" x14ac:dyDescent="0.25">
      <c r="A299" t="s">
        <v>360</v>
      </c>
      <c r="B299" s="1">
        <v>45737</v>
      </c>
      <c r="C299" s="2">
        <v>45738.152499999997</v>
      </c>
      <c r="D299" t="s">
        <v>24</v>
      </c>
      <c r="E299" t="s">
        <v>25</v>
      </c>
      <c r="F299" t="s">
        <v>48</v>
      </c>
      <c r="G299" t="s">
        <v>18</v>
      </c>
      <c r="H299" t="s">
        <v>27</v>
      </c>
      <c r="I299" t="s">
        <v>28</v>
      </c>
      <c r="J299" t="s">
        <v>85</v>
      </c>
      <c r="K299">
        <v>24</v>
      </c>
      <c r="L299">
        <v>27.66</v>
      </c>
      <c r="M299">
        <v>3.7</v>
      </c>
      <c r="N299" t="s">
        <v>22</v>
      </c>
      <c r="O299" t="str">
        <f t="shared" si="4"/>
        <v>Yes</v>
      </c>
    </row>
    <row r="300" spans="1:15" x14ac:dyDescent="0.25">
      <c r="A300" t="s">
        <v>361</v>
      </c>
      <c r="B300" s="1">
        <v>45709</v>
      </c>
      <c r="C300" s="2">
        <v>45709.662083333336</v>
      </c>
      <c r="D300" t="s">
        <v>24</v>
      </c>
      <c r="E300" t="s">
        <v>39</v>
      </c>
      <c r="F300" t="s">
        <v>78</v>
      </c>
      <c r="G300" t="s">
        <v>56</v>
      </c>
      <c r="H300" t="s">
        <v>19</v>
      </c>
      <c r="I300" t="s">
        <v>28</v>
      </c>
      <c r="J300" t="s">
        <v>21</v>
      </c>
      <c r="K300">
        <v>24</v>
      </c>
      <c r="L300">
        <v>15.89</v>
      </c>
      <c r="M300">
        <v>3.7</v>
      </c>
      <c r="N300" t="s">
        <v>22</v>
      </c>
      <c r="O300" t="str">
        <f t="shared" si="4"/>
        <v>No</v>
      </c>
    </row>
    <row r="301" spans="1:15" x14ac:dyDescent="0.25">
      <c r="A301" t="s">
        <v>362</v>
      </c>
      <c r="B301" s="1">
        <v>45661</v>
      </c>
      <c r="C301" s="2">
        <v>45661.084999999999</v>
      </c>
      <c r="D301" t="s">
        <v>38</v>
      </c>
      <c r="E301" t="s">
        <v>32</v>
      </c>
      <c r="F301" t="s">
        <v>33</v>
      </c>
      <c r="G301" t="s">
        <v>34</v>
      </c>
      <c r="H301" t="s">
        <v>35</v>
      </c>
      <c r="I301" t="s">
        <v>36</v>
      </c>
      <c r="J301" t="s">
        <v>85</v>
      </c>
      <c r="K301">
        <v>8</v>
      </c>
      <c r="L301">
        <v>2.04</v>
      </c>
      <c r="M301">
        <v>4.0999999999999996</v>
      </c>
      <c r="N301" t="s">
        <v>22</v>
      </c>
      <c r="O301" t="str">
        <f t="shared" si="4"/>
        <v>No</v>
      </c>
    </row>
    <row r="302" spans="1:15" x14ac:dyDescent="0.25">
      <c r="A302" t="s">
        <v>363</v>
      </c>
      <c r="B302" s="1">
        <v>45723</v>
      </c>
      <c r="C302" s="2">
        <v>45723.18</v>
      </c>
      <c r="D302" t="s">
        <v>31</v>
      </c>
      <c r="E302" t="s">
        <v>32</v>
      </c>
      <c r="F302" t="s">
        <v>80</v>
      </c>
      <c r="G302" t="s">
        <v>56</v>
      </c>
      <c r="H302" t="s">
        <v>44</v>
      </c>
      <c r="I302" t="s">
        <v>28</v>
      </c>
      <c r="J302" t="s">
        <v>21</v>
      </c>
      <c r="K302">
        <v>4</v>
      </c>
      <c r="L302">
        <v>4.32</v>
      </c>
      <c r="M302">
        <v>3.9</v>
      </c>
      <c r="N302" t="s">
        <v>22</v>
      </c>
      <c r="O302" t="str">
        <f t="shared" si="4"/>
        <v>Yes</v>
      </c>
    </row>
    <row r="303" spans="1:15" x14ac:dyDescent="0.25">
      <c r="A303" t="s">
        <v>364</v>
      </c>
      <c r="B303" s="1">
        <v>45807</v>
      </c>
      <c r="C303" s="2">
        <v>45807.28875</v>
      </c>
      <c r="D303" t="s">
        <v>24</v>
      </c>
      <c r="E303" t="s">
        <v>25</v>
      </c>
      <c r="F303" t="s">
        <v>48</v>
      </c>
      <c r="G303" t="s">
        <v>41</v>
      </c>
      <c r="H303" t="s">
        <v>44</v>
      </c>
      <c r="I303" t="s">
        <v>20</v>
      </c>
      <c r="J303" t="s">
        <v>21</v>
      </c>
      <c r="K303">
        <v>24</v>
      </c>
      <c r="L303">
        <v>6.93</v>
      </c>
      <c r="M303">
        <v>4.7</v>
      </c>
      <c r="N303" t="s">
        <v>22</v>
      </c>
      <c r="O303" t="str">
        <f t="shared" si="4"/>
        <v>No</v>
      </c>
    </row>
    <row r="304" spans="1:15" x14ac:dyDescent="0.25">
      <c r="A304" t="s">
        <v>365</v>
      </c>
      <c r="B304" s="1">
        <v>45659</v>
      </c>
      <c r="C304" s="2">
        <v>45659.999583333331</v>
      </c>
      <c r="D304" t="s">
        <v>15</v>
      </c>
      <c r="E304" t="s">
        <v>39</v>
      </c>
      <c r="F304" t="s">
        <v>119</v>
      </c>
      <c r="G304" t="s">
        <v>18</v>
      </c>
      <c r="H304" t="s">
        <v>35</v>
      </c>
      <c r="I304" t="s">
        <v>45</v>
      </c>
      <c r="J304" t="s">
        <v>46</v>
      </c>
      <c r="K304">
        <v>48</v>
      </c>
      <c r="L304">
        <v>23.99</v>
      </c>
      <c r="M304">
        <v>5</v>
      </c>
      <c r="N304" t="s">
        <v>61</v>
      </c>
      <c r="O304" t="str">
        <f t="shared" si="4"/>
        <v>No</v>
      </c>
    </row>
    <row r="305" spans="1:15" x14ac:dyDescent="0.25">
      <c r="A305" t="s">
        <v>366</v>
      </c>
      <c r="B305" s="1">
        <v>45820</v>
      </c>
      <c r="C305" s="2">
        <v>45820.073750000003</v>
      </c>
      <c r="D305" t="s">
        <v>24</v>
      </c>
      <c r="E305" t="s">
        <v>16</v>
      </c>
      <c r="F305" t="s">
        <v>17</v>
      </c>
      <c r="G305" t="s">
        <v>34</v>
      </c>
      <c r="H305" t="s">
        <v>35</v>
      </c>
      <c r="I305" t="s">
        <v>28</v>
      </c>
      <c r="J305" t="s">
        <v>21</v>
      </c>
      <c r="K305">
        <v>24</v>
      </c>
      <c r="L305">
        <v>1.77</v>
      </c>
      <c r="M305">
        <v>5</v>
      </c>
      <c r="N305" t="s">
        <v>22</v>
      </c>
      <c r="O305" t="str">
        <f t="shared" si="4"/>
        <v>No</v>
      </c>
    </row>
    <row r="306" spans="1:15" x14ac:dyDescent="0.25">
      <c r="A306" t="s">
        <v>367</v>
      </c>
      <c r="B306" s="1">
        <v>45756</v>
      </c>
      <c r="C306" s="2">
        <v>45756.512499999997</v>
      </c>
      <c r="D306" t="s">
        <v>15</v>
      </c>
      <c r="E306" t="s">
        <v>32</v>
      </c>
      <c r="F306" t="s">
        <v>33</v>
      </c>
      <c r="G306" t="s">
        <v>41</v>
      </c>
      <c r="H306" t="s">
        <v>54</v>
      </c>
      <c r="I306" t="s">
        <v>20</v>
      </c>
      <c r="J306" t="s">
        <v>21</v>
      </c>
      <c r="K306">
        <v>48</v>
      </c>
      <c r="L306">
        <v>12.3</v>
      </c>
      <c r="M306">
        <v>4.7</v>
      </c>
      <c r="N306" t="s">
        <v>22</v>
      </c>
      <c r="O306" t="str">
        <f t="shared" si="4"/>
        <v>No</v>
      </c>
    </row>
    <row r="307" spans="1:15" x14ac:dyDescent="0.25">
      <c r="A307" t="s">
        <v>368</v>
      </c>
      <c r="B307" s="1">
        <v>45683</v>
      </c>
      <c r="C307" s="2">
        <v>45684.236250000002</v>
      </c>
      <c r="D307" t="s">
        <v>15</v>
      </c>
      <c r="E307" t="s">
        <v>16</v>
      </c>
      <c r="F307" t="s">
        <v>43</v>
      </c>
      <c r="G307" t="s">
        <v>34</v>
      </c>
      <c r="H307" t="s">
        <v>44</v>
      </c>
      <c r="I307" t="s">
        <v>45</v>
      </c>
      <c r="J307" t="s">
        <v>21</v>
      </c>
      <c r="K307">
        <v>48</v>
      </c>
      <c r="L307">
        <v>29.67</v>
      </c>
      <c r="M307">
        <v>4.5999999999999996</v>
      </c>
      <c r="N307" t="s">
        <v>22</v>
      </c>
      <c r="O307" t="str">
        <f t="shared" si="4"/>
        <v>No</v>
      </c>
    </row>
    <row r="308" spans="1:15" x14ac:dyDescent="0.25">
      <c r="A308" t="s">
        <v>369</v>
      </c>
      <c r="B308" s="1">
        <v>45712</v>
      </c>
      <c r="C308" s="2">
        <v>45712.596666666665</v>
      </c>
      <c r="D308" t="s">
        <v>24</v>
      </c>
      <c r="E308" t="s">
        <v>25</v>
      </c>
      <c r="F308" t="s">
        <v>70</v>
      </c>
      <c r="G308" t="s">
        <v>34</v>
      </c>
      <c r="H308" t="s">
        <v>65</v>
      </c>
      <c r="I308" t="s">
        <v>36</v>
      </c>
      <c r="J308" t="s">
        <v>46</v>
      </c>
      <c r="K308">
        <v>24</v>
      </c>
      <c r="L308">
        <v>14.32</v>
      </c>
      <c r="M308">
        <v>3.4</v>
      </c>
      <c r="N308" t="s">
        <v>22</v>
      </c>
      <c r="O308" t="str">
        <f t="shared" si="4"/>
        <v>No</v>
      </c>
    </row>
    <row r="309" spans="1:15" x14ac:dyDescent="0.25">
      <c r="A309" t="s">
        <v>370</v>
      </c>
      <c r="B309" s="1">
        <v>45758</v>
      </c>
      <c r="C309" s="2">
        <v>45758.122499999998</v>
      </c>
      <c r="D309" t="s">
        <v>38</v>
      </c>
      <c r="E309" t="s">
        <v>39</v>
      </c>
      <c r="F309" t="s">
        <v>119</v>
      </c>
      <c r="G309" t="s">
        <v>18</v>
      </c>
      <c r="H309" t="s">
        <v>19</v>
      </c>
      <c r="I309" t="s">
        <v>36</v>
      </c>
      <c r="J309" t="s">
        <v>46</v>
      </c>
      <c r="K309">
        <v>8</v>
      </c>
      <c r="L309">
        <v>2.94</v>
      </c>
      <c r="M309">
        <v>5</v>
      </c>
      <c r="N309" t="s">
        <v>22</v>
      </c>
      <c r="O309" t="str">
        <f t="shared" si="4"/>
        <v>No</v>
      </c>
    </row>
    <row r="310" spans="1:15" x14ac:dyDescent="0.25">
      <c r="A310" t="s">
        <v>371</v>
      </c>
      <c r="B310" s="1">
        <v>45715</v>
      </c>
      <c r="C310" s="2">
        <v>45715.925000000003</v>
      </c>
      <c r="D310" t="s">
        <v>15</v>
      </c>
      <c r="E310" t="s">
        <v>45</v>
      </c>
      <c r="F310" t="s">
        <v>112</v>
      </c>
      <c r="G310" t="s">
        <v>56</v>
      </c>
      <c r="H310" t="s">
        <v>44</v>
      </c>
      <c r="I310" t="s">
        <v>28</v>
      </c>
      <c r="J310" t="s">
        <v>46</v>
      </c>
      <c r="K310">
        <v>48</v>
      </c>
      <c r="L310">
        <v>22.2</v>
      </c>
      <c r="M310">
        <v>4.7</v>
      </c>
      <c r="N310" t="s">
        <v>22</v>
      </c>
      <c r="O310" t="str">
        <f t="shared" si="4"/>
        <v>No</v>
      </c>
    </row>
    <row r="311" spans="1:15" x14ac:dyDescent="0.25">
      <c r="A311" t="s">
        <v>372</v>
      </c>
      <c r="B311" s="1">
        <v>45677</v>
      </c>
      <c r="C311" s="2">
        <v>45678.703750000001</v>
      </c>
      <c r="D311" t="s">
        <v>15</v>
      </c>
      <c r="E311" t="s">
        <v>32</v>
      </c>
      <c r="F311" t="s">
        <v>33</v>
      </c>
      <c r="G311" t="s">
        <v>56</v>
      </c>
      <c r="H311" t="s">
        <v>65</v>
      </c>
      <c r="I311" t="s">
        <v>36</v>
      </c>
      <c r="J311" t="s">
        <v>29</v>
      </c>
      <c r="K311">
        <v>48</v>
      </c>
      <c r="L311">
        <v>40.89</v>
      </c>
      <c r="M311">
        <v>4.5999999999999996</v>
      </c>
      <c r="N311" t="s">
        <v>22</v>
      </c>
      <c r="O311" t="str">
        <f t="shared" si="4"/>
        <v>No</v>
      </c>
    </row>
    <row r="312" spans="1:15" x14ac:dyDescent="0.25">
      <c r="A312" t="s">
        <v>373</v>
      </c>
      <c r="B312" s="1">
        <v>45778</v>
      </c>
      <c r="C312" s="2">
        <v>45778.869166666664</v>
      </c>
      <c r="D312" t="s">
        <v>15</v>
      </c>
      <c r="E312" t="s">
        <v>32</v>
      </c>
      <c r="F312" t="s">
        <v>80</v>
      </c>
      <c r="G312" t="s">
        <v>51</v>
      </c>
      <c r="H312" t="s">
        <v>27</v>
      </c>
      <c r="I312" t="s">
        <v>36</v>
      </c>
      <c r="J312" t="s">
        <v>29</v>
      </c>
      <c r="K312">
        <v>48</v>
      </c>
      <c r="L312">
        <v>20.86</v>
      </c>
      <c r="M312">
        <v>4.3</v>
      </c>
      <c r="N312" t="s">
        <v>22</v>
      </c>
      <c r="O312" t="str">
        <f t="shared" si="4"/>
        <v>No</v>
      </c>
    </row>
    <row r="313" spans="1:15" x14ac:dyDescent="0.25">
      <c r="A313" t="s">
        <v>374</v>
      </c>
      <c r="B313" s="1">
        <v>45779</v>
      </c>
      <c r="C313" s="2">
        <v>45779.230416666665</v>
      </c>
      <c r="D313" t="s">
        <v>38</v>
      </c>
      <c r="E313" t="s">
        <v>16</v>
      </c>
      <c r="F313" t="s">
        <v>60</v>
      </c>
      <c r="G313" t="s">
        <v>51</v>
      </c>
      <c r="H313" t="s">
        <v>35</v>
      </c>
      <c r="I313" t="s">
        <v>36</v>
      </c>
      <c r="J313" t="s">
        <v>46</v>
      </c>
      <c r="K313">
        <v>8</v>
      </c>
      <c r="L313">
        <v>5.53</v>
      </c>
      <c r="M313">
        <v>4</v>
      </c>
      <c r="N313" t="s">
        <v>22</v>
      </c>
      <c r="O313" t="str">
        <f t="shared" si="4"/>
        <v>No</v>
      </c>
    </row>
    <row r="314" spans="1:15" x14ac:dyDescent="0.25">
      <c r="A314" t="s">
        <v>375</v>
      </c>
      <c r="B314" s="1">
        <v>45679</v>
      </c>
      <c r="C314" s="2">
        <v>45679.319166666668</v>
      </c>
      <c r="D314" t="s">
        <v>24</v>
      </c>
      <c r="E314" t="s">
        <v>16</v>
      </c>
      <c r="F314" t="s">
        <v>43</v>
      </c>
      <c r="G314" t="s">
        <v>41</v>
      </c>
      <c r="H314" t="s">
        <v>35</v>
      </c>
      <c r="I314" t="s">
        <v>45</v>
      </c>
      <c r="J314" t="s">
        <v>29</v>
      </c>
      <c r="K314">
        <v>24</v>
      </c>
      <c r="L314">
        <v>7.66</v>
      </c>
      <c r="M314">
        <v>4.4000000000000004</v>
      </c>
      <c r="N314" t="s">
        <v>22</v>
      </c>
      <c r="O314" t="str">
        <f t="shared" si="4"/>
        <v>No</v>
      </c>
    </row>
    <row r="315" spans="1:15" x14ac:dyDescent="0.25">
      <c r="A315" t="s">
        <v>376</v>
      </c>
      <c r="B315" s="1">
        <v>45708</v>
      </c>
      <c r="C315" s="2">
        <v>45708.989583333336</v>
      </c>
      <c r="D315" t="s">
        <v>15</v>
      </c>
      <c r="E315" t="s">
        <v>32</v>
      </c>
      <c r="F315" t="s">
        <v>80</v>
      </c>
      <c r="G315" t="s">
        <v>18</v>
      </c>
      <c r="H315" t="s">
        <v>54</v>
      </c>
      <c r="I315" t="s">
        <v>36</v>
      </c>
      <c r="J315" t="s">
        <v>21</v>
      </c>
      <c r="K315">
        <v>48</v>
      </c>
      <c r="L315">
        <v>23.75</v>
      </c>
      <c r="M315">
        <v>5</v>
      </c>
      <c r="N315" t="s">
        <v>22</v>
      </c>
      <c r="O315" t="str">
        <f t="shared" si="4"/>
        <v>No</v>
      </c>
    </row>
    <row r="316" spans="1:15" x14ac:dyDescent="0.25">
      <c r="A316" t="s">
        <v>377</v>
      </c>
      <c r="B316" s="1">
        <v>45702</v>
      </c>
      <c r="C316" s="2">
        <v>45702.134583333333</v>
      </c>
      <c r="D316" t="s">
        <v>15</v>
      </c>
      <c r="E316" t="s">
        <v>16</v>
      </c>
      <c r="F316" t="s">
        <v>43</v>
      </c>
      <c r="G316" t="s">
        <v>34</v>
      </c>
      <c r="H316" t="s">
        <v>27</v>
      </c>
      <c r="I316" t="s">
        <v>28</v>
      </c>
      <c r="J316" t="s">
        <v>46</v>
      </c>
      <c r="K316">
        <v>48</v>
      </c>
      <c r="L316">
        <v>3.23</v>
      </c>
      <c r="M316">
        <v>5</v>
      </c>
      <c r="N316" t="s">
        <v>22</v>
      </c>
      <c r="O316" t="str">
        <f t="shared" si="4"/>
        <v>No</v>
      </c>
    </row>
    <row r="317" spans="1:15" x14ac:dyDescent="0.25">
      <c r="A317" t="s">
        <v>378</v>
      </c>
      <c r="B317" s="1">
        <v>45777</v>
      </c>
      <c r="C317" s="2">
        <v>45777.339166666665</v>
      </c>
      <c r="D317" t="s">
        <v>24</v>
      </c>
      <c r="E317" t="s">
        <v>39</v>
      </c>
      <c r="F317" t="s">
        <v>119</v>
      </c>
      <c r="G317" t="s">
        <v>18</v>
      </c>
      <c r="H317" t="s">
        <v>27</v>
      </c>
      <c r="I317" t="s">
        <v>36</v>
      </c>
      <c r="J317" t="s">
        <v>21</v>
      </c>
      <c r="K317">
        <v>24</v>
      </c>
      <c r="L317">
        <v>8.14</v>
      </c>
      <c r="M317">
        <v>3.6</v>
      </c>
      <c r="N317" t="s">
        <v>22</v>
      </c>
      <c r="O317" t="str">
        <f t="shared" si="4"/>
        <v>No</v>
      </c>
    </row>
    <row r="318" spans="1:15" x14ac:dyDescent="0.25">
      <c r="A318" t="s">
        <v>379</v>
      </c>
      <c r="B318" s="1">
        <v>45790</v>
      </c>
      <c r="C318" s="2">
        <v>45791.07708333333</v>
      </c>
      <c r="D318" t="s">
        <v>15</v>
      </c>
      <c r="E318" t="s">
        <v>16</v>
      </c>
      <c r="F318" t="s">
        <v>60</v>
      </c>
      <c r="G318" t="s">
        <v>18</v>
      </c>
      <c r="H318" t="s">
        <v>44</v>
      </c>
      <c r="I318" t="s">
        <v>20</v>
      </c>
      <c r="J318" t="s">
        <v>21</v>
      </c>
      <c r="K318">
        <v>48</v>
      </c>
      <c r="L318">
        <v>25.85</v>
      </c>
      <c r="M318">
        <v>4.8</v>
      </c>
      <c r="N318" t="s">
        <v>22</v>
      </c>
      <c r="O318" t="str">
        <f t="shared" si="4"/>
        <v>No</v>
      </c>
    </row>
    <row r="319" spans="1:15" x14ac:dyDescent="0.25">
      <c r="A319" t="s">
        <v>380</v>
      </c>
      <c r="B319" s="1">
        <v>45789</v>
      </c>
      <c r="C319" s="2">
        <v>45789.472916666666</v>
      </c>
      <c r="D319" t="s">
        <v>24</v>
      </c>
      <c r="E319" t="s">
        <v>16</v>
      </c>
      <c r="F319" t="s">
        <v>17</v>
      </c>
      <c r="G319" t="s">
        <v>51</v>
      </c>
      <c r="H319" t="s">
        <v>65</v>
      </c>
      <c r="I319" t="s">
        <v>45</v>
      </c>
      <c r="J319" t="s">
        <v>21</v>
      </c>
      <c r="K319">
        <v>24</v>
      </c>
      <c r="L319">
        <v>11.35</v>
      </c>
      <c r="M319">
        <v>4.0999999999999996</v>
      </c>
      <c r="N319" t="s">
        <v>61</v>
      </c>
      <c r="O319" t="str">
        <f t="shared" si="4"/>
        <v>No</v>
      </c>
    </row>
    <row r="320" spans="1:15" x14ac:dyDescent="0.25">
      <c r="A320" t="s">
        <v>381</v>
      </c>
      <c r="B320" s="1">
        <v>45827</v>
      </c>
      <c r="C320" s="2">
        <v>45827.318749999999</v>
      </c>
      <c r="D320" t="s">
        <v>24</v>
      </c>
      <c r="E320" t="s">
        <v>45</v>
      </c>
      <c r="F320" t="s">
        <v>50</v>
      </c>
      <c r="G320" t="s">
        <v>41</v>
      </c>
      <c r="H320" t="s">
        <v>65</v>
      </c>
      <c r="I320" t="s">
        <v>45</v>
      </c>
      <c r="J320" t="s">
        <v>21</v>
      </c>
      <c r="K320">
        <v>24</v>
      </c>
      <c r="L320">
        <v>7.65</v>
      </c>
      <c r="M320">
        <v>5</v>
      </c>
      <c r="N320" t="s">
        <v>22</v>
      </c>
      <c r="O320" t="str">
        <f t="shared" si="4"/>
        <v>No</v>
      </c>
    </row>
    <row r="321" spans="1:15" x14ac:dyDescent="0.25">
      <c r="A321" t="s">
        <v>382</v>
      </c>
      <c r="B321" s="1">
        <v>45797</v>
      </c>
      <c r="C321" s="2">
        <v>45797.070416666669</v>
      </c>
      <c r="D321" t="s">
        <v>38</v>
      </c>
      <c r="E321" t="s">
        <v>39</v>
      </c>
      <c r="F321" t="s">
        <v>40</v>
      </c>
      <c r="G321" t="s">
        <v>41</v>
      </c>
      <c r="H321" t="s">
        <v>44</v>
      </c>
      <c r="I321" t="s">
        <v>36</v>
      </c>
      <c r="J321" t="s">
        <v>85</v>
      </c>
      <c r="K321">
        <v>8</v>
      </c>
      <c r="L321">
        <v>1.69</v>
      </c>
      <c r="M321">
        <v>5</v>
      </c>
      <c r="N321" t="s">
        <v>22</v>
      </c>
      <c r="O321" t="str">
        <f t="shared" si="4"/>
        <v>No</v>
      </c>
    </row>
    <row r="322" spans="1:15" x14ac:dyDescent="0.25">
      <c r="A322" t="s">
        <v>383</v>
      </c>
      <c r="B322" s="1">
        <v>45716</v>
      </c>
      <c r="C322" s="2">
        <v>45717.104166666664</v>
      </c>
      <c r="D322" t="s">
        <v>15</v>
      </c>
      <c r="E322" t="s">
        <v>16</v>
      </c>
      <c r="F322" t="s">
        <v>43</v>
      </c>
      <c r="G322" t="s">
        <v>51</v>
      </c>
      <c r="H322" t="s">
        <v>35</v>
      </c>
      <c r="I322" t="s">
        <v>36</v>
      </c>
      <c r="J322" t="s">
        <v>21</v>
      </c>
      <c r="K322">
        <v>48</v>
      </c>
      <c r="L322">
        <v>26.5</v>
      </c>
      <c r="M322">
        <v>5</v>
      </c>
      <c r="N322" t="s">
        <v>22</v>
      </c>
      <c r="O322" t="str">
        <f t="shared" si="4"/>
        <v>No</v>
      </c>
    </row>
    <row r="323" spans="1:15" x14ac:dyDescent="0.25">
      <c r="A323" t="s">
        <v>384</v>
      </c>
      <c r="B323" s="1">
        <v>45677</v>
      </c>
      <c r="C323" s="2">
        <v>45677.460833333331</v>
      </c>
      <c r="D323" t="s">
        <v>24</v>
      </c>
      <c r="E323" t="s">
        <v>16</v>
      </c>
      <c r="F323" t="s">
        <v>17</v>
      </c>
      <c r="G323" t="s">
        <v>41</v>
      </c>
      <c r="H323" t="s">
        <v>27</v>
      </c>
      <c r="I323" t="s">
        <v>20</v>
      </c>
      <c r="J323" t="s">
        <v>29</v>
      </c>
      <c r="K323">
        <v>24</v>
      </c>
      <c r="L323">
        <v>11.06</v>
      </c>
      <c r="M323">
        <v>5</v>
      </c>
      <c r="N323" t="s">
        <v>22</v>
      </c>
      <c r="O323" t="str">
        <f t="shared" ref="O323:O386" si="5">IF(L323&gt;K323,"Yes","No")</f>
        <v>No</v>
      </c>
    </row>
    <row r="324" spans="1:15" x14ac:dyDescent="0.25">
      <c r="A324" t="s">
        <v>385</v>
      </c>
      <c r="B324" s="1">
        <v>45769</v>
      </c>
      <c r="C324" s="2">
        <v>45770.285416666666</v>
      </c>
      <c r="D324" t="s">
        <v>15</v>
      </c>
      <c r="E324" t="s">
        <v>39</v>
      </c>
      <c r="F324" t="s">
        <v>119</v>
      </c>
      <c r="G324" t="s">
        <v>34</v>
      </c>
      <c r="H324" t="s">
        <v>54</v>
      </c>
      <c r="I324" t="s">
        <v>20</v>
      </c>
      <c r="J324" t="s">
        <v>21</v>
      </c>
      <c r="K324">
        <v>48</v>
      </c>
      <c r="L324">
        <v>30.85</v>
      </c>
      <c r="M324">
        <v>4.8</v>
      </c>
      <c r="N324" t="s">
        <v>22</v>
      </c>
      <c r="O324" t="str">
        <f t="shared" si="5"/>
        <v>No</v>
      </c>
    </row>
    <row r="325" spans="1:15" x14ac:dyDescent="0.25">
      <c r="A325" t="s">
        <v>386</v>
      </c>
      <c r="B325" s="1">
        <v>45823</v>
      </c>
      <c r="C325" s="2">
        <v>45823.046666666669</v>
      </c>
      <c r="D325" t="s">
        <v>31</v>
      </c>
      <c r="E325" t="s">
        <v>32</v>
      </c>
      <c r="F325" t="s">
        <v>33</v>
      </c>
      <c r="G325" t="s">
        <v>18</v>
      </c>
      <c r="H325" t="s">
        <v>65</v>
      </c>
      <c r="I325" t="s">
        <v>36</v>
      </c>
      <c r="J325" t="s">
        <v>46</v>
      </c>
      <c r="K325">
        <v>4</v>
      </c>
      <c r="L325">
        <v>1.1200000000000001</v>
      </c>
      <c r="M325">
        <v>5</v>
      </c>
      <c r="N325" t="s">
        <v>22</v>
      </c>
      <c r="O325" t="str">
        <f t="shared" si="5"/>
        <v>No</v>
      </c>
    </row>
    <row r="326" spans="1:15" x14ac:dyDescent="0.25">
      <c r="A326" t="s">
        <v>387</v>
      </c>
      <c r="B326" s="1">
        <v>45834</v>
      </c>
      <c r="C326" s="2">
        <v>45834.127083333333</v>
      </c>
      <c r="D326" t="s">
        <v>31</v>
      </c>
      <c r="E326" t="s">
        <v>45</v>
      </c>
      <c r="F326" t="s">
        <v>104</v>
      </c>
      <c r="G326" t="s">
        <v>41</v>
      </c>
      <c r="H326" t="s">
        <v>54</v>
      </c>
      <c r="I326" t="s">
        <v>28</v>
      </c>
      <c r="J326" t="s">
        <v>21</v>
      </c>
      <c r="K326">
        <v>4</v>
      </c>
      <c r="L326">
        <v>3.05</v>
      </c>
      <c r="M326">
        <v>4.5999999999999996</v>
      </c>
      <c r="N326" t="s">
        <v>22</v>
      </c>
      <c r="O326" t="str">
        <f t="shared" si="5"/>
        <v>No</v>
      </c>
    </row>
    <row r="327" spans="1:15" x14ac:dyDescent="0.25">
      <c r="A327" t="s">
        <v>388</v>
      </c>
      <c r="B327" s="1">
        <v>45699</v>
      </c>
      <c r="C327" s="2">
        <v>45699.060833333337</v>
      </c>
      <c r="D327" t="s">
        <v>38</v>
      </c>
      <c r="E327" t="s">
        <v>32</v>
      </c>
      <c r="F327" t="s">
        <v>64</v>
      </c>
      <c r="G327" t="s">
        <v>51</v>
      </c>
      <c r="H327" t="s">
        <v>44</v>
      </c>
      <c r="I327" t="s">
        <v>20</v>
      </c>
      <c r="J327" t="s">
        <v>85</v>
      </c>
      <c r="K327">
        <v>8</v>
      </c>
      <c r="L327">
        <v>1.46</v>
      </c>
      <c r="M327">
        <v>4.3</v>
      </c>
      <c r="N327" t="s">
        <v>22</v>
      </c>
      <c r="O327" t="str">
        <f t="shared" si="5"/>
        <v>No</v>
      </c>
    </row>
    <row r="328" spans="1:15" x14ac:dyDescent="0.25">
      <c r="A328" t="s">
        <v>389</v>
      </c>
      <c r="B328" s="1">
        <v>45700</v>
      </c>
      <c r="C328" s="2">
        <v>45700.124166666668</v>
      </c>
      <c r="D328" t="s">
        <v>24</v>
      </c>
      <c r="E328" t="s">
        <v>25</v>
      </c>
      <c r="F328" t="s">
        <v>48</v>
      </c>
      <c r="G328" t="s">
        <v>41</v>
      </c>
      <c r="H328" t="s">
        <v>35</v>
      </c>
      <c r="I328" t="s">
        <v>36</v>
      </c>
      <c r="J328" t="s">
        <v>21</v>
      </c>
      <c r="K328">
        <v>24</v>
      </c>
      <c r="L328">
        <v>2.98</v>
      </c>
      <c r="M328">
        <v>4.0999999999999996</v>
      </c>
      <c r="N328" t="s">
        <v>22</v>
      </c>
      <c r="O328" t="str">
        <f t="shared" si="5"/>
        <v>No</v>
      </c>
    </row>
    <row r="329" spans="1:15" x14ac:dyDescent="0.25">
      <c r="A329" t="s">
        <v>390</v>
      </c>
      <c r="B329" s="1">
        <v>45664</v>
      </c>
      <c r="C329" s="2">
        <v>45666.318333333336</v>
      </c>
      <c r="D329" t="s">
        <v>15</v>
      </c>
      <c r="E329" t="s">
        <v>32</v>
      </c>
      <c r="F329" t="s">
        <v>64</v>
      </c>
      <c r="G329" t="s">
        <v>18</v>
      </c>
      <c r="H329" t="s">
        <v>35</v>
      </c>
      <c r="I329" t="s">
        <v>45</v>
      </c>
      <c r="J329" t="s">
        <v>46</v>
      </c>
      <c r="K329">
        <v>48</v>
      </c>
      <c r="L329">
        <v>55.64</v>
      </c>
      <c r="M329">
        <v>3.1</v>
      </c>
      <c r="N329" t="s">
        <v>22</v>
      </c>
      <c r="O329" t="str">
        <f t="shared" si="5"/>
        <v>Yes</v>
      </c>
    </row>
    <row r="330" spans="1:15" x14ac:dyDescent="0.25">
      <c r="A330" t="s">
        <v>391</v>
      </c>
      <c r="B330" s="1">
        <v>45683</v>
      </c>
      <c r="C330" s="2">
        <v>45683.064583333333</v>
      </c>
      <c r="D330" t="s">
        <v>38</v>
      </c>
      <c r="E330" t="s">
        <v>25</v>
      </c>
      <c r="F330" t="s">
        <v>48</v>
      </c>
      <c r="G330" t="s">
        <v>18</v>
      </c>
      <c r="H330" t="s">
        <v>65</v>
      </c>
      <c r="I330" t="s">
        <v>20</v>
      </c>
      <c r="J330" t="s">
        <v>85</v>
      </c>
      <c r="K330">
        <v>8</v>
      </c>
      <c r="L330">
        <v>1.55</v>
      </c>
      <c r="M330">
        <v>5</v>
      </c>
      <c r="N330" t="s">
        <v>22</v>
      </c>
      <c r="O330" t="str">
        <f t="shared" si="5"/>
        <v>No</v>
      </c>
    </row>
    <row r="331" spans="1:15" x14ac:dyDescent="0.25">
      <c r="A331" t="s">
        <v>392</v>
      </c>
      <c r="B331" s="1">
        <v>45758</v>
      </c>
      <c r="C331" s="2">
        <v>45758.185416666667</v>
      </c>
      <c r="D331" t="s">
        <v>38</v>
      </c>
      <c r="E331" t="s">
        <v>32</v>
      </c>
      <c r="F331" t="s">
        <v>80</v>
      </c>
      <c r="G331" t="s">
        <v>56</v>
      </c>
      <c r="H331" t="s">
        <v>65</v>
      </c>
      <c r="I331" t="s">
        <v>20</v>
      </c>
      <c r="J331" t="s">
        <v>46</v>
      </c>
      <c r="K331">
        <v>8</v>
      </c>
      <c r="L331">
        <v>4.45</v>
      </c>
      <c r="M331">
        <v>2.9</v>
      </c>
      <c r="N331" t="s">
        <v>22</v>
      </c>
      <c r="O331" t="str">
        <f t="shared" si="5"/>
        <v>No</v>
      </c>
    </row>
    <row r="332" spans="1:15" x14ac:dyDescent="0.25">
      <c r="A332" t="s">
        <v>393</v>
      </c>
      <c r="B332" s="1">
        <v>45756</v>
      </c>
      <c r="C332" s="2">
        <v>45756.79583333333</v>
      </c>
      <c r="D332" t="s">
        <v>15</v>
      </c>
      <c r="E332" t="s">
        <v>45</v>
      </c>
      <c r="F332" t="s">
        <v>104</v>
      </c>
      <c r="G332" t="s">
        <v>56</v>
      </c>
      <c r="H332" t="s">
        <v>35</v>
      </c>
      <c r="I332" t="s">
        <v>36</v>
      </c>
      <c r="J332" t="s">
        <v>46</v>
      </c>
      <c r="K332">
        <v>48</v>
      </c>
      <c r="L332">
        <v>19.100000000000001</v>
      </c>
      <c r="M332">
        <v>4.5</v>
      </c>
      <c r="N332" t="s">
        <v>22</v>
      </c>
      <c r="O332" t="str">
        <f t="shared" si="5"/>
        <v>No</v>
      </c>
    </row>
    <row r="333" spans="1:15" x14ac:dyDescent="0.25">
      <c r="A333" t="s">
        <v>394</v>
      </c>
      <c r="B333" s="1">
        <v>45725</v>
      </c>
      <c r="C333" s="2">
        <v>45726.177916666667</v>
      </c>
      <c r="D333" t="s">
        <v>24</v>
      </c>
      <c r="E333" t="s">
        <v>16</v>
      </c>
      <c r="F333" t="s">
        <v>60</v>
      </c>
      <c r="G333" t="s">
        <v>41</v>
      </c>
      <c r="H333" t="s">
        <v>65</v>
      </c>
      <c r="I333" t="s">
        <v>36</v>
      </c>
      <c r="J333" t="s">
        <v>21</v>
      </c>
      <c r="K333">
        <v>24</v>
      </c>
      <c r="L333">
        <v>28.27</v>
      </c>
      <c r="M333">
        <v>3.4</v>
      </c>
      <c r="N333" t="s">
        <v>22</v>
      </c>
      <c r="O333" t="str">
        <f t="shared" si="5"/>
        <v>Yes</v>
      </c>
    </row>
    <row r="334" spans="1:15" x14ac:dyDescent="0.25">
      <c r="A334" t="s">
        <v>395</v>
      </c>
      <c r="B334" s="1">
        <v>45714</v>
      </c>
      <c r="C334" s="2">
        <v>45714.782500000001</v>
      </c>
      <c r="D334" t="s">
        <v>24</v>
      </c>
      <c r="E334" t="s">
        <v>32</v>
      </c>
      <c r="F334" t="s">
        <v>80</v>
      </c>
      <c r="G334" t="s">
        <v>18</v>
      </c>
      <c r="H334" t="s">
        <v>65</v>
      </c>
      <c r="I334" t="s">
        <v>36</v>
      </c>
      <c r="J334" t="s">
        <v>21</v>
      </c>
      <c r="K334">
        <v>24</v>
      </c>
      <c r="L334">
        <v>18.78</v>
      </c>
      <c r="M334">
        <v>4.9000000000000004</v>
      </c>
      <c r="N334" t="s">
        <v>22</v>
      </c>
      <c r="O334" t="str">
        <f t="shared" si="5"/>
        <v>No</v>
      </c>
    </row>
    <row r="335" spans="1:15" x14ac:dyDescent="0.25">
      <c r="A335" t="s">
        <v>396</v>
      </c>
      <c r="B335" s="1">
        <v>45808</v>
      </c>
      <c r="C335" s="2">
        <v>45808.042916666665</v>
      </c>
      <c r="D335" t="s">
        <v>38</v>
      </c>
      <c r="E335" t="s">
        <v>16</v>
      </c>
      <c r="F335" t="s">
        <v>43</v>
      </c>
      <c r="G335" t="s">
        <v>41</v>
      </c>
      <c r="H335" t="s">
        <v>27</v>
      </c>
      <c r="I335" t="s">
        <v>36</v>
      </c>
      <c r="J335" t="s">
        <v>21</v>
      </c>
      <c r="K335">
        <v>8</v>
      </c>
      <c r="L335">
        <v>1.03</v>
      </c>
      <c r="M335">
        <v>4.8</v>
      </c>
      <c r="N335" t="s">
        <v>22</v>
      </c>
      <c r="O335" t="str">
        <f t="shared" si="5"/>
        <v>No</v>
      </c>
    </row>
    <row r="336" spans="1:15" x14ac:dyDescent="0.25">
      <c r="A336" t="s">
        <v>397</v>
      </c>
      <c r="B336" s="1">
        <v>45741</v>
      </c>
      <c r="C336" s="2">
        <v>45742.415416666663</v>
      </c>
      <c r="D336" t="s">
        <v>24</v>
      </c>
      <c r="E336" t="s">
        <v>16</v>
      </c>
      <c r="F336" t="s">
        <v>58</v>
      </c>
      <c r="G336" t="s">
        <v>41</v>
      </c>
      <c r="H336" t="s">
        <v>19</v>
      </c>
      <c r="I336" t="s">
        <v>36</v>
      </c>
      <c r="J336" t="s">
        <v>21</v>
      </c>
      <c r="K336">
        <v>24</v>
      </c>
      <c r="L336">
        <v>33.97</v>
      </c>
      <c r="M336">
        <v>3.1</v>
      </c>
      <c r="N336" t="s">
        <v>22</v>
      </c>
      <c r="O336" t="str">
        <f t="shared" si="5"/>
        <v>Yes</v>
      </c>
    </row>
    <row r="337" spans="1:15" x14ac:dyDescent="0.25">
      <c r="A337" t="s">
        <v>398</v>
      </c>
      <c r="B337" s="1">
        <v>45804</v>
      </c>
      <c r="C337" s="2">
        <v>45804.978333333333</v>
      </c>
      <c r="D337" t="s">
        <v>24</v>
      </c>
      <c r="E337" t="s">
        <v>39</v>
      </c>
      <c r="F337" t="s">
        <v>119</v>
      </c>
      <c r="G337" t="s">
        <v>51</v>
      </c>
      <c r="H337" t="s">
        <v>27</v>
      </c>
      <c r="I337" t="s">
        <v>45</v>
      </c>
      <c r="J337" t="s">
        <v>21</v>
      </c>
      <c r="K337">
        <v>24</v>
      </c>
      <c r="L337">
        <v>23.48</v>
      </c>
      <c r="M337">
        <v>4.7</v>
      </c>
      <c r="N337" t="s">
        <v>22</v>
      </c>
      <c r="O337" t="str">
        <f t="shared" si="5"/>
        <v>No</v>
      </c>
    </row>
    <row r="338" spans="1:15" x14ac:dyDescent="0.25">
      <c r="A338" t="s">
        <v>399</v>
      </c>
      <c r="B338" s="1">
        <v>45832</v>
      </c>
      <c r="C338" s="2">
        <v>45832.36</v>
      </c>
      <c r="D338" t="s">
        <v>24</v>
      </c>
      <c r="E338" t="s">
        <v>32</v>
      </c>
      <c r="F338" t="s">
        <v>80</v>
      </c>
      <c r="G338" t="s">
        <v>56</v>
      </c>
      <c r="H338" t="s">
        <v>65</v>
      </c>
      <c r="I338" t="s">
        <v>45</v>
      </c>
      <c r="J338" t="s">
        <v>46</v>
      </c>
      <c r="K338">
        <v>24</v>
      </c>
      <c r="L338">
        <v>8.64</v>
      </c>
      <c r="M338">
        <v>4.5</v>
      </c>
      <c r="N338" t="s">
        <v>22</v>
      </c>
      <c r="O338" t="str">
        <f t="shared" si="5"/>
        <v>No</v>
      </c>
    </row>
    <row r="339" spans="1:15" x14ac:dyDescent="0.25">
      <c r="A339" t="s">
        <v>400</v>
      </c>
      <c r="B339" s="1">
        <v>45715</v>
      </c>
      <c r="C339" s="2">
        <v>45715.361250000002</v>
      </c>
      <c r="D339" t="s">
        <v>15</v>
      </c>
      <c r="E339" t="s">
        <v>16</v>
      </c>
      <c r="F339" t="s">
        <v>60</v>
      </c>
      <c r="G339" t="s">
        <v>41</v>
      </c>
      <c r="H339" t="s">
        <v>54</v>
      </c>
      <c r="I339" t="s">
        <v>36</v>
      </c>
      <c r="J339" t="s">
        <v>85</v>
      </c>
      <c r="K339">
        <v>48</v>
      </c>
      <c r="L339">
        <v>8.67</v>
      </c>
      <c r="M339">
        <v>4.5999999999999996</v>
      </c>
      <c r="N339" t="s">
        <v>22</v>
      </c>
      <c r="O339" t="str">
        <f t="shared" si="5"/>
        <v>No</v>
      </c>
    </row>
    <row r="340" spans="1:15" x14ac:dyDescent="0.25">
      <c r="A340" t="s">
        <v>401</v>
      </c>
      <c r="B340" s="1">
        <v>45694</v>
      </c>
      <c r="C340" s="2">
        <v>45694.584583333337</v>
      </c>
      <c r="D340" t="s">
        <v>24</v>
      </c>
      <c r="E340" t="s">
        <v>25</v>
      </c>
      <c r="F340" t="s">
        <v>70</v>
      </c>
      <c r="G340" t="s">
        <v>18</v>
      </c>
      <c r="H340" t="s">
        <v>27</v>
      </c>
      <c r="I340" t="s">
        <v>45</v>
      </c>
      <c r="J340" t="s">
        <v>46</v>
      </c>
      <c r="K340">
        <v>24</v>
      </c>
      <c r="L340">
        <v>14.03</v>
      </c>
      <c r="M340">
        <v>4</v>
      </c>
      <c r="N340" t="s">
        <v>61</v>
      </c>
      <c r="O340" t="str">
        <f t="shared" si="5"/>
        <v>No</v>
      </c>
    </row>
    <row r="341" spans="1:15" x14ac:dyDescent="0.25">
      <c r="A341" t="s">
        <v>402</v>
      </c>
      <c r="B341" s="1">
        <v>45830</v>
      </c>
      <c r="C341" s="2">
        <v>45831.217499999999</v>
      </c>
      <c r="D341" t="s">
        <v>15</v>
      </c>
      <c r="E341" t="s">
        <v>39</v>
      </c>
      <c r="F341" t="s">
        <v>78</v>
      </c>
      <c r="G341" t="s">
        <v>51</v>
      </c>
      <c r="H341" t="s">
        <v>54</v>
      </c>
      <c r="I341" t="s">
        <v>36</v>
      </c>
      <c r="J341" t="s">
        <v>46</v>
      </c>
      <c r="K341">
        <v>48</v>
      </c>
      <c r="L341">
        <v>29.22</v>
      </c>
      <c r="M341">
        <v>4.5</v>
      </c>
      <c r="N341" t="s">
        <v>22</v>
      </c>
      <c r="O341" t="str">
        <f t="shared" si="5"/>
        <v>No</v>
      </c>
    </row>
    <row r="342" spans="1:15" x14ac:dyDescent="0.25">
      <c r="A342" t="s">
        <v>403</v>
      </c>
      <c r="B342" s="1">
        <v>45772</v>
      </c>
      <c r="C342" s="2">
        <v>45772.027083333334</v>
      </c>
      <c r="D342" t="s">
        <v>38</v>
      </c>
      <c r="E342" t="s">
        <v>25</v>
      </c>
      <c r="F342" t="s">
        <v>53</v>
      </c>
      <c r="G342" t="s">
        <v>18</v>
      </c>
      <c r="H342" t="s">
        <v>27</v>
      </c>
      <c r="I342" t="s">
        <v>36</v>
      </c>
      <c r="J342" t="s">
        <v>21</v>
      </c>
      <c r="K342">
        <v>8</v>
      </c>
      <c r="L342">
        <v>0.65</v>
      </c>
      <c r="M342">
        <v>4.7</v>
      </c>
      <c r="N342" t="s">
        <v>22</v>
      </c>
      <c r="O342" t="str">
        <f t="shared" si="5"/>
        <v>No</v>
      </c>
    </row>
    <row r="343" spans="1:15" x14ac:dyDescent="0.25">
      <c r="A343" t="s">
        <v>404</v>
      </c>
      <c r="B343" s="1">
        <v>45710</v>
      </c>
      <c r="C343" s="2">
        <v>45710.554166666669</v>
      </c>
      <c r="D343" t="s">
        <v>24</v>
      </c>
      <c r="E343" t="s">
        <v>32</v>
      </c>
      <c r="F343" t="s">
        <v>33</v>
      </c>
      <c r="G343" t="s">
        <v>56</v>
      </c>
      <c r="H343" t="s">
        <v>54</v>
      </c>
      <c r="I343" t="s">
        <v>20</v>
      </c>
      <c r="J343" t="s">
        <v>21</v>
      </c>
      <c r="K343">
        <v>24</v>
      </c>
      <c r="L343">
        <v>13.3</v>
      </c>
      <c r="M343">
        <v>4.0999999999999996</v>
      </c>
      <c r="N343" t="s">
        <v>61</v>
      </c>
      <c r="O343" t="str">
        <f t="shared" si="5"/>
        <v>No</v>
      </c>
    </row>
    <row r="344" spans="1:15" x14ac:dyDescent="0.25">
      <c r="A344" t="s">
        <v>405</v>
      </c>
      <c r="B344" s="1">
        <v>45770</v>
      </c>
      <c r="C344" s="2">
        <v>45770.924166666664</v>
      </c>
      <c r="D344" t="s">
        <v>24</v>
      </c>
      <c r="E344" t="s">
        <v>32</v>
      </c>
      <c r="F344" t="s">
        <v>64</v>
      </c>
      <c r="G344" t="s">
        <v>51</v>
      </c>
      <c r="H344" t="s">
        <v>27</v>
      </c>
      <c r="I344" t="s">
        <v>20</v>
      </c>
      <c r="J344" t="s">
        <v>46</v>
      </c>
      <c r="K344">
        <v>24</v>
      </c>
      <c r="L344">
        <v>22.18</v>
      </c>
      <c r="M344">
        <v>4.8</v>
      </c>
      <c r="N344" t="s">
        <v>22</v>
      </c>
      <c r="O344" t="str">
        <f t="shared" si="5"/>
        <v>No</v>
      </c>
    </row>
    <row r="345" spans="1:15" x14ac:dyDescent="0.25">
      <c r="A345" t="s">
        <v>406</v>
      </c>
      <c r="B345" s="1">
        <v>45751</v>
      </c>
      <c r="C345" s="2">
        <v>45752.064583333333</v>
      </c>
      <c r="D345" t="s">
        <v>15</v>
      </c>
      <c r="E345" t="s">
        <v>16</v>
      </c>
      <c r="F345" t="s">
        <v>17</v>
      </c>
      <c r="G345" t="s">
        <v>51</v>
      </c>
      <c r="H345" t="s">
        <v>27</v>
      </c>
      <c r="I345" t="s">
        <v>36</v>
      </c>
      <c r="J345" t="s">
        <v>21</v>
      </c>
      <c r="K345">
        <v>48</v>
      </c>
      <c r="L345">
        <v>25.55</v>
      </c>
      <c r="M345">
        <v>4.4000000000000004</v>
      </c>
      <c r="N345" t="s">
        <v>61</v>
      </c>
      <c r="O345" t="str">
        <f t="shared" si="5"/>
        <v>No</v>
      </c>
    </row>
    <row r="346" spans="1:15" x14ac:dyDescent="0.25">
      <c r="A346" t="s">
        <v>407</v>
      </c>
      <c r="B346" s="1">
        <v>45821</v>
      </c>
      <c r="C346" s="2">
        <v>45821.938750000001</v>
      </c>
      <c r="D346" t="s">
        <v>15</v>
      </c>
      <c r="E346" t="s">
        <v>32</v>
      </c>
      <c r="F346" t="s">
        <v>33</v>
      </c>
      <c r="G346" t="s">
        <v>51</v>
      </c>
      <c r="H346" t="s">
        <v>27</v>
      </c>
      <c r="I346" t="s">
        <v>20</v>
      </c>
      <c r="J346" t="s">
        <v>21</v>
      </c>
      <c r="K346">
        <v>48</v>
      </c>
      <c r="L346">
        <v>22.53</v>
      </c>
      <c r="M346">
        <v>4.0999999999999996</v>
      </c>
      <c r="N346" t="s">
        <v>22</v>
      </c>
      <c r="O346" t="str">
        <f t="shared" si="5"/>
        <v>No</v>
      </c>
    </row>
    <row r="347" spans="1:15" x14ac:dyDescent="0.25">
      <c r="A347" t="s">
        <v>408</v>
      </c>
      <c r="B347" s="1">
        <v>45704</v>
      </c>
      <c r="C347" s="2">
        <v>45704.427083333336</v>
      </c>
      <c r="D347" t="s">
        <v>24</v>
      </c>
      <c r="E347" t="s">
        <v>32</v>
      </c>
      <c r="F347" t="s">
        <v>80</v>
      </c>
      <c r="G347" t="s">
        <v>18</v>
      </c>
      <c r="H347" t="s">
        <v>27</v>
      </c>
      <c r="I347" t="s">
        <v>20</v>
      </c>
      <c r="J347" t="s">
        <v>29</v>
      </c>
      <c r="K347">
        <v>24</v>
      </c>
      <c r="L347">
        <v>10.25</v>
      </c>
      <c r="M347">
        <v>3.8</v>
      </c>
      <c r="N347" t="s">
        <v>22</v>
      </c>
      <c r="O347" t="str">
        <f t="shared" si="5"/>
        <v>No</v>
      </c>
    </row>
    <row r="348" spans="1:15" x14ac:dyDescent="0.25">
      <c r="A348" t="s">
        <v>409</v>
      </c>
      <c r="B348" s="1">
        <v>45837</v>
      </c>
      <c r="C348" s="2">
        <v>45837.504999999997</v>
      </c>
      <c r="D348" t="s">
        <v>15</v>
      </c>
      <c r="E348" t="s">
        <v>16</v>
      </c>
      <c r="F348" t="s">
        <v>60</v>
      </c>
      <c r="G348" t="s">
        <v>56</v>
      </c>
      <c r="H348" t="s">
        <v>19</v>
      </c>
      <c r="I348" t="s">
        <v>45</v>
      </c>
      <c r="J348" t="s">
        <v>21</v>
      </c>
      <c r="K348">
        <v>48</v>
      </c>
      <c r="L348">
        <v>12.12</v>
      </c>
      <c r="M348">
        <v>4.8</v>
      </c>
      <c r="N348" t="s">
        <v>22</v>
      </c>
      <c r="O348" t="str">
        <f t="shared" si="5"/>
        <v>No</v>
      </c>
    </row>
    <row r="349" spans="1:15" x14ac:dyDescent="0.25">
      <c r="A349" t="s">
        <v>410</v>
      </c>
      <c r="B349" s="1">
        <v>45827</v>
      </c>
      <c r="C349" s="2">
        <v>45829.10833333333</v>
      </c>
      <c r="D349" t="s">
        <v>15</v>
      </c>
      <c r="E349" t="s">
        <v>39</v>
      </c>
      <c r="F349" t="s">
        <v>119</v>
      </c>
      <c r="G349" t="s">
        <v>34</v>
      </c>
      <c r="H349" t="s">
        <v>65</v>
      </c>
      <c r="I349" t="s">
        <v>28</v>
      </c>
      <c r="J349" t="s">
        <v>21</v>
      </c>
      <c r="K349">
        <v>48</v>
      </c>
      <c r="L349">
        <v>50.6</v>
      </c>
      <c r="M349">
        <v>3.4</v>
      </c>
      <c r="N349" t="s">
        <v>22</v>
      </c>
      <c r="O349" t="str">
        <f t="shared" si="5"/>
        <v>Yes</v>
      </c>
    </row>
    <row r="350" spans="1:15" x14ac:dyDescent="0.25">
      <c r="A350" t="s">
        <v>411</v>
      </c>
      <c r="B350" s="1">
        <v>45690</v>
      </c>
      <c r="C350" s="2">
        <v>45690.125416666669</v>
      </c>
      <c r="D350" t="s">
        <v>38</v>
      </c>
      <c r="E350" t="s">
        <v>32</v>
      </c>
      <c r="F350" t="s">
        <v>75</v>
      </c>
      <c r="G350" t="s">
        <v>34</v>
      </c>
      <c r="H350" t="s">
        <v>35</v>
      </c>
      <c r="I350" t="s">
        <v>36</v>
      </c>
      <c r="J350" t="s">
        <v>21</v>
      </c>
      <c r="K350">
        <v>8</v>
      </c>
      <c r="L350">
        <v>3.01</v>
      </c>
      <c r="M350">
        <v>4.3</v>
      </c>
      <c r="N350" t="s">
        <v>22</v>
      </c>
      <c r="O350" t="str">
        <f t="shared" si="5"/>
        <v>No</v>
      </c>
    </row>
    <row r="351" spans="1:15" x14ac:dyDescent="0.25">
      <c r="A351" t="s">
        <v>412</v>
      </c>
      <c r="B351" s="1">
        <v>45687</v>
      </c>
      <c r="C351" s="2">
        <v>45687.584166666667</v>
      </c>
      <c r="D351" t="s">
        <v>24</v>
      </c>
      <c r="E351" t="s">
        <v>16</v>
      </c>
      <c r="F351" t="s">
        <v>60</v>
      </c>
      <c r="G351" t="s">
        <v>41</v>
      </c>
      <c r="H351" t="s">
        <v>35</v>
      </c>
      <c r="I351" t="s">
        <v>36</v>
      </c>
      <c r="J351" t="s">
        <v>46</v>
      </c>
      <c r="K351">
        <v>24</v>
      </c>
      <c r="L351">
        <v>14.02</v>
      </c>
      <c r="M351">
        <v>3.7</v>
      </c>
      <c r="N351" t="s">
        <v>22</v>
      </c>
      <c r="O351" t="str">
        <f t="shared" si="5"/>
        <v>No</v>
      </c>
    </row>
    <row r="352" spans="1:15" x14ac:dyDescent="0.25">
      <c r="A352" t="s">
        <v>413</v>
      </c>
      <c r="B352" s="1">
        <v>45754</v>
      </c>
      <c r="C352" s="2">
        <v>45754.149155092593</v>
      </c>
      <c r="D352" t="s">
        <v>24</v>
      </c>
      <c r="E352" t="s">
        <v>16</v>
      </c>
      <c r="F352" t="s">
        <v>43</v>
      </c>
      <c r="G352" t="s">
        <v>34</v>
      </c>
      <c r="H352" t="s">
        <v>54</v>
      </c>
      <c r="I352" t="s">
        <v>20</v>
      </c>
      <c r="J352" t="s">
        <v>21</v>
      </c>
      <c r="K352">
        <v>24</v>
      </c>
      <c r="L352">
        <v>3.58</v>
      </c>
      <c r="M352">
        <v>4.9000000000000004</v>
      </c>
      <c r="N352" t="s">
        <v>22</v>
      </c>
      <c r="O352" t="str">
        <f t="shared" si="5"/>
        <v>No</v>
      </c>
    </row>
    <row r="353" spans="1:15" x14ac:dyDescent="0.25">
      <c r="A353" t="s">
        <v>414</v>
      </c>
      <c r="B353" s="1">
        <v>45666</v>
      </c>
      <c r="C353" s="2">
        <v>45666.456666666665</v>
      </c>
      <c r="D353" t="s">
        <v>24</v>
      </c>
      <c r="E353" t="s">
        <v>25</v>
      </c>
      <c r="F353" t="s">
        <v>48</v>
      </c>
      <c r="G353" t="s">
        <v>34</v>
      </c>
      <c r="H353" t="s">
        <v>65</v>
      </c>
      <c r="I353" t="s">
        <v>45</v>
      </c>
      <c r="J353" t="s">
        <v>46</v>
      </c>
      <c r="K353">
        <v>24</v>
      </c>
      <c r="L353">
        <v>10.96</v>
      </c>
      <c r="M353">
        <v>3.6</v>
      </c>
      <c r="N353" t="s">
        <v>22</v>
      </c>
      <c r="O353" t="str">
        <f t="shared" si="5"/>
        <v>No</v>
      </c>
    </row>
    <row r="354" spans="1:15" x14ac:dyDescent="0.25">
      <c r="A354" t="s">
        <v>415</v>
      </c>
      <c r="B354" s="1">
        <v>45712</v>
      </c>
      <c r="C354" s="2">
        <v>45712.238333333335</v>
      </c>
      <c r="D354" t="s">
        <v>38</v>
      </c>
      <c r="E354" t="s">
        <v>16</v>
      </c>
      <c r="F354" t="s">
        <v>60</v>
      </c>
      <c r="G354" t="s">
        <v>34</v>
      </c>
      <c r="H354" t="s">
        <v>27</v>
      </c>
      <c r="I354" t="s">
        <v>36</v>
      </c>
      <c r="J354" t="s">
        <v>21</v>
      </c>
      <c r="K354">
        <v>8</v>
      </c>
      <c r="L354">
        <v>5.72</v>
      </c>
      <c r="M354">
        <v>4.4000000000000004</v>
      </c>
      <c r="N354" t="s">
        <v>22</v>
      </c>
      <c r="O354" t="str">
        <f t="shared" si="5"/>
        <v>No</v>
      </c>
    </row>
    <row r="355" spans="1:15" x14ac:dyDescent="0.25">
      <c r="A355" t="s">
        <v>416</v>
      </c>
      <c r="B355" s="1">
        <v>45736</v>
      </c>
      <c r="C355" s="2">
        <v>45736.369583333333</v>
      </c>
      <c r="D355" t="s">
        <v>24</v>
      </c>
      <c r="E355" t="s">
        <v>16</v>
      </c>
      <c r="F355" t="s">
        <v>43</v>
      </c>
      <c r="G355" t="s">
        <v>18</v>
      </c>
      <c r="H355" t="s">
        <v>19</v>
      </c>
      <c r="I355" t="s">
        <v>36</v>
      </c>
      <c r="J355" t="s">
        <v>46</v>
      </c>
      <c r="K355">
        <v>24</v>
      </c>
      <c r="L355">
        <v>8.8699999999999992</v>
      </c>
      <c r="M355">
        <v>4.2</v>
      </c>
      <c r="N355" t="s">
        <v>22</v>
      </c>
      <c r="O355" t="str">
        <f t="shared" si="5"/>
        <v>No</v>
      </c>
    </row>
    <row r="356" spans="1:15" x14ac:dyDescent="0.25">
      <c r="A356" t="s">
        <v>417</v>
      </c>
      <c r="B356" s="1">
        <v>45833</v>
      </c>
      <c r="C356" s="2">
        <v>45833.126250000001</v>
      </c>
      <c r="D356" t="s">
        <v>38</v>
      </c>
      <c r="E356" t="s">
        <v>32</v>
      </c>
      <c r="F356" t="s">
        <v>80</v>
      </c>
      <c r="G356" t="s">
        <v>56</v>
      </c>
      <c r="H356" t="s">
        <v>65</v>
      </c>
      <c r="I356" t="s">
        <v>36</v>
      </c>
      <c r="J356" t="s">
        <v>29</v>
      </c>
      <c r="K356">
        <v>8</v>
      </c>
      <c r="L356">
        <v>3.03</v>
      </c>
      <c r="M356">
        <v>5</v>
      </c>
      <c r="N356" t="s">
        <v>22</v>
      </c>
      <c r="O356" t="str">
        <f t="shared" si="5"/>
        <v>No</v>
      </c>
    </row>
    <row r="357" spans="1:15" x14ac:dyDescent="0.25">
      <c r="A357" t="s">
        <v>418</v>
      </c>
      <c r="B357" s="1">
        <v>45837</v>
      </c>
      <c r="C357" s="2">
        <v>45837.164583333331</v>
      </c>
      <c r="D357" t="s">
        <v>38</v>
      </c>
      <c r="E357" t="s">
        <v>25</v>
      </c>
      <c r="F357" t="s">
        <v>26</v>
      </c>
      <c r="G357" t="s">
        <v>41</v>
      </c>
      <c r="H357" t="s">
        <v>54</v>
      </c>
      <c r="I357" t="s">
        <v>36</v>
      </c>
      <c r="J357" t="s">
        <v>21</v>
      </c>
      <c r="K357">
        <v>8</v>
      </c>
      <c r="L357">
        <v>3.95</v>
      </c>
      <c r="M357">
        <v>4.7</v>
      </c>
      <c r="N357" t="s">
        <v>22</v>
      </c>
      <c r="O357" t="str">
        <f t="shared" si="5"/>
        <v>No</v>
      </c>
    </row>
    <row r="358" spans="1:15" x14ac:dyDescent="0.25">
      <c r="A358" t="s">
        <v>419</v>
      </c>
      <c r="B358" s="1">
        <v>45685</v>
      </c>
      <c r="C358" s="2">
        <v>45685.695</v>
      </c>
      <c r="D358" t="s">
        <v>24</v>
      </c>
      <c r="E358" t="s">
        <v>32</v>
      </c>
      <c r="F358" t="s">
        <v>75</v>
      </c>
      <c r="G358" t="s">
        <v>41</v>
      </c>
      <c r="H358" t="s">
        <v>35</v>
      </c>
      <c r="I358" t="s">
        <v>36</v>
      </c>
      <c r="J358" t="s">
        <v>46</v>
      </c>
      <c r="K358">
        <v>24</v>
      </c>
      <c r="L358">
        <v>16.68</v>
      </c>
      <c r="M358">
        <v>4.2</v>
      </c>
      <c r="N358" t="s">
        <v>22</v>
      </c>
      <c r="O358" t="str">
        <f t="shared" si="5"/>
        <v>No</v>
      </c>
    </row>
    <row r="359" spans="1:15" x14ac:dyDescent="0.25">
      <c r="A359" t="s">
        <v>420</v>
      </c>
      <c r="B359" s="1">
        <v>45819</v>
      </c>
      <c r="C359" s="2">
        <v>45819.551249999997</v>
      </c>
      <c r="D359" t="s">
        <v>24</v>
      </c>
      <c r="E359" t="s">
        <v>32</v>
      </c>
      <c r="F359" t="s">
        <v>80</v>
      </c>
      <c r="G359" t="s">
        <v>56</v>
      </c>
      <c r="H359" t="s">
        <v>54</v>
      </c>
      <c r="I359" t="s">
        <v>28</v>
      </c>
      <c r="J359" t="s">
        <v>21</v>
      </c>
      <c r="K359">
        <v>24</v>
      </c>
      <c r="L359">
        <v>13.23</v>
      </c>
      <c r="M359">
        <v>4.9000000000000004</v>
      </c>
      <c r="N359" t="s">
        <v>61</v>
      </c>
      <c r="O359" t="str">
        <f t="shared" si="5"/>
        <v>No</v>
      </c>
    </row>
    <row r="360" spans="1:15" x14ac:dyDescent="0.25">
      <c r="A360" t="s">
        <v>421</v>
      </c>
      <c r="B360" s="1">
        <v>45674</v>
      </c>
      <c r="C360" s="2">
        <v>45674.587916666664</v>
      </c>
      <c r="D360" t="s">
        <v>38</v>
      </c>
      <c r="E360" t="s">
        <v>25</v>
      </c>
      <c r="F360" t="s">
        <v>26</v>
      </c>
      <c r="G360" t="s">
        <v>18</v>
      </c>
      <c r="H360" t="s">
        <v>44</v>
      </c>
      <c r="I360" t="s">
        <v>36</v>
      </c>
      <c r="J360" t="s">
        <v>21</v>
      </c>
      <c r="K360">
        <v>8</v>
      </c>
      <c r="L360">
        <v>14.11</v>
      </c>
      <c r="M360">
        <v>3.9</v>
      </c>
      <c r="N360" t="s">
        <v>22</v>
      </c>
      <c r="O360" t="str">
        <f t="shared" si="5"/>
        <v>Yes</v>
      </c>
    </row>
    <row r="361" spans="1:15" x14ac:dyDescent="0.25">
      <c r="A361" t="s">
        <v>422</v>
      </c>
      <c r="B361" s="1">
        <v>45793</v>
      </c>
      <c r="C361" s="2">
        <v>45794.16</v>
      </c>
      <c r="D361" t="s">
        <v>24</v>
      </c>
      <c r="E361" t="s">
        <v>25</v>
      </c>
      <c r="F361" t="s">
        <v>26</v>
      </c>
      <c r="G361" t="s">
        <v>18</v>
      </c>
      <c r="H361" t="s">
        <v>54</v>
      </c>
      <c r="I361" t="s">
        <v>20</v>
      </c>
      <c r="J361" t="s">
        <v>21</v>
      </c>
      <c r="K361">
        <v>24</v>
      </c>
      <c r="L361">
        <v>27.84</v>
      </c>
      <c r="M361">
        <v>4.4000000000000004</v>
      </c>
      <c r="N361" t="s">
        <v>22</v>
      </c>
      <c r="O361" t="str">
        <f t="shared" si="5"/>
        <v>Yes</v>
      </c>
    </row>
    <row r="362" spans="1:15" x14ac:dyDescent="0.25">
      <c r="A362" t="s">
        <v>423</v>
      </c>
      <c r="B362" s="1">
        <v>45811</v>
      </c>
      <c r="C362" s="2">
        <v>45811.314583333333</v>
      </c>
      <c r="D362" t="s">
        <v>24</v>
      </c>
      <c r="E362" t="s">
        <v>16</v>
      </c>
      <c r="F362" t="s">
        <v>58</v>
      </c>
      <c r="G362" t="s">
        <v>18</v>
      </c>
      <c r="H362" t="s">
        <v>65</v>
      </c>
      <c r="I362" t="s">
        <v>36</v>
      </c>
      <c r="J362" t="s">
        <v>21</v>
      </c>
      <c r="K362">
        <v>24</v>
      </c>
      <c r="L362">
        <v>7.55</v>
      </c>
      <c r="M362">
        <v>3.8</v>
      </c>
      <c r="N362" t="s">
        <v>22</v>
      </c>
      <c r="O362" t="str">
        <f t="shared" si="5"/>
        <v>No</v>
      </c>
    </row>
    <row r="363" spans="1:15" x14ac:dyDescent="0.25">
      <c r="A363" t="s">
        <v>424</v>
      </c>
      <c r="B363" s="1">
        <v>45819</v>
      </c>
      <c r="C363" s="2">
        <v>45820.014999999999</v>
      </c>
      <c r="D363" t="s">
        <v>24</v>
      </c>
      <c r="E363" t="s">
        <v>32</v>
      </c>
      <c r="F363" t="s">
        <v>75</v>
      </c>
      <c r="G363" t="s">
        <v>56</v>
      </c>
      <c r="H363" t="s">
        <v>19</v>
      </c>
      <c r="I363" t="s">
        <v>36</v>
      </c>
      <c r="J363" t="s">
        <v>85</v>
      </c>
      <c r="K363">
        <v>24</v>
      </c>
      <c r="L363">
        <v>24.36</v>
      </c>
      <c r="M363">
        <v>3.4</v>
      </c>
      <c r="N363" t="s">
        <v>22</v>
      </c>
      <c r="O363" t="str">
        <f t="shared" si="5"/>
        <v>Yes</v>
      </c>
    </row>
    <row r="364" spans="1:15" x14ac:dyDescent="0.25">
      <c r="A364" t="s">
        <v>425</v>
      </c>
      <c r="B364" s="1">
        <v>45698</v>
      </c>
      <c r="C364" s="2">
        <v>45698.079583333332</v>
      </c>
      <c r="D364" t="s">
        <v>24</v>
      </c>
      <c r="E364" t="s">
        <v>32</v>
      </c>
      <c r="F364" t="s">
        <v>75</v>
      </c>
      <c r="G364" t="s">
        <v>41</v>
      </c>
      <c r="H364" t="s">
        <v>27</v>
      </c>
      <c r="I364" t="s">
        <v>28</v>
      </c>
      <c r="J364" t="s">
        <v>46</v>
      </c>
      <c r="K364">
        <v>24</v>
      </c>
      <c r="L364">
        <v>1.91</v>
      </c>
      <c r="M364">
        <v>4.5999999999999996</v>
      </c>
      <c r="N364" t="s">
        <v>22</v>
      </c>
      <c r="O364" t="str">
        <f t="shared" si="5"/>
        <v>No</v>
      </c>
    </row>
    <row r="365" spans="1:15" x14ac:dyDescent="0.25">
      <c r="A365" t="s">
        <v>426</v>
      </c>
      <c r="B365" s="1">
        <v>45819</v>
      </c>
      <c r="C365" s="2">
        <v>45819.792500000003</v>
      </c>
      <c r="D365" t="s">
        <v>15</v>
      </c>
      <c r="E365" t="s">
        <v>16</v>
      </c>
      <c r="F365" t="s">
        <v>60</v>
      </c>
      <c r="G365" t="s">
        <v>34</v>
      </c>
      <c r="H365" t="s">
        <v>27</v>
      </c>
      <c r="I365" t="s">
        <v>36</v>
      </c>
      <c r="J365" t="s">
        <v>29</v>
      </c>
      <c r="K365">
        <v>48</v>
      </c>
      <c r="L365">
        <v>19.02</v>
      </c>
      <c r="M365">
        <v>4.9000000000000004</v>
      </c>
      <c r="N365" t="s">
        <v>22</v>
      </c>
      <c r="O365" t="str">
        <f t="shared" si="5"/>
        <v>No</v>
      </c>
    </row>
    <row r="366" spans="1:15" x14ac:dyDescent="0.25">
      <c r="A366" t="s">
        <v>427</v>
      </c>
      <c r="B366" s="1">
        <v>45678</v>
      </c>
      <c r="C366" s="2">
        <v>45678.11791666667</v>
      </c>
      <c r="D366" t="s">
        <v>24</v>
      </c>
      <c r="E366" t="s">
        <v>25</v>
      </c>
      <c r="F366" t="s">
        <v>53</v>
      </c>
      <c r="G366" t="s">
        <v>51</v>
      </c>
      <c r="H366" t="s">
        <v>19</v>
      </c>
      <c r="I366" t="s">
        <v>36</v>
      </c>
      <c r="J366" t="s">
        <v>21</v>
      </c>
      <c r="K366">
        <v>24</v>
      </c>
      <c r="L366">
        <v>2.83</v>
      </c>
      <c r="M366">
        <v>4.5</v>
      </c>
      <c r="N366" t="s">
        <v>22</v>
      </c>
      <c r="O366" t="str">
        <f t="shared" si="5"/>
        <v>No</v>
      </c>
    </row>
    <row r="367" spans="1:15" x14ac:dyDescent="0.25">
      <c r="A367" t="s">
        <v>428</v>
      </c>
      <c r="B367" s="1">
        <v>45751</v>
      </c>
      <c r="C367" s="2">
        <v>45752.501250000001</v>
      </c>
      <c r="D367" t="s">
        <v>15</v>
      </c>
      <c r="E367" t="s">
        <v>39</v>
      </c>
      <c r="F367" t="s">
        <v>40</v>
      </c>
      <c r="G367" t="s">
        <v>51</v>
      </c>
      <c r="H367" t="s">
        <v>27</v>
      </c>
      <c r="I367" t="s">
        <v>20</v>
      </c>
      <c r="J367" t="s">
        <v>46</v>
      </c>
      <c r="K367">
        <v>48</v>
      </c>
      <c r="L367">
        <v>36.03</v>
      </c>
      <c r="M367">
        <v>3.7</v>
      </c>
      <c r="N367" t="s">
        <v>22</v>
      </c>
      <c r="O367" t="str">
        <f t="shared" si="5"/>
        <v>No</v>
      </c>
    </row>
    <row r="368" spans="1:15" x14ac:dyDescent="0.25">
      <c r="A368" t="s">
        <v>429</v>
      </c>
      <c r="B368" s="1">
        <v>45742</v>
      </c>
      <c r="C368" s="2">
        <v>45742.369583333333</v>
      </c>
      <c r="D368" t="s">
        <v>24</v>
      </c>
      <c r="E368" t="s">
        <v>32</v>
      </c>
      <c r="F368" t="s">
        <v>75</v>
      </c>
      <c r="G368" t="s">
        <v>34</v>
      </c>
      <c r="H368" t="s">
        <v>65</v>
      </c>
      <c r="I368" t="s">
        <v>36</v>
      </c>
      <c r="J368" t="s">
        <v>46</v>
      </c>
      <c r="K368">
        <v>24</v>
      </c>
      <c r="L368">
        <v>8.8699999999999992</v>
      </c>
      <c r="M368">
        <v>4.0999999999999996</v>
      </c>
      <c r="N368" t="s">
        <v>22</v>
      </c>
      <c r="O368" t="str">
        <f t="shared" si="5"/>
        <v>No</v>
      </c>
    </row>
    <row r="369" spans="1:15" x14ac:dyDescent="0.25">
      <c r="A369" t="s">
        <v>430</v>
      </c>
      <c r="B369" s="1">
        <v>45715</v>
      </c>
      <c r="C369" s="2">
        <v>45715.170416666668</v>
      </c>
      <c r="D369" t="s">
        <v>24</v>
      </c>
      <c r="E369" t="s">
        <v>32</v>
      </c>
      <c r="F369" t="s">
        <v>80</v>
      </c>
      <c r="G369" t="s">
        <v>51</v>
      </c>
      <c r="H369" t="s">
        <v>19</v>
      </c>
      <c r="I369" t="s">
        <v>36</v>
      </c>
      <c r="J369" t="s">
        <v>21</v>
      </c>
      <c r="K369">
        <v>24</v>
      </c>
      <c r="L369">
        <v>4.09</v>
      </c>
      <c r="M369">
        <v>5</v>
      </c>
      <c r="N369" t="s">
        <v>22</v>
      </c>
      <c r="O369" t="str">
        <f t="shared" si="5"/>
        <v>No</v>
      </c>
    </row>
    <row r="370" spans="1:15" x14ac:dyDescent="0.25">
      <c r="A370" t="s">
        <v>431</v>
      </c>
      <c r="B370" s="1">
        <v>45662</v>
      </c>
      <c r="C370" s="2">
        <v>45662.287499999999</v>
      </c>
      <c r="D370" t="s">
        <v>38</v>
      </c>
      <c r="E370" t="s">
        <v>16</v>
      </c>
      <c r="F370" t="s">
        <v>43</v>
      </c>
      <c r="G370" t="s">
        <v>18</v>
      </c>
      <c r="H370" t="s">
        <v>54</v>
      </c>
      <c r="I370" t="s">
        <v>28</v>
      </c>
      <c r="J370" t="s">
        <v>46</v>
      </c>
      <c r="K370">
        <v>8</v>
      </c>
      <c r="L370">
        <v>6.9</v>
      </c>
      <c r="M370">
        <v>4.4000000000000004</v>
      </c>
      <c r="N370" t="s">
        <v>22</v>
      </c>
      <c r="O370" t="str">
        <f t="shared" si="5"/>
        <v>No</v>
      </c>
    </row>
    <row r="371" spans="1:15" x14ac:dyDescent="0.25">
      <c r="A371" t="s">
        <v>432</v>
      </c>
      <c r="B371" s="1">
        <v>45797</v>
      </c>
      <c r="C371" s="2">
        <v>45797.387071759258</v>
      </c>
      <c r="D371" t="s">
        <v>15</v>
      </c>
      <c r="E371" t="s">
        <v>16</v>
      </c>
      <c r="F371" t="s">
        <v>43</v>
      </c>
      <c r="G371" t="s">
        <v>34</v>
      </c>
      <c r="H371" t="s">
        <v>54</v>
      </c>
      <c r="I371" t="s">
        <v>36</v>
      </c>
      <c r="J371" t="s">
        <v>29</v>
      </c>
      <c r="K371">
        <v>48</v>
      </c>
      <c r="L371">
        <v>9.2899999999999991</v>
      </c>
      <c r="M371">
        <v>4</v>
      </c>
      <c r="N371" t="s">
        <v>22</v>
      </c>
      <c r="O371" t="str">
        <f t="shared" si="5"/>
        <v>No</v>
      </c>
    </row>
    <row r="372" spans="1:15" x14ac:dyDescent="0.25">
      <c r="A372" t="s">
        <v>433</v>
      </c>
      <c r="B372" s="1">
        <v>45718</v>
      </c>
      <c r="C372" s="2">
        <v>45718.805</v>
      </c>
      <c r="D372" t="s">
        <v>24</v>
      </c>
      <c r="E372" t="s">
        <v>32</v>
      </c>
      <c r="F372" t="s">
        <v>80</v>
      </c>
      <c r="G372" t="s">
        <v>56</v>
      </c>
      <c r="H372" t="s">
        <v>44</v>
      </c>
      <c r="I372" t="s">
        <v>45</v>
      </c>
      <c r="J372" t="s">
        <v>29</v>
      </c>
      <c r="K372">
        <v>24</v>
      </c>
      <c r="L372">
        <v>19.32</v>
      </c>
      <c r="M372">
        <v>3.7</v>
      </c>
      <c r="N372" t="s">
        <v>22</v>
      </c>
      <c r="O372" t="str">
        <f t="shared" si="5"/>
        <v>No</v>
      </c>
    </row>
    <row r="373" spans="1:15" x14ac:dyDescent="0.25">
      <c r="A373" t="s">
        <v>434</v>
      </c>
      <c r="B373" s="1">
        <v>45777</v>
      </c>
      <c r="C373" s="2">
        <v>45777.597500000003</v>
      </c>
      <c r="D373" t="s">
        <v>24</v>
      </c>
      <c r="E373" t="s">
        <v>32</v>
      </c>
      <c r="F373" t="s">
        <v>33</v>
      </c>
      <c r="G373" t="s">
        <v>56</v>
      </c>
      <c r="H373" t="s">
        <v>27</v>
      </c>
      <c r="I373" t="s">
        <v>36</v>
      </c>
      <c r="J373" t="s">
        <v>85</v>
      </c>
      <c r="K373">
        <v>24</v>
      </c>
      <c r="L373">
        <v>14.34</v>
      </c>
      <c r="M373">
        <v>3.1</v>
      </c>
      <c r="N373" t="s">
        <v>22</v>
      </c>
      <c r="O373" t="str">
        <f t="shared" si="5"/>
        <v>No</v>
      </c>
    </row>
    <row r="374" spans="1:15" x14ac:dyDescent="0.25">
      <c r="A374" t="s">
        <v>435</v>
      </c>
      <c r="B374" s="1">
        <v>45732</v>
      </c>
      <c r="C374" s="2">
        <v>45732.85083333333</v>
      </c>
      <c r="D374" t="s">
        <v>15</v>
      </c>
      <c r="E374" t="s">
        <v>32</v>
      </c>
      <c r="F374" t="s">
        <v>64</v>
      </c>
      <c r="G374" t="s">
        <v>56</v>
      </c>
      <c r="H374" t="s">
        <v>27</v>
      </c>
      <c r="I374" t="s">
        <v>36</v>
      </c>
      <c r="J374" t="s">
        <v>21</v>
      </c>
      <c r="K374">
        <v>48</v>
      </c>
      <c r="L374">
        <v>20.420000000000002</v>
      </c>
      <c r="M374">
        <v>2.9</v>
      </c>
      <c r="N374" t="s">
        <v>22</v>
      </c>
      <c r="O374" t="str">
        <f t="shared" si="5"/>
        <v>No</v>
      </c>
    </row>
    <row r="375" spans="1:15" x14ac:dyDescent="0.25">
      <c r="A375" t="s">
        <v>436</v>
      </c>
      <c r="B375" s="1">
        <v>45725</v>
      </c>
      <c r="C375" s="2">
        <v>45726.884583333333</v>
      </c>
      <c r="D375" t="s">
        <v>15</v>
      </c>
      <c r="E375" t="s">
        <v>32</v>
      </c>
      <c r="F375" t="s">
        <v>64</v>
      </c>
      <c r="G375" t="s">
        <v>41</v>
      </c>
      <c r="H375" t="s">
        <v>65</v>
      </c>
      <c r="I375" t="s">
        <v>45</v>
      </c>
      <c r="J375" t="s">
        <v>29</v>
      </c>
      <c r="K375">
        <v>48</v>
      </c>
      <c r="L375">
        <v>45.23</v>
      </c>
      <c r="M375">
        <v>4.2</v>
      </c>
      <c r="N375" t="s">
        <v>22</v>
      </c>
      <c r="O375" t="str">
        <f t="shared" si="5"/>
        <v>No</v>
      </c>
    </row>
    <row r="376" spans="1:15" x14ac:dyDescent="0.25">
      <c r="A376" t="s">
        <v>437</v>
      </c>
      <c r="B376" s="1">
        <v>45818</v>
      </c>
      <c r="C376" s="2">
        <v>45818.457916666666</v>
      </c>
      <c r="D376" t="s">
        <v>15</v>
      </c>
      <c r="E376" t="s">
        <v>16</v>
      </c>
      <c r="F376" t="s">
        <v>43</v>
      </c>
      <c r="G376" t="s">
        <v>34</v>
      </c>
      <c r="H376" t="s">
        <v>54</v>
      </c>
      <c r="I376" t="s">
        <v>45</v>
      </c>
      <c r="J376" t="s">
        <v>85</v>
      </c>
      <c r="K376">
        <v>48</v>
      </c>
      <c r="L376">
        <v>10.99</v>
      </c>
      <c r="M376">
        <v>4.9000000000000004</v>
      </c>
      <c r="N376" t="s">
        <v>22</v>
      </c>
      <c r="O376" t="str">
        <f t="shared" si="5"/>
        <v>No</v>
      </c>
    </row>
    <row r="377" spans="1:15" x14ac:dyDescent="0.25">
      <c r="A377" t="s">
        <v>438</v>
      </c>
      <c r="B377" s="1">
        <v>45675</v>
      </c>
      <c r="C377" s="2">
        <v>45675.189583333333</v>
      </c>
      <c r="D377" t="s">
        <v>15</v>
      </c>
      <c r="E377" t="s">
        <v>32</v>
      </c>
      <c r="F377" t="s">
        <v>33</v>
      </c>
      <c r="G377" t="s">
        <v>34</v>
      </c>
      <c r="H377" t="s">
        <v>65</v>
      </c>
      <c r="I377" t="s">
        <v>36</v>
      </c>
      <c r="J377" t="s">
        <v>46</v>
      </c>
      <c r="K377">
        <v>48</v>
      </c>
      <c r="L377">
        <v>4.55</v>
      </c>
      <c r="M377">
        <v>5</v>
      </c>
      <c r="N377" t="s">
        <v>22</v>
      </c>
      <c r="O377" t="str">
        <f t="shared" si="5"/>
        <v>No</v>
      </c>
    </row>
    <row r="378" spans="1:15" x14ac:dyDescent="0.25">
      <c r="A378" t="s">
        <v>439</v>
      </c>
      <c r="B378" s="1">
        <v>45791</v>
      </c>
      <c r="C378" s="2">
        <v>45791.364999999998</v>
      </c>
      <c r="D378" t="s">
        <v>15</v>
      </c>
      <c r="E378" t="s">
        <v>16</v>
      </c>
      <c r="F378" t="s">
        <v>43</v>
      </c>
      <c r="G378" t="s">
        <v>51</v>
      </c>
      <c r="H378" t="s">
        <v>27</v>
      </c>
      <c r="I378" t="s">
        <v>20</v>
      </c>
      <c r="J378" t="s">
        <v>21</v>
      </c>
      <c r="K378">
        <v>48</v>
      </c>
      <c r="L378">
        <v>8.76</v>
      </c>
      <c r="M378">
        <v>5</v>
      </c>
      <c r="N378" t="s">
        <v>22</v>
      </c>
      <c r="O378" t="str">
        <f t="shared" si="5"/>
        <v>No</v>
      </c>
    </row>
    <row r="379" spans="1:15" x14ac:dyDescent="0.25">
      <c r="A379" t="s">
        <v>440</v>
      </c>
      <c r="B379" s="1">
        <v>45793</v>
      </c>
      <c r="C379" s="2">
        <v>45794.748749999999</v>
      </c>
      <c r="D379" t="s">
        <v>24</v>
      </c>
      <c r="E379" t="s">
        <v>25</v>
      </c>
      <c r="F379" t="s">
        <v>48</v>
      </c>
      <c r="G379" t="s">
        <v>18</v>
      </c>
      <c r="H379" t="s">
        <v>35</v>
      </c>
      <c r="I379" t="s">
        <v>20</v>
      </c>
      <c r="J379" t="s">
        <v>21</v>
      </c>
      <c r="K379">
        <v>24</v>
      </c>
      <c r="L379">
        <v>41.97</v>
      </c>
      <c r="M379">
        <v>1.8</v>
      </c>
      <c r="N379" t="s">
        <v>22</v>
      </c>
      <c r="O379" t="str">
        <f t="shared" si="5"/>
        <v>Yes</v>
      </c>
    </row>
    <row r="380" spans="1:15" x14ac:dyDescent="0.25">
      <c r="A380" t="s">
        <v>441</v>
      </c>
      <c r="B380" s="1">
        <v>45726</v>
      </c>
      <c r="C380" s="2">
        <v>45726.255416666667</v>
      </c>
      <c r="D380" t="s">
        <v>24</v>
      </c>
      <c r="E380" t="s">
        <v>45</v>
      </c>
      <c r="F380" t="s">
        <v>104</v>
      </c>
      <c r="G380" t="s">
        <v>34</v>
      </c>
      <c r="H380" t="s">
        <v>35</v>
      </c>
      <c r="I380" t="s">
        <v>45</v>
      </c>
      <c r="J380" t="s">
        <v>21</v>
      </c>
      <c r="K380">
        <v>24</v>
      </c>
      <c r="L380">
        <v>6.13</v>
      </c>
      <c r="M380">
        <v>3.3</v>
      </c>
      <c r="N380" t="s">
        <v>22</v>
      </c>
      <c r="O380" t="str">
        <f t="shared" si="5"/>
        <v>No</v>
      </c>
    </row>
    <row r="381" spans="1:15" x14ac:dyDescent="0.25">
      <c r="A381" t="s">
        <v>442</v>
      </c>
      <c r="B381" s="1">
        <v>45705</v>
      </c>
      <c r="C381" s="2">
        <v>45705.706666666665</v>
      </c>
      <c r="D381" t="s">
        <v>15</v>
      </c>
      <c r="E381" t="s">
        <v>45</v>
      </c>
      <c r="F381" t="s">
        <v>104</v>
      </c>
      <c r="G381" t="s">
        <v>41</v>
      </c>
      <c r="H381" t="s">
        <v>65</v>
      </c>
      <c r="I381" t="s">
        <v>45</v>
      </c>
      <c r="J381" t="s">
        <v>21</v>
      </c>
      <c r="K381">
        <v>48</v>
      </c>
      <c r="L381">
        <v>16.96</v>
      </c>
      <c r="M381">
        <v>3.8</v>
      </c>
      <c r="N381" t="s">
        <v>22</v>
      </c>
      <c r="O381" t="str">
        <f t="shared" si="5"/>
        <v>No</v>
      </c>
    </row>
    <row r="382" spans="1:15" x14ac:dyDescent="0.25">
      <c r="A382" t="s">
        <v>443</v>
      </c>
      <c r="B382" s="1">
        <v>45658</v>
      </c>
      <c r="C382" s="2">
        <v>45660.673333333332</v>
      </c>
      <c r="D382" t="s">
        <v>15</v>
      </c>
      <c r="E382" t="s">
        <v>32</v>
      </c>
      <c r="F382" t="s">
        <v>80</v>
      </c>
      <c r="G382" t="s">
        <v>18</v>
      </c>
      <c r="H382" t="s">
        <v>65</v>
      </c>
      <c r="I382" t="s">
        <v>45</v>
      </c>
      <c r="J382" t="s">
        <v>29</v>
      </c>
      <c r="K382">
        <v>48</v>
      </c>
      <c r="L382">
        <v>64.16</v>
      </c>
      <c r="M382">
        <v>2</v>
      </c>
      <c r="N382" t="s">
        <v>22</v>
      </c>
      <c r="O382" t="str">
        <f t="shared" si="5"/>
        <v>Yes</v>
      </c>
    </row>
    <row r="383" spans="1:15" x14ac:dyDescent="0.25">
      <c r="A383" t="s">
        <v>444</v>
      </c>
      <c r="B383" s="1">
        <v>45827</v>
      </c>
      <c r="C383" s="2">
        <v>45827.707499999997</v>
      </c>
      <c r="D383" t="s">
        <v>15</v>
      </c>
      <c r="E383" t="s">
        <v>32</v>
      </c>
      <c r="F383" t="s">
        <v>33</v>
      </c>
      <c r="G383" t="s">
        <v>41</v>
      </c>
      <c r="H383" t="s">
        <v>44</v>
      </c>
      <c r="I383" t="s">
        <v>20</v>
      </c>
      <c r="J383" t="s">
        <v>85</v>
      </c>
      <c r="K383">
        <v>48</v>
      </c>
      <c r="L383">
        <v>16.98</v>
      </c>
      <c r="M383">
        <v>4.2</v>
      </c>
      <c r="N383" t="s">
        <v>22</v>
      </c>
      <c r="O383" t="str">
        <f t="shared" si="5"/>
        <v>No</v>
      </c>
    </row>
    <row r="384" spans="1:15" x14ac:dyDescent="0.25">
      <c r="A384" t="s">
        <v>445</v>
      </c>
      <c r="B384" s="1">
        <v>45829</v>
      </c>
      <c r="C384" s="2">
        <v>45829.765416666669</v>
      </c>
      <c r="D384" t="s">
        <v>24</v>
      </c>
      <c r="E384" t="s">
        <v>39</v>
      </c>
      <c r="F384" t="s">
        <v>78</v>
      </c>
      <c r="G384" t="s">
        <v>18</v>
      </c>
      <c r="H384" t="s">
        <v>27</v>
      </c>
      <c r="I384" t="s">
        <v>36</v>
      </c>
      <c r="J384" t="s">
        <v>29</v>
      </c>
      <c r="K384">
        <v>24</v>
      </c>
      <c r="L384">
        <v>18.37</v>
      </c>
      <c r="M384">
        <v>4.5</v>
      </c>
      <c r="N384" t="s">
        <v>22</v>
      </c>
      <c r="O384" t="str">
        <f t="shared" si="5"/>
        <v>No</v>
      </c>
    </row>
    <row r="385" spans="1:15" x14ac:dyDescent="0.25">
      <c r="A385" t="s">
        <v>446</v>
      </c>
      <c r="B385" s="1">
        <v>45701</v>
      </c>
      <c r="C385" s="2">
        <v>45702.439166666663</v>
      </c>
      <c r="D385" t="s">
        <v>24</v>
      </c>
      <c r="E385" t="s">
        <v>16</v>
      </c>
      <c r="F385" t="s">
        <v>58</v>
      </c>
      <c r="G385" t="s">
        <v>18</v>
      </c>
      <c r="H385" t="s">
        <v>44</v>
      </c>
      <c r="I385" t="s">
        <v>20</v>
      </c>
      <c r="J385" t="s">
        <v>21</v>
      </c>
      <c r="K385">
        <v>24</v>
      </c>
      <c r="L385">
        <v>34.54</v>
      </c>
      <c r="M385">
        <v>3.5</v>
      </c>
      <c r="N385" t="s">
        <v>22</v>
      </c>
      <c r="O385" t="str">
        <f t="shared" si="5"/>
        <v>Yes</v>
      </c>
    </row>
    <row r="386" spans="1:15" x14ac:dyDescent="0.25">
      <c r="A386" t="s">
        <v>447</v>
      </c>
      <c r="B386" s="1">
        <v>45663</v>
      </c>
      <c r="C386" s="2">
        <v>45663.68041666667</v>
      </c>
      <c r="D386" t="s">
        <v>24</v>
      </c>
      <c r="E386" t="s">
        <v>32</v>
      </c>
      <c r="F386" t="s">
        <v>80</v>
      </c>
      <c r="G386" t="s">
        <v>51</v>
      </c>
      <c r="H386" t="s">
        <v>44</v>
      </c>
      <c r="I386" t="s">
        <v>45</v>
      </c>
      <c r="J386" t="s">
        <v>46</v>
      </c>
      <c r="K386">
        <v>24</v>
      </c>
      <c r="L386">
        <v>16.329999999999998</v>
      </c>
      <c r="M386">
        <v>4.9000000000000004</v>
      </c>
      <c r="N386" t="s">
        <v>22</v>
      </c>
      <c r="O386" t="str">
        <f t="shared" si="5"/>
        <v>No</v>
      </c>
    </row>
    <row r="387" spans="1:15" x14ac:dyDescent="0.25">
      <c r="A387" t="s">
        <v>448</v>
      </c>
      <c r="B387" s="1">
        <v>45680</v>
      </c>
      <c r="C387" s="2">
        <v>45680.969166666669</v>
      </c>
      <c r="D387" t="s">
        <v>15</v>
      </c>
      <c r="E387" t="s">
        <v>39</v>
      </c>
      <c r="F387" t="s">
        <v>78</v>
      </c>
      <c r="G387" t="s">
        <v>18</v>
      </c>
      <c r="H387" t="s">
        <v>19</v>
      </c>
      <c r="I387" t="s">
        <v>28</v>
      </c>
      <c r="J387" t="s">
        <v>21</v>
      </c>
      <c r="K387">
        <v>48</v>
      </c>
      <c r="L387">
        <v>23.26</v>
      </c>
      <c r="M387">
        <v>4.7</v>
      </c>
      <c r="N387" t="s">
        <v>22</v>
      </c>
      <c r="O387" t="str">
        <f t="shared" ref="O387:O450" si="6">IF(L387&gt;K387,"Yes","No")</f>
        <v>No</v>
      </c>
    </row>
    <row r="388" spans="1:15" x14ac:dyDescent="0.25">
      <c r="A388" t="s">
        <v>449</v>
      </c>
      <c r="B388" s="1">
        <v>45670</v>
      </c>
      <c r="C388" s="2">
        <v>45671.762916666667</v>
      </c>
      <c r="D388" t="s">
        <v>15</v>
      </c>
      <c r="E388" t="s">
        <v>39</v>
      </c>
      <c r="F388" t="s">
        <v>40</v>
      </c>
      <c r="G388" t="s">
        <v>34</v>
      </c>
      <c r="H388" t="s">
        <v>19</v>
      </c>
      <c r="I388" t="s">
        <v>28</v>
      </c>
      <c r="J388" t="s">
        <v>21</v>
      </c>
      <c r="K388">
        <v>48</v>
      </c>
      <c r="L388">
        <v>42.31</v>
      </c>
      <c r="M388">
        <v>3.7</v>
      </c>
      <c r="N388" t="s">
        <v>22</v>
      </c>
      <c r="O388" t="str">
        <f t="shared" si="6"/>
        <v>No</v>
      </c>
    </row>
    <row r="389" spans="1:15" x14ac:dyDescent="0.25">
      <c r="A389" t="s">
        <v>450</v>
      </c>
      <c r="B389" s="1">
        <v>45808</v>
      </c>
      <c r="C389" s="2">
        <v>45808.020833333336</v>
      </c>
      <c r="D389" t="s">
        <v>38</v>
      </c>
      <c r="E389" t="s">
        <v>32</v>
      </c>
      <c r="F389" t="s">
        <v>33</v>
      </c>
      <c r="G389" t="s">
        <v>18</v>
      </c>
      <c r="H389" t="s">
        <v>54</v>
      </c>
      <c r="I389" t="s">
        <v>36</v>
      </c>
      <c r="J389" t="s">
        <v>21</v>
      </c>
      <c r="K389">
        <v>8</v>
      </c>
      <c r="L389">
        <v>0.5</v>
      </c>
      <c r="M389">
        <v>4.5999999999999996</v>
      </c>
      <c r="N389" t="s">
        <v>22</v>
      </c>
      <c r="O389" t="str">
        <f t="shared" si="6"/>
        <v>No</v>
      </c>
    </row>
    <row r="390" spans="1:15" x14ac:dyDescent="0.25">
      <c r="A390" t="s">
        <v>451</v>
      </c>
      <c r="B390" s="1">
        <v>45819</v>
      </c>
      <c r="C390" s="2">
        <v>45819.7</v>
      </c>
      <c r="D390" t="s">
        <v>15</v>
      </c>
      <c r="E390" t="s">
        <v>16</v>
      </c>
      <c r="F390" t="s">
        <v>58</v>
      </c>
      <c r="G390" t="s">
        <v>56</v>
      </c>
      <c r="H390" t="s">
        <v>35</v>
      </c>
      <c r="I390" t="s">
        <v>36</v>
      </c>
      <c r="J390" t="s">
        <v>85</v>
      </c>
      <c r="K390">
        <v>48</v>
      </c>
      <c r="L390">
        <v>16.8</v>
      </c>
      <c r="M390">
        <v>4.9000000000000004</v>
      </c>
      <c r="N390" t="s">
        <v>22</v>
      </c>
      <c r="O390" t="str">
        <f t="shared" si="6"/>
        <v>No</v>
      </c>
    </row>
    <row r="391" spans="1:15" x14ac:dyDescent="0.25">
      <c r="A391" t="s">
        <v>452</v>
      </c>
      <c r="B391" s="1">
        <v>45685</v>
      </c>
      <c r="C391" s="2">
        <v>45687.346250000002</v>
      </c>
      <c r="D391" t="s">
        <v>15</v>
      </c>
      <c r="E391" t="s">
        <v>16</v>
      </c>
      <c r="F391" t="s">
        <v>58</v>
      </c>
      <c r="G391" t="s">
        <v>56</v>
      </c>
      <c r="H391" t="s">
        <v>27</v>
      </c>
      <c r="I391" t="s">
        <v>45</v>
      </c>
      <c r="J391" t="s">
        <v>46</v>
      </c>
      <c r="K391">
        <v>48</v>
      </c>
      <c r="L391">
        <v>56.31</v>
      </c>
      <c r="M391">
        <v>2.6</v>
      </c>
      <c r="N391" t="s">
        <v>22</v>
      </c>
      <c r="O391" t="str">
        <f t="shared" si="6"/>
        <v>Yes</v>
      </c>
    </row>
    <row r="392" spans="1:15" x14ac:dyDescent="0.25">
      <c r="A392" t="s">
        <v>453</v>
      </c>
      <c r="B392" s="1">
        <v>45793</v>
      </c>
      <c r="C392" s="2">
        <v>45793.516250000001</v>
      </c>
      <c r="D392" t="s">
        <v>15</v>
      </c>
      <c r="E392" t="s">
        <v>16</v>
      </c>
      <c r="F392" t="s">
        <v>43</v>
      </c>
      <c r="G392" t="s">
        <v>34</v>
      </c>
      <c r="H392" t="s">
        <v>54</v>
      </c>
      <c r="I392" t="s">
        <v>45</v>
      </c>
      <c r="J392" t="s">
        <v>46</v>
      </c>
      <c r="K392">
        <v>48</v>
      </c>
      <c r="L392">
        <v>12.39</v>
      </c>
      <c r="M392">
        <v>2.6</v>
      </c>
      <c r="N392" t="s">
        <v>22</v>
      </c>
      <c r="O392" t="str">
        <f t="shared" si="6"/>
        <v>No</v>
      </c>
    </row>
    <row r="393" spans="1:15" x14ac:dyDescent="0.25">
      <c r="A393" t="s">
        <v>454</v>
      </c>
      <c r="B393" s="1">
        <v>45690</v>
      </c>
      <c r="C393" s="2">
        <v>45690.091666666667</v>
      </c>
      <c r="D393" t="s">
        <v>31</v>
      </c>
      <c r="E393" t="s">
        <v>45</v>
      </c>
      <c r="F393" t="s">
        <v>100</v>
      </c>
      <c r="G393" t="s">
        <v>51</v>
      </c>
      <c r="H393" t="s">
        <v>19</v>
      </c>
      <c r="I393" t="s">
        <v>20</v>
      </c>
      <c r="J393" t="s">
        <v>21</v>
      </c>
      <c r="K393">
        <v>4</v>
      </c>
      <c r="L393">
        <v>2.2000000000000002</v>
      </c>
      <c r="M393">
        <v>4.5999999999999996</v>
      </c>
      <c r="N393" t="s">
        <v>22</v>
      </c>
      <c r="O393" t="str">
        <f t="shared" si="6"/>
        <v>No</v>
      </c>
    </row>
    <row r="394" spans="1:15" x14ac:dyDescent="0.25">
      <c r="A394" t="s">
        <v>455</v>
      </c>
      <c r="B394" s="1">
        <v>45724</v>
      </c>
      <c r="C394" s="2">
        <v>45724.772083333337</v>
      </c>
      <c r="D394" t="s">
        <v>24</v>
      </c>
      <c r="E394" t="s">
        <v>32</v>
      </c>
      <c r="F394" t="s">
        <v>80</v>
      </c>
      <c r="G394" t="s">
        <v>34</v>
      </c>
      <c r="H394" t="s">
        <v>44</v>
      </c>
      <c r="I394" t="s">
        <v>36</v>
      </c>
      <c r="J394" t="s">
        <v>21</v>
      </c>
      <c r="K394">
        <v>24</v>
      </c>
      <c r="L394">
        <v>18.53</v>
      </c>
      <c r="M394">
        <v>4.2</v>
      </c>
      <c r="N394" t="s">
        <v>22</v>
      </c>
      <c r="O394" t="str">
        <f t="shared" si="6"/>
        <v>No</v>
      </c>
    </row>
    <row r="395" spans="1:15" x14ac:dyDescent="0.25">
      <c r="A395" t="s">
        <v>456</v>
      </c>
      <c r="B395" s="1">
        <v>45766</v>
      </c>
      <c r="C395" s="2">
        <v>45766.388333333336</v>
      </c>
      <c r="D395" t="s">
        <v>24</v>
      </c>
      <c r="E395" t="s">
        <v>32</v>
      </c>
      <c r="F395" t="s">
        <v>64</v>
      </c>
      <c r="G395" t="s">
        <v>34</v>
      </c>
      <c r="H395" t="s">
        <v>27</v>
      </c>
      <c r="I395" t="s">
        <v>45</v>
      </c>
      <c r="J395" t="s">
        <v>21</v>
      </c>
      <c r="K395">
        <v>24</v>
      </c>
      <c r="L395">
        <v>9.32</v>
      </c>
      <c r="M395">
        <v>5</v>
      </c>
      <c r="N395" t="s">
        <v>22</v>
      </c>
      <c r="O395" t="str">
        <f t="shared" si="6"/>
        <v>No</v>
      </c>
    </row>
    <row r="396" spans="1:15" x14ac:dyDescent="0.25">
      <c r="A396" t="s">
        <v>457</v>
      </c>
      <c r="B396" s="1">
        <v>45788</v>
      </c>
      <c r="C396" s="2">
        <v>45788.13</v>
      </c>
      <c r="D396" t="s">
        <v>31</v>
      </c>
      <c r="E396" t="s">
        <v>39</v>
      </c>
      <c r="F396" t="s">
        <v>87</v>
      </c>
      <c r="G396" t="s">
        <v>41</v>
      </c>
      <c r="H396" t="s">
        <v>44</v>
      </c>
      <c r="I396" t="s">
        <v>28</v>
      </c>
      <c r="J396" t="s">
        <v>46</v>
      </c>
      <c r="K396">
        <v>4</v>
      </c>
      <c r="L396">
        <v>3.12</v>
      </c>
      <c r="M396">
        <v>4.5</v>
      </c>
      <c r="N396" t="s">
        <v>22</v>
      </c>
      <c r="O396" t="str">
        <f t="shared" si="6"/>
        <v>No</v>
      </c>
    </row>
    <row r="397" spans="1:15" x14ac:dyDescent="0.25">
      <c r="A397" t="s">
        <v>458</v>
      </c>
      <c r="B397" s="1">
        <v>45816</v>
      </c>
      <c r="C397" s="2">
        <v>45817.201249999998</v>
      </c>
      <c r="D397" t="s">
        <v>15</v>
      </c>
      <c r="E397" t="s">
        <v>16</v>
      </c>
      <c r="F397" t="s">
        <v>17</v>
      </c>
      <c r="G397" t="s">
        <v>41</v>
      </c>
      <c r="H397" t="s">
        <v>35</v>
      </c>
      <c r="I397" t="s">
        <v>28</v>
      </c>
      <c r="J397" t="s">
        <v>29</v>
      </c>
      <c r="K397">
        <v>48</v>
      </c>
      <c r="L397">
        <v>28.83</v>
      </c>
      <c r="M397">
        <v>4.5</v>
      </c>
      <c r="N397" t="s">
        <v>61</v>
      </c>
      <c r="O397" t="str">
        <f t="shared" si="6"/>
        <v>No</v>
      </c>
    </row>
    <row r="398" spans="1:15" x14ac:dyDescent="0.25">
      <c r="A398" t="s">
        <v>459</v>
      </c>
      <c r="B398" s="1">
        <v>45666</v>
      </c>
      <c r="C398" s="2">
        <v>45666.447916666664</v>
      </c>
      <c r="D398" t="s">
        <v>31</v>
      </c>
      <c r="E398" t="s">
        <v>16</v>
      </c>
      <c r="F398" t="s">
        <v>17</v>
      </c>
      <c r="G398" t="s">
        <v>56</v>
      </c>
      <c r="H398" t="s">
        <v>35</v>
      </c>
      <c r="I398" t="s">
        <v>36</v>
      </c>
      <c r="J398" t="s">
        <v>21</v>
      </c>
      <c r="K398">
        <v>4</v>
      </c>
      <c r="L398">
        <v>10.75</v>
      </c>
      <c r="M398">
        <v>1.6</v>
      </c>
      <c r="N398" t="s">
        <v>22</v>
      </c>
      <c r="O398" t="str">
        <f t="shared" si="6"/>
        <v>Yes</v>
      </c>
    </row>
    <row r="399" spans="1:15" x14ac:dyDescent="0.25">
      <c r="A399" t="s">
        <v>460</v>
      </c>
      <c r="B399" s="1">
        <v>45693</v>
      </c>
      <c r="C399" s="2">
        <v>45694.785833333335</v>
      </c>
      <c r="D399" t="s">
        <v>15</v>
      </c>
      <c r="E399" t="s">
        <v>32</v>
      </c>
      <c r="F399" t="s">
        <v>75</v>
      </c>
      <c r="G399" t="s">
        <v>41</v>
      </c>
      <c r="H399" t="s">
        <v>35</v>
      </c>
      <c r="I399" t="s">
        <v>28</v>
      </c>
      <c r="J399" t="s">
        <v>21</v>
      </c>
      <c r="K399">
        <v>48</v>
      </c>
      <c r="L399">
        <v>42.86</v>
      </c>
      <c r="M399">
        <v>3.4</v>
      </c>
      <c r="N399" t="s">
        <v>22</v>
      </c>
      <c r="O399" t="str">
        <f t="shared" si="6"/>
        <v>No</v>
      </c>
    </row>
    <row r="400" spans="1:15" x14ac:dyDescent="0.25">
      <c r="A400" t="s">
        <v>461</v>
      </c>
      <c r="B400" s="1">
        <v>45708</v>
      </c>
      <c r="C400" s="2">
        <v>45708.60125</v>
      </c>
      <c r="D400" t="s">
        <v>24</v>
      </c>
      <c r="E400" t="s">
        <v>45</v>
      </c>
      <c r="F400" t="s">
        <v>100</v>
      </c>
      <c r="G400" t="s">
        <v>56</v>
      </c>
      <c r="H400" t="s">
        <v>54</v>
      </c>
      <c r="I400" t="s">
        <v>36</v>
      </c>
      <c r="J400" t="s">
        <v>29</v>
      </c>
      <c r="K400">
        <v>24</v>
      </c>
      <c r="L400">
        <v>14.43</v>
      </c>
      <c r="M400">
        <v>4.0999999999999996</v>
      </c>
      <c r="N400" t="s">
        <v>22</v>
      </c>
      <c r="O400" t="str">
        <f t="shared" si="6"/>
        <v>No</v>
      </c>
    </row>
    <row r="401" spans="1:15" x14ac:dyDescent="0.25">
      <c r="A401" t="s">
        <v>462</v>
      </c>
      <c r="B401" s="1">
        <v>45714</v>
      </c>
      <c r="C401" s="2">
        <v>45714.067499999997</v>
      </c>
      <c r="D401" t="s">
        <v>24</v>
      </c>
      <c r="E401" t="s">
        <v>39</v>
      </c>
      <c r="F401" t="s">
        <v>119</v>
      </c>
      <c r="G401" t="s">
        <v>56</v>
      </c>
      <c r="H401" t="s">
        <v>27</v>
      </c>
      <c r="I401" t="s">
        <v>45</v>
      </c>
      <c r="J401" t="s">
        <v>21</v>
      </c>
      <c r="K401">
        <v>24</v>
      </c>
      <c r="L401">
        <v>1.62</v>
      </c>
      <c r="M401">
        <v>5</v>
      </c>
      <c r="N401" t="s">
        <v>61</v>
      </c>
      <c r="O401" t="str">
        <f t="shared" si="6"/>
        <v>No</v>
      </c>
    </row>
    <row r="402" spans="1:15" x14ac:dyDescent="0.25">
      <c r="A402" t="s">
        <v>463</v>
      </c>
      <c r="B402" s="1">
        <v>45838</v>
      </c>
      <c r="C402" s="2">
        <v>45838.277083333334</v>
      </c>
      <c r="D402" t="s">
        <v>24</v>
      </c>
      <c r="E402" t="s">
        <v>39</v>
      </c>
      <c r="F402" t="s">
        <v>40</v>
      </c>
      <c r="G402" t="s">
        <v>18</v>
      </c>
      <c r="H402" t="s">
        <v>44</v>
      </c>
      <c r="I402" t="s">
        <v>36</v>
      </c>
      <c r="J402" t="s">
        <v>21</v>
      </c>
      <c r="K402">
        <v>24</v>
      </c>
      <c r="L402">
        <v>6.65</v>
      </c>
      <c r="M402">
        <v>5</v>
      </c>
      <c r="N402" t="s">
        <v>22</v>
      </c>
      <c r="O402" t="str">
        <f t="shared" si="6"/>
        <v>No</v>
      </c>
    </row>
    <row r="403" spans="1:15" x14ac:dyDescent="0.25">
      <c r="A403" t="s">
        <v>464</v>
      </c>
      <c r="B403" s="1">
        <v>45798</v>
      </c>
      <c r="C403" s="2">
        <v>45798.065821759257</v>
      </c>
      <c r="D403" t="s">
        <v>38</v>
      </c>
      <c r="E403" t="s">
        <v>16</v>
      </c>
      <c r="F403" t="s">
        <v>58</v>
      </c>
      <c r="G403" t="s">
        <v>41</v>
      </c>
      <c r="H403" t="s">
        <v>35</v>
      </c>
      <c r="I403" t="s">
        <v>45</v>
      </c>
      <c r="J403" t="s">
        <v>29</v>
      </c>
      <c r="K403">
        <v>8</v>
      </c>
      <c r="L403">
        <v>1.58</v>
      </c>
      <c r="M403">
        <v>5</v>
      </c>
      <c r="N403" t="s">
        <v>22</v>
      </c>
      <c r="O403" t="str">
        <f t="shared" si="6"/>
        <v>No</v>
      </c>
    </row>
    <row r="404" spans="1:15" x14ac:dyDescent="0.25">
      <c r="A404" t="s">
        <v>465</v>
      </c>
      <c r="B404" s="1">
        <v>45715</v>
      </c>
      <c r="C404" s="2">
        <v>45717.625</v>
      </c>
      <c r="D404" t="s">
        <v>15</v>
      </c>
      <c r="E404" t="s">
        <v>45</v>
      </c>
      <c r="F404" t="s">
        <v>50</v>
      </c>
      <c r="G404" t="s">
        <v>34</v>
      </c>
      <c r="H404" t="s">
        <v>19</v>
      </c>
      <c r="I404" t="s">
        <v>36</v>
      </c>
      <c r="J404" t="s">
        <v>46</v>
      </c>
      <c r="K404">
        <v>48</v>
      </c>
      <c r="L404">
        <v>63</v>
      </c>
      <c r="M404">
        <v>3.5</v>
      </c>
      <c r="N404" t="s">
        <v>22</v>
      </c>
      <c r="O404" t="str">
        <f t="shared" si="6"/>
        <v>Yes</v>
      </c>
    </row>
    <row r="405" spans="1:15" x14ac:dyDescent="0.25">
      <c r="A405" t="s">
        <v>466</v>
      </c>
      <c r="B405" s="1">
        <v>45833</v>
      </c>
      <c r="C405" s="2">
        <v>45833.029166666667</v>
      </c>
      <c r="D405" t="s">
        <v>31</v>
      </c>
      <c r="E405" t="s">
        <v>16</v>
      </c>
      <c r="F405" t="s">
        <v>58</v>
      </c>
      <c r="G405" t="s">
        <v>18</v>
      </c>
      <c r="H405" t="s">
        <v>19</v>
      </c>
      <c r="I405" t="s">
        <v>36</v>
      </c>
      <c r="J405" t="s">
        <v>46</v>
      </c>
      <c r="K405">
        <v>4</v>
      </c>
      <c r="L405">
        <v>0.7</v>
      </c>
      <c r="M405">
        <v>4.2</v>
      </c>
      <c r="N405" t="s">
        <v>22</v>
      </c>
      <c r="O405" t="str">
        <f t="shared" si="6"/>
        <v>No</v>
      </c>
    </row>
    <row r="406" spans="1:15" x14ac:dyDescent="0.25">
      <c r="A406" t="s">
        <v>467</v>
      </c>
      <c r="B406" s="1">
        <v>45748</v>
      </c>
      <c r="C406" s="2">
        <v>45748.382916666669</v>
      </c>
      <c r="D406" t="s">
        <v>24</v>
      </c>
      <c r="E406" t="s">
        <v>45</v>
      </c>
      <c r="F406" t="s">
        <v>112</v>
      </c>
      <c r="G406" t="s">
        <v>34</v>
      </c>
      <c r="H406" t="s">
        <v>27</v>
      </c>
      <c r="I406" t="s">
        <v>36</v>
      </c>
      <c r="J406" t="s">
        <v>21</v>
      </c>
      <c r="K406">
        <v>24</v>
      </c>
      <c r="L406">
        <v>9.19</v>
      </c>
      <c r="M406">
        <v>5</v>
      </c>
      <c r="N406" t="s">
        <v>22</v>
      </c>
      <c r="O406" t="str">
        <f t="shared" si="6"/>
        <v>No</v>
      </c>
    </row>
    <row r="407" spans="1:15" x14ac:dyDescent="0.25">
      <c r="A407" t="s">
        <v>468</v>
      </c>
      <c r="B407" s="1">
        <v>45748</v>
      </c>
      <c r="C407" s="2">
        <v>45748.653749999998</v>
      </c>
      <c r="D407" t="s">
        <v>24</v>
      </c>
      <c r="E407" t="s">
        <v>32</v>
      </c>
      <c r="F407" t="s">
        <v>64</v>
      </c>
      <c r="G407" t="s">
        <v>51</v>
      </c>
      <c r="H407" t="s">
        <v>65</v>
      </c>
      <c r="I407" t="s">
        <v>28</v>
      </c>
      <c r="J407" t="s">
        <v>46</v>
      </c>
      <c r="K407">
        <v>24</v>
      </c>
      <c r="L407">
        <v>15.69</v>
      </c>
      <c r="M407">
        <v>4.9000000000000004</v>
      </c>
      <c r="N407" t="s">
        <v>61</v>
      </c>
      <c r="O407" t="str">
        <f t="shared" si="6"/>
        <v>No</v>
      </c>
    </row>
    <row r="408" spans="1:15" x14ac:dyDescent="0.25">
      <c r="A408" t="s">
        <v>469</v>
      </c>
      <c r="B408" s="1">
        <v>45736</v>
      </c>
      <c r="C408" s="2">
        <v>45736.053738425922</v>
      </c>
      <c r="D408" t="s">
        <v>31</v>
      </c>
      <c r="E408" t="s">
        <v>16</v>
      </c>
      <c r="F408" t="s">
        <v>60</v>
      </c>
      <c r="G408" t="s">
        <v>51</v>
      </c>
      <c r="H408" t="s">
        <v>54</v>
      </c>
      <c r="I408" t="s">
        <v>45</v>
      </c>
      <c r="J408" t="s">
        <v>21</v>
      </c>
      <c r="K408">
        <v>4</v>
      </c>
      <c r="L408">
        <v>1.29</v>
      </c>
      <c r="M408">
        <v>4.7</v>
      </c>
      <c r="N408" t="s">
        <v>22</v>
      </c>
      <c r="O408" t="str">
        <f t="shared" si="6"/>
        <v>No</v>
      </c>
    </row>
    <row r="409" spans="1:15" x14ac:dyDescent="0.25">
      <c r="A409" t="s">
        <v>470</v>
      </c>
      <c r="B409" s="1">
        <v>45684</v>
      </c>
      <c r="C409" s="2">
        <v>45684.732488425929</v>
      </c>
      <c r="D409" t="s">
        <v>15</v>
      </c>
      <c r="E409" t="s">
        <v>25</v>
      </c>
      <c r="F409" t="s">
        <v>26</v>
      </c>
      <c r="G409" t="s">
        <v>51</v>
      </c>
      <c r="H409" t="s">
        <v>44</v>
      </c>
      <c r="I409" t="s">
        <v>20</v>
      </c>
      <c r="J409" t="s">
        <v>46</v>
      </c>
      <c r="K409">
        <v>48</v>
      </c>
      <c r="L409">
        <v>17.579999999999998</v>
      </c>
      <c r="M409">
        <v>4.9000000000000004</v>
      </c>
      <c r="N409" t="s">
        <v>22</v>
      </c>
      <c r="O409" t="str">
        <f t="shared" si="6"/>
        <v>No</v>
      </c>
    </row>
    <row r="410" spans="1:15" x14ac:dyDescent="0.25">
      <c r="A410" t="s">
        <v>471</v>
      </c>
      <c r="B410" s="1">
        <v>45827</v>
      </c>
      <c r="C410" s="2">
        <v>45827.200416666667</v>
      </c>
      <c r="D410" t="s">
        <v>38</v>
      </c>
      <c r="E410" t="s">
        <v>16</v>
      </c>
      <c r="F410" t="s">
        <v>60</v>
      </c>
      <c r="G410" t="s">
        <v>18</v>
      </c>
      <c r="H410" t="s">
        <v>44</v>
      </c>
      <c r="I410" t="s">
        <v>45</v>
      </c>
      <c r="J410" t="s">
        <v>21</v>
      </c>
      <c r="K410">
        <v>8</v>
      </c>
      <c r="L410">
        <v>4.8099999999999996</v>
      </c>
      <c r="M410">
        <v>4.5999999999999996</v>
      </c>
      <c r="N410" t="s">
        <v>22</v>
      </c>
      <c r="O410" t="str">
        <f t="shared" si="6"/>
        <v>No</v>
      </c>
    </row>
    <row r="411" spans="1:15" x14ac:dyDescent="0.25">
      <c r="A411" t="s">
        <v>472</v>
      </c>
      <c r="B411" s="1">
        <v>45660</v>
      </c>
      <c r="C411" s="2">
        <v>45660.257916666669</v>
      </c>
      <c r="D411" t="s">
        <v>24</v>
      </c>
      <c r="E411" t="s">
        <v>39</v>
      </c>
      <c r="F411" t="s">
        <v>87</v>
      </c>
      <c r="G411" t="s">
        <v>18</v>
      </c>
      <c r="H411" t="s">
        <v>35</v>
      </c>
      <c r="I411" t="s">
        <v>36</v>
      </c>
      <c r="J411" t="s">
        <v>21</v>
      </c>
      <c r="K411">
        <v>24</v>
      </c>
      <c r="L411">
        <v>6.19</v>
      </c>
      <c r="M411">
        <v>4.4000000000000004</v>
      </c>
      <c r="N411" t="s">
        <v>22</v>
      </c>
      <c r="O411" t="str">
        <f t="shared" si="6"/>
        <v>No</v>
      </c>
    </row>
    <row r="412" spans="1:15" x14ac:dyDescent="0.25">
      <c r="A412" t="s">
        <v>473</v>
      </c>
      <c r="B412" s="1">
        <v>45689</v>
      </c>
      <c r="C412" s="2">
        <v>45689.547500000001</v>
      </c>
      <c r="D412" t="s">
        <v>24</v>
      </c>
      <c r="E412" t="s">
        <v>45</v>
      </c>
      <c r="F412" t="s">
        <v>112</v>
      </c>
      <c r="G412" t="s">
        <v>34</v>
      </c>
      <c r="H412" t="s">
        <v>19</v>
      </c>
      <c r="I412" t="s">
        <v>36</v>
      </c>
      <c r="J412" t="s">
        <v>21</v>
      </c>
      <c r="K412">
        <v>24</v>
      </c>
      <c r="L412">
        <v>13.14</v>
      </c>
      <c r="M412">
        <v>4.2</v>
      </c>
      <c r="N412" t="s">
        <v>22</v>
      </c>
      <c r="O412" t="str">
        <f t="shared" si="6"/>
        <v>No</v>
      </c>
    </row>
    <row r="413" spans="1:15" x14ac:dyDescent="0.25">
      <c r="A413" t="s">
        <v>474</v>
      </c>
      <c r="B413" s="1">
        <v>45699</v>
      </c>
      <c r="C413" s="2">
        <v>45700.722916666666</v>
      </c>
      <c r="D413" t="s">
        <v>15</v>
      </c>
      <c r="E413" t="s">
        <v>32</v>
      </c>
      <c r="F413" t="s">
        <v>75</v>
      </c>
      <c r="G413" t="s">
        <v>51</v>
      </c>
      <c r="H413" t="s">
        <v>27</v>
      </c>
      <c r="I413" t="s">
        <v>36</v>
      </c>
      <c r="J413" t="s">
        <v>21</v>
      </c>
      <c r="K413">
        <v>48</v>
      </c>
      <c r="L413">
        <v>41.35</v>
      </c>
      <c r="M413">
        <v>3.4</v>
      </c>
      <c r="N413" t="s">
        <v>22</v>
      </c>
      <c r="O413" t="str">
        <f t="shared" si="6"/>
        <v>No</v>
      </c>
    </row>
    <row r="414" spans="1:15" x14ac:dyDescent="0.25">
      <c r="A414" t="s">
        <v>475</v>
      </c>
      <c r="B414" s="1">
        <v>45708</v>
      </c>
      <c r="C414" s="2">
        <v>45708.293333333335</v>
      </c>
      <c r="D414" t="s">
        <v>24</v>
      </c>
      <c r="E414" t="s">
        <v>39</v>
      </c>
      <c r="F414" t="s">
        <v>40</v>
      </c>
      <c r="G414" t="s">
        <v>18</v>
      </c>
      <c r="H414" t="s">
        <v>54</v>
      </c>
      <c r="I414" t="s">
        <v>45</v>
      </c>
      <c r="J414" t="s">
        <v>21</v>
      </c>
      <c r="K414">
        <v>24</v>
      </c>
      <c r="L414">
        <v>7.04</v>
      </c>
      <c r="M414">
        <v>4.5</v>
      </c>
      <c r="N414" t="s">
        <v>22</v>
      </c>
      <c r="O414" t="str">
        <f t="shared" si="6"/>
        <v>No</v>
      </c>
    </row>
    <row r="415" spans="1:15" x14ac:dyDescent="0.25">
      <c r="A415" t="s">
        <v>476</v>
      </c>
      <c r="B415" s="1">
        <v>45681</v>
      </c>
      <c r="C415" s="2">
        <v>45681.190405092595</v>
      </c>
      <c r="D415" t="s">
        <v>24</v>
      </c>
      <c r="E415" t="s">
        <v>25</v>
      </c>
      <c r="F415" t="s">
        <v>48</v>
      </c>
      <c r="G415" t="s">
        <v>51</v>
      </c>
      <c r="H415" t="s">
        <v>54</v>
      </c>
      <c r="I415" t="s">
        <v>28</v>
      </c>
      <c r="J415" t="s">
        <v>21</v>
      </c>
      <c r="K415">
        <v>24</v>
      </c>
      <c r="L415">
        <v>4.57</v>
      </c>
      <c r="M415">
        <v>5</v>
      </c>
      <c r="N415" t="s">
        <v>22</v>
      </c>
      <c r="O415" t="str">
        <f t="shared" si="6"/>
        <v>No</v>
      </c>
    </row>
    <row r="416" spans="1:15" x14ac:dyDescent="0.25">
      <c r="A416" t="s">
        <v>477</v>
      </c>
      <c r="B416" s="1">
        <v>45661</v>
      </c>
      <c r="C416" s="2">
        <v>45662.505416666667</v>
      </c>
      <c r="D416" t="s">
        <v>24</v>
      </c>
      <c r="E416" t="s">
        <v>45</v>
      </c>
      <c r="F416" t="s">
        <v>50</v>
      </c>
      <c r="G416" t="s">
        <v>18</v>
      </c>
      <c r="H416" t="s">
        <v>44</v>
      </c>
      <c r="I416" t="s">
        <v>36</v>
      </c>
      <c r="J416" t="s">
        <v>29</v>
      </c>
      <c r="K416">
        <v>24</v>
      </c>
      <c r="L416">
        <v>36.130000000000003</v>
      </c>
      <c r="M416">
        <v>3.7</v>
      </c>
      <c r="N416" t="s">
        <v>61</v>
      </c>
      <c r="O416" t="str">
        <f t="shared" si="6"/>
        <v>Yes</v>
      </c>
    </row>
    <row r="417" spans="1:15" x14ac:dyDescent="0.25">
      <c r="A417" t="s">
        <v>478</v>
      </c>
      <c r="B417" s="1">
        <v>45780</v>
      </c>
      <c r="C417" s="2">
        <v>45783.040000000001</v>
      </c>
      <c r="D417" t="s">
        <v>15</v>
      </c>
      <c r="E417" t="s">
        <v>45</v>
      </c>
      <c r="F417" t="s">
        <v>112</v>
      </c>
      <c r="G417" t="s">
        <v>34</v>
      </c>
      <c r="H417" t="s">
        <v>65</v>
      </c>
      <c r="I417" t="s">
        <v>45</v>
      </c>
      <c r="J417" t="s">
        <v>21</v>
      </c>
      <c r="K417">
        <v>48</v>
      </c>
      <c r="L417">
        <v>72.959999999999994</v>
      </c>
      <c r="M417">
        <v>3.5</v>
      </c>
      <c r="N417" t="s">
        <v>22</v>
      </c>
      <c r="O417" t="str">
        <f t="shared" si="6"/>
        <v>Yes</v>
      </c>
    </row>
    <row r="418" spans="1:15" x14ac:dyDescent="0.25">
      <c r="A418" t="s">
        <v>479</v>
      </c>
      <c r="B418" s="1">
        <v>45833</v>
      </c>
      <c r="C418" s="2">
        <v>45833.937083333331</v>
      </c>
      <c r="D418" t="s">
        <v>15</v>
      </c>
      <c r="E418" t="s">
        <v>45</v>
      </c>
      <c r="F418" t="s">
        <v>100</v>
      </c>
      <c r="G418" t="s">
        <v>56</v>
      </c>
      <c r="H418" t="s">
        <v>65</v>
      </c>
      <c r="I418" t="s">
        <v>20</v>
      </c>
      <c r="J418" t="s">
        <v>21</v>
      </c>
      <c r="K418">
        <v>48</v>
      </c>
      <c r="L418">
        <v>22.49</v>
      </c>
      <c r="M418">
        <v>5</v>
      </c>
      <c r="N418" t="s">
        <v>22</v>
      </c>
      <c r="O418" t="str">
        <f t="shared" si="6"/>
        <v>No</v>
      </c>
    </row>
    <row r="419" spans="1:15" x14ac:dyDescent="0.25">
      <c r="A419" t="s">
        <v>480</v>
      </c>
      <c r="B419" s="1">
        <v>45680</v>
      </c>
      <c r="C419" s="2">
        <v>45680.178333333337</v>
      </c>
      <c r="D419" t="s">
        <v>38</v>
      </c>
      <c r="E419" t="s">
        <v>32</v>
      </c>
      <c r="F419" t="s">
        <v>33</v>
      </c>
      <c r="G419" t="s">
        <v>18</v>
      </c>
      <c r="H419" t="s">
        <v>19</v>
      </c>
      <c r="I419" t="s">
        <v>28</v>
      </c>
      <c r="J419" t="s">
        <v>46</v>
      </c>
      <c r="K419">
        <v>8</v>
      </c>
      <c r="L419">
        <v>4.28</v>
      </c>
      <c r="M419">
        <v>4.0999999999999996</v>
      </c>
      <c r="N419" t="s">
        <v>22</v>
      </c>
      <c r="O419" t="str">
        <f t="shared" si="6"/>
        <v>No</v>
      </c>
    </row>
    <row r="420" spans="1:15" x14ac:dyDescent="0.25">
      <c r="A420" t="s">
        <v>481</v>
      </c>
      <c r="B420" s="1">
        <v>45711</v>
      </c>
      <c r="C420" s="2">
        <v>45712.062916666669</v>
      </c>
      <c r="D420" t="s">
        <v>15</v>
      </c>
      <c r="E420" t="s">
        <v>45</v>
      </c>
      <c r="F420" t="s">
        <v>112</v>
      </c>
      <c r="G420" t="s">
        <v>51</v>
      </c>
      <c r="H420" t="s">
        <v>27</v>
      </c>
      <c r="I420" t="s">
        <v>36</v>
      </c>
      <c r="J420" t="s">
        <v>46</v>
      </c>
      <c r="K420">
        <v>48</v>
      </c>
      <c r="L420">
        <v>25.51</v>
      </c>
      <c r="M420">
        <v>3.6</v>
      </c>
      <c r="N420" t="s">
        <v>22</v>
      </c>
      <c r="O420" t="str">
        <f t="shared" si="6"/>
        <v>No</v>
      </c>
    </row>
    <row r="421" spans="1:15" x14ac:dyDescent="0.25">
      <c r="A421" t="s">
        <v>482</v>
      </c>
      <c r="B421" s="1">
        <v>45749</v>
      </c>
      <c r="C421" s="2">
        <v>45749.347083333334</v>
      </c>
      <c r="D421" t="s">
        <v>24</v>
      </c>
      <c r="E421" t="s">
        <v>39</v>
      </c>
      <c r="F421" t="s">
        <v>87</v>
      </c>
      <c r="G421" t="s">
        <v>51</v>
      </c>
      <c r="H421" t="s">
        <v>35</v>
      </c>
      <c r="I421" t="s">
        <v>28</v>
      </c>
      <c r="J421" t="s">
        <v>21</v>
      </c>
      <c r="K421">
        <v>24</v>
      </c>
      <c r="L421">
        <v>8.33</v>
      </c>
      <c r="M421">
        <v>4.5</v>
      </c>
      <c r="N421" t="s">
        <v>22</v>
      </c>
      <c r="O421" t="str">
        <f t="shared" si="6"/>
        <v>No</v>
      </c>
    </row>
    <row r="422" spans="1:15" x14ac:dyDescent="0.25">
      <c r="A422" t="s">
        <v>483</v>
      </c>
      <c r="B422" s="1">
        <v>45825</v>
      </c>
      <c r="C422" s="2">
        <v>45825.076666666668</v>
      </c>
      <c r="D422" t="s">
        <v>31</v>
      </c>
      <c r="E422" t="s">
        <v>16</v>
      </c>
      <c r="F422" t="s">
        <v>43</v>
      </c>
      <c r="G422" t="s">
        <v>18</v>
      </c>
      <c r="H422" t="s">
        <v>65</v>
      </c>
      <c r="I422" t="s">
        <v>45</v>
      </c>
      <c r="J422" t="s">
        <v>21</v>
      </c>
      <c r="K422">
        <v>4</v>
      </c>
      <c r="L422">
        <v>1.84</v>
      </c>
      <c r="M422">
        <v>4.4000000000000004</v>
      </c>
      <c r="N422" t="s">
        <v>22</v>
      </c>
      <c r="O422" t="str">
        <f t="shared" si="6"/>
        <v>No</v>
      </c>
    </row>
    <row r="423" spans="1:15" x14ac:dyDescent="0.25">
      <c r="A423" t="s">
        <v>484</v>
      </c>
      <c r="B423" s="1">
        <v>45783</v>
      </c>
      <c r="C423" s="2">
        <v>45783.138333333336</v>
      </c>
      <c r="D423" t="s">
        <v>15</v>
      </c>
      <c r="E423" t="s">
        <v>39</v>
      </c>
      <c r="F423" t="s">
        <v>119</v>
      </c>
      <c r="G423" t="s">
        <v>51</v>
      </c>
      <c r="H423" t="s">
        <v>19</v>
      </c>
      <c r="I423" t="s">
        <v>45</v>
      </c>
      <c r="J423" t="s">
        <v>21</v>
      </c>
      <c r="K423">
        <v>48</v>
      </c>
      <c r="L423">
        <v>3.32</v>
      </c>
      <c r="M423">
        <v>5</v>
      </c>
      <c r="N423" t="s">
        <v>22</v>
      </c>
      <c r="O423" t="str">
        <f t="shared" si="6"/>
        <v>No</v>
      </c>
    </row>
    <row r="424" spans="1:15" x14ac:dyDescent="0.25">
      <c r="A424" t="s">
        <v>485</v>
      </c>
      <c r="B424" s="1">
        <v>45796</v>
      </c>
      <c r="C424" s="2">
        <v>45796.277083333334</v>
      </c>
      <c r="D424" t="s">
        <v>15</v>
      </c>
      <c r="E424" t="s">
        <v>25</v>
      </c>
      <c r="F424" t="s">
        <v>70</v>
      </c>
      <c r="G424" t="s">
        <v>18</v>
      </c>
      <c r="H424" t="s">
        <v>19</v>
      </c>
      <c r="I424" t="s">
        <v>20</v>
      </c>
      <c r="J424" t="s">
        <v>21</v>
      </c>
      <c r="K424">
        <v>48</v>
      </c>
      <c r="L424">
        <v>6.65</v>
      </c>
      <c r="M424">
        <v>5</v>
      </c>
      <c r="N424" t="s">
        <v>22</v>
      </c>
      <c r="O424" t="str">
        <f t="shared" si="6"/>
        <v>No</v>
      </c>
    </row>
    <row r="425" spans="1:15" x14ac:dyDescent="0.25">
      <c r="A425" t="s">
        <v>486</v>
      </c>
      <c r="B425" s="1">
        <v>45763</v>
      </c>
      <c r="C425" s="2">
        <v>45763.36791666667</v>
      </c>
      <c r="D425" t="s">
        <v>24</v>
      </c>
      <c r="E425" t="s">
        <v>16</v>
      </c>
      <c r="F425" t="s">
        <v>43</v>
      </c>
      <c r="G425" t="s">
        <v>18</v>
      </c>
      <c r="H425" t="s">
        <v>27</v>
      </c>
      <c r="I425" t="s">
        <v>36</v>
      </c>
      <c r="J425" t="s">
        <v>21</v>
      </c>
      <c r="K425">
        <v>24</v>
      </c>
      <c r="L425">
        <v>8.83</v>
      </c>
      <c r="M425">
        <v>5</v>
      </c>
      <c r="N425" t="s">
        <v>22</v>
      </c>
      <c r="O425" t="str">
        <f t="shared" si="6"/>
        <v>No</v>
      </c>
    </row>
    <row r="426" spans="1:15" x14ac:dyDescent="0.25">
      <c r="A426" t="s">
        <v>487</v>
      </c>
      <c r="B426" s="1">
        <v>45733</v>
      </c>
      <c r="C426" s="2">
        <v>45733.591249999998</v>
      </c>
      <c r="D426" t="s">
        <v>15</v>
      </c>
      <c r="E426" t="s">
        <v>25</v>
      </c>
      <c r="F426" t="s">
        <v>53</v>
      </c>
      <c r="G426" t="s">
        <v>34</v>
      </c>
      <c r="H426" t="s">
        <v>65</v>
      </c>
      <c r="I426" t="s">
        <v>20</v>
      </c>
      <c r="J426" t="s">
        <v>46</v>
      </c>
      <c r="K426">
        <v>48</v>
      </c>
      <c r="L426">
        <v>14.19</v>
      </c>
      <c r="M426">
        <v>3.3</v>
      </c>
      <c r="N426" t="s">
        <v>22</v>
      </c>
      <c r="O426" t="str">
        <f t="shared" si="6"/>
        <v>No</v>
      </c>
    </row>
    <row r="427" spans="1:15" x14ac:dyDescent="0.25">
      <c r="A427" t="s">
        <v>488</v>
      </c>
      <c r="B427" s="1">
        <v>45694</v>
      </c>
      <c r="C427" s="2">
        <v>45694.159583333334</v>
      </c>
      <c r="D427" t="s">
        <v>24</v>
      </c>
      <c r="E427" t="s">
        <v>32</v>
      </c>
      <c r="F427" t="s">
        <v>64</v>
      </c>
      <c r="G427" t="s">
        <v>51</v>
      </c>
      <c r="H427" t="s">
        <v>19</v>
      </c>
      <c r="I427" t="s">
        <v>45</v>
      </c>
      <c r="J427" t="s">
        <v>21</v>
      </c>
      <c r="K427">
        <v>24</v>
      </c>
      <c r="L427">
        <v>3.83</v>
      </c>
      <c r="M427">
        <v>4.3</v>
      </c>
      <c r="N427" t="s">
        <v>22</v>
      </c>
      <c r="O427" t="str">
        <f t="shared" si="6"/>
        <v>No</v>
      </c>
    </row>
    <row r="428" spans="1:15" x14ac:dyDescent="0.25">
      <c r="A428" t="s">
        <v>489</v>
      </c>
      <c r="B428" s="1">
        <v>45814</v>
      </c>
      <c r="C428" s="2">
        <v>45814.457916666666</v>
      </c>
      <c r="D428" t="s">
        <v>24</v>
      </c>
      <c r="E428" t="s">
        <v>32</v>
      </c>
      <c r="F428" t="s">
        <v>33</v>
      </c>
      <c r="G428" t="s">
        <v>41</v>
      </c>
      <c r="H428" t="s">
        <v>35</v>
      </c>
      <c r="I428" t="s">
        <v>20</v>
      </c>
      <c r="J428" t="s">
        <v>21</v>
      </c>
      <c r="K428">
        <v>24</v>
      </c>
      <c r="L428">
        <v>10.99</v>
      </c>
      <c r="M428">
        <v>4.4000000000000004</v>
      </c>
      <c r="N428" t="s">
        <v>22</v>
      </c>
      <c r="O428" t="str">
        <f t="shared" si="6"/>
        <v>No</v>
      </c>
    </row>
    <row r="429" spans="1:15" x14ac:dyDescent="0.25">
      <c r="A429" t="s">
        <v>490</v>
      </c>
      <c r="B429" s="1">
        <v>45803</v>
      </c>
      <c r="C429" s="2">
        <v>45803.79583333333</v>
      </c>
      <c r="D429" t="s">
        <v>24</v>
      </c>
      <c r="E429" t="s">
        <v>39</v>
      </c>
      <c r="F429" t="s">
        <v>119</v>
      </c>
      <c r="G429" t="s">
        <v>51</v>
      </c>
      <c r="H429" t="s">
        <v>54</v>
      </c>
      <c r="I429" t="s">
        <v>20</v>
      </c>
      <c r="J429" t="s">
        <v>46</v>
      </c>
      <c r="K429">
        <v>24</v>
      </c>
      <c r="L429">
        <v>19.100000000000001</v>
      </c>
      <c r="M429">
        <v>4.4000000000000004</v>
      </c>
      <c r="N429" t="s">
        <v>22</v>
      </c>
      <c r="O429" t="str">
        <f t="shared" si="6"/>
        <v>No</v>
      </c>
    </row>
    <row r="430" spans="1:15" x14ac:dyDescent="0.25">
      <c r="A430" t="s">
        <v>491</v>
      </c>
      <c r="B430" s="1">
        <v>45662</v>
      </c>
      <c r="C430" s="2">
        <v>45662.258333333331</v>
      </c>
      <c r="D430" t="s">
        <v>24</v>
      </c>
      <c r="E430" t="s">
        <v>32</v>
      </c>
      <c r="F430" t="s">
        <v>64</v>
      </c>
      <c r="G430" t="s">
        <v>18</v>
      </c>
      <c r="H430" t="s">
        <v>65</v>
      </c>
      <c r="I430" t="s">
        <v>45</v>
      </c>
      <c r="J430" t="s">
        <v>21</v>
      </c>
      <c r="K430">
        <v>24</v>
      </c>
      <c r="L430">
        <v>6.2</v>
      </c>
      <c r="M430">
        <v>5</v>
      </c>
      <c r="N430" t="s">
        <v>22</v>
      </c>
      <c r="O430" t="str">
        <f t="shared" si="6"/>
        <v>No</v>
      </c>
    </row>
    <row r="431" spans="1:15" x14ac:dyDescent="0.25">
      <c r="A431" t="s">
        <v>492</v>
      </c>
      <c r="B431" s="1">
        <v>45787</v>
      </c>
      <c r="C431" s="2">
        <v>45787.60125</v>
      </c>
      <c r="D431" t="s">
        <v>24</v>
      </c>
      <c r="E431" t="s">
        <v>16</v>
      </c>
      <c r="F431" t="s">
        <v>43</v>
      </c>
      <c r="G431" t="s">
        <v>18</v>
      </c>
      <c r="H431" t="s">
        <v>54</v>
      </c>
      <c r="I431" t="s">
        <v>36</v>
      </c>
      <c r="J431" t="s">
        <v>29</v>
      </c>
      <c r="K431">
        <v>24</v>
      </c>
      <c r="L431">
        <v>14.43</v>
      </c>
      <c r="M431">
        <v>3.6</v>
      </c>
      <c r="N431" t="s">
        <v>22</v>
      </c>
      <c r="O431" t="str">
        <f t="shared" si="6"/>
        <v>No</v>
      </c>
    </row>
    <row r="432" spans="1:15" x14ac:dyDescent="0.25">
      <c r="A432" t="s">
        <v>493</v>
      </c>
      <c r="B432" s="1">
        <v>45673</v>
      </c>
      <c r="C432" s="2">
        <v>45673.376250000001</v>
      </c>
      <c r="D432" t="s">
        <v>24</v>
      </c>
      <c r="E432" t="s">
        <v>39</v>
      </c>
      <c r="F432" t="s">
        <v>78</v>
      </c>
      <c r="G432" t="s">
        <v>56</v>
      </c>
      <c r="H432" t="s">
        <v>27</v>
      </c>
      <c r="I432" t="s">
        <v>36</v>
      </c>
      <c r="J432" t="s">
        <v>21</v>
      </c>
      <c r="K432">
        <v>24</v>
      </c>
      <c r="L432">
        <v>9.0299999999999994</v>
      </c>
      <c r="M432">
        <v>4.0999999999999996</v>
      </c>
      <c r="N432" t="s">
        <v>22</v>
      </c>
      <c r="O432" t="str">
        <f t="shared" si="6"/>
        <v>No</v>
      </c>
    </row>
    <row r="433" spans="1:15" x14ac:dyDescent="0.25">
      <c r="A433" t="s">
        <v>494</v>
      </c>
      <c r="B433" s="1">
        <v>45791</v>
      </c>
      <c r="C433" s="2">
        <v>45792.782083333332</v>
      </c>
      <c r="D433" t="s">
        <v>15</v>
      </c>
      <c r="E433" t="s">
        <v>16</v>
      </c>
      <c r="F433" t="s">
        <v>60</v>
      </c>
      <c r="G433" t="s">
        <v>56</v>
      </c>
      <c r="H433" t="s">
        <v>35</v>
      </c>
      <c r="I433" t="s">
        <v>20</v>
      </c>
      <c r="J433" t="s">
        <v>21</v>
      </c>
      <c r="K433">
        <v>48</v>
      </c>
      <c r="L433">
        <v>42.77</v>
      </c>
      <c r="M433">
        <v>3.7</v>
      </c>
      <c r="N433" t="s">
        <v>22</v>
      </c>
      <c r="O433" t="str">
        <f t="shared" si="6"/>
        <v>No</v>
      </c>
    </row>
    <row r="434" spans="1:15" x14ac:dyDescent="0.25">
      <c r="A434" t="s">
        <v>495</v>
      </c>
      <c r="B434" s="1">
        <v>45807</v>
      </c>
      <c r="C434" s="2">
        <v>45807.127083333333</v>
      </c>
      <c r="D434" t="s">
        <v>24</v>
      </c>
      <c r="E434" t="s">
        <v>32</v>
      </c>
      <c r="F434" t="s">
        <v>80</v>
      </c>
      <c r="G434" t="s">
        <v>34</v>
      </c>
      <c r="H434" t="s">
        <v>35</v>
      </c>
      <c r="I434" t="s">
        <v>45</v>
      </c>
      <c r="J434" t="s">
        <v>21</v>
      </c>
      <c r="K434">
        <v>24</v>
      </c>
      <c r="L434">
        <v>3.05</v>
      </c>
      <c r="M434">
        <v>4.4000000000000004</v>
      </c>
      <c r="N434" t="s">
        <v>22</v>
      </c>
      <c r="O434" t="str">
        <f t="shared" si="6"/>
        <v>No</v>
      </c>
    </row>
    <row r="435" spans="1:15" x14ac:dyDescent="0.25">
      <c r="A435" t="s">
        <v>496</v>
      </c>
      <c r="B435" s="1">
        <v>45681</v>
      </c>
      <c r="C435" s="2">
        <v>45681.060833333337</v>
      </c>
      <c r="D435" t="s">
        <v>38</v>
      </c>
      <c r="E435" t="s">
        <v>32</v>
      </c>
      <c r="F435" t="s">
        <v>64</v>
      </c>
      <c r="G435" t="s">
        <v>56</v>
      </c>
      <c r="H435" t="s">
        <v>27</v>
      </c>
      <c r="I435" t="s">
        <v>20</v>
      </c>
      <c r="J435" t="s">
        <v>21</v>
      </c>
      <c r="K435">
        <v>8</v>
      </c>
      <c r="L435">
        <v>1.46</v>
      </c>
      <c r="M435">
        <v>4.2</v>
      </c>
      <c r="N435" t="s">
        <v>22</v>
      </c>
      <c r="O435" t="str">
        <f t="shared" si="6"/>
        <v>No</v>
      </c>
    </row>
    <row r="436" spans="1:15" x14ac:dyDescent="0.25">
      <c r="A436" t="s">
        <v>497</v>
      </c>
      <c r="B436" s="1">
        <v>45736</v>
      </c>
      <c r="C436" s="2">
        <v>45736.35833333333</v>
      </c>
      <c r="D436" t="s">
        <v>24</v>
      </c>
      <c r="E436" t="s">
        <v>16</v>
      </c>
      <c r="F436" t="s">
        <v>17</v>
      </c>
      <c r="G436" t="s">
        <v>18</v>
      </c>
      <c r="H436" t="s">
        <v>44</v>
      </c>
      <c r="I436" t="s">
        <v>36</v>
      </c>
      <c r="J436" t="s">
        <v>21</v>
      </c>
      <c r="K436">
        <v>24</v>
      </c>
      <c r="L436">
        <v>8.6</v>
      </c>
      <c r="M436">
        <v>4.5999999999999996</v>
      </c>
      <c r="N436" t="s">
        <v>61</v>
      </c>
      <c r="O436" t="str">
        <f t="shared" si="6"/>
        <v>No</v>
      </c>
    </row>
    <row r="437" spans="1:15" x14ac:dyDescent="0.25">
      <c r="A437" t="s">
        <v>498</v>
      </c>
      <c r="B437" s="1">
        <v>45680</v>
      </c>
      <c r="C437" s="2">
        <v>45680.220405092594</v>
      </c>
      <c r="D437" t="s">
        <v>24</v>
      </c>
      <c r="E437" t="s">
        <v>39</v>
      </c>
      <c r="F437" t="s">
        <v>119</v>
      </c>
      <c r="G437" t="s">
        <v>51</v>
      </c>
      <c r="H437" t="s">
        <v>54</v>
      </c>
      <c r="I437" t="s">
        <v>45</v>
      </c>
      <c r="J437" t="s">
        <v>85</v>
      </c>
      <c r="K437">
        <v>24</v>
      </c>
      <c r="L437">
        <v>5.29</v>
      </c>
      <c r="M437">
        <v>5</v>
      </c>
      <c r="N437" t="s">
        <v>22</v>
      </c>
      <c r="O437" t="str">
        <f t="shared" si="6"/>
        <v>No</v>
      </c>
    </row>
    <row r="438" spans="1:15" x14ac:dyDescent="0.25">
      <c r="A438" t="s">
        <v>499</v>
      </c>
      <c r="B438" s="1">
        <v>45760</v>
      </c>
      <c r="C438" s="2">
        <v>45761.085833333331</v>
      </c>
      <c r="D438" t="s">
        <v>24</v>
      </c>
      <c r="E438" t="s">
        <v>32</v>
      </c>
      <c r="F438" t="s">
        <v>33</v>
      </c>
      <c r="G438" t="s">
        <v>56</v>
      </c>
      <c r="H438" t="s">
        <v>19</v>
      </c>
      <c r="I438" t="s">
        <v>20</v>
      </c>
      <c r="J438" t="s">
        <v>21</v>
      </c>
      <c r="K438">
        <v>24</v>
      </c>
      <c r="L438">
        <v>26.06</v>
      </c>
      <c r="M438">
        <v>3.8</v>
      </c>
      <c r="N438" t="s">
        <v>22</v>
      </c>
      <c r="O438" t="str">
        <f t="shared" si="6"/>
        <v>Yes</v>
      </c>
    </row>
    <row r="439" spans="1:15" x14ac:dyDescent="0.25">
      <c r="A439" t="s">
        <v>500</v>
      </c>
      <c r="B439" s="1">
        <v>45825</v>
      </c>
      <c r="C439" s="2">
        <v>45825.269583333335</v>
      </c>
      <c r="D439" t="s">
        <v>15</v>
      </c>
      <c r="E439" t="s">
        <v>32</v>
      </c>
      <c r="F439" t="s">
        <v>33</v>
      </c>
      <c r="G439" t="s">
        <v>41</v>
      </c>
      <c r="H439" t="s">
        <v>65</v>
      </c>
      <c r="I439" t="s">
        <v>20</v>
      </c>
      <c r="J439" t="s">
        <v>21</v>
      </c>
      <c r="K439">
        <v>48</v>
      </c>
      <c r="L439">
        <v>6.47</v>
      </c>
      <c r="M439">
        <v>4.3</v>
      </c>
      <c r="N439" t="s">
        <v>22</v>
      </c>
      <c r="O439" t="str">
        <f t="shared" si="6"/>
        <v>No</v>
      </c>
    </row>
    <row r="440" spans="1:15" x14ac:dyDescent="0.25">
      <c r="A440" t="s">
        <v>501</v>
      </c>
      <c r="B440" s="1">
        <v>45672</v>
      </c>
      <c r="C440" s="2">
        <v>45672.696250000001</v>
      </c>
      <c r="D440" t="s">
        <v>15</v>
      </c>
      <c r="E440" t="s">
        <v>32</v>
      </c>
      <c r="F440" t="s">
        <v>64</v>
      </c>
      <c r="G440" t="s">
        <v>51</v>
      </c>
      <c r="H440" t="s">
        <v>19</v>
      </c>
      <c r="I440" t="s">
        <v>36</v>
      </c>
      <c r="J440" t="s">
        <v>46</v>
      </c>
      <c r="K440">
        <v>48</v>
      </c>
      <c r="L440">
        <v>16.71</v>
      </c>
      <c r="M440">
        <v>4.5</v>
      </c>
      <c r="N440" t="s">
        <v>22</v>
      </c>
      <c r="O440" t="str">
        <f t="shared" si="6"/>
        <v>No</v>
      </c>
    </row>
    <row r="441" spans="1:15" x14ac:dyDescent="0.25">
      <c r="A441" t="s">
        <v>502</v>
      </c>
      <c r="B441" s="1">
        <v>45729</v>
      </c>
      <c r="C441" s="2">
        <v>45732.466249999998</v>
      </c>
      <c r="D441" t="s">
        <v>15</v>
      </c>
      <c r="E441" t="s">
        <v>16</v>
      </c>
      <c r="F441" t="s">
        <v>43</v>
      </c>
      <c r="G441" t="s">
        <v>56</v>
      </c>
      <c r="H441" t="s">
        <v>27</v>
      </c>
      <c r="I441" t="s">
        <v>36</v>
      </c>
      <c r="J441" t="s">
        <v>21</v>
      </c>
      <c r="K441">
        <v>48</v>
      </c>
      <c r="L441">
        <v>83.19</v>
      </c>
      <c r="M441">
        <v>2.2000000000000002</v>
      </c>
      <c r="N441" t="s">
        <v>22</v>
      </c>
      <c r="O441" t="str">
        <f t="shared" si="6"/>
        <v>Yes</v>
      </c>
    </row>
    <row r="442" spans="1:15" x14ac:dyDescent="0.25">
      <c r="A442" t="s">
        <v>503</v>
      </c>
      <c r="B442" s="1">
        <v>45834</v>
      </c>
      <c r="C442" s="2">
        <v>45834.020833333336</v>
      </c>
      <c r="D442" t="s">
        <v>31</v>
      </c>
      <c r="E442" t="s">
        <v>32</v>
      </c>
      <c r="F442" t="s">
        <v>75</v>
      </c>
      <c r="G442" t="s">
        <v>56</v>
      </c>
      <c r="H442" t="s">
        <v>35</v>
      </c>
      <c r="I442" t="s">
        <v>20</v>
      </c>
      <c r="J442" t="s">
        <v>21</v>
      </c>
      <c r="K442">
        <v>4</v>
      </c>
      <c r="L442">
        <v>0.5</v>
      </c>
      <c r="M442">
        <v>5</v>
      </c>
      <c r="N442" t="s">
        <v>22</v>
      </c>
      <c r="O442" t="str">
        <f t="shared" si="6"/>
        <v>No</v>
      </c>
    </row>
    <row r="443" spans="1:15" x14ac:dyDescent="0.25">
      <c r="A443" t="s">
        <v>504</v>
      </c>
      <c r="B443" s="1">
        <v>45712</v>
      </c>
      <c r="C443" s="2">
        <v>45712.987916666665</v>
      </c>
      <c r="D443" t="s">
        <v>15</v>
      </c>
      <c r="E443" t="s">
        <v>39</v>
      </c>
      <c r="F443" t="s">
        <v>87</v>
      </c>
      <c r="G443" t="s">
        <v>41</v>
      </c>
      <c r="H443" t="s">
        <v>35</v>
      </c>
      <c r="I443" t="s">
        <v>20</v>
      </c>
      <c r="J443" t="s">
        <v>29</v>
      </c>
      <c r="K443">
        <v>48</v>
      </c>
      <c r="L443">
        <v>23.71</v>
      </c>
      <c r="M443">
        <v>5</v>
      </c>
      <c r="N443" t="s">
        <v>22</v>
      </c>
      <c r="O443" t="str">
        <f t="shared" si="6"/>
        <v>No</v>
      </c>
    </row>
    <row r="444" spans="1:15" x14ac:dyDescent="0.25">
      <c r="A444" t="s">
        <v>505</v>
      </c>
      <c r="B444" s="1">
        <v>45681</v>
      </c>
      <c r="C444" s="2">
        <v>45681.127500000002</v>
      </c>
      <c r="D444" t="s">
        <v>38</v>
      </c>
      <c r="E444" t="s">
        <v>16</v>
      </c>
      <c r="F444" t="s">
        <v>43</v>
      </c>
      <c r="G444" t="s">
        <v>56</v>
      </c>
      <c r="H444" t="s">
        <v>65</v>
      </c>
      <c r="I444" t="s">
        <v>36</v>
      </c>
      <c r="J444" t="s">
        <v>21</v>
      </c>
      <c r="K444">
        <v>8</v>
      </c>
      <c r="L444">
        <v>3.06</v>
      </c>
      <c r="M444">
        <v>3.5</v>
      </c>
      <c r="N444" t="s">
        <v>22</v>
      </c>
      <c r="O444" t="str">
        <f t="shared" si="6"/>
        <v>No</v>
      </c>
    </row>
    <row r="445" spans="1:15" x14ac:dyDescent="0.25">
      <c r="A445" t="s">
        <v>506</v>
      </c>
      <c r="B445" s="1">
        <v>45746</v>
      </c>
      <c r="C445" s="2">
        <v>45747.33625</v>
      </c>
      <c r="D445" t="s">
        <v>15</v>
      </c>
      <c r="E445" t="s">
        <v>16</v>
      </c>
      <c r="F445" t="s">
        <v>43</v>
      </c>
      <c r="G445" t="s">
        <v>51</v>
      </c>
      <c r="H445" t="s">
        <v>44</v>
      </c>
      <c r="I445" t="s">
        <v>45</v>
      </c>
      <c r="J445" t="s">
        <v>21</v>
      </c>
      <c r="K445">
        <v>48</v>
      </c>
      <c r="L445">
        <v>32.07</v>
      </c>
      <c r="M445">
        <v>4.3</v>
      </c>
      <c r="N445" t="s">
        <v>61</v>
      </c>
      <c r="O445" t="str">
        <f t="shared" si="6"/>
        <v>No</v>
      </c>
    </row>
    <row r="446" spans="1:15" x14ac:dyDescent="0.25">
      <c r="A446" t="s">
        <v>507</v>
      </c>
      <c r="B446" s="1">
        <v>45750</v>
      </c>
      <c r="C446" s="2">
        <v>45751.238333333335</v>
      </c>
      <c r="D446" t="s">
        <v>15</v>
      </c>
      <c r="E446" t="s">
        <v>16</v>
      </c>
      <c r="F446" t="s">
        <v>58</v>
      </c>
      <c r="G446" t="s">
        <v>51</v>
      </c>
      <c r="H446" t="s">
        <v>19</v>
      </c>
      <c r="I446" t="s">
        <v>36</v>
      </c>
      <c r="J446" t="s">
        <v>29</v>
      </c>
      <c r="K446">
        <v>48</v>
      </c>
      <c r="L446">
        <v>29.72</v>
      </c>
      <c r="M446">
        <v>3.8</v>
      </c>
      <c r="N446" t="s">
        <v>22</v>
      </c>
      <c r="O446" t="str">
        <f t="shared" si="6"/>
        <v>No</v>
      </c>
    </row>
    <row r="447" spans="1:15" x14ac:dyDescent="0.25">
      <c r="A447" t="s">
        <v>508</v>
      </c>
      <c r="B447" s="1">
        <v>45777</v>
      </c>
      <c r="C447" s="2">
        <v>45777.59</v>
      </c>
      <c r="D447" t="s">
        <v>24</v>
      </c>
      <c r="E447" t="s">
        <v>32</v>
      </c>
      <c r="F447" t="s">
        <v>80</v>
      </c>
      <c r="G447" t="s">
        <v>51</v>
      </c>
      <c r="H447" t="s">
        <v>35</v>
      </c>
      <c r="I447" t="s">
        <v>36</v>
      </c>
      <c r="J447" t="s">
        <v>21</v>
      </c>
      <c r="K447">
        <v>24</v>
      </c>
      <c r="L447">
        <v>14.16</v>
      </c>
      <c r="M447">
        <v>4.3</v>
      </c>
      <c r="N447" t="s">
        <v>22</v>
      </c>
      <c r="O447" t="str">
        <f t="shared" si="6"/>
        <v>No</v>
      </c>
    </row>
    <row r="448" spans="1:15" x14ac:dyDescent="0.25">
      <c r="A448" t="s">
        <v>509</v>
      </c>
      <c r="B448" s="1">
        <v>45714</v>
      </c>
      <c r="C448" s="2">
        <v>45714.934166666666</v>
      </c>
      <c r="D448" t="s">
        <v>24</v>
      </c>
      <c r="E448" t="s">
        <v>45</v>
      </c>
      <c r="F448" t="s">
        <v>100</v>
      </c>
      <c r="G448" t="s">
        <v>34</v>
      </c>
      <c r="H448" t="s">
        <v>54</v>
      </c>
      <c r="I448" t="s">
        <v>36</v>
      </c>
      <c r="J448" t="s">
        <v>46</v>
      </c>
      <c r="K448">
        <v>24</v>
      </c>
      <c r="L448">
        <v>22.42</v>
      </c>
      <c r="M448">
        <v>3.8</v>
      </c>
      <c r="N448" t="s">
        <v>61</v>
      </c>
      <c r="O448" t="str">
        <f t="shared" si="6"/>
        <v>No</v>
      </c>
    </row>
    <row r="449" spans="1:15" x14ac:dyDescent="0.25">
      <c r="A449" t="s">
        <v>510</v>
      </c>
      <c r="B449" s="1">
        <v>45830</v>
      </c>
      <c r="C449" s="2">
        <v>45830.305833333332</v>
      </c>
      <c r="D449" t="s">
        <v>38</v>
      </c>
      <c r="E449" t="s">
        <v>39</v>
      </c>
      <c r="F449" t="s">
        <v>78</v>
      </c>
      <c r="G449" t="s">
        <v>56</v>
      </c>
      <c r="H449" t="s">
        <v>65</v>
      </c>
      <c r="I449" t="s">
        <v>36</v>
      </c>
      <c r="J449" t="s">
        <v>21</v>
      </c>
      <c r="K449">
        <v>8</v>
      </c>
      <c r="L449">
        <v>7.34</v>
      </c>
      <c r="M449">
        <v>3</v>
      </c>
      <c r="N449" t="s">
        <v>22</v>
      </c>
      <c r="O449" t="str">
        <f t="shared" si="6"/>
        <v>No</v>
      </c>
    </row>
    <row r="450" spans="1:15" x14ac:dyDescent="0.25">
      <c r="A450" t="s">
        <v>511</v>
      </c>
      <c r="B450" s="1">
        <v>45752</v>
      </c>
      <c r="C450" s="2">
        <v>45752.048750000002</v>
      </c>
      <c r="D450" t="s">
        <v>31</v>
      </c>
      <c r="E450" t="s">
        <v>39</v>
      </c>
      <c r="F450" t="s">
        <v>40</v>
      </c>
      <c r="G450" t="s">
        <v>56</v>
      </c>
      <c r="H450" t="s">
        <v>44</v>
      </c>
      <c r="I450" t="s">
        <v>20</v>
      </c>
      <c r="J450" t="s">
        <v>21</v>
      </c>
      <c r="K450">
        <v>4</v>
      </c>
      <c r="L450">
        <v>1.17</v>
      </c>
      <c r="M450">
        <v>5</v>
      </c>
      <c r="N450" t="s">
        <v>22</v>
      </c>
      <c r="O450" t="str">
        <f t="shared" si="6"/>
        <v>No</v>
      </c>
    </row>
    <row r="451" spans="1:15" x14ac:dyDescent="0.25">
      <c r="A451" t="s">
        <v>512</v>
      </c>
      <c r="B451" s="1">
        <v>45709</v>
      </c>
      <c r="C451" s="2">
        <v>45709.094166666669</v>
      </c>
      <c r="D451" t="s">
        <v>38</v>
      </c>
      <c r="E451" t="s">
        <v>45</v>
      </c>
      <c r="F451" t="s">
        <v>112</v>
      </c>
      <c r="G451" t="s">
        <v>56</v>
      </c>
      <c r="H451" t="s">
        <v>65</v>
      </c>
      <c r="I451" t="s">
        <v>36</v>
      </c>
      <c r="J451" t="s">
        <v>21</v>
      </c>
      <c r="K451">
        <v>8</v>
      </c>
      <c r="L451">
        <v>2.2599999999999998</v>
      </c>
      <c r="M451">
        <v>4.5999999999999996</v>
      </c>
      <c r="N451" t="s">
        <v>22</v>
      </c>
      <c r="O451" t="str">
        <f t="shared" ref="O451:O514" si="7">IF(L451&gt;K451,"Yes","No")</f>
        <v>No</v>
      </c>
    </row>
    <row r="452" spans="1:15" x14ac:dyDescent="0.25">
      <c r="A452" t="s">
        <v>513</v>
      </c>
      <c r="B452" s="1">
        <v>45831</v>
      </c>
      <c r="C452" s="2">
        <v>45832.540833333333</v>
      </c>
      <c r="D452" t="s">
        <v>15</v>
      </c>
      <c r="E452" t="s">
        <v>16</v>
      </c>
      <c r="F452" t="s">
        <v>17</v>
      </c>
      <c r="G452" t="s">
        <v>18</v>
      </c>
      <c r="H452" t="s">
        <v>54</v>
      </c>
      <c r="I452" t="s">
        <v>20</v>
      </c>
      <c r="J452" t="s">
        <v>29</v>
      </c>
      <c r="K452">
        <v>48</v>
      </c>
      <c r="L452">
        <v>36.979999999999997</v>
      </c>
      <c r="M452">
        <v>3.8</v>
      </c>
      <c r="N452" t="s">
        <v>22</v>
      </c>
      <c r="O452" t="str">
        <f t="shared" si="7"/>
        <v>No</v>
      </c>
    </row>
    <row r="453" spans="1:15" x14ac:dyDescent="0.25">
      <c r="A453" t="s">
        <v>514</v>
      </c>
      <c r="B453" s="1">
        <v>45825</v>
      </c>
      <c r="C453" s="2">
        <v>45825.183333333334</v>
      </c>
      <c r="D453" t="s">
        <v>38</v>
      </c>
      <c r="E453" t="s">
        <v>16</v>
      </c>
      <c r="F453" t="s">
        <v>43</v>
      </c>
      <c r="G453" t="s">
        <v>18</v>
      </c>
      <c r="H453" t="s">
        <v>35</v>
      </c>
      <c r="I453" t="s">
        <v>45</v>
      </c>
      <c r="J453" t="s">
        <v>21</v>
      </c>
      <c r="K453">
        <v>8</v>
      </c>
      <c r="L453">
        <v>4.4000000000000004</v>
      </c>
      <c r="M453">
        <v>4.4000000000000004</v>
      </c>
      <c r="N453" t="s">
        <v>22</v>
      </c>
      <c r="O453" t="str">
        <f t="shared" si="7"/>
        <v>No</v>
      </c>
    </row>
    <row r="454" spans="1:15" x14ac:dyDescent="0.25">
      <c r="A454" t="s">
        <v>515</v>
      </c>
      <c r="B454" s="1">
        <v>45748</v>
      </c>
      <c r="C454" s="2">
        <v>45749.259166666663</v>
      </c>
      <c r="D454" t="s">
        <v>15</v>
      </c>
      <c r="E454" t="s">
        <v>45</v>
      </c>
      <c r="F454" t="s">
        <v>50</v>
      </c>
      <c r="G454" t="s">
        <v>51</v>
      </c>
      <c r="H454" t="s">
        <v>65</v>
      </c>
      <c r="I454" t="s">
        <v>36</v>
      </c>
      <c r="J454" t="s">
        <v>21</v>
      </c>
      <c r="K454">
        <v>48</v>
      </c>
      <c r="L454">
        <v>30.22</v>
      </c>
      <c r="M454">
        <v>3.7</v>
      </c>
      <c r="N454" t="s">
        <v>22</v>
      </c>
      <c r="O454" t="str">
        <f t="shared" si="7"/>
        <v>No</v>
      </c>
    </row>
    <row r="455" spans="1:15" x14ac:dyDescent="0.25">
      <c r="A455" t="s">
        <v>516</v>
      </c>
      <c r="B455" s="1">
        <v>45662</v>
      </c>
      <c r="C455" s="2">
        <v>45662.166666666664</v>
      </c>
      <c r="D455" t="s">
        <v>38</v>
      </c>
      <c r="E455" t="s">
        <v>32</v>
      </c>
      <c r="F455" t="s">
        <v>75</v>
      </c>
      <c r="G455" t="s">
        <v>18</v>
      </c>
      <c r="H455" t="s">
        <v>65</v>
      </c>
      <c r="I455" t="s">
        <v>36</v>
      </c>
      <c r="J455" t="s">
        <v>21</v>
      </c>
      <c r="K455">
        <v>8</v>
      </c>
      <c r="L455">
        <v>4</v>
      </c>
      <c r="M455">
        <v>4.3</v>
      </c>
      <c r="N455" t="s">
        <v>22</v>
      </c>
      <c r="O455" t="str">
        <f t="shared" si="7"/>
        <v>No</v>
      </c>
    </row>
    <row r="456" spans="1:15" x14ac:dyDescent="0.25">
      <c r="A456" t="s">
        <v>517</v>
      </c>
      <c r="B456" s="1">
        <v>45766</v>
      </c>
      <c r="C456" s="2">
        <v>45766.328333333331</v>
      </c>
      <c r="D456" t="s">
        <v>24</v>
      </c>
      <c r="E456" t="s">
        <v>25</v>
      </c>
      <c r="F456" t="s">
        <v>48</v>
      </c>
      <c r="G456" t="s">
        <v>51</v>
      </c>
      <c r="H456" t="s">
        <v>65</v>
      </c>
      <c r="I456" t="s">
        <v>36</v>
      </c>
      <c r="J456" t="s">
        <v>21</v>
      </c>
      <c r="K456">
        <v>24</v>
      </c>
      <c r="L456">
        <v>7.88</v>
      </c>
      <c r="M456">
        <v>3.4</v>
      </c>
      <c r="N456" t="s">
        <v>22</v>
      </c>
      <c r="O456" t="str">
        <f t="shared" si="7"/>
        <v>No</v>
      </c>
    </row>
    <row r="457" spans="1:15" x14ac:dyDescent="0.25">
      <c r="A457" t="s">
        <v>518</v>
      </c>
      <c r="B457" s="1">
        <v>45758</v>
      </c>
      <c r="C457" s="2">
        <v>45758.7425</v>
      </c>
      <c r="D457" t="s">
        <v>24</v>
      </c>
      <c r="E457" t="s">
        <v>16</v>
      </c>
      <c r="F457" t="s">
        <v>58</v>
      </c>
      <c r="G457" t="s">
        <v>51</v>
      </c>
      <c r="H457" t="s">
        <v>19</v>
      </c>
      <c r="I457" t="s">
        <v>45</v>
      </c>
      <c r="J457" t="s">
        <v>21</v>
      </c>
      <c r="K457">
        <v>24</v>
      </c>
      <c r="L457">
        <v>17.82</v>
      </c>
      <c r="M457">
        <v>2.6</v>
      </c>
      <c r="N457" t="s">
        <v>22</v>
      </c>
      <c r="O457" t="str">
        <f t="shared" si="7"/>
        <v>No</v>
      </c>
    </row>
    <row r="458" spans="1:15" x14ac:dyDescent="0.25">
      <c r="A458" t="s">
        <v>519</v>
      </c>
      <c r="B458" s="1">
        <v>45684</v>
      </c>
      <c r="C458" s="2">
        <v>45684.495416666665</v>
      </c>
      <c r="D458" t="s">
        <v>15</v>
      </c>
      <c r="E458" t="s">
        <v>39</v>
      </c>
      <c r="F458" t="s">
        <v>87</v>
      </c>
      <c r="G458" t="s">
        <v>34</v>
      </c>
      <c r="H458" t="s">
        <v>54</v>
      </c>
      <c r="I458" t="s">
        <v>28</v>
      </c>
      <c r="J458" t="s">
        <v>29</v>
      </c>
      <c r="K458">
        <v>48</v>
      </c>
      <c r="L458">
        <v>11.89</v>
      </c>
      <c r="M458">
        <v>4.0999999999999996</v>
      </c>
      <c r="N458" t="s">
        <v>22</v>
      </c>
      <c r="O458" t="str">
        <f t="shared" si="7"/>
        <v>No</v>
      </c>
    </row>
    <row r="459" spans="1:15" x14ac:dyDescent="0.25">
      <c r="A459" t="s">
        <v>520</v>
      </c>
      <c r="B459" s="1">
        <v>45772</v>
      </c>
      <c r="C459" s="2">
        <v>45775.51666666667</v>
      </c>
      <c r="D459" t="s">
        <v>15</v>
      </c>
      <c r="E459" t="s">
        <v>32</v>
      </c>
      <c r="F459" t="s">
        <v>33</v>
      </c>
      <c r="G459" t="s">
        <v>41</v>
      </c>
      <c r="H459" t="s">
        <v>19</v>
      </c>
      <c r="I459" t="s">
        <v>20</v>
      </c>
      <c r="J459" t="s">
        <v>46</v>
      </c>
      <c r="K459">
        <v>48</v>
      </c>
      <c r="L459">
        <v>84.4</v>
      </c>
      <c r="M459">
        <v>2.5</v>
      </c>
      <c r="N459" t="s">
        <v>22</v>
      </c>
      <c r="O459" t="str">
        <f t="shared" si="7"/>
        <v>Yes</v>
      </c>
    </row>
    <row r="460" spans="1:15" x14ac:dyDescent="0.25">
      <c r="A460" t="s">
        <v>521</v>
      </c>
      <c r="B460" s="1">
        <v>45810</v>
      </c>
      <c r="C460" s="2">
        <v>45813.292083333334</v>
      </c>
      <c r="D460" t="s">
        <v>15</v>
      </c>
      <c r="E460" t="s">
        <v>32</v>
      </c>
      <c r="F460" t="s">
        <v>75</v>
      </c>
      <c r="G460" t="s">
        <v>18</v>
      </c>
      <c r="H460" t="s">
        <v>44</v>
      </c>
      <c r="I460" t="s">
        <v>20</v>
      </c>
      <c r="J460" t="s">
        <v>21</v>
      </c>
      <c r="K460">
        <v>48</v>
      </c>
      <c r="L460">
        <v>79.010000000000005</v>
      </c>
      <c r="M460">
        <v>1.9</v>
      </c>
      <c r="N460" t="s">
        <v>22</v>
      </c>
      <c r="O460" t="str">
        <f t="shared" si="7"/>
        <v>Yes</v>
      </c>
    </row>
    <row r="461" spans="1:15" x14ac:dyDescent="0.25">
      <c r="A461" t="s">
        <v>522</v>
      </c>
      <c r="B461" s="1">
        <v>45677</v>
      </c>
      <c r="C461" s="2">
        <v>45677.675416666665</v>
      </c>
      <c r="D461" t="s">
        <v>38</v>
      </c>
      <c r="E461" t="s">
        <v>45</v>
      </c>
      <c r="F461" t="s">
        <v>104</v>
      </c>
      <c r="G461" t="s">
        <v>51</v>
      </c>
      <c r="H461" t="s">
        <v>27</v>
      </c>
      <c r="I461" t="s">
        <v>20</v>
      </c>
      <c r="J461" t="s">
        <v>21</v>
      </c>
      <c r="K461">
        <v>8</v>
      </c>
      <c r="L461">
        <v>16.21</v>
      </c>
      <c r="M461">
        <v>2.2000000000000002</v>
      </c>
      <c r="N461" t="s">
        <v>22</v>
      </c>
      <c r="O461" t="str">
        <f t="shared" si="7"/>
        <v>Yes</v>
      </c>
    </row>
    <row r="462" spans="1:15" x14ac:dyDescent="0.25">
      <c r="A462" t="s">
        <v>523</v>
      </c>
      <c r="B462" s="1">
        <v>45788</v>
      </c>
      <c r="C462" s="2">
        <v>45788.192499999997</v>
      </c>
      <c r="D462" t="s">
        <v>38</v>
      </c>
      <c r="E462" t="s">
        <v>32</v>
      </c>
      <c r="F462" t="s">
        <v>33</v>
      </c>
      <c r="G462" t="s">
        <v>56</v>
      </c>
      <c r="H462" t="s">
        <v>27</v>
      </c>
      <c r="I462" t="s">
        <v>20</v>
      </c>
      <c r="J462" t="s">
        <v>21</v>
      </c>
      <c r="K462">
        <v>8</v>
      </c>
      <c r="L462">
        <v>4.62</v>
      </c>
      <c r="M462">
        <v>4</v>
      </c>
      <c r="N462" t="s">
        <v>22</v>
      </c>
      <c r="O462" t="str">
        <f t="shared" si="7"/>
        <v>No</v>
      </c>
    </row>
    <row r="463" spans="1:15" x14ac:dyDescent="0.25">
      <c r="A463" t="s">
        <v>524</v>
      </c>
      <c r="B463" s="1">
        <v>45683</v>
      </c>
      <c r="C463" s="2">
        <v>45683.060833333337</v>
      </c>
      <c r="D463" t="s">
        <v>31</v>
      </c>
      <c r="E463" t="s">
        <v>32</v>
      </c>
      <c r="F463" t="s">
        <v>75</v>
      </c>
      <c r="G463" t="s">
        <v>51</v>
      </c>
      <c r="H463" t="s">
        <v>27</v>
      </c>
      <c r="I463" t="s">
        <v>45</v>
      </c>
      <c r="J463" t="s">
        <v>21</v>
      </c>
      <c r="K463">
        <v>4</v>
      </c>
      <c r="L463">
        <v>1.46</v>
      </c>
      <c r="M463">
        <v>4.5</v>
      </c>
      <c r="N463" t="s">
        <v>22</v>
      </c>
      <c r="O463" t="str">
        <f t="shared" si="7"/>
        <v>No</v>
      </c>
    </row>
    <row r="464" spans="1:15" x14ac:dyDescent="0.25">
      <c r="A464" t="s">
        <v>525</v>
      </c>
      <c r="B464" s="1">
        <v>45793</v>
      </c>
      <c r="C464" s="2">
        <v>45795.526666666665</v>
      </c>
      <c r="D464" t="s">
        <v>15</v>
      </c>
      <c r="E464" t="s">
        <v>16</v>
      </c>
      <c r="F464" t="s">
        <v>58</v>
      </c>
      <c r="G464" t="s">
        <v>51</v>
      </c>
      <c r="H464" t="s">
        <v>27</v>
      </c>
      <c r="I464" t="s">
        <v>20</v>
      </c>
      <c r="J464" t="s">
        <v>21</v>
      </c>
      <c r="K464">
        <v>48</v>
      </c>
      <c r="L464">
        <v>60.64</v>
      </c>
      <c r="M464">
        <v>3.9</v>
      </c>
      <c r="N464" t="s">
        <v>22</v>
      </c>
      <c r="O464" t="str">
        <f t="shared" si="7"/>
        <v>Yes</v>
      </c>
    </row>
    <row r="465" spans="1:15" x14ac:dyDescent="0.25">
      <c r="A465" t="s">
        <v>526</v>
      </c>
      <c r="B465" s="1">
        <v>45733</v>
      </c>
      <c r="C465" s="2">
        <v>45733.508333333331</v>
      </c>
      <c r="D465" t="s">
        <v>24</v>
      </c>
      <c r="E465" t="s">
        <v>16</v>
      </c>
      <c r="F465" t="s">
        <v>43</v>
      </c>
      <c r="G465" t="s">
        <v>34</v>
      </c>
      <c r="H465" t="s">
        <v>44</v>
      </c>
      <c r="I465" t="s">
        <v>36</v>
      </c>
      <c r="J465" t="s">
        <v>29</v>
      </c>
      <c r="K465">
        <v>24</v>
      </c>
      <c r="L465">
        <v>12.2</v>
      </c>
      <c r="M465">
        <v>5</v>
      </c>
      <c r="N465" t="s">
        <v>22</v>
      </c>
      <c r="O465" t="str">
        <f t="shared" si="7"/>
        <v>No</v>
      </c>
    </row>
    <row r="466" spans="1:15" x14ac:dyDescent="0.25">
      <c r="A466" t="s">
        <v>527</v>
      </c>
      <c r="B466" s="1">
        <v>45659</v>
      </c>
      <c r="C466" s="2">
        <v>45660.780416666668</v>
      </c>
      <c r="D466" t="s">
        <v>15</v>
      </c>
      <c r="E466" t="s">
        <v>32</v>
      </c>
      <c r="F466" t="s">
        <v>33</v>
      </c>
      <c r="G466" t="s">
        <v>18</v>
      </c>
      <c r="H466" t="s">
        <v>44</v>
      </c>
      <c r="I466" t="s">
        <v>36</v>
      </c>
      <c r="J466" t="s">
        <v>21</v>
      </c>
      <c r="K466">
        <v>48</v>
      </c>
      <c r="L466">
        <v>42.73</v>
      </c>
      <c r="M466">
        <v>4.2</v>
      </c>
      <c r="N466" t="s">
        <v>22</v>
      </c>
      <c r="O466" t="str">
        <f t="shared" si="7"/>
        <v>No</v>
      </c>
    </row>
    <row r="467" spans="1:15" x14ac:dyDescent="0.25">
      <c r="A467" t="s">
        <v>528</v>
      </c>
      <c r="B467" s="1">
        <v>45832</v>
      </c>
      <c r="C467" s="2">
        <v>45832.885833333334</v>
      </c>
      <c r="D467" t="s">
        <v>24</v>
      </c>
      <c r="E467" t="s">
        <v>25</v>
      </c>
      <c r="F467" t="s">
        <v>48</v>
      </c>
      <c r="G467" t="s">
        <v>18</v>
      </c>
      <c r="H467" t="s">
        <v>35</v>
      </c>
      <c r="I467" t="s">
        <v>20</v>
      </c>
      <c r="J467" t="s">
        <v>21</v>
      </c>
      <c r="K467">
        <v>24</v>
      </c>
      <c r="L467">
        <v>21.26</v>
      </c>
      <c r="M467">
        <v>3.3</v>
      </c>
      <c r="N467" t="s">
        <v>22</v>
      </c>
      <c r="O467" t="str">
        <f t="shared" si="7"/>
        <v>No</v>
      </c>
    </row>
    <row r="468" spans="1:15" x14ac:dyDescent="0.25">
      <c r="A468" t="s">
        <v>529</v>
      </c>
      <c r="B468" s="1">
        <v>45688</v>
      </c>
      <c r="C468" s="2">
        <v>45688.254166666666</v>
      </c>
      <c r="D468" t="s">
        <v>24</v>
      </c>
      <c r="E468" t="s">
        <v>16</v>
      </c>
      <c r="F468" t="s">
        <v>58</v>
      </c>
      <c r="G468" t="s">
        <v>56</v>
      </c>
      <c r="H468" t="s">
        <v>27</v>
      </c>
      <c r="I468" t="s">
        <v>20</v>
      </c>
      <c r="J468" t="s">
        <v>46</v>
      </c>
      <c r="K468">
        <v>24</v>
      </c>
      <c r="L468">
        <v>6.1</v>
      </c>
      <c r="M468">
        <v>5</v>
      </c>
      <c r="N468" t="s">
        <v>22</v>
      </c>
      <c r="O468" t="str">
        <f t="shared" si="7"/>
        <v>No</v>
      </c>
    </row>
    <row r="469" spans="1:15" x14ac:dyDescent="0.25">
      <c r="A469" t="s">
        <v>530</v>
      </c>
      <c r="B469" s="1">
        <v>45765</v>
      </c>
      <c r="C469" s="2">
        <v>45766.46</v>
      </c>
      <c r="D469" t="s">
        <v>15</v>
      </c>
      <c r="E469" t="s">
        <v>25</v>
      </c>
      <c r="F469" t="s">
        <v>53</v>
      </c>
      <c r="G469" t="s">
        <v>56</v>
      </c>
      <c r="H469" t="s">
        <v>44</v>
      </c>
      <c r="I469" t="s">
        <v>36</v>
      </c>
      <c r="J469" t="s">
        <v>21</v>
      </c>
      <c r="K469">
        <v>48</v>
      </c>
      <c r="L469">
        <v>35.04</v>
      </c>
      <c r="M469">
        <v>5</v>
      </c>
      <c r="N469" t="s">
        <v>22</v>
      </c>
      <c r="O469" t="str">
        <f t="shared" si="7"/>
        <v>No</v>
      </c>
    </row>
    <row r="470" spans="1:15" x14ac:dyDescent="0.25">
      <c r="A470" t="s">
        <v>531</v>
      </c>
      <c r="B470" s="1">
        <v>45690</v>
      </c>
      <c r="C470" s="2">
        <v>45690.85833333333</v>
      </c>
      <c r="D470" t="s">
        <v>24</v>
      </c>
      <c r="E470" t="s">
        <v>32</v>
      </c>
      <c r="F470" t="s">
        <v>80</v>
      </c>
      <c r="G470" t="s">
        <v>34</v>
      </c>
      <c r="H470" t="s">
        <v>27</v>
      </c>
      <c r="I470" t="s">
        <v>28</v>
      </c>
      <c r="J470" t="s">
        <v>46</v>
      </c>
      <c r="K470">
        <v>24</v>
      </c>
      <c r="L470">
        <v>20.6</v>
      </c>
      <c r="M470">
        <v>3.2</v>
      </c>
      <c r="N470" t="s">
        <v>22</v>
      </c>
      <c r="O470" t="str">
        <f t="shared" si="7"/>
        <v>No</v>
      </c>
    </row>
    <row r="471" spans="1:15" x14ac:dyDescent="0.25">
      <c r="A471" t="s">
        <v>532</v>
      </c>
      <c r="B471" s="1">
        <v>45826</v>
      </c>
      <c r="C471" s="2">
        <v>45826.924583333333</v>
      </c>
      <c r="D471" t="s">
        <v>15</v>
      </c>
      <c r="E471" t="s">
        <v>32</v>
      </c>
      <c r="F471" t="s">
        <v>75</v>
      </c>
      <c r="G471" t="s">
        <v>41</v>
      </c>
      <c r="H471" t="s">
        <v>19</v>
      </c>
      <c r="I471" t="s">
        <v>36</v>
      </c>
      <c r="J471" t="s">
        <v>46</v>
      </c>
      <c r="K471">
        <v>48</v>
      </c>
      <c r="L471">
        <v>22.19</v>
      </c>
      <c r="M471">
        <v>3.8</v>
      </c>
      <c r="N471" t="s">
        <v>22</v>
      </c>
      <c r="O471" t="str">
        <f t="shared" si="7"/>
        <v>No</v>
      </c>
    </row>
    <row r="472" spans="1:15" x14ac:dyDescent="0.25">
      <c r="A472" t="s">
        <v>533</v>
      </c>
      <c r="B472" s="1">
        <v>45791</v>
      </c>
      <c r="C472" s="2">
        <v>45791.137071759258</v>
      </c>
      <c r="D472" t="s">
        <v>24</v>
      </c>
      <c r="E472" t="s">
        <v>16</v>
      </c>
      <c r="F472" t="s">
        <v>17</v>
      </c>
      <c r="G472" t="s">
        <v>18</v>
      </c>
      <c r="H472" t="s">
        <v>27</v>
      </c>
      <c r="I472" t="s">
        <v>20</v>
      </c>
      <c r="J472" t="s">
        <v>21</v>
      </c>
      <c r="K472">
        <v>24</v>
      </c>
      <c r="L472">
        <v>3.29</v>
      </c>
      <c r="M472">
        <v>3.9</v>
      </c>
      <c r="N472" t="s">
        <v>22</v>
      </c>
      <c r="O472" t="str">
        <f t="shared" si="7"/>
        <v>No</v>
      </c>
    </row>
    <row r="473" spans="1:15" x14ac:dyDescent="0.25">
      <c r="A473" t="s">
        <v>534</v>
      </c>
      <c r="B473" s="1">
        <v>45803</v>
      </c>
      <c r="C473" s="2">
        <v>45804.283333333333</v>
      </c>
      <c r="D473" t="s">
        <v>24</v>
      </c>
      <c r="E473" t="s">
        <v>32</v>
      </c>
      <c r="F473" t="s">
        <v>75</v>
      </c>
      <c r="G473" t="s">
        <v>34</v>
      </c>
      <c r="H473" t="s">
        <v>19</v>
      </c>
      <c r="I473" t="s">
        <v>28</v>
      </c>
      <c r="J473" t="s">
        <v>29</v>
      </c>
      <c r="K473">
        <v>24</v>
      </c>
      <c r="L473">
        <v>30.8</v>
      </c>
      <c r="M473">
        <v>3.1</v>
      </c>
      <c r="N473" t="s">
        <v>22</v>
      </c>
      <c r="O473" t="str">
        <f t="shared" si="7"/>
        <v>Yes</v>
      </c>
    </row>
    <row r="474" spans="1:15" x14ac:dyDescent="0.25">
      <c r="A474" t="s">
        <v>535</v>
      </c>
      <c r="B474" s="1">
        <v>45736</v>
      </c>
      <c r="C474" s="2">
        <v>45739.464583333334</v>
      </c>
      <c r="D474" t="s">
        <v>15</v>
      </c>
      <c r="E474" t="s">
        <v>16</v>
      </c>
      <c r="F474" t="s">
        <v>58</v>
      </c>
      <c r="G474" t="s">
        <v>51</v>
      </c>
      <c r="H474" t="s">
        <v>44</v>
      </c>
      <c r="I474" t="s">
        <v>36</v>
      </c>
      <c r="J474" t="s">
        <v>21</v>
      </c>
      <c r="K474">
        <v>48</v>
      </c>
      <c r="L474">
        <v>83.15</v>
      </c>
      <c r="M474">
        <v>3.2</v>
      </c>
      <c r="N474" t="s">
        <v>22</v>
      </c>
      <c r="O474" t="str">
        <f t="shared" si="7"/>
        <v>Yes</v>
      </c>
    </row>
    <row r="475" spans="1:15" x14ac:dyDescent="0.25">
      <c r="A475" t="s">
        <v>536</v>
      </c>
      <c r="B475" s="1">
        <v>45742</v>
      </c>
      <c r="C475" s="2">
        <v>45742.177916666667</v>
      </c>
      <c r="D475" t="s">
        <v>38</v>
      </c>
      <c r="E475" t="s">
        <v>32</v>
      </c>
      <c r="F475" t="s">
        <v>33</v>
      </c>
      <c r="G475" t="s">
        <v>51</v>
      </c>
      <c r="H475" t="s">
        <v>44</v>
      </c>
      <c r="I475" t="s">
        <v>28</v>
      </c>
      <c r="J475" t="s">
        <v>21</v>
      </c>
      <c r="K475">
        <v>8</v>
      </c>
      <c r="L475">
        <v>4.2699999999999996</v>
      </c>
      <c r="M475">
        <v>5</v>
      </c>
      <c r="N475" t="s">
        <v>22</v>
      </c>
      <c r="O475" t="str">
        <f t="shared" si="7"/>
        <v>No</v>
      </c>
    </row>
    <row r="476" spans="1:15" x14ac:dyDescent="0.25">
      <c r="A476" t="s">
        <v>537</v>
      </c>
      <c r="B476" s="1">
        <v>45772</v>
      </c>
      <c r="C476" s="2">
        <v>45772.392916666664</v>
      </c>
      <c r="D476" t="s">
        <v>24</v>
      </c>
      <c r="E476" t="s">
        <v>25</v>
      </c>
      <c r="F476" t="s">
        <v>48</v>
      </c>
      <c r="G476" t="s">
        <v>18</v>
      </c>
      <c r="H476" t="s">
        <v>54</v>
      </c>
      <c r="I476" t="s">
        <v>20</v>
      </c>
      <c r="J476" t="s">
        <v>46</v>
      </c>
      <c r="K476">
        <v>24</v>
      </c>
      <c r="L476">
        <v>9.43</v>
      </c>
      <c r="M476">
        <v>5</v>
      </c>
      <c r="N476" t="s">
        <v>22</v>
      </c>
      <c r="O476" t="str">
        <f t="shared" si="7"/>
        <v>No</v>
      </c>
    </row>
    <row r="477" spans="1:15" x14ac:dyDescent="0.25">
      <c r="A477" t="s">
        <v>538</v>
      </c>
      <c r="B477" s="1">
        <v>45800</v>
      </c>
      <c r="C477" s="2">
        <v>45800.037499999999</v>
      </c>
      <c r="D477" t="s">
        <v>38</v>
      </c>
      <c r="E477" t="s">
        <v>45</v>
      </c>
      <c r="F477" t="s">
        <v>100</v>
      </c>
      <c r="G477" t="s">
        <v>51</v>
      </c>
      <c r="H477" t="s">
        <v>35</v>
      </c>
      <c r="I477" t="s">
        <v>20</v>
      </c>
      <c r="J477" t="s">
        <v>46</v>
      </c>
      <c r="K477">
        <v>8</v>
      </c>
      <c r="L477">
        <v>0.9</v>
      </c>
      <c r="M477">
        <v>5</v>
      </c>
      <c r="N477" t="s">
        <v>22</v>
      </c>
      <c r="O477" t="str">
        <f t="shared" si="7"/>
        <v>No</v>
      </c>
    </row>
    <row r="478" spans="1:15" x14ac:dyDescent="0.25">
      <c r="A478" t="s">
        <v>539</v>
      </c>
      <c r="B478" s="1">
        <v>45811</v>
      </c>
      <c r="C478" s="2">
        <v>45811.555833333332</v>
      </c>
      <c r="D478" t="s">
        <v>24</v>
      </c>
      <c r="E478" t="s">
        <v>25</v>
      </c>
      <c r="F478" t="s">
        <v>70</v>
      </c>
      <c r="G478" t="s">
        <v>18</v>
      </c>
      <c r="H478" t="s">
        <v>19</v>
      </c>
      <c r="I478" t="s">
        <v>28</v>
      </c>
      <c r="J478" t="s">
        <v>21</v>
      </c>
      <c r="K478">
        <v>24</v>
      </c>
      <c r="L478">
        <v>13.34</v>
      </c>
      <c r="M478">
        <v>4.4000000000000004</v>
      </c>
      <c r="N478" t="s">
        <v>22</v>
      </c>
      <c r="O478" t="str">
        <f t="shared" si="7"/>
        <v>No</v>
      </c>
    </row>
    <row r="479" spans="1:15" x14ac:dyDescent="0.25">
      <c r="A479" t="s">
        <v>540</v>
      </c>
      <c r="B479" s="1">
        <v>45661</v>
      </c>
      <c r="C479" s="2">
        <v>45661.344166666669</v>
      </c>
      <c r="D479" t="s">
        <v>24</v>
      </c>
      <c r="E479" t="s">
        <v>45</v>
      </c>
      <c r="F479" t="s">
        <v>50</v>
      </c>
      <c r="G479" t="s">
        <v>51</v>
      </c>
      <c r="H479" t="s">
        <v>27</v>
      </c>
      <c r="I479" t="s">
        <v>45</v>
      </c>
      <c r="J479" t="s">
        <v>21</v>
      </c>
      <c r="K479">
        <v>24</v>
      </c>
      <c r="L479">
        <v>8.26</v>
      </c>
      <c r="M479">
        <v>4.8</v>
      </c>
      <c r="N479" t="s">
        <v>22</v>
      </c>
      <c r="O479" t="str">
        <f t="shared" si="7"/>
        <v>No</v>
      </c>
    </row>
    <row r="480" spans="1:15" x14ac:dyDescent="0.25">
      <c r="A480" t="s">
        <v>541</v>
      </c>
      <c r="B480" s="1">
        <v>45778</v>
      </c>
      <c r="C480" s="2">
        <v>45778.112500000003</v>
      </c>
      <c r="D480" t="s">
        <v>24</v>
      </c>
      <c r="E480" t="s">
        <v>45</v>
      </c>
      <c r="F480" t="s">
        <v>104</v>
      </c>
      <c r="G480" t="s">
        <v>41</v>
      </c>
      <c r="H480" t="s">
        <v>65</v>
      </c>
      <c r="I480" t="s">
        <v>45</v>
      </c>
      <c r="J480" t="s">
        <v>29</v>
      </c>
      <c r="K480">
        <v>24</v>
      </c>
      <c r="L480">
        <v>2.7</v>
      </c>
      <c r="M480">
        <v>5</v>
      </c>
      <c r="N480" t="s">
        <v>22</v>
      </c>
      <c r="O480" t="str">
        <f t="shared" si="7"/>
        <v>No</v>
      </c>
    </row>
    <row r="481" spans="1:15" x14ac:dyDescent="0.25">
      <c r="A481" t="s">
        <v>542</v>
      </c>
      <c r="B481" s="1">
        <v>45677</v>
      </c>
      <c r="C481" s="2">
        <v>45677.314583333333</v>
      </c>
      <c r="D481" t="s">
        <v>38</v>
      </c>
      <c r="E481" t="s">
        <v>39</v>
      </c>
      <c r="F481" t="s">
        <v>119</v>
      </c>
      <c r="G481" t="s">
        <v>18</v>
      </c>
      <c r="H481" t="s">
        <v>54</v>
      </c>
      <c r="I481" t="s">
        <v>45</v>
      </c>
      <c r="J481" t="s">
        <v>46</v>
      </c>
      <c r="K481">
        <v>8</v>
      </c>
      <c r="L481">
        <v>7.55</v>
      </c>
      <c r="M481">
        <v>4.7</v>
      </c>
      <c r="N481" t="s">
        <v>22</v>
      </c>
      <c r="O481" t="str">
        <f t="shared" si="7"/>
        <v>No</v>
      </c>
    </row>
    <row r="482" spans="1:15" x14ac:dyDescent="0.25">
      <c r="A482" t="s">
        <v>543</v>
      </c>
      <c r="B482" s="1">
        <v>45710</v>
      </c>
      <c r="C482" s="2">
        <v>45710.758333333331</v>
      </c>
      <c r="D482" t="s">
        <v>24</v>
      </c>
      <c r="E482" t="s">
        <v>39</v>
      </c>
      <c r="F482" t="s">
        <v>78</v>
      </c>
      <c r="G482" t="s">
        <v>51</v>
      </c>
      <c r="H482" t="s">
        <v>65</v>
      </c>
      <c r="I482" t="s">
        <v>36</v>
      </c>
      <c r="J482" t="s">
        <v>21</v>
      </c>
      <c r="K482">
        <v>24</v>
      </c>
      <c r="L482">
        <v>18.2</v>
      </c>
      <c r="M482">
        <v>4.0999999999999996</v>
      </c>
      <c r="N482" t="s">
        <v>61</v>
      </c>
      <c r="O482" t="str">
        <f t="shared" si="7"/>
        <v>No</v>
      </c>
    </row>
    <row r="483" spans="1:15" x14ac:dyDescent="0.25">
      <c r="A483" t="s">
        <v>544</v>
      </c>
      <c r="B483" s="1">
        <v>45808</v>
      </c>
      <c r="C483" s="2">
        <v>45808.614999999998</v>
      </c>
      <c r="D483" t="s">
        <v>15</v>
      </c>
      <c r="E483" t="s">
        <v>45</v>
      </c>
      <c r="F483" t="s">
        <v>100</v>
      </c>
      <c r="G483" t="s">
        <v>51</v>
      </c>
      <c r="H483" t="s">
        <v>65</v>
      </c>
      <c r="I483" t="s">
        <v>36</v>
      </c>
      <c r="J483" t="s">
        <v>21</v>
      </c>
      <c r="K483">
        <v>48</v>
      </c>
      <c r="L483">
        <v>14.76</v>
      </c>
      <c r="M483">
        <v>4.8</v>
      </c>
      <c r="N483" t="s">
        <v>22</v>
      </c>
      <c r="O483" t="str">
        <f t="shared" si="7"/>
        <v>No</v>
      </c>
    </row>
    <row r="484" spans="1:15" x14ac:dyDescent="0.25">
      <c r="A484" t="s">
        <v>545</v>
      </c>
      <c r="B484" s="1">
        <v>45703</v>
      </c>
      <c r="C484" s="2">
        <v>45706.026250000003</v>
      </c>
      <c r="D484" t="s">
        <v>15</v>
      </c>
      <c r="E484" t="s">
        <v>45</v>
      </c>
      <c r="F484" t="s">
        <v>100</v>
      </c>
      <c r="G484" t="s">
        <v>34</v>
      </c>
      <c r="H484" t="s">
        <v>44</v>
      </c>
      <c r="I484" t="s">
        <v>36</v>
      </c>
      <c r="J484" t="s">
        <v>46</v>
      </c>
      <c r="K484">
        <v>48</v>
      </c>
      <c r="L484">
        <v>72.63</v>
      </c>
      <c r="M484">
        <v>2.9</v>
      </c>
      <c r="N484" t="s">
        <v>22</v>
      </c>
      <c r="O484" t="str">
        <f t="shared" si="7"/>
        <v>Yes</v>
      </c>
    </row>
    <row r="485" spans="1:15" x14ac:dyDescent="0.25">
      <c r="A485" t="s">
        <v>546</v>
      </c>
      <c r="B485" s="1">
        <v>45802</v>
      </c>
      <c r="C485" s="2">
        <v>45802.478750000002</v>
      </c>
      <c r="D485" t="s">
        <v>24</v>
      </c>
      <c r="E485" t="s">
        <v>45</v>
      </c>
      <c r="F485" t="s">
        <v>112</v>
      </c>
      <c r="G485" t="s">
        <v>34</v>
      </c>
      <c r="H485" t="s">
        <v>35</v>
      </c>
      <c r="I485" t="s">
        <v>36</v>
      </c>
      <c r="J485" t="s">
        <v>46</v>
      </c>
      <c r="K485">
        <v>24</v>
      </c>
      <c r="L485">
        <v>11.49</v>
      </c>
      <c r="M485">
        <v>4.5</v>
      </c>
      <c r="N485" t="s">
        <v>22</v>
      </c>
      <c r="O485" t="str">
        <f t="shared" si="7"/>
        <v>No</v>
      </c>
    </row>
    <row r="486" spans="1:15" x14ac:dyDescent="0.25">
      <c r="A486" t="s">
        <v>547</v>
      </c>
      <c r="B486" s="1">
        <v>45741</v>
      </c>
      <c r="C486" s="2">
        <v>45742.082499999997</v>
      </c>
      <c r="D486" t="s">
        <v>15</v>
      </c>
      <c r="E486" t="s">
        <v>25</v>
      </c>
      <c r="F486" t="s">
        <v>48</v>
      </c>
      <c r="G486" t="s">
        <v>41</v>
      </c>
      <c r="H486" t="s">
        <v>54</v>
      </c>
      <c r="I486" t="s">
        <v>20</v>
      </c>
      <c r="J486" t="s">
        <v>21</v>
      </c>
      <c r="K486">
        <v>48</v>
      </c>
      <c r="L486">
        <v>25.98</v>
      </c>
      <c r="M486">
        <v>4.2</v>
      </c>
      <c r="N486" t="s">
        <v>22</v>
      </c>
      <c r="O486" t="str">
        <f t="shared" si="7"/>
        <v>No</v>
      </c>
    </row>
    <row r="487" spans="1:15" x14ac:dyDescent="0.25">
      <c r="A487" t="s">
        <v>548</v>
      </c>
      <c r="B487" s="1">
        <v>45700</v>
      </c>
      <c r="C487" s="2">
        <v>45700.855000000003</v>
      </c>
      <c r="D487" t="s">
        <v>15</v>
      </c>
      <c r="E487" t="s">
        <v>32</v>
      </c>
      <c r="F487" t="s">
        <v>80</v>
      </c>
      <c r="G487" t="s">
        <v>41</v>
      </c>
      <c r="H487" t="s">
        <v>44</v>
      </c>
      <c r="I487" t="s">
        <v>28</v>
      </c>
      <c r="J487" t="s">
        <v>21</v>
      </c>
      <c r="K487">
        <v>48</v>
      </c>
      <c r="L487">
        <v>20.52</v>
      </c>
      <c r="M487">
        <v>3.7</v>
      </c>
      <c r="N487" t="s">
        <v>22</v>
      </c>
      <c r="O487" t="str">
        <f t="shared" si="7"/>
        <v>No</v>
      </c>
    </row>
    <row r="488" spans="1:15" x14ac:dyDescent="0.25">
      <c r="A488" t="s">
        <v>549</v>
      </c>
      <c r="B488" s="1">
        <v>45718</v>
      </c>
      <c r="C488" s="2">
        <v>45720.06958333333</v>
      </c>
      <c r="D488" t="s">
        <v>15</v>
      </c>
      <c r="E488" t="s">
        <v>45</v>
      </c>
      <c r="F488" t="s">
        <v>104</v>
      </c>
      <c r="G488" t="s">
        <v>18</v>
      </c>
      <c r="H488" t="s">
        <v>54</v>
      </c>
      <c r="I488" t="s">
        <v>28</v>
      </c>
      <c r="J488" t="s">
        <v>21</v>
      </c>
      <c r="K488">
        <v>48</v>
      </c>
      <c r="L488">
        <v>49.67</v>
      </c>
      <c r="M488">
        <v>4.3</v>
      </c>
      <c r="N488" t="s">
        <v>61</v>
      </c>
      <c r="O488" t="str">
        <f t="shared" si="7"/>
        <v>Yes</v>
      </c>
    </row>
    <row r="489" spans="1:15" x14ac:dyDescent="0.25">
      <c r="A489" t="s">
        <v>550</v>
      </c>
      <c r="B489" s="1">
        <v>45754</v>
      </c>
      <c r="C489" s="2">
        <v>45754.738749999997</v>
      </c>
      <c r="D489" t="s">
        <v>24</v>
      </c>
      <c r="E489" t="s">
        <v>45</v>
      </c>
      <c r="F489" t="s">
        <v>104</v>
      </c>
      <c r="G489" t="s">
        <v>34</v>
      </c>
      <c r="H489" t="s">
        <v>19</v>
      </c>
      <c r="I489" t="s">
        <v>36</v>
      </c>
      <c r="J489" t="s">
        <v>46</v>
      </c>
      <c r="K489">
        <v>24</v>
      </c>
      <c r="L489">
        <v>17.73</v>
      </c>
      <c r="M489">
        <v>5</v>
      </c>
      <c r="N489" t="s">
        <v>22</v>
      </c>
      <c r="O489" t="str">
        <f t="shared" si="7"/>
        <v>No</v>
      </c>
    </row>
    <row r="490" spans="1:15" x14ac:dyDescent="0.25">
      <c r="A490" t="s">
        <v>551</v>
      </c>
      <c r="B490" s="1">
        <v>45796</v>
      </c>
      <c r="C490" s="2">
        <v>45796.136666666665</v>
      </c>
      <c r="D490" t="s">
        <v>15</v>
      </c>
      <c r="E490" t="s">
        <v>16</v>
      </c>
      <c r="F490" t="s">
        <v>17</v>
      </c>
      <c r="G490" t="s">
        <v>56</v>
      </c>
      <c r="H490" t="s">
        <v>35</v>
      </c>
      <c r="I490" t="s">
        <v>45</v>
      </c>
      <c r="J490" t="s">
        <v>46</v>
      </c>
      <c r="K490">
        <v>48</v>
      </c>
      <c r="L490">
        <v>3.28</v>
      </c>
      <c r="M490">
        <v>4.9000000000000004</v>
      </c>
      <c r="N490" t="s">
        <v>22</v>
      </c>
      <c r="O490" t="str">
        <f t="shared" si="7"/>
        <v>No</v>
      </c>
    </row>
    <row r="491" spans="1:15" x14ac:dyDescent="0.25">
      <c r="A491" t="s">
        <v>552</v>
      </c>
      <c r="B491" s="1">
        <v>45767</v>
      </c>
      <c r="C491" s="2">
        <v>45767.506249999999</v>
      </c>
      <c r="D491" t="s">
        <v>24</v>
      </c>
      <c r="E491" t="s">
        <v>25</v>
      </c>
      <c r="F491" t="s">
        <v>53</v>
      </c>
      <c r="G491" t="s">
        <v>34</v>
      </c>
      <c r="H491" t="s">
        <v>27</v>
      </c>
      <c r="I491" t="s">
        <v>45</v>
      </c>
      <c r="J491" t="s">
        <v>46</v>
      </c>
      <c r="K491">
        <v>24</v>
      </c>
      <c r="L491">
        <v>12.15</v>
      </c>
      <c r="M491">
        <v>4.5999999999999996</v>
      </c>
      <c r="N491" t="s">
        <v>22</v>
      </c>
      <c r="O491" t="str">
        <f t="shared" si="7"/>
        <v>No</v>
      </c>
    </row>
    <row r="492" spans="1:15" x14ac:dyDescent="0.25">
      <c r="A492" t="s">
        <v>553</v>
      </c>
      <c r="B492" s="1">
        <v>45826</v>
      </c>
      <c r="C492" s="2">
        <v>45826.293333333335</v>
      </c>
      <c r="D492" t="s">
        <v>38</v>
      </c>
      <c r="E492" t="s">
        <v>16</v>
      </c>
      <c r="F492" t="s">
        <v>17</v>
      </c>
      <c r="G492" t="s">
        <v>41</v>
      </c>
      <c r="H492" t="s">
        <v>44</v>
      </c>
      <c r="I492" t="s">
        <v>36</v>
      </c>
      <c r="J492" t="s">
        <v>21</v>
      </c>
      <c r="K492">
        <v>8</v>
      </c>
      <c r="L492">
        <v>7.04</v>
      </c>
      <c r="M492">
        <v>4.5</v>
      </c>
      <c r="N492" t="s">
        <v>22</v>
      </c>
      <c r="O492" t="str">
        <f t="shared" si="7"/>
        <v>No</v>
      </c>
    </row>
    <row r="493" spans="1:15" x14ac:dyDescent="0.25">
      <c r="A493" t="s">
        <v>554</v>
      </c>
      <c r="B493" s="1">
        <v>45815</v>
      </c>
      <c r="C493" s="2">
        <v>45815.037499999999</v>
      </c>
      <c r="D493" t="s">
        <v>38</v>
      </c>
      <c r="E493" t="s">
        <v>45</v>
      </c>
      <c r="F493" t="s">
        <v>112</v>
      </c>
      <c r="G493" t="s">
        <v>34</v>
      </c>
      <c r="H493" t="s">
        <v>54</v>
      </c>
      <c r="I493" t="s">
        <v>45</v>
      </c>
      <c r="J493" t="s">
        <v>21</v>
      </c>
      <c r="K493">
        <v>8</v>
      </c>
      <c r="L493">
        <v>0.9</v>
      </c>
      <c r="M493">
        <v>4.8</v>
      </c>
      <c r="N493" t="s">
        <v>22</v>
      </c>
      <c r="O493" t="str">
        <f t="shared" si="7"/>
        <v>No</v>
      </c>
    </row>
    <row r="494" spans="1:15" x14ac:dyDescent="0.25">
      <c r="A494" t="s">
        <v>555</v>
      </c>
      <c r="B494" s="1">
        <v>45794</v>
      </c>
      <c r="C494" s="2">
        <v>45794.873333333337</v>
      </c>
      <c r="D494" t="s">
        <v>24</v>
      </c>
      <c r="E494" t="s">
        <v>32</v>
      </c>
      <c r="F494" t="s">
        <v>64</v>
      </c>
      <c r="G494" t="s">
        <v>41</v>
      </c>
      <c r="H494" t="s">
        <v>54</v>
      </c>
      <c r="I494" t="s">
        <v>36</v>
      </c>
      <c r="J494" t="s">
        <v>46</v>
      </c>
      <c r="K494">
        <v>24</v>
      </c>
      <c r="L494">
        <v>20.96</v>
      </c>
      <c r="M494">
        <v>4.0999999999999996</v>
      </c>
      <c r="N494" t="s">
        <v>22</v>
      </c>
      <c r="O494" t="str">
        <f t="shared" si="7"/>
        <v>No</v>
      </c>
    </row>
    <row r="495" spans="1:15" x14ac:dyDescent="0.25">
      <c r="A495" t="s">
        <v>556</v>
      </c>
      <c r="B495" s="1">
        <v>45767</v>
      </c>
      <c r="C495" s="2">
        <v>45767.750833333332</v>
      </c>
      <c r="D495" t="s">
        <v>24</v>
      </c>
      <c r="E495" t="s">
        <v>25</v>
      </c>
      <c r="F495" t="s">
        <v>53</v>
      </c>
      <c r="G495" t="s">
        <v>34</v>
      </c>
      <c r="H495" t="s">
        <v>19</v>
      </c>
      <c r="I495" t="s">
        <v>28</v>
      </c>
      <c r="J495" t="s">
        <v>29</v>
      </c>
      <c r="K495">
        <v>24</v>
      </c>
      <c r="L495">
        <v>18.02</v>
      </c>
      <c r="M495">
        <v>4</v>
      </c>
      <c r="N495" t="s">
        <v>22</v>
      </c>
      <c r="O495" t="str">
        <f t="shared" si="7"/>
        <v>No</v>
      </c>
    </row>
    <row r="496" spans="1:15" x14ac:dyDescent="0.25">
      <c r="A496" t="s">
        <v>557</v>
      </c>
      <c r="B496" s="1">
        <v>45710</v>
      </c>
      <c r="C496" s="2">
        <v>45710.214583333334</v>
      </c>
      <c r="D496" t="s">
        <v>24</v>
      </c>
      <c r="E496" t="s">
        <v>32</v>
      </c>
      <c r="F496" t="s">
        <v>75</v>
      </c>
      <c r="G496" t="s">
        <v>34</v>
      </c>
      <c r="H496" t="s">
        <v>54</v>
      </c>
      <c r="I496" t="s">
        <v>36</v>
      </c>
      <c r="J496" t="s">
        <v>46</v>
      </c>
      <c r="K496">
        <v>24</v>
      </c>
      <c r="L496">
        <v>5.15</v>
      </c>
      <c r="M496">
        <v>4.4000000000000004</v>
      </c>
      <c r="N496" t="s">
        <v>22</v>
      </c>
      <c r="O496" t="str">
        <f t="shared" si="7"/>
        <v>No</v>
      </c>
    </row>
    <row r="497" spans="1:15" x14ac:dyDescent="0.25">
      <c r="A497" t="s">
        <v>558</v>
      </c>
      <c r="B497" s="1">
        <v>45732</v>
      </c>
      <c r="C497" s="2">
        <v>45732.415833333333</v>
      </c>
      <c r="D497" t="s">
        <v>24</v>
      </c>
      <c r="E497" t="s">
        <v>39</v>
      </c>
      <c r="F497" t="s">
        <v>87</v>
      </c>
      <c r="G497" t="s">
        <v>18</v>
      </c>
      <c r="H497" t="s">
        <v>35</v>
      </c>
      <c r="I497" t="s">
        <v>20</v>
      </c>
      <c r="J497" t="s">
        <v>29</v>
      </c>
      <c r="K497">
        <v>24</v>
      </c>
      <c r="L497">
        <v>9.98</v>
      </c>
      <c r="M497">
        <v>4.8</v>
      </c>
      <c r="N497" t="s">
        <v>22</v>
      </c>
      <c r="O497" t="str">
        <f t="shared" si="7"/>
        <v>No</v>
      </c>
    </row>
    <row r="498" spans="1:15" x14ac:dyDescent="0.25">
      <c r="A498" t="s">
        <v>559</v>
      </c>
      <c r="B498" s="1">
        <v>45679</v>
      </c>
      <c r="C498" s="2">
        <v>45679.156666666669</v>
      </c>
      <c r="D498" t="s">
        <v>24</v>
      </c>
      <c r="E498" t="s">
        <v>32</v>
      </c>
      <c r="F498" t="s">
        <v>75</v>
      </c>
      <c r="G498" t="s">
        <v>18</v>
      </c>
      <c r="H498" t="s">
        <v>54</v>
      </c>
      <c r="I498" t="s">
        <v>20</v>
      </c>
      <c r="J498" t="s">
        <v>29</v>
      </c>
      <c r="K498">
        <v>24</v>
      </c>
      <c r="L498">
        <v>3.76</v>
      </c>
      <c r="M498">
        <v>5</v>
      </c>
      <c r="N498" t="s">
        <v>22</v>
      </c>
      <c r="O498" t="str">
        <f t="shared" si="7"/>
        <v>No</v>
      </c>
    </row>
    <row r="499" spans="1:15" x14ac:dyDescent="0.25">
      <c r="A499" t="s">
        <v>560</v>
      </c>
      <c r="B499" s="1">
        <v>45725</v>
      </c>
      <c r="C499" s="2">
        <v>45725.622499999998</v>
      </c>
      <c r="D499" t="s">
        <v>15</v>
      </c>
      <c r="E499" t="s">
        <v>39</v>
      </c>
      <c r="F499" t="s">
        <v>87</v>
      </c>
      <c r="G499" t="s">
        <v>56</v>
      </c>
      <c r="H499" t="s">
        <v>54</v>
      </c>
      <c r="I499" t="s">
        <v>20</v>
      </c>
      <c r="J499" t="s">
        <v>21</v>
      </c>
      <c r="K499">
        <v>48</v>
      </c>
      <c r="L499">
        <v>14.94</v>
      </c>
      <c r="M499">
        <v>5</v>
      </c>
      <c r="N499" t="s">
        <v>22</v>
      </c>
      <c r="O499" t="str">
        <f t="shared" si="7"/>
        <v>No</v>
      </c>
    </row>
    <row r="500" spans="1:15" x14ac:dyDescent="0.25">
      <c r="A500" t="s">
        <v>561</v>
      </c>
      <c r="B500" s="1">
        <v>45825</v>
      </c>
      <c r="C500" s="2">
        <v>45825.068333333336</v>
      </c>
      <c r="D500" t="s">
        <v>31</v>
      </c>
      <c r="E500" t="s">
        <v>32</v>
      </c>
      <c r="F500" t="s">
        <v>80</v>
      </c>
      <c r="G500" t="s">
        <v>51</v>
      </c>
      <c r="H500" t="s">
        <v>65</v>
      </c>
      <c r="I500" t="s">
        <v>36</v>
      </c>
      <c r="J500" t="s">
        <v>21</v>
      </c>
      <c r="K500">
        <v>4</v>
      </c>
      <c r="L500">
        <v>1.64</v>
      </c>
      <c r="M500">
        <v>4.5</v>
      </c>
      <c r="N500" t="s">
        <v>22</v>
      </c>
      <c r="O500" t="str">
        <f t="shared" si="7"/>
        <v>No</v>
      </c>
    </row>
    <row r="501" spans="1:15" x14ac:dyDescent="0.25">
      <c r="A501" t="s">
        <v>562</v>
      </c>
      <c r="B501" s="1">
        <v>45735</v>
      </c>
      <c r="C501" s="2">
        <v>45736.6</v>
      </c>
      <c r="D501" t="s">
        <v>15</v>
      </c>
      <c r="E501" t="s">
        <v>45</v>
      </c>
      <c r="F501" t="s">
        <v>50</v>
      </c>
      <c r="G501" t="s">
        <v>41</v>
      </c>
      <c r="H501" t="s">
        <v>27</v>
      </c>
      <c r="I501" t="s">
        <v>36</v>
      </c>
      <c r="J501" t="s">
        <v>21</v>
      </c>
      <c r="K501">
        <v>48</v>
      </c>
      <c r="L501">
        <v>38.4</v>
      </c>
      <c r="M501">
        <v>3.3</v>
      </c>
      <c r="N501" t="s">
        <v>22</v>
      </c>
      <c r="O501" t="str">
        <f t="shared" si="7"/>
        <v>No</v>
      </c>
    </row>
    <row r="502" spans="1:15" x14ac:dyDescent="0.25">
      <c r="A502" t="s">
        <v>563</v>
      </c>
      <c r="B502" s="1">
        <v>45678</v>
      </c>
      <c r="C502" s="2">
        <v>45678.305</v>
      </c>
      <c r="D502" t="s">
        <v>38</v>
      </c>
      <c r="E502" t="s">
        <v>16</v>
      </c>
      <c r="F502" t="s">
        <v>60</v>
      </c>
      <c r="G502" t="s">
        <v>18</v>
      </c>
      <c r="H502" t="s">
        <v>65</v>
      </c>
      <c r="I502" t="s">
        <v>28</v>
      </c>
      <c r="J502" t="s">
        <v>21</v>
      </c>
      <c r="K502">
        <v>8</v>
      </c>
      <c r="L502">
        <v>7.32</v>
      </c>
      <c r="M502">
        <v>4.5999999999999996</v>
      </c>
      <c r="N502" t="s">
        <v>22</v>
      </c>
      <c r="O502" t="str">
        <f t="shared" si="7"/>
        <v>No</v>
      </c>
    </row>
    <row r="503" spans="1:15" x14ac:dyDescent="0.25">
      <c r="A503" t="s">
        <v>564</v>
      </c>
      <c r="B503" s="1">
        <v>45775</v>
      </c>
      <c r="C503" s="2">
        <v>45775.595833333333</v>
      </c>
      <c r="D503" t="s">
        <v>24</v>
      </c>
      <c r="E503" t="s">
        <v>45</v>
      </c>
      <c r="F503" t="s">
        <v>100</v>
      </c>
      <c r="G503" t="s">
        <v>51</v>
      </c>
      <c r="H503" t="s">
        <v>27</v>
      </c>
      <c r="I503" t="s">
        <v>36</v>
      </c>
      <c r="J503" t="s">
        <v>46</v>
      </c>
      <c r="K503">
        <v>24</v>
      </c>
      <c r="L503">
        <v>14.3</v>
      </c>
      <c r="M503">
        <v>3.8</v>
      </c>
      <c r="N503" t="s">
        <v>22</v>
      </c>
      <c r="O503" t="str">
        <f t="shared" si="7"/>
        <v>No</v>
      </c>
    </row>
    <row r="504" spans="1:15" x14ac:dyDescent="0.25">
      <c r="A504" t="s">
        <v>565</v>
      </c>
      <c r="B504" s="1">
        <v>45832</v>
      </c>
      <c r="C504" s="2">
        <v>45832.792500000003</v>
      </c>
      <c r="D504" t="s">
        <v>15</v>
      </c>
      <c r="E504" t="s">
        <v>32</v>
      </c>
      <c r="F504" t="s">
        <v>80</v>
      </c>
      <c r="G504" t="s">
        <v>34</v>
      </c>
      <c r="H504" t="s">
        <v>19</v>
      </c>
      <c r="I504" t="s">
        <v>36</v>
      </c>
      <c r="J504" t="s">
        <v>21</v>
      </c>
      <c r="K504">
        <v>48</v>
      </c>
      <c r="L504">
        <v>19.02</v>
      </c>
      <c r="M504">
        <v>4</v>
      </c>
      <c r="N504" t="s">
        <v>22</v>
      </c>
      <c r="O504" t="str">
        <f t="shared" si="7"/>
        <v>No</v>
      </c>
    </row>
    <row r="505" spans="1:15" x14ac:dyDescent="0.25">
      <c r="A505" t="s">
        <v>566</v>
      </c>
      <c r="B505" s="1">
        <v>45815</v>
      </c>
      <c r="C505" s="2">
        <v>45815.284583333334</v>
      </c>
      <c r="D505" t="s">
        <v>38</v>
      </c>
      <c r="E505" t="s">
        <v>32</v>
      </c>
      <c r="F505" t="s">
        <v>80</v>
      </c>
      <c r="G505" t="s">
        <v>41</v>
      </c>
      <c r="H505" t="s">
        <v>27</v>
      </c>
      <c r="I505" t="s">
        <v>28</v>
      </c>
      <c r="J505" t="s">
        <v>21</v>
      </c>
      <c r="K505">
        <v>8</v>
      </c>
      <c r="L505">
        <v>6.83</v>
      </c>
      <c r="M505">
        <v>3.6</v>
      </c>
      <c r="N505" t="s">
        <v>22</v>
      </c>
      <c r="O505" t="str">
        <f t="shared" si="7"/>
        <v>No</v>
      </c>
    </row>
    <row r="506" spans="1:15" x14ac:dyDescent="0.25">
      <c r="A506" t="s">
        <v>567</v>
      </c>
      <c r="B506" s="1">
        <v>45707</v>
      </c>
      <c r="C506" s="2">
        <v>45708.085416666669</v>
      </c>
      <c r="D506" t="s">
        <v>15</v>
      </c>
      <c r="E506" t="s">
        <v>25</v>
      </c>
      <c r="F506" t="s">
        <v>26</v>
      </c>
      <c r="G506" t="s">
        <v>34</v>
      </c>
      <c r="H506" t="s">
        <v>27</v>
      </c>
      <c r="I506" t="s">
        <v>20</v>
      </c>
      <c r="J506" t="s">
        <v>21</v>
      </c>
      <c r="K506">
        <v>48</v>
      </c>
      <c r="L506">
        <v>26.05</v>
      </c>
      <c r="M506">
        <v>3.2</v>
      </c>
      <c r="N506" t="s">
        <v>22</v>
      </c>
      <c r="O506" t="str">
        <f t="shared" si="7"/>
        <v>No</v>
      </c>
    </row>
    <row r="507" spans="1:15" x14ac:dyDescent="0.25">
      <c r="A507" t="s">
        <v>568</v>
      </c>
      <c r="B507" s="1">
        <v>45740</v>
      </c>
      <c r="C507" s="2">
        <v>45740.215416666666</v>
      </c>
      <c r="D507" t="s">
        <v>38</v>
      </c>
      <c r="E507" t="s">
        <v>16</v>
      </c>
      <c r="F507" t="s">
        <v>58</v>
      </c>
      <c r="G507" t="s">
        <v>34</v>
      </c>
      <c r="H507" t="s">
        <v>19</v>
      </c>
      <c r="I507" t="s">
        <v>20</v>
      </c>
      <c r="J507" t="s">
        <v>21</v>
      </c>
      <c r="K507">
        <v>8</v>
      </c>
      <c r="L507">
        <v>5.17</v>
      </c>
      <c r="M507">
        <v>4.0999999999999996</v>
      </c>
      <c r="N507" t="s">
        <v>22</v>
      </c>
      <c r="O507" t="str">
        <f t="shared" si="7"/>
        <v>No</v>
      </c>
    </row>
    <row r="508" spans="1:15" x14ac:dyDescent="0.25">
      <c r="A508" t="s">
        <v>569</v>
      </c>
      <c r="B508" s="1">
        <v>45754</v>
      </c>
      <c r="C508" s="2">
        <v>45754.947500000002</v>
      </c>
      <c r="D508" t="s">
        <v>24</v>
      </c>
      <c r="E508" t="s">
        <v>16</v>
      </c>
      <c r="F508" t="s">
        <v>58</v>
      </c>
      <c r="G508" t="s">
        <v>34</v>
      </c>
      <c r="H508" t="s">
        <v>44</v>
      </c>
      <c r="I508" t="s">
        <v>36</v>
      </c>
      <c r="J508" t="s">
        <v>21</v>
      </c>
      <c r="K508">
        <v>24</v>
      </c>
      <c r="L508">
        <v>22.74</v>
      </c>
      <c r="M508">
        <v>4.3</v>
      </c>
      <c r="N508" t="s">
        <v>22</v>
      </c>
      <c r="O508" t="str">
        <f t="shared" si="7"/>
        <v>No</v>
      </c>
    </row>
    <row r="509" spans="1:15" x14ac:dyDescent="0.25">
      <c r="A509" t="s">
        <v>570</v>
      </c>
      <c r="B509" s="1">
        <v>45702</v>
      </c>
      <c r="C509" s="2">
        <v>45703.636666666665</v>
      </c>
      <c r="D509" t="s">
        <v>15</v>
      </c>
      <c r="E509" t="s">
        <v>25</v>
      </c>
      <c r="F509" t="s">
        <v>48</v>
      </c>
      <c r="G509" t="s">
        <v>18</v>
      </c>
      <c r="H509" t="s">
        <v>65</v>
      </c>
      <c r="I509" t="s">
        <v>45</v>
      </c>
      <c r="J509" t="s">
        <v>21</v>
      </c>
      <c r="K509">
        <v>48</v>
      </c>
      <c r="L509">
        <v>39.28</v>
      </c>
      <c r="M509">
        <v>3.7</v>
      </c>
      <c r="N509" t="s">
        <v>22</v>
      </c>
      <c r="O509" t="str">
        <f t="shared" si="7"/>
        <v>No</v>
      </c>
    </row>
    <row r="510" spans="1:15" x14ac:dyDescent="0.25">
      <c r="A510" t="s">
        <v>571</v>
      </c>
      <c r="B510" s="1">
        <v>45706</v>
      </c>
      <c r="C510" s="2">
        <v>45707.285833333335</v>
      </c>
      <c r="D510" t="s">
        <v>15</v>
      </c>
      <c r="E510" t="s">
        <v>25</v>
      </c>
      <c r="F510" t="s">
        <v>70</v>
      </c>
      <c r="G510" t="s">
        <v>51</v>
      </c>
      <c r="H510" t="s">
        <v>27</v>
      </c>
      <c r="I510" t="s">
        <v>20</v>
      </c>
      <c r="J510" t="s">
        <v>21</v>
      </c>
      <c r="K510">
        <v>48</v>
      </c>
      <c r="L510">
        <v>30.86</v>
      </c>
      <c r="M510">
        <v>5</v>
      </c>
      <c r="N510" t="s">
        <v>22</v>
      </c>
      <c r="O510" t="str">
        <f t="shared" si="7"/>
        <v>No</v>
      </c>
    </row>
    <row r="511" spans="1:15" x14ac:dyDescent="0.25">
      <c r="A511" t="s">
        <v>572</v>
      </c>
      <c r="B511" s="1">
        <v>45700</v>
      </c>
      <c r="C511" s="2">
        <v>45700.246249999997</v>
      </c>
      <c r="D511" t="s">
        <v>38</v>
      </c>
      <c r="E511" t="s">
        <v>16</v>
      </c>
      <c r="F511" t="s">
        <v>17</v>
      </c>
      <c r="G511" t="s">
        <v>41</v>
      </c>
      <c r="H511" t="s">
        <v>27</v>
      </c>
      <c r="I511" t="s">
        <v>36</v>
      </c>
      <c r="J511" t="s">
        <v>21</v>
      </c>
      <c r="K511">
        <v>8</v>
      </c>
      <c r="L511">
        <v>5.91</v>
      </c>
      <c r="M511">
        <v>4.9000000000000004</v>
      </c>
      <c r="N511" t="s">
        <v>22</v>
      </c>
      <c r="O511" t="str">
        <f t="shared" si="7"/>
        <v>No</v>
      </c>
    </row>
    <row r="512" spans="1:15" x14ac:dyDescent="0.25">
      <c r="A512" t="s">
        <v>573</v>
      </c>
      <c r="B512" s="1">
        <v>45838</v>
      </c>
      <c r="C512" s="2">
        <v>45838.612083333333</v>
      </c>
      <c r="D512" t="s">
        <v>15</v>
      </c>
      <c r="E512" t="s">
        <v>45</v>
      </c>
      <c r="F512" t="s">
        <v>112</v>
      </c>
      <c r="G512" t="s">
        <v>41</v>
      </c>
      <c r="H512" t="s">
        <v>27</v>
      </c>
      <c r="I512" t="s">
        <v>36</v>
      </c>
      <c r="J512" t="s">
        <v>46</v>
      </c>
      <c r="K512">
        <v>48</v>
      </c>
      <c r="L512">
        <v>14.69</v>
      </c>
      <c r="M512">
        <v>5</v>
      </c>
      <c r="N512" t="s">
        <v>22</v>
      </c>
      <c r="O512" t="str">
        <f t="shared" si="7"/>
        <v>No</v>
      </c>
    </row>
    <row r="513" spans="1:15" x14ac:dyDescent="0.25">
      <c r="A513" t="s">
        <v>574</v>
      </c>
      <c r="B513" s="1">
        <v>45793</v>
      </c>
      <c r="C513" s="2">
        <v>45793.090833333335</v>
      </c>
      <c r="D513" t="s">
        <v>38</v>
      </c>
      <c r="E513" t="s">
        <v>16</v>
      </c>
      <c r="F513" t="s">
        <v>17</v>
      </c>
      <c r="G513" t="s">
        <v>41</v>
      </c>
      <c r="H513" t="s">
        <v>35</v>
      </c>
      <c r="I513" t="s">
        <v>36</v>
      </c>
      <c r="J513" t="s">
        <v>46</v>
      </c>
      <c r="K513">
        <v>8</v>
      </c>
      <c r="L513">
        <v>2.1800000000000002</v>
      </c>
      <c r="M513">
        <v>3.4</v>
      </c>
      <c r="N513" t="s">
        <v>61</v>
      </c>
      <c r="O513" t="str">
        <f t="shared" si="7"/>
        <v>No</v>
      </c>
    </row>
    <row r="514" spans="1:15" x14ac:dyDescent="0.25">
      <c r="A514" t="s">
        <v>575</v>
      </c>
      <c r="B514" s="1">
        <v>45810</v>
      </c>
      <c r="C514" s="2">
        <v>45810.572083333333</v>
      </c>
      <c r="D514" t="s">
        <v>38</v>
      </c>
      <c r="E514" t="s">
        <v>16</v>
      </c>
      <c r="F514" t="s">
        <v>43</v>
      </c>
      <c r="G514" t="s">
        <v>56</v>
      </c>
      <c r="H514" t="s">
        <v>27</v>
      </c>
      <c r="I514" t="s">
        <v>45</v>
      </c>
      <c r="J514" t="s">
        <v>21</v>
      </c>
      <c r="K514">
        <v>8</v>
      </c>
      <c r="L514">
        <v>13.73</v>
      </c>
      <c r="M514">
        <v>3.9</v>
      </c>
      <c r="N514" t="s">
        <v>22</v>
      </c>
      <c r="O514" t="str">
        <f t="shared" si="7"/>
        <v>Yes</v>
      </c>
    </row>
    <row r="515" spans="1:15" x14ac:dyDescent="0.25">
      <c r="A515" t="s">
        <v>576</v>
      </c>
      <c r="B515" s="1">
        <v>45805</v>
      </c>
      <c r="C515" s="2">
        <v>45805.259166666663</v>
      </c>
      <c r="D515" t="s">
        <v>24</v>
      </c>
      <c r="E515" t="s">
        <v>39</v>
      </c>
      <c r="F515" t="s">
        <v>40</v>
      </c>
      <c r="G515" t="s">
        <v>51</v>
      </c>
      <c r="H515" t="s">
        <v>27</v>
      </c>
      <c r="I515" t="s">
        <v>36</v>
      </c>
      <c r="J515" t="s">
        <v>85</v>
      </c>
      <c r="K515">
        <v>24</v>
      </c>
      <c r="L515">
        <v>6.22</v>
      </c>
      <c r="M515">
        <v>4.5</v>
      </c>
      <c r="N515" t="s">
        <v>22</v>
      </c>
      <c r="O515" t="str">
        <f t="shared" ref="O515:O578" si="8">IF(L515&gt;K515,"Yes","No")</f>
        <v>No</v>
      </c>
    </row>
    <row r="516" spans="1:15" x14ac:dyDescent="0.25">
      <c r="A516" t="s">
        <v>577</v>
      </c>
      <c r="B516" s="1">
        <v>45831</v>
      </c>
      <c r="C516" s="2">
        <v>45832.908750000002</v>
      </c>
      <c r="D516" t="s">
        <v>15</v>
      </c>
      <c r="E516" t="s">
        <v>32</v>
      </c>
      <c r="F516" t="s">
        <v>75</v>
      </c>
      <c r="G516" t="s">
        <v>41</v>
      </c>
      <c r="H516" t="s">
        <v>27</v>
      </c>
      <c r="I516" t="s">
        <v>20</v>
      </c>
      <c r="J516" t="s">
        <v>21</v>
      </c>
      <c r="K516">
        <v>48</v>
      </c>
      <c r="L516">
        <v>45.81</v>
      </c>
      <c r="M516">
        <v>4.9000000000000004</v>
      </c>
      <c r="N516" t="s">
        <v>22</v>
      </c>
      <c r="O516" t="str">
        <f t="shared" si="8"/>
        <v>No</v>
      </c>
    </row>
    <row r="517" spans="1:15" x14ac:dyDescent="0.25">
      <c r="A517" t="s">
        <v>578</v>
      </c>
      <c r="B517" s="1">
        <v>45677</v>
      </c>
      <c r="C517" s="2">
        <v>45677.39166666667</v>
      </c>
      <c r="D517" t="s">
        <v>24</v>
      </c>
      <c r="E517" t="s">
        <v>32</v>
      </c>
      <c r="F517" t="s">
        <v>33</v>
      </c>
      <c r="G517" t="s">
        <v>41</v>
      </c>
      <c r="H517" t="s">
        <v>19</v>
      </c>
      <c r="I517" t="s">
        <v>36</v>
      </c>
      <c r="J517" t="s">
        <v>46</v>
      </c>
      <c r="K517">
        <v>24</v>
      </c>
      <c r="L517">
        <v>9.4</v>
      </c>
      <c r="M517">
        <v>4.0999999999999996</v>
      </c>
      <c r="N517" t="s">
        <v>61</v>
      </c>
      <c r="O517" t="str">
        <f t="shared" si="8"/>
        <v>No</v>
      </c>
    </row>
    <row r="518" spans="1:15" x14ac:dyDescent="0.25">
      <c r="A518" t="s">
        <v>579</v>
      </c>
      <c r="B518" s="1">
        <v>45817</v>
      </c>
      <c r="C518" s="2">
        <v>45817.265416666669</v>
      </c>
      <c r="D518" t="s">
        <v>38</v>
      </c>
      <c r="E518" t="s">
        <v>25</v>
      </c>
      <c r="F518" t="s">
        <v>26</v>
      </c>
      <c r="G518" t="s">
        <v>18</v>
      </c>
      <c r="H518" t="s">
        <v>19</v>
      </c>
      <c r="I518" t="s">
        <v>36</v>
      </c>
      <c r="J518" t="s">
        <v>29</v>
      </c>
      <c r="K518">
        <v>8</v>
      </c>
      <c r="L518">
        <v>6.37</v>
      </c>
      <c r="M518">
        <v>4</v>
      </c>
      <c r="N518" t="s">
        <v>61</v>
      </c>
      <c r="O518" t="str">
        <f t="shared" si="8"/>
        <v>No</v>
      </c>
    </row>
    <row r="519" spans="1:15" x14ac:dyDescent="0.25">
      <c r="A519" t="s">
        <v>580</v>
      </c>
      <c r="B519" s="1">
        <v>45670</v>
      </c>
      <c r="C519" s="2">
        <v>45670.12</v>
      </c>
      <c r="D519" t="s">
        <v>15</v>
      </c>
      <c r="E519" t="s">
        <v>16</v>
      </c>
      <c r="F519" t="s">
        <v>60</v>
      </c>
      <c r="G519" t="s">
        <v>41</v>
      </c>
      <c r="H519" t="s">
        <v>65</v>
      </c>
      <c r="I519" t="s">
        <v>28</v>
      </c>
      <c r="J519" t="s">
        <v>29</v>
      </c>
      <c r="K519">
        <v>48</v>
      </c>
      <c r="L519">
        <v>2.88</v>
      </c>
      <c r="M519">
        <v>5</v>
      </c>
      <c r="N519" t="s">
        <v>22</v>
      </c>
      <c r="O519" t="str">
        <f t="shared" si="8"/>
        <v>No</v>
      </c>
    </row>
    <row r="520" spans="1:15" x14ac:dyDescent="0.25">
      <c r="A520" t="s">
        <v>581</v>
      </c>
      <c r="B520" s="1">
        <v>45744</v>
      </c>
      <c r="C520" s="2">
        <v>45744.144999999997</v>
      </c>
      <c r="D520" t="s">
        <v>24</v>
      </c>
      <c r="E520" t="s">
        <v>39</v>
      </c>
      <c r="F520" t="s">
        <v>119</v>
      </c>
      <c r="G520" t="s">
        <v>34</v>
      </c>
      <c r="H520" t="s">
        <v>44</v>
      </c>
      <c r="I520" t="s">
        <v>28</v>
      </c>
      <c r="J520" t="s">
        <v>21</v>
      </c>
      <c r="K520">
        <v>24</v>
      </c>
      <c r="L520">
        <v>3.48</v>
      </c>
      <c r="M520">
        <v>4.2</v>
      </c>
      <c r="N520" t="s">
        <v>22</v>
      </c>
      <c r="O520" t="str">
        <f t="shared" si="8"/>
        <v>No</v>
      </c>
    </row>
    <row r="521" spans="1:15" x14ac:dyDescent="0.25">
      <c r="A521" t="s">
        <v>582</v>
      </c>
      <c r="B521" s="1">
        <v>45765</v>
      </c>
      <c r="C521" s="2">
        <v>45766.986666666664</v>
      </c>
      <c r="D521" t="s">
        <v>15</v>
      </c>
      <c r="E521" t="s">
        <v>16</v>
      </c>
      <c r="F521" t="s">
        <v>60</v>
      </c>
      <c r="G521" t="s">
        <v>41</v>
      </c>
      <c r="H521" t="s">
        <v>44</v>
      </c>
      <c r="I521" t="s">
        <v>45</v>
      </c>
      <c r="J521" t="s">
        <v>21</v>
      </c>
      <c r="K521">
        <v>48</v>
      </c>
      <c r="L521">
        <v>47.68</v>
      </c>
      <c r="M521">
        <v>2.8</v>
      </c>
      <c r="N521" t="s">
        <v>22</v>
      </c>
      <c r="O521" t="str">
        <f t="shared" si="8"/>
        <v>No</v>
      </c>
    </row>
    <row r="522" spans="1:15" x14ac:dyDescent="0.25">
      <c r="A522" t="s">
        <v>583</v>
      </c>
      <c r="B522" s="1">
        <v>45722</v>
      </c>
      <c r="C522" s="2">
        <v>45722.100416666668</v>
      </c>
      <c r="D522" t="s">
        <v>24</v>
      </c>
      <c r="E522" t="s">
        <v>32</v>
      </c>
      <c r="F522" t="s">
        <v>33</v>
      </c>
      <c r="G522" t="s">
        <v>18</v>
      </c>
      <c r="H522" t="s">
        <v>27</v>
      </c>
      <c r="I522" t="s">
        <v>28</v>
      </c>
      <c r="J522" t="s">
        <v>46</v>
      </c>
      <c r="K522">
        <v>24</v>
      </c>
      <c r="L522">
        <v>2.41</v>
      </c>
      <c r="M522">
        <v>3.3</v>
      </c>
      <c r="N522" t="s">
        <v>22</v>
      </c>
      <c r="O522" t="str">
        <f t="shared" si="8"/>
        <v>No</v>
      </c>
    </row>
    <row r="523" spans="1:15" x14ac:dyDescent="0.25">
      <c r="A523" t="s">
        <v>584</v>
      </c>
      <c r="B523" s="1">
        <v>45684</v>
      </c>
      <c r="C523" s="2">
        <v>45684.103333333333</v>
      </c>
      <c r="D523" t="s">
        <v>38</v>
      </c>
      <c r="E523" t="s">
        <v>32</v>
      </c>
      <c r="F523" t="s">
        <v>75</v>
      </c>
      <c r="G523" t="s">
        <v>18</v>
      </c>
      <c r="H523" t="s">
        <v>54</v>
      </c>
      <c r="I523" t="s">
        <v>36</v>
      </c>
      <c r="J523" t="s">
        <v>46</v>
      </c>
      <c r="K523">
        <v>8</v>
      </c>
      <c r="L523">
        <v>2.48</v>
      </c>
      <c r="M523">
        <v>5</v>
      </c>
      <c r="N523" t="s">
        <v>22</v>
      </c>
      <c r="O523" t="str">
        <f t="shared" si="8"/>
        <v>No</v>
      </c>
    </row>
    <row r="524" spans="1:15" x14ac:dyDescent="0.25">
      <c r="A524" t="s">
        <v>585</v>
      </c>
      <c r="B524" s="1">
        <v>45692</v>
      </c>
      <c r="C524" s="2">
        <v>45693.302083333336</v>
      </c>
      <c r="D524" t="s">
        <v>24</v>
      </c>
      <c r="E524" t="s">
        <v>45</v>
      </c>
      <c r="F524" t="s">
        <v>104</v>
      </c>
      <c r="G524" t="s">
        <v>18</v>
      </c>
      <c r="H524" t="s">
        <v>44</v>
      </c>
      <c r="I524" t="s">
        <v>45</v>
      </c>
      <c r="J524" t="s">
        <v>46</v>
      </c>
      <c r="K524">
        <v>24</v>
      </c>
      <c r="L524">
        <v>31.25</v>
      </c>
      <c r="M524">
        <v>2.4</v>
      </c>
      <c r="N524" t="s">
        <v>61</v>
      </c>
      <c r="O524" t="str">
        <f t="shared" si="8"/>
        <v>Yes</v>
      </c>
    </row>
    <row r="525" spans="1:15" x14ac:dyDescent="0.25">
      <c r="A525" t="s">
        <v>586</v>
      </c>
      <c r="B525" s="1">
        <v>45807</v>
      </c>
      <c r="C525" s="2">
        <v>45807.916250000002</v>
      </c>
      <c r="D525" t="s">
        <v>24</v>
      </c>
      <c r="E525" t="s">
        <v>39</v>
      </c>
      <c r="F525" t="s">
        <v>119</v>
      </c>
      <c r="G525" t="s">
        <v>34</v>
      </c>
      <c r="H525" t="s">
        <v>54</v>
      </c>
      <c r="I525" t="s">
        <v>36</v>
      </c>
      <c r="J525" t="s">
        <v>21</v>
      </c>
      <c r="K525">
        <v>24</v>
      </c>
      <c r="L525">
        <v>21.99</v>
      </c>
      <c r="M525">
        <v>2.8</v>
      </c>
      <c r="N525" t="s">
        <v>22</v>
      </c>
      <c r="O525" t="str">
        <f t="shared" si="8"/>
        <v>No</v>
      </c>
    </row>
    <row r="526" spans="1:15" x14ac:dyDescent="0.25">
      <c r="A526" t="s">
        <v>587</v>
      </c>
      <c r="B526" s="1">
        <v>45715</v>
      </c>
      <c r="C526" s="2">
        <v>45715.374583333331</v>
      </c>
      <c r="D526" t="s">
        <v>24</v>
      </c>
      <c r="E526" t="s">
        <v>32</v>
      </c>
      <c r="F526" t="s">
        <v>75</v>
      </c>
      <c r="G526" t="s">
        <v>18</v>
      </c>
      <c r="H526" t="s">
        <v>27</v>
      </c>
      <c r="I526" t="s">
        <v>45</v>
      </c>
      <c r="J526" t="s">
        <v>29</v>
      </c>
      <c r="K526">
        <v>24</v>
      </c>
      <c r="L526">
        <v>8.99</v>
      </c>
      <c r="M526">
        <v>4.9000000000000004</v>
      </c>
      <c r="N526" t="s">
        <v>22</v>
      </c>
      <c r="O526" t="str">
        <f t="shared" si="8"/>
        <v>No</v>
      </c>
    </row>
    <row r="527" spans="1:15" x14ac:dyDescent="0.25">
      <c r="A527" t="s">
        <v>588</v>
      </c>
      <c r="B527" s="1">
        <v>45714</v>
      </c>
      <c r="C527" s="2">
        <v>45714.520416666666</v>
      </c>
      <c r="D527" t="s">
        <v>15</v>
      </c>
      <c r="E527" t="s">
        <v>16</v>
      </c>
      <c r="F527" t="s">
        <v>60</v>
      </c>
      <c r="G527" t="s">
        <v>56</v>
      </c>
      <c r="H527" t="s">
        <v>19</v>
      </c>
      <c r="I527" t="s">
        <v>20</v>
      </c>
      <c r="J527" t="s">
        <v>29</v>
      </c>
      <c r="K527">
        <v>48</v>
      </c>
      <c r="L527">
        <v>12.49</v>
      </c>
      <c r="M527">
        <v>3.8</v>
      </c>
      <c r="N527" t="s">
        <v>22</v>
      </c>
      <c r="O527" t="str">
        <f t="shared" si="8"/>
        <v>No</v>
      </c>
    </row>
    <row r="528" spans="1:15" x14ac:dyDescent="0.25">
      <c r="A528" t="s">
        <v>589</v>
      </c>
      <c r="B528" s="1">
        <v>45825</v>
      </c>
      <c r="C528" s="2">
        <v>45827.876250000001</v>
      </c>
      <c r="D528" t="s">
        <v>15</v>
      </c>
      <c r="E528" t="s">
        <v>39</v>
      </c>
      <c r="F528" t="s">
        <v>78</v>
      </c>
      <c r="G528" t="s">
        <v>56</v>
      </c>
      <c r="H528" t="s">
        <v>54</v>
      </c>
      <c r="I528" t="s">
        <v>20</v>
      </c>
      <c r="J528" t="s">
        <v>46</v>
      </c>
      <c r="K528">
        <v>48</v>
      </c>
      <c r="L528">
        <v>69.03</v>
      </c>
      <c r="M528">
        <v>2.2000000000000002</v>
      </c>
      <c r="N528" t="s">
        <v>22</v>
      </c>
      <c r="O528" t="str">
        <f t="shared" si="8"/>
        <v>Yes</v>
      </c>
    </row>
    <row r="529" spans="1:15" x14ac:dyDescent="0.25">
      <c r="A529" t="s">
        <v>590</v>
      </c>
      <c r="B529" s="1">
        <v>45684</v>
      </c>
      <c r="C529" s="2">
        <v>45684.093333333331</v>
      </c>
      <c r="D529" t="s">
        <v>38</v>
      </c>
      <c r="E529" t="s">
        <v>25</v>
      </c>
      <c r="F529" t="s">
        <v>26</v>
      </c>
      <c r="G529" t="s">
        <v>18</v>
      </c>
      <c r="H529" t="s">
        <v>27</v>
      </c>
      <c r="I529" t="s">
        <v>36</v>
      </c>
      <c r="J529" t="s">
        <v>85</v>
      </c>
      <c r="K529">
        <v>8</v>
      </c>
      <c r="L529">
        <v>2.2400000000000002</v>
      </c>
      <c r="M529">
        <v>2.8</v>
      </c>
      <c r="N529" t="s">
        <v>22</v>
      </c>
      <c r="O529" t="str">
        <f t="shared" si="8"/>
        <v>No</v>
      </c>
    </row>
    <row r="530" spans="1:15" x14ac:dyDescent="0.25">
      <c r="A530" t="s">
        <v>591</v>
      </c>
      <c r="B530" s="1">
        <v>45823</v>
      </c>
      <c r="C530" s="2">
        <v>45823.625833333332</v>
      </c>
      <c r="D530" t="s">
        <v>24</v>
      </c>
      <c r="E530" t="s">
        <v>45</v>
      </c>
      <c r="F530" t="s">
        <v>100</v>
      </c>
      <c r="G530" t="s">
        <v>56</v>
      </c>
      <c r="H530" t="s">
        <v>54</v>
      </c>
      <c r="I530" t="s">
        <v>36</v>
      </c>
      <c r="J530" t="s">
        <v>21</v>
      </c>
      <c r="K530">
        <v>24</v>
      </c>
      <c r="L530">
        <v>15.02</v>
      </c>
      <c r="M530">
        <v>4.4000000000000004</v>
      </c>
      <c r="N530" t="s">
        <v>22</v>
      </c>
      <c r="O530" t="str">
        <f t="shared" si="8"/>
        <v>No</v>
      </c>
    </row>
    <row r="531" spans="1:15" x14ac:dyDescent="0.25">
      <c r="A531" t="s">
        <v>592</v>
      </c>
      <c r="B531" s="1">
        <v>45824</v>
      </c>
      <c r="C531" s="2">
        <v>45825.22625</v>
      </c>
      <c r="D531" t="s">
        <v>24</v>
      </c>
      <c r="E531" t="s">
        <v>16</v>
      </c>
      <c r="F531" t="s">
        <v>60</v>
      </c>
      <c r="G531" t="s">
        <v>41</v>
      </c>
      <c r="H531" t="s">
        <v>44</v>
      </c>
      <c r="I531" t="s">
        <v>28</v>
      </c>
      <c r="J531" t="s">
        <v>21</v>
      </c>
      <c r="K531">
        <v>24</v>
      </c>
      <c r="L531">
        <v>29.43</v>
      </c>
      <c r="M531">
        <v>2.8</v>
      </c>
      <c r="N531" t="s">
        <v>22</v>
      </c>
      <c r="O531" t="str">
        <f t="shared" si="8"/>
        <v>Yes</v>
      </c>
    </row>
    <row r="532" spans="1:15" x14ac:dyDescent="0.25">
      <c r="A532" t="s">
        <v>593</v>
      </c>
      <c r="B532" s="1">
        <v>45766</v>
      </c>
      <c r="C532" s="2">
        <v>45766.235833333332</v>
      </c>
      <c r="D532" t="s">
        <v>38</v>
      </c>
      <c r="E532" t="s">
        <v>16</v>
      </c>
      <c r="F532" t="s">
        <v>58</v>
      </c>
      <c r="G532" t="s">
        <v>56</v>
      </c>
      <c r="H532" t="s">
        <v>27</v>
      </c>
      <c r="I532" t="s">
        <v>45</v>
      </c>
      <c r="J532" t="s">
        <v>46</v>
      </c>
      <c r="K532">
        <v>8</v>
      </c>
      <c r="L532">
        <v>5.66</v>
      </c>
      <c r="M532">
        <v>4.5999999999999996</v>
      </c>
      <c r="N532" t="s">
        <v>22</v>
      </c>
      <c r="O532" t="str">
        <f t="shared" si="8"/>
        <v>No</v>
      </c>
    </row>
    <row r="533" spans="1:15" x14ac:dyDescent="0.25">
      <c r="A533" t="s">
        <v>594</v>
      </c>
      <c r="B533" s="1">
        <v>45687</v>
      </c>
      <c r="C533" s="2">
        <v>45689.456666666665</v>
      </c>
      <c r="D533" t="s">
        <v>15</v>
      </c>
      <c r="E533" t="s">
        <v>39</v>
      </c>
      <c r="F533" t="s">
        <v>40</v>
      </c>
      <c r="G533" t="s">
        <v>41</v>
      </c>
      <c r="H533" t="s">
        <v>65</v>
      </c>
      <c r="I533" t="s">
        <v>36</v>
      </c>
      <c r="J533" t="s">
        <v>46</v>
      </c>
      <c r="K533">
        <v>48</v>
      </c>
      <c r="L533">
        <v>58.96</v>
      </c>
      <c r="M533">
        <v>3.5</v>
      </c>
      <c r="N533" t="s">
        <v>22</v>
      </c>
      <c r="O533" t="str">
        <f t="shared" si="8"/>
        <v>Yes</v>
      </c>
    </row>
    <row r="534" spans="1:15" x14ac:dyDescent="0.25">
      <c r="A534" t="s">
        <v>595</v>
      </c>
      <c r="B534" s="1">
        <v>45686</v>
      </c>
      <c r="C534" s="2">
        <v>45686.724999999999</v>
      </c>
      <c r="D534" t="s">
        <v>15</v>
      </c>
      <c r="E534" t="s">
        <v>16</v>
      </c>
      <c r="F534" t="s">
        <v>43</v>
      </c>
      <c r="G534" t="s">
        <v>56</v>
      </c>
      <c r="H534" t="s">
        <v>65</v>
      </c>
      <c r="I534" t="s">
        <v>36</v>
      </c>
      <c r="J534" t="s">
        <v>21</v>
      </c>
      <c r="K534">
        <v>48</v>
      </c>
      <c r="L534">
        <v>17.399999999999999</v>
      </c>
      <c r="M534">
        <v>4.5999999999999996</v>
      </c>
      <c r="N534" t="s">
        <v>22</v>
      </c>
      <c r="O534" t="str">
        <f t="shared" si="8"/>
        <v>No</v>
      </c>
    </row>
    <row r="535" spans="1:15" x14ac:dyDescent="0.25">
      <c r="A535" t="s">
        <v>596</v>
      </c>
      <c r="B535" s="1">
        <v>45709</v>
      </c>
      <c r="C535" s="2">
        <v>45709.392916666664</v>
      </c>
      <c r="D535" t="s">
        <v>15</v>
      </c>
      <c r="E535" t="s">
        <v>39</v>
      </c>
      <c r="F535" t="s">
        <v>40</v>
      </c>
      <c r="G535" t="s">
        <v>18</v>
      </c>
      <c r="H535" t="s">
        <v>27</v>
      </c>
      <c r="I535" t="s">
        <v>36</v>
      </c>
      <c r="J535" t="s">
        <v>21</v>
      </c>
      <c r="K535">
        <v>48</v>
      </c>
      <c r="L535">
        <v>9.43</v>
      </c>
      <c r="M535">
        <v>4.5</v>
      </c>
      <c r="N535" t="s">
        <v>22</v>
      </c>
      <c r="O535" t="str">
        <f t="shared" si="8"/>
        <v>No</v>
      </c>
    </row>
    <row r="536" spans="1:15" x14ac:dyDescent="0.25">
      <c r="A536" t="s">
        <v>597</v>
      </c>
      <c r="B536" s="1">
        <v>45762</v>
      </c>
      <c r="C536" s="2">
        <v>45762.136666666665</v>
      </c>
      <c r="D536" t="s">
        <v>31</v>
      </c>
      <c r="E536" t="s">
        <v>32</v>
      </c>
      <c r="F536" t="s">
        <v>64</v>
      </c>
      <c r="G536" t="s">
        <v>18</v>
      </c>
      <c r="H536" t="s">
        <v>54</v>
      </c>
      <c r="I536" t="s">
        <v>36</v>
      </c>
      <c r="J536" t="s">
        <v>46</v>
      </c>
      <c r="K536">
        <v>4</v>
      </c>
      <c r="L536">
        <v>3.28</v>
      </c>
      <c r="M536">
        <v>3.8</v>
      </c>
      <c r="N536" t="s">
        <v>22</v>
      </c>
      <c r="O536" t="str">
        <f t="shared" si="8"/>
        <v>No</v>
      </c>
    </row>
    <row r="537" spans="1:15" x14ac:dyDescent="0.25">
      <c r="A537" t="s">
        <v>598</v>
      </c>
      <c r="B537" s="1">
        <v>45685</v>
      </c>
      <c r="C537" s="2">
        <v>45686.135833333334</v>
      </c>
      <c r="D537" t="s">
        <v>24</v>
      </c>
      <c r="E537" t="s">
        <v>25</v>
      </c>
      <c r="F537" t="s">
        <v>70</v>
      </c>
      <c r="G537" t="s">
        <v>41</v>
      </c>
      <c r="H537" t="s">
        <v>54</v>
      </c>
      <c r="I537" t="s">
        <v>36</v>
      </c>
      <c r="J537" t="s">
        <v>21</v>
      </c>
      <c r="K537">
        <v>24</v>
      </c>
      <c r="L537">
        <v>27.26</v>
      </c>
      <c r="M537">
        <v>3.1</v>
      </c>
      <c r="N537" t="s">
        <v>22</v>
      </c>
      <c r="O537" t="str">
        <f t="shared" si="8"/>
        <v>Yes</v>
      </c>
    </row>
    <row r="538" spans="1:15" x14ac:dyDescent="0.25">
      <c r="A538" t="s">
        <v>599</v>
      </c>
      <c r="B538" s="1">
        <v>45740</v>
      </c>
      <c r="C538" s="2">
        <v>45740.739166666666</v>
      </c>
      <c r="D538" t="s">
        <v>24</v>
      </c>
      <c r="E538" t="s">
        <v>39</v>
      </c>
      <c r="F538" t="s">
        <v>87</v>
      </c>
      <c r="G538" t="s">
        <v>34</v>
      </c>
      <c r="H538" t="s">
        <v>19</v>
      </c>
      <c r="I538" t="s">
        <v>45</v>
      </c>
      <c r="J538" t="s">
        <v>46</v>
      </c>
      <c r="K538">
        <v>24</v>
      </c>
      <c r="L538">
        <v>17.739999999999998</v>
      </c>
      <c r="M538">
        <v>3.6</v>
      </c>
      <c r="N538" t="s">
        <v>22</v>
      </c>
      <c r="O538" t="str">
        <f t="shared" si="8"/>
        <v>No</v>
      </c>
    </row>
    <row r="539" spans="1:15" x14ac:dyDescent="0.25">
      <c r="A539" t="s">
        <v>600</v>
      </c>
      <c r="B539" s="1">
        <v>45678</v>
      </c>
      <c r="C539" s="2">
        <v>45678.457499999997</v>
      </c>
      <c r="D539" t="s">
        <v>15</v>
      </c>
      <c r="E539" t="s">
        <v>16</v>
      </c>
      <c r="F539" t="s">
        <v>58</v>
      </c>
      <c r="G539" t="s">
        <v>41</v>
      </c>
      <c r="H539" t="s">
        <v>65</v>
      </c>
      <c r="I539" t="s">
        <v>45</v>
      </c>
      <c r="J539" t="s">
        <v>29</v>
      </c>
      <c r="K539">
        <v>48</v>
      </c>
      <c r="L539">
        <v>10.98</v>
      </c>
      <c r="M539">
        <v>4</v>
      </c>
      <c r="N539" t="s">
        <v>22</v>
      </c>
      <c r="O539" t="str">
        <f t="shared" si="8"/>
        <v>No</v>
      </c>
    </row>
    <row r="540" spans="1:15" x14ac:dyDescent="0.25">
      <c r="A540" t="s">
        <v>601</v>
      </c>
      <c r="B540" s="1">
        <v>45755</v>
      </c>
      <c r="C540" s="2">
        <v>45759.437083333331</v>
      </c>
      <c r="D540" t="s">
        <v>15</v>
      </c>
      <c r="E540" t="s">
        <v>32</v>
      </c>
      <c r="F540" t="s">
        <v>33</v>
      </c>
      <c r="G540" t="s">
        <v>41</v>
      </c>
      <c r="H540" t="s">
        <v>35</v>
      </c>
      <c r="I540" t="s">
        <v>45</v>
      </c>
      <c r="J540" t="s">
        <v>21</v>
      </c>
      <c r="K540">
        <v>48</v>
      </c>
      <c r="L540">
        <v>106.49</v>
      </c>
      <c r="M540">
        <v>3.3</v>
      </c>
      <c r="N540" t="s">
        <v>22</v>
      </c>
      <c r="O540" t="str">
        <f t="shared" si="8"/>
        <v>Yes</v>
      </c>
    </row>
    <row r="541" spans="1:15" x14ac:dyDescent="0.25">
      <c r="A541" t="s">
        <v>602</v>
      </c>
      <c r="B541" s="1">
        <v>45661</v>
      </c>
      <c r="C541" s="2">
        <v>45661.156666666669</v>
      </c>
      <c r="D541" t="s">
        <v>24</v>
      </c>
      <c r="E541" t="s">
        <v>25</v>
      </c>
      <c r="F541" t="s">
        <v>48</v>
      </c>
      <c r="G541" t="s">
        <v>41</v>
      </c>
      <c r="H541" t="s">
        <v>54</v>
      </c>
      <c r="I541" t="s">
        <v>36</v>
      </c>
      <c r="J541" t="s">
        <v>46</v>
      </c>
      <c r="K541">
        <v>24</v>
      </c>
      <c r="L541">
        <v>3.76</v>
      </c>
      <c r="M541">
        <v>4.5999999999999996</v>
      </c>
      <c r="N541" t="s">
        <v>61</v>
      </c>
      <c r="O541" t="str">
        <f t="shared" si="8"/>
        <v>No</v>
      </c>
    </row>
    <row r="542" spans="1:15" x14ac:dyDescent="0.25">
      <c r="A542" t="s">
        <v>603</v>
      </c>
      <c r="B542" s="1">
        <v>45786</v>
      </c>
      <c r="C542" s="2">
        <v>45786.577499999999</v>
      </c>
      <c r="D542" t="s">
        <v>24</v>
      </c>
      <c r="E542" t="s">
        <v>32</v>
      </c>
      <c r="F542" t="s">
        <v>64</v>
      </c>
      <c r="G542" t="s">
        <v>34</v>
      </c>
      <c r="H542" t="s">
        <v>19</v>
      </c>
      <c r="I542" t="s">
        <v>36</v>
      </c>
      <c r="J542" t="s">
        <v>21</v>
      </c>
      <c r="K542">
        <v>24</v>
      </c>
      <c r="L542">
        <v>13.86</v>
      </c>
      <c r="M542">
        <v>2.8</v>
      </c>
      <c r="N542" t="s">
        <v>22</v>
      </c>
      <c r="O542" t="str">
        <f t="shared" si="8"/>
        <v>No</v>
      </c>
    </row>
    <row r="543" spans="1:15" x14ac:dyDescent="0.25">
      <c r="A543" t="s">
        <v>604</v>
      </c>
      <c r="B543" s="1">
        <v>45668</v>
      </c>
      <c r="C543" s="2">
        <v>45668.407500000001</v>
      </c>
      <c r="D543" t="s">
        <v>38</v>
      </c>
      <c r="E543" t="s">
        <v>39</v>
      </c>
      <c r="F543" t="s">
        <v>119</v>
      </c>
      <c r="G543" t="s">
        <v>18</v>
      </c>
      <c r="H543" t="s">
        <v>19</v>
      </c>
      <c r="I543" t="s">
        <v>36</v>
      </c>
      <c r="J543" t="s">
        <v>21</v>
      </c>
      <c r="K543">
        <v>8</v>
      </c>
      <c r="L543">
        <v>9.7799999999999994</v>
      </c>
      <c r="M543">
        <v>3.7</v>
      </c>
      <c r="N543" t="s">
        <v>22</v>
      </c>
      <c r="O543" t="str">
        <f t="shared" si="8"/>
        <v>Yes</v>
      </c>
    </row>
    <row r="544" spans="1:15" x14ac:dyDescent="0.25">
      <c r="A544" t="s">
        <v>605</v>
      </c>
      <c r="B544" s="1">
        <v>45693</v>
      </c>
      <c r="C544" s="2">
        <v>45693.178738425922</v>
      </c>
      <c r="D544" t="s">
        <v>38</v>
      </c>
      <c r="E544" t="s">
        <v>25</v>
      </c>
      <c r="F544" t="s">
        <v>48</v>
      </c>
      <c r="G544" t="s">
        <v>56</v>
      </c>
      <c r="H544" t="s">
        <v>35</v>
      </c>
      <c r="I544" t="s">
        <v>20</v>
      </c>
      <c r="J544" t="s">
        <v>29</v>
      </c>
      <c r="K544">
        <v>8</v>
      </c>
      <c r="L544">
        <v>4.29</v>
      </c>
      <c r="M544">
        <v>3.8</v>
      </c>
      <c r="N544" t="s">
        <v>22</v>
      </c>
      <c r="O544" t="str">
        <f t="shared" si="8"/>
        <v>No</v>
      </c>
    </row>
    <row r="545" spans="1:15" x14ac:dyDescent="0.25">
      <c r="A545" t="s">
        <v>606</v>
      </c>
      <c r="B545" s="1">
        <v>45689</v>
      </c>
      <c r="C545" s="2">
        <v>45689.828750000001</v>
      </c>
      <c r="D545" t="s">
        <v>24</v>
      </c>
      <c r="E545" t="s">
        <v>39</v>
      </c>
      <c r="F545" t="s">
        <v>87</v>
      </c>
      <c r="G545" t="s">
        <v>51</v>
      </c>
      <c r="H545" t="s">
        <v>27</v>
      </c>
      <c r="I545" t="s">
        <v>20</v>
      </c>
      <c r="J545" t="s">
        <v>21</v>
      </c>
      <c r="K545">
        <v>24</v>
      </c>
      <c r="L545">
        <v>19.89</v>
      </c>
      <c r="M545">
        <v>4</v>
      </c>
      <c r="N545" t="s">
        <v>22</v>
      </c>
      <c r="O545" t="str">
        <f t="shared" si="8"/>
        <v>No</v>
      </c>
    </row>
    <row r="546" spans="1:15" x14ac:dyDescent="0.25">
      <c r="A546" t="s">
        <v>607</v>
      </c>
      <c r="B546" s="1">
        <v>45808</v>
      </c>
      <c r="C546" s="2">
        <v>45808.030833333331</v>
      </c>
      <c r="D546" t="s">
        <v>38</v>
      </c>
      <c r="E546" t="s">
        <v>45</v>
      </c>
      <c r="F546" t="s">
        <v>112</v>
      </c>
      <c r="G546" t="s">
        <v>41</v>
      </c>
      <c r="H546" t="s">
        <v>54</v>
      </c>
      <c r="I546" t="s">
        <v>36</v>
      </c>
      <c r="J546" t="s">
        <v>21</v>
      </c>
      <c r="K546">
        <v>8</v>
      </c>
      <c r="L546">
        <v>0.74</v>
      </c>
      <c r="M546">
        <v>4.7</v>
      </c>
      <c r="N546" t="s">
        <v>22</v>
      </c>
      <c r="O546" t="str">
        <f t="shared" si="8"/>
        <v>No</v>
      </c>
    </row>
    <row r="547" spans="1:15" x14ac:dyDescent="0.25">
      <c r="A547" t="s">
        <v>608</v>
      </c>
      <c r="B547" s="1">
        <v>45667</v>
      </c>
      <c r="C547" s="2">
        <v>45667.134166666663</v>
      </c>
      <c r="D547" t="s">
        <v>31</v>
      </c>
      <c r="E547" t="s">
        <v>32</v>
      </c>
      <c r="F547" t="s">
        <v>64</v>
      </c>
      <c r="G547" t="s">
        <v>41</v>
      </c>
      <c r="H547" t="s">
        <v>54</v>
      </c>
      <c r="I547" t="s">
        <v>45</v>
      </c>
      <c r="J547" t="s">
        <v>85</v>
      </c>
      <c r="K547">
        <v>4</v>
      </c>
      <c r="L547">
        <v>3.22</v>
      </c>
      <c r="M547">
        <v>5</v>
      </c>
      <c r="N547" t="s">
        <v>22</v>
      </c>
      <c r="O547" t="str">
        <f t="shared" si="8"/>
        <v>No</v>
      </c>
    </row>
    <row r="548" spans="1:15" x14ac:dyDescent="0.25">
      <c r="A548" t="s">
        <v>609</v>
      </c>
      <c r="B548" s="1">
        <v>45735</v>
      </c>
      <c r="C548" s="2">
        <v>45735.216666666667</v>
      </c>
      <c r="D548" t="s">
        <v>24</v>
      </c>
      <c r="E548" t="s">
        <v>16</v>
      </c>
      <c r="F548" t="s">
        <v>43</v>
      </c>
      <c r="G548" t="s">
        <v>41</v>
      </c>
      <c r="H548" t="s">
        <v>35</v>
      </c>
      <c r="I548" t="s">
        <v>45</v>
      </c>
      <c r="J548" t="s">
        <v>21</v>
      </c>
      <c r="K548">
        <v>24</v>
      </c>
      <c r="L548">
        <v>5.2</v>
      </c>
      <c r="M548">
        <v>4.5</v>
      </c>
      <c r="N548" t="s">
        <v>22</v>
      </c>
      <c r="O548" t="str">
        <f t="shared" si="8"/>
        <v>No</v>
      </c>
    </row>
    <row r="549" spans="1:15" x14ac:dyDescent="0.25">
      <c r="A549" t="s">
        <v>610</v>
      </c>
      <c r="B549" s="1">
        <v>45764</v>
      </c>
      <c r="C549" s="2">
        <v>45764.584999999999</v>
      </c>
      <c r="D549" t="s">
        <v>24</v>
      </c>
      <c r="E549" t="s">
        <v>45</v>
      </c>
      <c r="F549" t="s">
        <v>112</v>
      </c>
      <c r="G549" t="s">
        <v>51</v>
      </c>
      <c r="H549" t="s">
        <v>65</v>
      </c>
      <c r="I549" t="s">
        <v>45</v>
      </c>
      <c r="J549" t="s">
        <v>21</v>
      </c>
      <c r="K549">
        <v>24</v>
      </c>
      <c r="L549">
        <v>14.04</v>
      </c>
      <c r="M549">
        <v>4.8</v>
      </c>
      <c r="N549" t="s">
        <v>22</v>
      </c>
      <c r="O549" t="str">
        <f t="shared" si="8"/>
        <v>No</v>
      </c>
    </row>
    <row r="550" spans="1:15" x14ac:dyDescent="0.25">
      <c r="A550" t="s">
        <v>611</v>
      </c>
      <c r="B550" s="1">
        <v>45751</v>
      </c>
      <c r="C550" s="2">
        <v>45751.050833333335</v>
      </c>
      <c r="D550" t="s">
        <v>38</v>
      </c>
      <c r="E550" t="s">
        <v>16</v>
      </c>
      <c r="F550" t="s">
        <v>60</v>
      </c>
      <c r="G550" t="s">
        <v>34</v>
      </c>
      <c r="H550" t="s">
        <v>19</v>
      </c>
      <c r="I550" t="s">
        <v>45</v>
      </c>
      <c r="J550" t="s">
        <v>21</v>
      </c>
      <c r="K550">
        <v>8</v>
      </c>
      <c r="L550">
        <v>1.22</v>
      </c>
      <c r="M550">
        <v>5</v>
      </c>
      <c r="N550" t="s">
        <v>22</v>
      </c>
      <c r="O550" t="str">
        <f t="shared" si="8"/>
        <v>No</v>
      </c>
    </row>
    <row r="551" spans="1:15" x14ac:dyDescent="0.25">
      <c r="A551" t="s">
        <v>612</v>
      </c>
      <c r="B551" s="1">
        <v>45781</v>
      </c>
      <c r="C551" s="2">
        <v>45782.722916666666</v>
      </c>
      <c r="D551" t="s">
        <v>15</v>
      </c>
      <c r="E551" t="s">
        <v>16</v>
      </c>
      <c r="F551" t="s">
        <v>60</v>
      </c>
      <c r="G551" t="s">
        <v>51</v>
      </c>
      <c r="H551" t="s">
        <v>35</v>
      </c>
      <c r="I551" t="s">
        <v>28</v>
      </c>
      <c r="J551" t="s">
        <v>21</v>
      </c>
      <c r="K551">
        <v>48</v>
      </c>
      <c r="L551">
        <v>41.35</v>
      </c>
      <c r="M551">
        <v>3.1</v>
      </c>
      <c r="N551" t="s">
        <v>22</v>
      </c>
      <c r="O551" t="str">
        <f t="shared" si="8"/>
        <v>No</v>
      </c>
    </row>
    <row r="552" spans="1:15" x14ac:dyDescent="0.25">
      <c r="A552" t="s">
        <v>613</v>
      </c>
      <c r="B552" s="1">
        <v>45803</v>
      </c>
      <c r="C552" s="2">
        <v>45803.243750000001</v>
      </c>
      <c r="D552" t="s">
        <v>38</v>
      </c>
      <c r="E552" t="s">
        <v>39</v>
      </c>
      <c r="F552" t="s">
        <v>78</v>
      </c>
      <c r="G552" t="s">
        <v>34</v>
      </c>
      <c r="H552" t="s">
        <v>44</v>
      </c>
      <c r="I552" t="s">
        <v>36</v>
      </c>
      <c r="J552" t="s">
        <v>21</v>
      </c>
      <c r="K552">
        <v>8</v>
      </c>
      <c r="L552">
        <v>5.85</v>
      </c>
      <c r="M552">
        <v>4.2</v>
      </c>
      <c r="N552" t="s">
        <v>22</v>
      </c>
      <c r="O552" t="str">
        <f t="shared" si="8"/>
        <v>No</v>
      </c>
    </row>
    <row r="553" spans="1:15" x14ac:dyDescent="0.25">
      <c r="A553" t="s">
        <v>614</v>
      </c>
      <c r="B553" s="1">
        <v>45729</v>
      </c>
      <c r="C553" s="2">
        <v>45730.158750000002</v>
      </c>
      <c r="D553" t="s">
        <v>15</v>
      </c>
      <c r="E553" t="s">
        <v>25</v>
      </c>
      <c r="F553" t="s">
        <v>48</v>
      </c>
      <c r="G553" t="s">
        <v>34</v>
      </c>
      <c r="H553" t="s">
        <v>65</v>
      </c>
      <c r="I553" t="s">
        <v>45</v>
      </c>
      <c r="J553" t="s">
        <v>46</v>
      </c>
      <c r="K553">
        <v>48</v>
      </c>
      <c r="L553">
        <v>27.81</v>
      </c>
      <c r="M553">
        <v>3.8</v>
      </c>
      <c r="N553" t="s">
        <v>22</v>
      </c>
      <c r="O553" t="str">
        <f t="shared" si="8"/>
        <v>No</v>
      </c>
    </row>
    <row r="554" spans="1:15" x14ac:dyDescent="0.25">
      <c r="A554" t="s">
        <v>615</v>
      </c>
      <c r="B554" s="1">
        <v>45807</v>
      </c>
      <c r="C554" s="2">
        <v>45808.012916666667</v>
      </c>
      <c r="D554" t="s">
        <v>24</v>
      </c>
      <c r="E554" t="s">
        <v>45</v>
      </c>
      <c r="F554" t="s">
        <v>100</v>
      </c>
      <c r="G554" t="s">
        <v>18</v>
      </c>
      <c r="H554" t="s">
        <v>65</v>
      </c>
      <c r="I554" t="s">
        <v>45</v>
      </c>
      <c r="J554" t="s">
        <v>21</v>
      </c>
      <c r="K554">
        <v>24</v>
      </c>
      <c r="L554">
        <v>24.31</v>
      </c>
      <c r="M554">
        <v>3</v>
      </c>
      <c r="N554" t="s">
        <v>22</v>
      </c>
      <c r="O554" t="str">
        <f t="shared" si="8"/>
        <v>Yes</v>
      </c>
    </row>
    <row r="555" spans="1:15" x14ac:dyDescent="0.25">
      <c r="A555" t="s">
        <v>616</v>
      </c>
      <c r="B555" s="1">
        <v>45715</v>
      </c>
      <c r="C555" s="2">
        <v>45715.261666666665</v>
      </c>
      <c r="D555" t="s">
        <v>38</v>
      </c>
      <c r="E555" t="s">
        <v>16</v>
      </c>
      <c r="F555" t="s">
        <v>60</v>
      </c>
      <c r="G555" t="s">
        <v>41</v>
      </c>
      <c r="H555" t="s">
        <v>54</v>
      </c>
      <c r="I555" t="s">
        <v>45</v>
      </c>
      <c r="J555" t="s">
        <v>21</v>
      </c>
      <c r="K555">
        <v>8</v>
      </c>
      <c r="L555">
        <v>6.28</v>
      </c>
      <c r="M555">
        <v>3.3</v>
      </c>
      <c r="N555" t="s">
        <v>22</v>
      </c>
      <c r="O555" t="str">
        <f t="shared" si="8"/>
        <v>No</v>
      </c>
    </row>
    <row r="556" spans="1:15" x14ac:dyDescent="0.25">
      <c r="A556" t="s">
        <v>617</v>
      </c>
      <c r="B556" s="1">
        <v>45836</v>
      </c>
      <c r="C556" s="2">
        <v>45836.147083333337</v>
      </c>
      <c r="D556" t="s">
        <v>24</v>
      </c>
      <c r="E556" t="s">
        <v>45</v>
      </c>
      <c r="F556" t="s">
        <v>50</v>
      </c>
      <c r="G556" t="s">
        <v>41</v>
      </c>
      <c r="H556" t="s">
        <v>65</v>
      </c>
      <c r="I556" t="s">
        <v>36</v>
      </c>
      <c r="J556" t="s">
        <v>46</v>
      </c>
      <c r="K556">
        <v>24</v>
      </c>
      <c r="L556">
        <v>3.53</v>
      </c>
      <c r="M556">
        <v>5</v>
      </c>
      <c r="N556" t="s">
        <v>22</v>
      </c>
      <c r="O556" t="str">
        <f t="shared" si="8"/>
        <v>No</v>
      </c>
    </row>
    <row r="557" spans="1:15" x14ac:dyDescent="0.25">
      <c r="A557" t="s">
        <v>618</v>
      </c>
      <c r="B557" s="1">
        <v>45749</v>
      </c>
      <c r="C557" s="2">
        <v>45749.99291666667</v>
      </c>
      <c r="D557" t="s">
        <v>24</v>
      </c>
      <c r="E557" t="s">
        <v>16</v>
      </c>
      <c r="F557" t="s">
        <v>43</v>
      </c>
      <c r="G557" t="s">
        <v>51</v>
      </c>
      <c r="H557" t="s">
        <v>65</v>
      </c>
      <c r="I557" t="s">
        <v>45</v>
      </c>
      <c r="J557" t="s">
        <v>21</v>
      </c>
      <c r="K557">
        <v>24</v>
      </c>
      <c r="L557">
        <v>23.83</v>
      </c>
      <c r="M557">
        <v>5</v>
      </c>
      <c r="N557" t="s">
        <v>61</v>
      </c>
      <c r="O557" t="str">
        <f t="shared" si="8"/>
        <v>No</v>
      </c>
    </row>
    <row r="558" spans="1:15" x14ac:dyDescent="0.25">
      <c r="A558" t="s">
        <v>619</v>
      </c>
      <c r="B558" s="1">
        <v>45791</v>
      </c>
      <c r="C558" s="2">
        <v>45791.793749999997</v>
      </c>
      <c r="D558" t="s">
        <v>24</v>
      </c>
      <c r="E558" t="s">
        <v>16</v>
      </c>
      <c r="F558" t="s">
        <v>60</v>
      </c>
      <c r="G558" t="s">
        <v>51</v>
      </c>
      <c r="H558" t="s">
        <v>65</v>
      </c>
      <c r="I558" t="s">
        <v>36</v>
      </c>
      <c r="J558" t="s">
        <v>21</v>
      </c>
      <c r="K558">
        <v>24</v>
      </c>
      <c r="L558">
        <v>19.05</v>
      </c>
      <c r="M558">
        <v>3.5</v>
      </c>
      <c r="N558" t="s">
        <v>22</v>
      </c>
      <c r="O558" t="str">
        <f t="shared" si="8"/>
        <v>No</v>
      </c>
    </row>
    <row r="559" spans="1:15" x14ac:dyDescent="0.25">
      <c r="A559" t="s">
        <v>620</v>
      </c>
      <c r="B559" s="1">
        <v>45816</v>
      </c>
      <c r="C559" s="2">
        <v>45816.518333333333</v>
      </c>
      <c r="D559" t="s">
        <v>15</v>
      </c>
      <c r="E559" t="s">
        <v>39</v>
      </c>
      <c r="F559" t="s">
        <v>87</v>
      </c>
      <c r="G559" t="s">
        <v>34</v>
      </c>
      <c r="H559" t="s">
        <v>44</v>
      </c>
      <c r="I559" t="s">
        <v>20</v>
      </c>
      <c r="J559" t="s">
        <v>85</v>
      </c>
      <c r="K559">
        <v>48</v>
      </c>
      <c r="L559">
        <v>12.44</v>
      </c>
      <c r="M559">
        <v>4.8</v>
      </c>
      <c r="N559" t="s">
        <v>22</v>
      </c>
      <c r="O559" t="str">
        <f t="shared" si="8"/>
        <v>No</v>
      </c>
    </row>
    <row r="560" spans="1:15" x14ac:dyDescent="0.25">
      <c r="A560" t="s">
        <v>621</v>
      </c>
      <c r="B560" s="1">
        <v>45801</v>
      </c>
      <c r="C560" s="2">
        <v>45802.035833333335</v>
      </c>
      <c r="D560" t="s">
        <v>15</v>
      </c>
      <c r="E560" t="s">
        <v>16</v>
      </c>
      <c r="F560" t="s">
        <v>58</v>
      </c>
      <c r="G560" t="s">
        <v>56</v>
      </c>
      <c r="H560" t="s">
        <v>27</v>
      </c>
      <c r="I560" t="s">
        <v>45</v>
      </c>
      <c r="J560" t="s">
        <v>46</v>
      </c>
      <c r="K560">
        <v>48</v>
      </c>
      <c r="L560">
        <v>24.86</v>
      </c>
      <c r="M560">
        <v>4.5999999999999996</v>
      </c>
      <c r="N560" t="s">
        <v>22</v>
      </c>
      <c r="O560" t="str">
        <f t="shared" si="8"/>
        <v>No</v>
      </c>
    </row>
    <row r="561" spans="1:15" x14ac:dyDescent="0.25">
      <c r="A561" t="s">
        <v>622</v>
      </c>
      <c r="B561" s="1">
        <v>45812</v>
      </c>
      <c r="C561" s="2">
        <v>45812.700416666667</v>
      </c>
      <c r="D561" t="s">
        <v>15</v>
      </c>
      <c r="E561" t="s">
        <v>45</v>
      </c>
      <c r="F561" t="s">
        <v>100</v>
      </c>
      <c r="G561" t="s">
        <v>34</v>
      </c>
      <c r="H561" t="s">
        <v>65</v>
      </c>
      <c r="I561" t="s">
        <v>36</v>
      </c>
      <c r="J561" t="s">
        <v>21</v>
      </c>
      <c r="K561">
        <v>48</v>
      </c>
      <c r="L561">
        <v>16.809999999999999</v>
      </c>
      <c r="M561">
        <v>4.2</v>
      </c>
      <c r="N561" t="s">
        <v>61</v>
      </c>
      <c r="O561" t="str">
        <f t="shared" si="8"/>
        <v>No</v>
      </c>
    </row>
    <row r="562" spans="1:15" x14ac:dyDescent="0.25">
      <c r="A562" t="s">
        <v>623</v>
      </c>
      <c r="B562" s="1">
        <v>45755</v>
      </c>
      <c r="C562" s="2">
        <v>45756.8675</v>
      </c>
      <c r="D562" t="s">
        <v>24</v>
      </c>
      <c r="E562" t="s">
        <v>16</v>
      </c>
      <c r="F562" t="s">
        <v>58</v>
      </c>
      <c r="G562" t="s">
        <v>34</v>
      </c>
      <c r="H562" t="s">
        <v>54</v>
      </c>
      <c r="I562" t="s">
        <v>28</v>
      </c>
      <c r="J562" t="s">
        <v>21</v>
      </c>
      <c r="K562">
        <v>24</v>
      </c>
      <c r="L562">
        <v>44.82</v>
      </c>
      <c r="M562">
        <v>3.7</v>
      </c>
      <c r="N562" t="s">
        <v>22</v>
      </c>
      <c r="O562" t="str">
        <f t="shared" si="8"/>
        <v>Yes</v>
      </c>
    </row>
    <row r="563" spans="1:15" x14ac:dyDescent="0.25">
      <c r="A563" t="s">
        <v>624</v>
      </c>
      <c r="B563" s="1">
        <v>45665</v>
      </c>
      <c r="C563" s="2">
        <v>45665.192916666667</v>
      </c>
      <c r="D563" t="s">
        <v>24</v>
      </c>
      <c r="E563" t="s">
        <v>32</v>
      </c>
      <c r="F563" t="s">
        <v>80</v>
      </c>
      <c r="G563" t="s">
        <v>34</v>
      </c>
      <c r="H563" t="s">
        <v>65</v>
      </c>
      <c r="I563" t="s">
        <v>20</v>
      </c>
      <c r="J563" t="s">
        <v>46</v>
      </c>
      <c r="K563">
        <v>24</v>
      </c>
      <c r="L563">
        <v>4.63</v>
      </c>
      <c r="M563">
        <v>5</v>
      </c>
      <c r="N563" t="s">
        <v>22</v>
      </c>
      <c r="O563" t="str">
        <f t="shared" si="8"/>
        <v>No</v>
      </c>
    </row>
    <row r="564" spans="1:15" x14ac:dyDescent="0.25">
      <c r="A564" t="s">
        <v>625</v>
      </c>
      <c r="B564" s="1">
        <v>45747</v>
      </c>
      <c r="C564" s="2">
        <v>45747.729166666664</v>
      </c>
      <c r="D564" t="s">
        <v>15</v>
      </c>
      <c r="E564" t="s">
        <v>16</v>
      </c>
      <c r="F564" t="s">
        <v>60</v>
      </c>
      <c r="G564" t="s">
        <v>34</v>
      </c>
      <c r="H564" t="s">
        <v>65</v>
      </c>
      <c r="I564" t="s">
        <v>45</v>
      </c>
      <c r="J564" t="s">
        <v>46</v>
      </c>
      <c r="K564">
        <v>48</v>
      </c>
      <c r="L564">
        <v>17.5</v>
      </c>
      <c r="M564">
        <v>4.2</v>
      </c>
      <c r="N564" t="s">
        <v>22</v>
      </c>
      <c r="O564" t="str">
        <f t="shared" si="8"/>
        <v>No</v>
      </c>
    </row>
    <row r="565" spans="1:15" x14ac:dyDescent="0.25">
      <c r="A565" t="s">
        <v>626</v>
      </c>
      <c r="B565" s="1">
        <v>45690</v>
      </c>
      <c r="C565" s="2">
        <v>45690.16333333333</v>
      </c>
      <c r="D565" t="s">
        <v>38</v>
      </c>
      <c r="E565" t="s">
        <v>25</v>
      </c>
      <c r="F565" t="s">
        <v>26</v>
      </c>
      <c r="G565" t="s">
        <v>41</v>
      </c>
      <c r="H565" t="s">
        <v>19</v>
      </c>
      <c r="I565" t="s">
        <v>28</v>
      </c>
      <c r="J565" t="s">
        <v>21</v>
      </c>
      <c r="K565">
        <v>8</v>
      </c>
      <c r="L565">
        <v>3.92</v>
      </c>
      <c r="M565">
        <v>5</v>
      </c>
      <c r="N565" t="s">
        <v>61</v>
      </c>
      <c r="O565" t="str">
        <f t="shared" si="8"/>
        <v>No</v>
      </c>
    </row>
    <row r="566" spans="1:15" x14ac:dyDescent="0.25">
      <c r="A566" t="s">
        <v>627</v>
      </c>
      <c r="B566" s="1">
        <v>45818</v>
      </c>
      <c r="C566" s="2">
        <v>45818.565000000002</v>
      </c>
      <c r="D566" t="s">
        <v>24</v>
      </c>
      <c r="E566" t="s">
        <v>45</v>
      </c>
      <c r="F566" t="s">
        <v>104</v>
      </c>
      <c r="G566" t="s">
        <v>51</v>
      </c>
      <c r="H566" t="s">
        <v>35</v>
      </c>
      <c r="I566" t="s">
        <v>20</v>
      </c>
      <c r="J566" t="s">
        <v>21</v>
      </c>
      <c r="K566">
        <v>24</v>
      </c>
      <c r="L566">
        <v>13.56</v>
      </c>
      <c r="M566">
        <v>4</v>
      </c>
      <c r="N566" t="s">
        <v>22</v>
      </c>
      <c r="O566" t="str">
        <f t="shared" si="8"/>
        <v>No</v>
      </c>
    </row>
    <row r="567" spans="1:15" x14ac:dyDescent="0.25">
      <c r="A567" t="s">
        <v>628</v>
      </c>
      <c r="B567" s="1">
        <v>45700</v>
      </c>
      <c r="C567" s="2">
        <v>45700.375</v>
      </c>
      <c r="D567" t="s">
        <v>24</v>
      </c>
      <c r="E567" t="s">
        <v>32</v>
      </c>
      <c r="F567" t="s">
        <v>64</v>
      </c>
      <c r="G567" t="s">
        <v>34</v>
      </c>
      <c r="H567" t="s">
        <v>65</v>
      </c>
      <c r="I567" t="s">
        <v>36</v>
      </c>
      <c r="J567" t="s">
        <v>21</v>
      </c>
      <c r="K567">
        <v>24</v>
      </c>
      <c r="L567">
        <v>9</v>
      </c>
      <c r="M567">
        <v>3.9</v>
      </c>
      <c r="N567" t="s">
        <v>22</v>
      </c>
      <c r="O567" t="str">
        <f t="shared" si="8"/>
        <v>No</v>
      </c>
    </row>
    <row r="568" spans="1:15" x14ac:dyDescent="0.25">
      <c r="A568" t="s">
        <v>629</v>
      </c>
      <c r="B568" s="1">
        <v>45699</v>
      </c>
      <c r="C568" s="2">
        <v>45699.553333333337</v>
      </c>
      <c r="D568" t="s">
        <v>24</v>
      </c>
      <c r="E568" t="s">
        <v>32</v>
      </c>
      <c r="F568" t="s">
        <v>64</v>
      </c>
      <c r="G568" t="s">
        <v>18</v>
      </c>
      <c r="H568" t="s">
        <v>44</v>
      </c>
      <c r="I568" t="s">
        <v>45</v>
      </c>
      <c r="J568" t="s">
        <v>85</v>
      </c>
      <c r="K568">
        <v>24</v>
      </c>
      <c r="L568">
        <v>13.28</v>
      </c>
      <c r="M568">
        <v>4.2</v>
      </c>
      <c r="N568" t="s">
        <v>22</v>
      </c>
      <c r="O568" t="str">
        <f t="shared" si="8"/>
        <v>No</v>
      </c>
    </row>
    <row r="569" spans="1:15" x14ac:dyDescent="0.25">
      <c r="A569" t="s">
        <v>630</v>
      </c>
      <c r="B569" s="1">
        <v>45703</v>
      </c>
      <c r="C569" s="2">
        <v>45704.482071759259</v>
      </c>
      <c r="D569" t="s">
        <v>15</v>
      </c>
      <c r="E569" t="s">
        <v>39</v>
      </c>
      <c r="F569" t="s">
        <v>119</v>
      </c>
      <c r="G569" t="s">
        <v>34</v>
      </c>
      <c r="H569" t="s">
        <v>19</v>
      </c>
      <c r="I569" t="s">
        <v>45</v>
      </c>
      <c r="J569" t="s">
        <v>46</v>
      </c>
      <c r="K569">
        <v>48</v>
      </c>
      <c r="L569">
        <v>35.57</v>
      </c>
      <c r="M569">
        <v>4.7</v>
      </c>
      <c r="N569" t="s">
        <v>22</v>
      </c>
      <c r="O569" t="str">
        <f t="shared" si="8"/>
        <v>No</v>
      </c>
    </row>
    <row r="570" spans="1:15" x14ac:dyDescent="0.25">
      <c r="A570" t="s">
        <v>631</v>
      </c>
      <c r="B570" s="1">
        <v>45774</v>
      </c>
      <c r="C570" s="2">
        <v>45774.094166666669</v>
      </c>
      <c r="D570" t="s">
        <v>38</v>
      </c>
      <c r="E570" t="s">
        <v>32</v>
      </c>
      <c r="F570" t="s">
        <v>75</v>
      </c>
      <c r="G570" t="s">
        <v>18</v>
      </c>
      <c r="H570" t="s">
        <v>35</v>
      </c>
      <c r="I570" t="s">
        <v>45</v>
      </c>
      <c r="J570" t="s">
        <v>21</v>
      </c>
      <c r="K570">
        <v>8</v>
      </c>
      <c r="L570">
        <v>2.2599999999999998</v>
      </c>
      <c r="M570">
        <v>4.5999999999999996</v>
      </c>
      <c r="N570" t="s">
        <v>22</v>
      </c>
      <c r="O570" t="str">
        <f t="shared" si="8"/>
        <v>No</v>
      </c>
    </row>
    <row r="571" spans="1:15" x14ac:dyDescent="0.25">
      <c r="A571" t="s">
        <v>632</v>
      </c>
      <c r="B571" s="1">
        <v>45761</v>
      </c>
      <c r="C571" s="2">
        <v>45761.375416666669</v>
      </c>
      <c r="D571" t="s">
        <v>24</v>
      </c>
      <c r="E571" t="s">
        <v>45</v>
      </c>
      <c r="F571" t="s">
        <v>104</v>
      </c>
      <c r="G571" t="s">
        <v>18</v>
      </c>
      <c r="H571" t="s">
        <v>27</v>
      </c>
      <c r="I571" t="s">
        <v>28</v>
      </c>
      <c r="J571" t="s">
        <v>21</v>
      </c>
      <c r="K571">
        <v>24</v>
      </c>
      <c r="L571">
        <v>9.01</v>
      </c>
      <c r="M571">
        <v>5</v>
      </c>
      <c r="N571" t="s">
        <v>22</v>
      </c>
      <c r="O571" t="str">
        <f t="shared" si="8"/>
        <v>No</v>
      </c>
    </row>
    <row r="572" spans="1:15" x14ac:dyDescent="0.25">
      <c r="A572" t="s">
        <v>633</v>
      </c>
      <c r="B572" s="1">
        <v>45829</v>
      </c>
      <c r="C572" s="2">
        <v>45832.202916666669</v>
      </c>
      <c r="D572" t="s">
        <v>15</v>
      </c>
      <c r="E572" t="s">
        <v>39</v>
      </c>
      <c r="F572" t="s">
        <v>119</v>
      </c>
      <c r="G572" t="s">
        <v>51</v>
      </c>
      <c r="H572" t="s">
        <v>35</v>
      </c>
      <c r="I572" t="s">
        <v>45</v>
      </c>
      <c r="J572" t="s">
        <v>29</v>
      </c>
      <c r="K572">
        <v>48</v>
      </c>
      <c r="L572">
        <v>76.87</v>
      </c>
      <c r="M572">
        <v>3.2</v>
      </c>
      <c r="N572" t="s">
        <v>22</v>
      </c>
      <c r="O572" t="str">
        <f t="shared" si="8"/>
        <v>Yes</v>
      </c>
    </row>
    <row r="573" spans="1:15" x14ac:dyDescent="0.25">
      <c r="A573" t="s">
        <v>634</v>
      </c>
      <c r="B573" s="1">
        <v>45733</v>
      </c>
      <c r="C573" s="2">
        <v>45733.168333333335</v>
      </c>
      <c r="D573" t="s">
        <v>31</v>
      </c>
      <c r="E573" t="s">
        <v>16</v>
      </c>
      <c r="F573" t="s">
        <v>60</v>
      </c>
      <c r="G573" t="s">
        <v>41</v>
      </c>
      <c r="H573" t="s">
        <v>65</v>
      </c>
      <c r="I573" t="s">
        <v>36</v>
      </c>
      <c r="J573" t="s">
        <v>21</v>
      </c>
      <c r="K573">
        <v>4</v>
      </c>
      <c r="L573">
        <v>4.04</v>
      </c>
      <c r="M573">
        <v>4.7</v>
      </c>
      <c r="N573" t="s">
        <v>22</v>
      </c>
      <c r="O573" t="str">
        <f t="shared" si="8"/>
        <v>Yes</v>
      </c>
    </row>
    <row r="574" spans="1:15" x14ac:dyDescent="0.25">
      <c r="A574" t="s">
        <v>635</v>
      </c>
      <c r="B574" s="1">
        <v>45709</v>
      </c>
      <c r="C574" s="2">
        <v>45709.330833333333</v>
      </c>
      <c r="D574" t="s">
        <v>38</v>
      </c>
      <c r="E574" t="s">
        <v>32</v>
      </c>
      <c r="F574" t="s">
        <v>33</v>
      </c>
      <c r="G574" t="s">
        <v>56</v>
      </c>
      <c r="H574" t="s">
        <v>27</v>
      </c>
      <c r="I574" t="s">
        <v>45</v>
      </c>
      <c r="J574" t="s">
        <v>46</v>
      </c>
      <c r="K574">
        <v>8</v>
      </c>
      <c r="L574">
        <v>7.94</v>
      </c>
      <c r="M574">
        <v>4.2</v>
      </c>
      <c r="N574" t="s">
        <v>22</v>
      </c>
      <c r="O574" t="str">
        <f t="shared" si="8"/>
        <v>No</v>
      </c>
    </row>
    <row r="575" spans="1:15" x14ac:dyDescent="0.25">
      <c r="A575" t="s">
        <v>636</v>
      </c>
      <c r="B575" s="1">
        <v>45666</v>
      </c>
      <c r="C575" s="2">
        <v>45666.046666666669</v>
      </c>
      <c r="D575" t="s">
        <v>38</v>
      </c>
      <c r="E575" t="s">
        <v>39</v>
      </c>
      <c r="F575" t="s">
        <v>119</v>
      </c>
      <c r="G575" t="s">
        <v>34</v>
      </c>
      <c r="H575" t="s">
        <v>27</v>
      </c>
      <c r="I575" t="s">
        <v>20</v>
      </c>
      <c r="J575" t="s">
        <v>46</v>
      </c>
      <c r="K575">
        <v>8</v>
      </c>
      <c r="L575">
        <v>1.1200000000000001</v>
      </c>
      <c r="M575">
        <v>5</v>
      </c>
      <c r="N575" t="s">
        <v>22</v>
      </c>
      <c r="O575" t="str">
        <f t="shared" si="8"/>
        <v>No</v>
      </c>
    </row>
    <row r="576" spans="1:15" x14ac:dyDescent="0.25">
      <c r="A576" t="s">
        <v>637</v>
      </c>
      <c r="B576" s="1">
        <v>45659</v>
      </c>
      <c r="C576" s="2">
        <v>45659.592083333337</v>
      </c>
      <c r="D576" t="s">
        <v>38</v>
      </c>
      <c r="E576" t="s">
        <v>45</v>
      </c>
      <c r="F576" t="s">
        <v>100</v>
      </c>
      <c r="G576" t="s">
        <v>41</v>
      </c>
      <c r="H576" t="s">
        <v>35</v>
      </c>
      <c r="I576" t="s">
        <v>36</v>
      </c>
      <c r="J576" t="s">
        <v>29</v>
      </c>
      <c r="K576">
        <v>8</v>
      </c>
      <c r="L576">
        <v>14.21</v>
      </c>
      <c r="M576">
        <v>2.2999999999999998</v>
      </c>
      <c r="N576" t="s">
        <v>61</v>
      </c>
      <c r="O576" t="str">
        <f t="shared" si="8"/>
        <v>Yes</v>
      </c>
    </row>
    <row r="577" spans="1:15" x14ac:dyDescent="0.25">
      <c r="A577" t="s">
        <v>638</v>
      </c>
      <c r="B577" s="1">
        <v>45725</v>
      </c>
      <c r="C577" s="2">
        <v>45725.158750000002</v>
      </c>
      <c r="D577" t="s">
        <v>38</v>
      </c>
      <c r="E577" t="s">
        <v>16</v>
      </c>
      <c r="F577" t="s">
        <v>17</v>
      </c>
      <c r="G577" t="s">
        <v>41</v>
      </c>
      <c r="H577" t="s">
        <v>65</v>
      </c>
      <c r="I577" t="s">
        <v>36</v>
      </c>
      <c r="J577" t="s">
        <v>21</v>
      </c>
      <c r="K577">
        <v>8</v>
      </c>
      <c r="L577">
        <v>3.81</v>
      </c>
      <c r="M577">
        <v>4.3</v>
      </c>
      <c r="N577" t="s">
        <v>22</v>
      </c>
      <c r="O577" t="str">
        <f t="shared" si="8"/>
        <v>No</v>
      </c>
    </row>
    <row r="578" spans="1:15" x14ac:dyDescent="0.25">
      <c r="A578" t="s">
        <v>639</v>
      </c>
      <c r="B578" s="1">
        <v>45825</v>
      </c>
      <c r="C578" s="2">
        <v>45826.070833333331</v>
      </c>
      <c r="D578" t="s">
        <v>24</v>
      </c>
      <c r="E578" t="s">
        <v>32</v>
      </c>
      <c r="F578" t="s">
        <v>64</v>
      </c>
      <c r="G578" t="s">
        <v>34</v>
      </c>
      <c r="H578" t="s">
        <v>27</v>
      </c>
      <c r="I578" t="s">
        <v>36</v>
      </c>
      <c r="J578" t="s">
        <v>46</v>
      </c>
      <c r="K578">
        <v>24</v>
      </c>
      <c r="L578">
        <v>25.7</v>
      </c>
      <c r="M578">
        <v>3.7</v>
      </c>
      <c r="N578" t="s">
        <v>61</v>
      </c>
      <c r="O578" t="str">
        <f t="shared" si="8"/>
        <v>Yes</v>
      </c>
    </row>
    <row r="579" spans="1:15" x14ac:dyDescent="0.25">
      <c r="A579" t="s">
        <v>640</v>
      </c>
      <c r="B579" s="1">
        <v>45752</v>
      </c>
      <c r="C579" s="2">
        <v>45752.589166666665</v>
      </c>
      <c r="D579" t="s">
        <v>24</v>
      </c>
      <c r="E579" t="s">
        <v>32</v>
      </c>
      <c r="F579" t="s">
        <v>75</v>
      </c>
      <c r="G579" t="s">
        <v>51</v>
      </c>
      <c r="H579" t="s">
        <v>19</v>
      </c>
      <c r="I579" t="s">
        <v>45</v>
      </c>
      <c r="J579" t="s">
        <v>21</v>
      </c>
      <c r="K579">
        <v>24</v>
      </c>
      <c r="L579">
        <v>14.14</v>
      </c>
      <c r="M579">
        <v>3.7</v>
      </c>
      <c r="N579" t="s">
        <v>22</v>
      </c>
      <c r="O579" t="str">
        <f t="shared" ref="O579:O642" si="9">IF(L579&gt;K579,"Yes","No")</f>
        <v>No</v>
      </c>
    </row>
    <row r="580" spans="1:15" x14ac:dyDescent="0.25">
      <c r="A580" t="s">
        <v>641</v>
      </c>
      <c r="B580" s="1">
        <v>45819</v>
      </c>
      <c r="C580" s="2">
        <v>45819.089583333334</v>
      </c>
      <c r="D580" t="s">
        <v>24</v>
      </c>
      <c r="E580" t="s">
        <v>45</v>
      </c>
      <c r="F580" t="s">
        <v>112</v>
      </c>
      <c r="G580" t="s">
        <v>56</v>
      </c>
      <c r="H580" t="s">
        <v>65</v>
      </c>
      <c r="I580" t="s">
        <v>36</v>
      </c>
      <c r="J580" t="s">
        <v>85</v>
      </c>
      <c r="K580">
        <v>24</v>
      </c>
      <c r="L580">
        <v>2.15</v>
      </c>
      <c r="M580">
        <v>4.2</v>
      </c>
      <c r="N580" t="s">
        <v>22</v>
      </c>
      <c r="O580" t="str">
        <f t="shared" si="9"/>
        <v>No</v>
      </c>
    </row>
    <row r="581" spans="1:15" x14ac:dyDescent="0.25">
      <c r="A581" t="s">
        <v>642</v>
      </c>
      <c r="B581" s="1">
        <v>45676</v>
      </c>
      <c r="C581" s="2">
        <v>45676.782083333332</v>
      </c>
      <c r="D581" t="s">
        <v>15</v>
      </c>
      <c r="E581" t="s">
        <v>45</v>
      </c>
      <c r="F581" t="s">
        <v>50</v>
      </c>
      <c r="G581" t="s">
        <v>56</v>
      </c>
      <c r="H581" t="s">
        <v>44</v>
      </c>
      <c r="I581" t="s">
        <v>36</v>
      </c>
      <c r="J581" t="s">
        <v>21</v>
      </c>
      <c r="K581">
        <v>48</v>
      </c>
      <c r="L581">
        <v>18.77</v>
      </c>
      <c r="M581">
        <v>4.8</v>
      </c>
      <c r="N581" t="s">
        <v>22</v>
      </c>
      <c r="O581" t="str">
        <f t="shared" si="9"/>
        <v>No</v>
      </c>
    </row>
    <row r="582" spans="1:15" x14ac:dyDescent="0.25">
      <c r="A582" t="s">
        <v>643</v>
      </c>
      <c r="B582" s="1">
        <v>45674</v>
      </c>
      <c r="C582" s="2">
        <v>45676.03875</v>
      </c>
      <c r="D582" t="s">
        <v>15</v>
      </c>
      <c r="E582" t="s">
        <v>32</v>
      </c>
      <c r="F582" t="s">
        <v>80</v>
      </c>
      <c r="G582" t="s">
        <v>34</v>
      </c>
      <c r="H582" t="s">
        <v>35</v>
      </c>
      <c r="I582" t="s">
        <v>36</v>
      </c>
      <c r="J582" t="s">
        <v>21</v>
      </c>
      <c r="K582">
        <v>48</v>
      </c>
      <c r="L582">
        <v>48.93</v>
      </c>
      <c r="M582">
        <v>4.2</v>
      </c>
      <c r="N582" t="s">
        <v>22</v>
      </c>
      <c r="O582" t="str">
        <f t="shared" si="9"/>
        <v>Yes</v>
      </c>
    </row>
    <row r="583" spans="1:15" x14ac:dyDescent="0.25">
      <c r="A583" t="s">
        <v>644</v>
      </c>
      <c r="B583" s="1">
        <v>45808</v>
      </c>
      <c r="C583" s="2">
        <v>45810.079583333332</v>
      </c>
      <c r="D583" t="s">
        <v>15</v>
      </c>
      <c r="E583" t="s">
        <v>16</v>
      </c>
      <c r="F583" t="s">
        <v>58</v>
      </c>
      <c r="G583" t="s">
        <v>51</v>
      </c>
      <c r="H583" t="s">
        <v>19</v>
      </c>
      <c r="I583" t="s">
        <v>45</v>
      </c>
      <c r="J583" t="s">
        <v>21</v>
      </c>
      <c r="K583">
        <v>48</v>
      </c>
      <c r="L583">
        <v>49.91</v>
      </c>
      <c r="M583">
        <v>3.8</v>
      </c>
      <c r="N583" t="s">
        <v>22</v>
      </c>
      <c r="O583" t="str">
        <f t="shared" si="9"/>
        <v>Yes</v>
      </c>
    </row>
    <row r="584" spans="1:15" x14ac:dyDescent="0.25">
      <c r="A584" t="s">
        <v>645</v>
      </c>
      <c r="B584" s="1">
        <v>45677</v>
      </c>
      <c r="C584" s="2">
        <v>45677.607488425929</v>
      </c>
      <c r="D584" t="s">
        <v>24</v>
      </c>
      <c r="E584" t="s">
        <v>32</v>
      </c>
      <c r="F584" t="s">
        <v>75</v>
      </c>
      <c r="G584" t="s">
        <v>34</v>
      </c>
      <c r="H584" t="s">
        <v>27</v>
      </c>
      <c r="I584" t="s">
        <v>36</v>
      </c>
      <c r="J584" t="s">
        <v>29</v>
      </c>
      <c r="K584">
        <v>24</v>
      </c>
      <c r="L584">
        <v>14.58</v>
      </c>
      <c r="M584">
        <v>5</v>
      </c>
      <c r="N584" t="s">
        <v>61</v>
      </c>
      <c r="O584" t="str">
        <f t="shared" si="9"/>
        <v>No</v>
      </c>
    </row>
    <row r="585" spans="1:15" x14ac:dyDescent="0.25">
      <c r="A585" t="s">
        <v>646</v>
      </c>
      <c r="B585" s="1">
        <v>45667</v>
      </c>
      <c r="C585" s="2">
        <v>45667.062083333331</v>
      </c>
      <c r="D585" t="s">
        <v>38</v>
      </c>
      <c r="E585" t="s">
        <v>16</v>
      </c>
      <c r="F585" t="s">
        <v>43</v>
      </c>
      <c r="G585" t="s">
        <v>41</v>
      </c>
      <c r="H585" t="s">
        <v>44</v>
      </c>
      <c r="I585" t="s">
        <v>36</v>
      </c>
      <c r="J585" t="s">
        <v>21</v>
      </c>
      <c r="K585">
        <v>8</v>
      </c>
      <c r="L585">
        <v>1.49</v>
      </c>
      <c r="M585">
        <v>4.0999999999999996</v>
      </c>
      <c r="N585" t="s">
        <v>22</v>
      </c>
      <c r="O585" t="str">
        <f t="shared" si="9"/>
        <v>No</v>
      </c>
    </row>
    <row r="586" spans="1:15" x14ac:dyDescent="0.25">
      <c r="A586" t="s">
        <v>647</v>
      </c>
      <c r="B586" s="1">
        <v>45731</v>
      </c>
      <c r="C586" s="2">
        <v>45731.364166666666</v>
      </c>
      <c r="D586" t="s">
        <v>38</v>
      </c>
      <c r="E586" t="s">
        <v>32</v>
      </c>
      <c r="F586" t="s">
        <v>80</v>
      </c>
      <c r="G586" t="s">
        <v>56</v>
      </c>
      <c r="H586" t="s">
        <v>54</v>
      </c>
      <c r="I586" t="s">
        <v>45</v>
      </c>
      <c r="J586" t="s">
        <v>21</v>
      </c>
      <c r="K586">
        <v>8</v>
      </c>
      <c r="L586">
        <v>8.74</v>
      </c>
      <c r="M586">
        <v>3.4</v>
      </c>
      <c r="N586" t="s">
        <v>22</v>
      </c>
      <c r="O586" t="str">
        <f t="shared" si="9"/>
        <v>Yes</v>
      </c>
    </row>
    <row r="587" spans="1:15" x14ac:dyDescent="0.25">
      <c r="A587" t="s">
        <v>648</v>
      </c>
      <c r="B587" s="1">
        <v>45825</v>
      </c>
      <c r="C587" s="2">
        <v>45825.282083333332</v>
      </c>
      <c r="D587" t="s">
        <v>24</v>
      </c>
      <c r="E587" t="s">
        <v>25</v>
      </c>
      <c r="F587" t="s">
        <v>70</v>
      </c>
      <c r="G587" t="s">
        <v>51</v>
      </c>
      <c r="H587" t="s">
        <v>65</v>
      </c>
      <c r="I587" t="s">
        <v>36</v>
      </c>
      <c r="J587" t="s">
        <v>46</v>
      </c>
      <c r="K587">
        <v>24</v>
      </c>
      <c r="L587">
        <v>6.77</v>
      </c>
      <c r="M587">
        <v>3.9</v>
      </c>
      <c r="N587" t="s">
        <v>61</v>
      </c>
      <c r="O587" t="str">
        <f t="shared" si="9"/>
        <v>No</v>
      </c>
    </row>
    <row r="588" spans="1:15" x14ac:dyDescent="0.25">
      <c r="A588" t="s">
        <v>649</v>
      </c>
      <c r="B588" s="1">
        <v>45782</v>
      </c>
      <c r="C588" s="2">
        <v>45783.170416666668</v>
      </c>
      <c r="D588" t="s">
        <v>15</v>
      </c>
      <c r="E588" t="s">
        <v>45</v>
      </c>
      <c r="F588" t="s">
        <v>100</v>
      </c>
      <c r="G588" t="s">
        <v>41</v>
      </c>
      <c r="H588" t="s">
        <v>54</v>
      </c>
      <c r="I588" t="s">
        <v>36</v>
      </c>
      <c r="J588" t="s">
        <v>21</v>
      </c>
      <c r="K588">
        <v>48</v>
      </c>
      <c r="L588">
        <v>28.09</v>
      </c>
      <c r="M588">
        <v>4.4000000000000004</v>
      </c>
      <c r="N588" t="s">
        <v>22</v>
      </c>
      <c r="O588" t="str">
        <f t="shared" si="9"/>
        <v>No</v>
      </c>
    </row>
    <row r="589" spans="1:15" x14ac:dyDescent="0.25">
      <c r="A589" t="s">
        <v>650</v>
      </c>
      <c r="B589" s="1">
        <v>45675</v>
      </c>
      <c r="C589" s="2">
        <v>45675.774155092593</v>
      </c>
      <c r="D589" t="s">
        <v>24</v>
      </c>
      <c r="E589" t="s">
        <v>32</v>
      </c>
      <c r="F589" t="s">
        <v>80</v>
      </c>
      <c r="G589" t="s">
        <v>56</v>
      </c>
      <c r="H589" t="s">
        <v>44</v>
      </c>
      <c r="I589" t="s">
        <v>45</v>
      </c>
      <c r="J589" t="s">
        <v>21</v>
      </c>
      <c r="K589">
        <v>24</v>
      </c>
      <c r="L589">
        <v>18.579999999999998</v>
      </c>
      <c r="M589">
        <v>4.4000000000000004</v>
      </c>
      <c r="N589" t="s">
        <v>22</v>
      </c>
      <c r="O589" t="str">
        <f t="shared" si="9"/>
        <v>No</v>
      </c>
    </row>
    <row r="590" spans="1:15" x14ac:dyDescent="0.25">
      <c r="A590" t="s">
        <v>651</v>
      </c>
      <c r="B590" s="1">
        <v>45809</v>
      </c>
      <c r="C590" s="2">
        <v>45809.828750000001</v>
      </c>
      <c r="D590" t="s">
        <v>24</v>
      </c>
      <c r="E590" t="s">
        <v>39</v>
      </c>
      <c r="F590" t="s">
        <v>78</v>
      </c>
      <c r="G590" t="s">
        <v>41</v>
      </c>
      <c r="H590" t="s">
        <v>35</v>
      </c>
      <c r="I590" t="s">
        <v>36</v>
      </c>
      <c r="J590" t="s">
        <v>21</v>
      </c>
      <c r="K590">
        <v>24</v>
      </c>
      <c r="L590">
        <v>19.89</v>
      </c>
      <c r="M590">
        <v>4.9000000000000004</v>
      </c>
      <c r="N590" t="s">
        <v>22</v>
      </c>
      <c r="O590" t="str">
        <f t="shared" si="9"/>
        <v>No</v>
      </c>
    </row>
    <row r="591" spans="1:15" x14ac:dyDescent="0.25">
      <c r="A591" t="s">
        <v>652</v>
      </c>
      <c r="B591" s="1">
        <v>45810</v>
      </c>
      <c r="C591" s="2">
        <v>45810.251666666663</v>
      </c>
      <c r="D591" t="s">
        <v>38</v>
      </c>
      <c r="E591" t="s">
        <v>32</v>
      </c>
      <c r="F591" t="s">
        <v>80</v>
      </c>
      <c r="G591" t="s">
        <v>34</v>
      </c>
      <c r="H591" t="s">
        <v>35</v>
      </c>
      <c r="I591" t="s">
        <v>36</v>
      </c>
      <c r="J591" t="s">
        <v>29</v>
      </c>
      <c r="K591">
        <v>8</v>
      </c>
      <c r="L591">
        <v>6.04</v>
      </c>
      <c r="M591">
        <v>3.3</v>
      </c>
      <c r="N591" t="s">
        <v>22</v>
      </c>
      <c r="O591" t="str">
        <f t="shared" si="9"/>
        <v>No</v>
      </c>
    </row>
    <row r="592" spans="1:15" x14ac:dyDescent="0.25">
      <c r="A592" t="s">
        <v>653</v>
      </c>
      <c r="B592" s="1">
        <v>45802</v>
      </c>
      <c r="C592" s="2">
        <v>45802.081666666665</v>
      </c>
      <c r="D592" t="s">
        <v>38</v>
      </c>
      <c r="E592" t="s">
        <v>39</v>
      </c>
      <c r="F592" t="s">
        <v>87</v>
      </c>
      <c r="G592" t="s">
        <v>51</v>
      </c>
      <c r="H592" t="s">
        <v>54</v>
      </c>
      <c r="I592" t="s">
        <v>36</v>
      </c>
      <c r="J592" t="s">
        <v>46</v>
      </c>
      <c r="K592">
        <v>8</v>
      </c>
      <c r="L592">
        <v>1.96</v>
      </c>
      <c r="M592">
        <v>4.9000000000000004</v>
      </c>
      <c r="N592" t="s">
        <v>22</v>
      </c>
      <c r="O592" t="str">
        <f t="shared" si="9"/>
        <v>No</v>
      </c>
    </row>
    <row r="593" spans="1:15" x14ac:dyDescent="0.25">
      <c r="A593" t="s">
        <v>654</v>
      </c>
      <c r="B593" s="1">
        <v>45821</v>
      </c>
      <c r="C593" s="2">
        <v>45821.120833333334</v>
      </c>
      <c r="D593" t="s">
        <v>38</v>
      </c>
      <c r="E593" t="s">
        <v>32</v>
      </c>
      <c r="F593" t="s">
        <v>64</v>
      </c>
      <c r="G593" t="s">
        <v>41</v>
      </c>
      <c r="H593" t="s">
        <v>54</v>
      </c>
      <c r="I593" t="s">
        <v>36</v>
      </c>
      <c r="J593" t="s">
        <v>46</v>
      </c>
      <c r="K593">
        <v>8</v>
      </c>
      <c r="L593">
        <v>2.9</v>
      </c>
      <c r="M593">
        <v>5</v>
      </c>
      <c r="N593" t="s">
        <v>22</v>
      </c>
      <c r="O593" t="str">
        <f t="shared" si="9"/>
        <v>No</v>
      </c>
    </row>
    <row r="594" spans="1:15" x14ac:dyDescent="0.25">
      <c r="A594" t="s">
        <v>655</v>
      </c>
      <c r="B594" s="1">
        <v>45701</v>
      </c>
      <c r="C594" s="2">
        <v>45701.079583333332</v>
      </c>
      <c r="D594" t="s">
        <v>38</v>
      </c>
      <c r="E594" t="s">
        <v>32</v>
      </c>
      <c r="F594" t="s">
        <v>64</v>
      </c>
      <c r="G594" t="s">
        <v>56</v>
      </c>
      <c r="H594" t="s">
        <v>65</v>
      </c>
      <c r="I594" t="s">
        <v>45</v>
      </c>
      <c r="J594" t="s">
        <v>29</v>
      </c>
      <c r="K594">
        <v>8</v>
      </c>
      <c r="L594">
        <v>1.91</v>
      </c>
      <c r="M594">
        <v>4.0999999999999996</v>
      </c>
      <c r="N594" t="s">
        <v>22</v>
      </c>
      <c r="O594" t="str">
        <f t="shared" si="9"/>
        <v>No</v>
      </c>
    </row>
    <row r="595" spans="1:15" x14ac:dyDescent="0.25">
      <c r="A595" t="s">
        <v>656</v>
      </c>
      <c r="B595" s="1">
        <v>45835</v>
      </c>
      <c r="C595" s="2">
        <v>45835.145833333336</v>
      </c>
      <c r="D595" t="s">
        <v>31</v>
      </c>
      <c r="E595" t="s">
        <v>45</v>
      </c>
      <c r="F595" t="s">
        <v>100</v>
      </c>
      <c r="G595" t="s">
        <v>41</v>
      </c>
      <c r="H595" t="s">
        <v>19</v>
      </c>
      <c r="I595" t="s">
        <v>28</v>
      </c>
      <c r="J595" t="s">
        <v>46</v>
      </c>
      <c r="K595">
        <v>4</v>
      </c>
      <c r="L595">
        <v>3.5</v>
      </c>
      <c r="M595">
        <v>3.1</v>
      </c>
      <c r="N595" t="s">
        <v>22</v>
      </c>
      <c r="O595" t="str">
        <f t="shared" si="9"/>
        <v>No</v>
      </c>
    </row>
    <row r="596" spans="1:15" x14ac:dyDescent="0.25">
      <c r="A596" t="s">
        <v>657</v>
      </c>
      <c r="B596" s="1">
        <v>45716</v>
      </c>
      <c r="C596" s="2">
        <v>45716.791666666664</v>
      </c>
      <c r="D596" t="s">
        <v>24</v>
      </c>
      <c r="E596" t="s">
        <v>32</v>
      </c>
      <c r="F596" t="s">
        <v>80</v>
      </c>
      <c r="G596" t="s">
        <v>34</v>
      </c>
      <c r="H596" t="s">
        <v>65</v>
      </c>
      <c r="I596" t="s">
        <v>36</v>
      </c>
      <c r="J596" t="s">
        <v>21</v>
      </c>
      <c r="K596">
        <v>24</v>
      </c>
      <c r="L596">
        <v>19</v>
      </c>
      <c r="M596">
        <v>3.1</v>
      </c>
      <c r="N596" t="s">
        <v>22</v>
      </c>
      <c r="O596" t="str">
        <f t="shared" si="9"/>
        <v>No</v>
      </c>
    </row>
    <row r="597" spans="1:15" x14ac:dyDescent="0.25">
      <c r="A597" t="s">
        <v>658</v>
      </c>
      <c r="B597" s="1">
        <v>45803</v>
      </c>
      <c r="C597" s="2">
        <v>45803.551249999997</v>
      </c>
      <c r="D597" t="s">
        <v>15</v>
      </c>
      <c r="E597" t="s">
        <v>25</v>
      </c>
      <c r="F597" t="s">
        <v>48</v>
      </c>
      <c r="G597" t="s">
        <v>41</v>
      </c>
      <c r="H597" t="s">
        <v>27</v>
      </c>
      <c r="I597" t="s">
        <v>45</v>
      </c>
      <c r="J597" t="s">
        <v>21</v>
      </c>
      <c r="K597">
        <v>48</v>
      </c>
      <c r="L597">
        <v>13.23</v>
      </c>
      <c r="M597">
        <v>5</v>
      </c>
      <c r="N597" t="s">
        <v>22</v>
      </c>
      <c r="O597" t="str">
        <f t="shared" si="9"/>
        <v>No</v>
      </c>
    </row>
    <row r="598" spans="1:15" x14ac:dyDescent="0.25">
      <c r="A598" t="s">
        <v>659</v>
      </c>
      <c r="B598" s="1">
        <v>45762</v>
      </c>
      <c r="C598" s="2">
        <v>45763.937916666669</v>
      </c>
      <c r="D598" t="s">
        <v>15</v>
      </c>
      <c r="E598" t="s">
        <v>32</v>
      </c>
      <c r="F598" t="s">
        <v>33</v>
      </c>
      <c r="G598" t="s">
        <v>51</v>
      </c>
      <c r="H598" t="s">
        <v>19</v>
      </c>
      <c r="I598" t="s">
        <v>28</v>
      </c>
      <c r="J598" t="s">
        <v>46</v>
      </c>
      <c r="K598">
        <v>48</v>
      </c>
      <c r="L598">
        <v>46.51</v>
      </c>
      <c r="M598">
        <v>3.4</v>
      </c>
      <c r="N598" t="s">
        <v>22</v>
      </c>
      <c r="O598" t="str">
        <f t="shared" si="9"/>
        <v>No</v>
      </c>
    </row>
    <row r="599" spans="1:15" x14ac:dyDescent="0.25">
      <c r="A599" t="s">
        <v>660</v>
      </c>
      <c r="B599" s="1">
        <v>45799</v>
      </c>
      <c r="C599" s="2">
        <v>45799.964999999997</v>
      </c>
      <c r="D599" t="s">
        <v>24</v>
      </c>
      <c r="E599" t="s">
        <v>16</v>
      </c>
      <c r="F599" t="s">
        <v>58</v>
      </c>
      <c r="G599" t="s">
        <v>41</v>
      </c>
      <c r="H599" t="s">
        <v>44</v>
      </c>
      <c r="I599" t="s">
        <v>45</v>
      </c>
      <c r="J599" t="s">
        <v>46</v>
      </c>
      <c r="K599">
        <v>24</v>
      </c>
      <c r="L599">
        <v>23.16</v>
      </c>
      <c r="M599">
        <v>4.2</v>
      </c>
      <c r="N599" t="s">
        <v>22</v>
      </c>
      <c r="O599" t="str">
        <f t="shared" si="9"/>
        <v>No</v>
      </c>
    </row>
    <row r="600" spans="1:15" x14ac:dyDescent="0.25">
      <c r="A600" t="s">
        <v>661</v>
      </c>
      <c r="B600" s="1">
        <v>45771</v>
      </c>
      <c r="C600" s="2">
        <v>45773.393333333333</v>
      </c>
      <c r="D600" t="s">
        <v>15</v>
      </c>
      <c r="E600" t="s">
        <v>39</v>
      </c>
      <c r="F600" t="s">
        <v>87</v>
      </c>
      <c r="G600" t="s">
        <v>41</v>
      </c>
      <c r="H600" t="s">
        <v>44</v>
      </c>
      <c r="I600" t="s">
        <v>20</v>
      </c>
      <c r="J600" t="s">
        <v>21</v>
      </c>
      <c r="K600">
        <v>48</v>
      </c>
      <c r="L600">
        <v>57.44</v>
      </c>
      <c r="M600">
        <v>3.4</v>
      </c>
      <c r="N600" t="s">
        <v>22</v>
      </c>
      <c r="O600" t="str">
        <f t="shared" si="9"/>
        <v>Yes</v>
      </c>
    </row>
    <row r="601" spans="1:15" x14ac:dyDescent="0.25">
      <c r="A601" t="s">
        <v>662</v>
      </c>
      <c r="B601" s="1">
        <v>45774</v>
      </c>
      <c r="C601" s="2">
        <v>45775.543749999997</v>
      </c>
      <c r="D601" t="s">
        <v>15</v>
      </c>
      <c r="E601" t="s">
        <v>45</v>
      </c>
      <c r="F601" t="s">
        <v>104</v>
      </c>
      <c r="G601" t="s">
        <v>34</v>
      </c>
      <c r="H601" t="s">
        <v>35</v>
      </c>
      <c r="I601" t="s">
        <v>45</v>
      </c>
      <c r="J601" t="s">
        <v>29</v>
      </c>
      <c r="K601">
        <v>48</v>
      </c>
      <c r="L601">
        <v>37.049999999999997</v>
      </c>
      <c r="M601">
        <v>5</v>
      </c>
      <c r="N601" t="s">
        <v>22</v>
      </c>
      <c r="O601" t="str">
        <f t="shared" si="9"/>
        <v>No</v>
      </c>
    </row>
    <row r="602" spans="1:15" x14ac:dyDescent="0.25">
      <c r="A602" t="s">
        <v>663</v>
      </c>
      <c r="B602" s="1">
        <v>45769</v>
      </c>
      <c r="C602" s="2">
        <v>45769.134583333333</v>
      </c>
      <c r="D602" t="s">
        <v>31</v>
      </c>
      <c r="E602" t="s">
        <v>32</v>
      </c>
      <c r="F602" t="s">
        <v>33</v>
      </c>
      <c r="G602" t="s">
        <v>18</v>
      </c>
      <c r="H602" t="s">
        <v>27</v>
      </c>
      <c r="I602" t="s">
        <v>45</v>
      </c>
      <c r="J602" t="s">
        <v>21</v>
      </c>
      <c r="K602">
        <v>4</v>
      </c>
      <c r="L602">
        <v>3.23</v>
      </c>
      <c r="M602">
        <v>4.5</v>
      </c>
      <c r="N602" t="s">
        <v>22</v>
      </c>
      <c r="O602" t="str">
        <f t="shared" si="9"/>
        <v>No</v>
      </c>
    </row>
    <row r="603" spans="1:15" x14ac:dyDescent="0.25">
      <c r="A603" t="s">
        <v>664</v>
      </c>
      <c r="B603" s="1">
        <v>45798</v>
      </c>
      <c r="C603" s="2">
        <v>45798.768750000003</v>
      </c>
      <c r="D603" t="s">
        <v>15</v>
      </c>
      <c r="E603" t="s">
        <v>32</v>
      </c>
      <c r="F603" t="s">
        <v>75</v>
      </c>
      <c r="G603" t="s">
        <v>41</v>
      </c>
      <c r="H603" t="s">
        <v>54</v>
      </c>
      <c r="I603" t="s">
        <v>28</v>
      </c>
      <c r="J603" t="s">
        <v>21</v>
      </c>
      <c r="K603">
        <v>48</v>
      </c>
      <c r="L603">
        <v>18.45</v>
      </c>
      <c r="M603">
        <v>4</v>
      </c>
      <c r="N603" t="s">
        <v>22</v>
      </c>
      <c r="O603" t="str">
        <f t="shared" si="9"/>
        <v>No</v>
      </c>
    </row>
    <row r="604" spans="1:15" x14ac:dyDescent="0.25">
      <c r="A604" t="s">
        <v>665</v>
      </c>
      <c r="B604" s="1">
        <v>45791</v>
      </c>
      <c r="C604" s="2">
        <v>45791.07708333333</v>
      </c>
      <c r="D604" t="s">
        <v>31</v>
      </c>
      <c r="E604" t="s">
        <v>25</v>
      </c>
      <c r="F604" t="s">
        <v>48</v>
      </c>
      <c r="G604" t="s">
        <v>51</v>
      </c>
      <c r="H604" t="s">
        <v>54</v>
      </c>
      <c r="I604" t="s">
        <v>36</v>
      </c>
      <c r="J604" t="s">
        <v>21</v>
      </c>
      <c r="K604">
        <v>4</v>
      </c>
      <c r="L604">
        <v>1.85</v>
      </c>
      <c r="M604">
        <v>4.2</v>
      </c>
      <c r="N604" t="s">
        <v>22</v>
      </c>
      <c r="O604" t="str">
        <f t="shared" si="9"/>
        <v>No</v>
      </c>
    </row>
    <row r="605" spans="1:15" x14ac:dyDescent="0.25">
      <c r="A605" t="s">
        <v>666</v>
      </c>
      <c r="B605" s="1">
        <v>45682</v>
      </c>
      <c r="C605" s="2">
        <v>45682.372916666667</v>
      </c>
      <c r="D605" t="s">
        <v>38</v>
      </c>
      <c r="E605" t="s">
        <v>25</v>
      </c>
      <c r="F605" t="s">
        <v>26</v>
      </c>
      <c r="G605" t="s">
        <v>18</v>
      </c>
      <c r="H605" t="s">
        <v>35</v>
      </c>
      <c r="I605" t="s">
        <v>28</v>
      </c>
      <c r="J605" t="s">
        <v>29</v>
      </c>
      <c r="K605">
        <v>8</v>
      </c>
      <c r="L605">
        <v>8.9499999999999993</v>
      </c>
      <c r="M605">
        <v>4.2</v>
      </c>
      <c r="N605" t="s">
        <v>22</v>
      </c>
      <c r="O605" t="str">
        <f t="shared" si="9"/>
        <v>Yes</v>
      </c>
    </row>
    <row r="606" spans="1:15" x14ac:dyDescent="0.25">
      <c r="A606" t="s">
        <v>667</v>
      </c>
      <c r="B606" s="1">
        <v>45807</v>
      </c>
      <c r="C606" s="2">
        <v>45807.320416666669</v>
      </c>
      <c r="D606" t="s">
        <v>24</v>
      </c>
      <c r="E606" t="s">
        <v>16</v>
      </c>
      <c r="F606" t="s">
        <v>58</v>
      </c>
      <c r="G606" t="s">
        <v>56</v>
      </c>
      <c r="H606" t="s">
        <v>54</v>
      </c>
      <c r="I606" t="s">
        <v>45</v>
      </c>
      <c r="J606" t="s">
        <v>21</v>
      </c>
      <c r="K606">
        <v>24</v>
      </c>
      <c r="L606">
        <v>7.69</v>
      </c>
      <c r="M606">
        <v>3.9</v>
      </c>
      <c r="N606" t="s">
        <v>22</v>
      </c>
      <c r="O606" t="str">
        <f t="shared" si="9"/>
        <v>No</v>
      </c>
    </row>
    <row r="607" spans="1:15" x14ac:dyDescent="0.25">
      <c r="A607" t="s">
        <v>668</v>
      </c>
      <c r="B607" s="1">
        <v>45755</v>
      </c>
      <c r="C607" s="2">
        <v>45755.254999999997</v>
      </c>
      <c r="D607" t="s">
        <v>24</v>
      </c>
      <c r="E607" t="s">
        <v>32</v>
      </c>
      <c r="F607" t="s">
        <v>80</v>
      </c>
      <c r="G607" t="s">
        <v>34</v>
      </c>
      <c r="H607" t="s">
        <v>27</v>
      </c>
      <c r="I607" t="s">
        <v>45</v>
      </c>
      <c r="J607" t="s">
        <v>21</v>
      </c>
      <c r="K607">
        <v>24</v>
      </c>
      <c r="L607">
        <v>6.12</v>
      </c>
      <c r="M607">
        <v>5</v>
      </c>
      <c r="N607" t="s">
        <v>61</v>
      </c>
      <c r="O607" t="str">
        <f t="shared" si="9"/>
        <v>No</v>
      </c>
    </row>
    <row r="608" spans="1:15" x14ac:dyDescent="0.25">
      <c r="A608" t="s">
        <v>669</v>
      </c>
      <c r="B608" s="1">
        <v>45716</v>
      </c>
      <c r="C608" s="2">
        <v>45716.813750000001</v>
      </c>
      <c r="D608" t="s">
        <v>24</v>
      </c>
      <c r="E608" t="s">
        <v>32</v>
      </c>
      <c r="F608" t="s">
        <v>64</v>
      </c>
      <c r="G608" t="s">
        <v>51</v>
      </c>
      <c r="H608" t="s">
        <v>54</v>
      </c>
      <c r="I608" t="s">
        <v>45</v>
      </c>
      <c r="J608" t="s">
        <v>21</v>
      </c>
      <c r="K608">
        <v>24</v>
      </c>
      <c r="L608">
        <v>19.53</v>
      </c>
      <c r="M608">
        <v>3.9</v>
      </c>
      <c r="N608" t="s">
        <v>22</v>
      </c>
      <c r="O608" t="str">
        <f t="shared" si="9"/>
        <v>No</v>
      </c>
    </row>
    <row r="609" spans="1:15" x14ac:dyDescent="0.25">
      <c r="A609" t="s">
        <v>670</v>
      </c>
      <c r="B609" s="1">
        <v>45751</v>
      </c>
      <c r="C609" s="2">
        <v>45751.073333333334</v>
      </c>
      <c r="D609" t="s">
        <v>24</v>
      </c>
      <c r="E609" t="s">
        <v>25</v>
      </c>
      <c r="F609" t="s">
        <v>48</v>
      </c>
      <c r="G609" t="s">
        <v>18</v>
      </c>
      <c r="H609" t="s">
        <v>35</v>
      </c>
      <c r="I609" t="s">
        <v>36</v>
      </c>
      <c r="J609" t="s">
        <v>85</v>
      </c>
      <c r="K609">
        <v>24</v>
      </c>
      <c r="L609">
        <v>1.76</v>
      </c>
      <c r="M609">
        <v>5</v>
      </c>
      <c r="N609" t="s">
        <v>22</v>
      </c>
      <c r="O609" t="str">
        <f t="shared" si="9"/>
        <v>No</v>
      </c>
    </row>
    <row r="610" spans="1:15" x14ac:dyDescent="0.25">
      <c r="A610" t="s">
        <v>671</v>
      </c>
      <c r="B610" s="1">
        <v>45833</v>
      </c>
      <c r="C610" s="2">
        <v>45833.609166666669</v>
      </c>
      <c r="D610" t="s">
        <v>15</v>
      </c>
      <c r="E610" t="s">
        <v>16</v>
      </c>
      <c r="F610" t="s">
        <v>58</v>
      </c>
      <c r="G610" t="s">
        <v>18</v>
      </c>
      <c r="H610" t="s">
        <v>27</v>
      </c>
      <c r="I610" t="s">
        <v>36</v>
      </c>
      <c r="J610" t="s">
        <v>21</v>
      </c>
      <c r="K610">
        <v>48</v>
      </c>
      <c r="L610">
        <v>14.62</v>
      </c>
      <c r="M610">
        <v>4.5</v>
      </c>
      <c r="N610" t="s">
        <v>22</v>
      </c>
      <c r="O610" t="str">
        <f t="shared" si="9"/>
        <v>No</v>
      </c>
    </row>
    <row r="611" spans="1:15" x14ac:dyDescent="0.25">
      <c r="A611" t="s">
        <v>672</v>
      </c>
      <c r="B611" s="1">
        <v>45813</v>
      </c>
      <c r="C611" s="2">
        <v>45813.409583333334</v>
      </c>
      <c r="D611" t="s">
        <v>38</v>
      </c>
      <c r="E611" t="s">
        <v>16</v>
      </c>
      <c r="F611" t="s">
        <v>58</v>
      </c>
      <c r="G611" t="s">
        <v>18</v>
      </c>
      <c r="H611" t="s">
        <v>65</v>
      </c>
      <c r="I611" t="s">
        <v>28</v>
      </c>
      <c r="J611" t="s">
        <v>21</v>
      </c>
      <c r="K611">
        <v>8</v>
      </c>
      <c r="L611">
        <v>9.83</v>
      </c>
      <c r="M611">
        <v>3.2</v>
      </c>
      <c r="N611" t="s">
        <v>22</v>
      </c>
      <c r="O611" t="str">
        <f t="shared" si="9"/>
        <v>Yes</v>
      </c>
    </row>
    <row r="612" spans="1:15" x14ac:dyDescent="0.25">
      <c r="A612" t="s">
        <v>673</v>
      </c>
      <c r="B612" s="1">
        <v>45808</v>
      </c>
      <c r="C612" s="2">
        <v>45809.397916666669</v>
      </c>
      <c r="D612" t="s">
        <v>24</v>
      </c>
      <c r="E612" t="s">
        <v>39</v>
      </c>
      <c r="F612" t="s">
        <v>40</v>
      </c>
      <c r="G612" t="s">
        <v>51</v>
      </c>
      <c r="H612" t="s">
        <v>27</v>
      </c>
      <c r="I612" t="s">
        <v>45</v>
      </c>
      <c r="J612" t="s">
        <v>85</v>
      </c>
      <c r="K612">
        <v>24</v>
      </c>
      <c r="L612">
        <v>33.549999999999997</v>
      </c>
      <c r="M612">
        <v>2.9</v>
      </c>
      <c r="N612" t="s">
        <v>22</v>
      </c>
      <c r="O612" t="str">
        <f t="shared" si="9"/>
        <v>Yes</v>
      </c>
    </row>
    <row r="613" spans="1:15" x14ac:dyDescent="0.25">
      <c r="A613" t="s">
        <v>674</v>
      </c>
      <c r="B613" s="1">
        <v>45741</v>
      </c>
      <c r="C613" s="2">
        <v>45743.083749999998</v>
      </c>
      <c r="D613" t="s">
        <v>15</v>
      </c>
      <c r="E613" t="s">
        <v>32</v>
      </c>
      <c r="F613" t="s">
        <v>80</v>
      </c>
      <c r="G613" t="s">
        <v>51</v>
      </c>
      <c r="H613" t="s">
        <v>19</v>
      </c>
      <c r="I613" t="s">
        <v>20</v>
      </c>
      <c r="J613" t="s">
        <v>46</v>
      </c>
      <c r="K613">
        <v>48</v>
      </c>
      <c r="L613">
        <v>50.01</v>
      </c>
      <c r="M613">
        <v>4.9000000000000004</v>
      </c>
      <c r="N613" t="s">
        <v>22</v>
      </c>
      <c r="O613" t="str">
        <f t="shared" si="9"/>
        <v>Yes</v>
      </c>
    </row>
    <row r="614" spans="1:15" x14ac:dyDescent="0.25">
      <c r="A614" t="s">
        <v>675</v>
      </c>
      <c r="B614" s="1">
        <v>45799</v>
      </c>
      <c r="C614" s="2">
        <v>45799.565405092595</v>
      </c>
      <c r="D614" t="s">
        <v>24</v>
      </c>
      <c r="E614" t="s">
        <v>45</v>
      </c>
      <c r="F614" t="s">
        <v>50</v>
      </c>
      <c r="G614" t="s">
        <v>56</v>
      </c>
      <c r="H614" t="s">
        <v>44</v>
      </c>
      <c r="I614" t="s">
        <v>36</v>
      </c>
      <c r="J614" t="s">
        <v>21</v>
      </c>
      <c r="K614">
        <v>24</v>
      </c>
      <c r="L614">
        <v>13.57</v>
      </c>
      <c r="M614">
        <v>4.0999999999999996</v>
      </c>
      <c r="N614" t="s">
        <v>22</v>
      </c>
      <c r="O614" t="str">
        <f t="shared" si="9"/>
        <v>No</v>
      </c>
    </row>
    <row r="615" spans="1:15" x14ac:dyDescent="0.25">
      <c r="A615" t="s">
        <v>676</v>
      </c>
      <c r="B615" s="1">
        <v>45727</v>
      </c>
      <c r="C615" s="2">
        <v>45727.256666666668</v>
      </c>
      <c r="D615" t="s">
        <v>24</v>
      </c>
      <c r="E615" t="s">
        <v>25</v>
      </c>
      <c r="F615" t="s">
        <v>53</v>
      </c>
      <c r="G615" t="s">
        <v>18</v>
      </c>
      <c r="H615" t="s">
        <v>65</v>
      </c>
      <c r="I615" t="s">
        <v>36</v>
      </c>
      <c r="J615" t="s">
        <v>21</v>
      </c>
      <c r="K615">
        <v>24</v>
      </c>
      <c r="L615">
        <v>6.16</v>
      </c>
      <c r="M615">
        <v>5</v>
      </c>
      <c r="N615" t="s">
        <v>22</v>
      </c>
      <c r="O615" t="str">
        <f t="shared" si="9"/>
        <v>No</v>
      </c>
    </row>
    <row r="616" spans="1:15" x14ac:dyDescent="0.25">
      <c r="A616" t="s">
        <v>677</v>
      </c>
      <c r="B616" s="1">
        <v>45782</v>
      </c>
      <c r="C616" s="2">
        <v>45782.147499999999</v>
      </c>
      <c r="D616" t="s">
        <v>24</v>
      </c>
      <c r="E616" t="s">
        <v>32</v>
      </c>
      <c r="F616" t="s">
        <v>80</v>
      </c>
      <c r="G616" t="s">
        <v>41</v>
      </c>
      <c r="H616" t="s">
        <v>19</v>
      </c>
      <c r="I616" t="s">
        <v>36</v>
      </c>
      <c r="J616" t="s">
        <v>46</v>
      </c>
      <c r="K616">
        <v>24</v>
      </c>
      <c r="L616">
        <v>3.54</v>
      </c>
      <c r="M616">
        <v>4.9000000000000004</v>
      </c>
      <c r="N616" t="s">
        <v>22</v>
      </c>
      <c r="O616" t="str">
        <f t="shared" si="9"/>
        <v>No</v>
      </c>
    </row>
    <row r="617" spans="1:15" x14ac:dyDescent="0.25">
      <c r="A617" t="s">
        <v>678</v>
      </c>
      <c r="B617" s="1">
        <v>45773</v>
      </c>
      <c r="C617" s="2">
        <v>45773.407916666663</v>
      </c>
      <c r="D617" t="s">
        <v>24</v>
      </c>
      <c r="E617" t="s">
        <v>45</v>
      </c>
      <c r="F617" t="s">
        <v>100</v>
      </c>
      <c r="G617" t="s">
        <v>34</v>
      </c>
      <c r="H617" t="s">
        <v>35</v>
      </c>
      <c r="I617" t="s">
        <v>36</v>
      </c>
      <c r="J617" t="s">
        <v>21</v>
      </c>
      <c r="K617">
        <v>24</v>
      </c>
      <c r="L617">
        <v>9.7899999999999991</v>
      </c>
      <c r="M617">
        <v>4</v>
      </c>
      <c r="N617" t="s">
        <v>22</v>
      </c>
      <c r="O617" t="str">
        <f t="shared" si="9"/>
        <v>No</v>
      </c>
    </row>
    <row r="618" spans="1:15" x14ac:dyDescent="0.25">
      <c r="A618" t="s">
        <v>679</v>
      </c>
      <c r="B618" s="1">
        <v>45703</v>
      </c>
      <c r="C618" s="2">
        <v>45703.300833333335</v>
      </c>
      <c r="D618" t="s">
        <v>15</v>
      </c>
      <c r="E618" t="s">
        <v>16</v>
      </c>
      <c r="F618" t="s">
        <v>58</v>
      </c>
      <c r="G618" t="s">
        <v>51</v>
      </c>
      <c r="H618" t="s">
        <v>44</v>
      </c>
      <c r="I618" t="s">
        <v>45</v>
      </c>
      <c r="J618" t="s">
        <v>21</v>
      </c>
      <c r="K618">
        <v>48</v>
      </c>
      <c r="L618">
        <v>7.22</v>
      </c>
      <c r="M618">
        <v>3.8</v>
      </c>
      <c r="N618" t="s">
        <v>22</v>
      </c>
      <c r="O618" t="str">
        <f t="shared" si="9"/>
        <v>No</v>
      </c>
    </row>
    <row r="619" spans="1:15" x14ac:dyDescent="0.25">
      <c r="A619" t="s">
        <v>680</v>
      </c>
      <c r="B619" s="1">
        <v>45706</v>
      </c>
      <c r="C619" s="2">
        <v>45707.728333333333</v>
      </c>
      <c r="D619" t="s">
        <v>24</v>
      </c>
      <c r="E619" t="s">
        <v>39</v>
      </c>
      <c r="F619" t="s">
        <v>78</v>
      </c>
      <c r="G619" t="s">
        <v>51</v>
      </c>
      <c r="H619" t="s">
        <v>65</v>
      </c>
      <c r="I619" t="s">
        <v>28</v>
      </c>
      <c r="J619" t="s">
        <v>21</v>
      </c>
      <c r="K619">
        <v>24</v>
      </c>
      <c r="L619">
        <v>41.48</v>
      </c>
      <c r="M619">
        <v>3.7</v>
      </c>
      <c r="N619" t="s">
        <v>22</v>
      </c>
      <c r="O619" t="str">
        <f t="shared" si="9"/>
        <v>Yes</v>
      </c>
    </row>
    <row r="620" spans="1:15" x14ac:dyDescent="0.25">
      <c r="A620" t="s">
        <v>681</v>
      </c>
      <c r="B620" s="1">
        <v>45669</v>
      </c>
      <c r="C620" s="2">
        <v>45669.782500000001</v>
      </c>
      <c r="D620" t="s">
        <v>15</v>
      </c>
      <c r="E620" t="s">
        <v>39</v>
      </c>
      <c r="F620" t="s">
        <v>78</v>
      </c>
      <c r="G620" t="s">
        <v>41</v>
      </c>
      <c r="H620" t="s">
        <v>35</v>
      </c>
      <c r="I620" t="s">
        <v>20</v>
      </c>
      <c r="J620" t="s">
        <v>85</v>
      </c>
      <c r="K620">
        <v>48</v>
      </c>
      <c r="L620">
        <v>18.78</v>
      </c>
      <c r="M620">
        <v>4.4000000000000004</v>
      </c>
      <c r="N620" t="s">
        <v>22</v>
      </c>
      <c r="O620" t="str">
        <f t="shared" si="9"/>
        <v>No</v>
      </c>
    </row>
    <row r="621" spans="1:15" x14ac:dyDescent="0.25">
      <c r="A621" t="s">
        <v>682</v>
      </c>
      <c r="B621" s="1">
        <v>45683</v>
      </c>
      <c r="C621" s="2">
        <v>45683.860833333332</v>
      </c>
      <c r="D621" t="s">
        <v>15</v>
      </c>
      <c r="E621" t="s">
        <v>25</v>
      </c>
      <c r="F621" t="s">
        <v>70</v>
      </c>
      <c r="G621" t="s">
        <v>18</v>
      </c>
      <c r="H621" t="s">
        <v>35</v>
      </c>
      <c r="I621" t="s">
        <v>45</v>
      </c>
      <c r="J621" t="s">
        <v>46</v>
      </c>
      <c r="K621">
        <v>48</v>
      </c>
      <c r="L621">
        <v>20.66</v>
      </c>
      <c r="M621">
        <v>5</v>
      </c>
      <c r="N621" t="s">
        <v>22</v>
      </c>
      <c r="O621" t="str">
        <f t="shared" si="9"/>
        <v>No</v>
      </c>
    </row>
    <row r="622" spans="1:15" x14ac:dyDescent="0.25">
      <c r="A622" t="s">
        <v>683</v>
      </c>
      <c r="B622" s="1">
        <v>45736</v>
      </c>
      <c r="C622" s="2">
        <v>45737.852500000001</v>
      </c>
      <c r="D622" t="s">
        <v>15</v>
      </c>
      <c r="E622" t="s">
        <v>39</v>
      </c>
      <c r="F622" t="s">
        <v>119</v>
      </c>
      <c r="G622" t="s">
        <v>18</v>
      </c>
      <c r="H622" t="s">
        <v>35</v>
      </c>
      <c r="I622" t="s">
        <v>36</v>
      </c>
      <c r="J622" t="s">
        <v>21</v>
      </c>
      <c r="K622">
        <v>48</v>
      </c>
      <c r="L622">
        <v>44.46</v>
      </c>
      <c r="M622">
        <v>5</v>
      </c>
      <c r="N622" t="s">
        <v>22</v>
      </c>
      <c r="O622" t="str">
        <f t="shared" si="9"/>
        <v>No</v>
      </c>
    </row>
    <row r="623" spans="1:15" x14ac:dyDescent="0.25">
      <c r="A623" t="s">
        <v>684</v>
      </c>
      <c r="B623" s="1">
        <v>45744</v>
      </c>
      <c r="C623" s="2">
        <v>45744.125</v>
      </c>
      <c r="D623" t="s">
        <v>24</v>
      </c>
      <c r="E623" t="s">
        <v>16</v>
      </c>
      <c r="F623" t="s">
        <v>58</v>
      </c>
      <c r="G623" t="s">
        <v>56</v>
      </c>
      <c r="H623" t="s">
        <v>19</v>
      </c>
      <c r="I623" t="s">
        <v>45</v>
      </c>
      <c r="J623" t="s">
        <v>21</v>
      </c>
      <c r="K623">
        <v>24</v>
      </c>
      <c r="L623">
        <v>3</v>
      </c>
      <c r="M623">
        <v>5</v>
      </c>
      <c r="N623" t="s">
        <v>22</v>
      </c>
      <c r="O623" t="str">
        <f t="shared" si="9"/>
        <v>No</v>
      </c>
    </row>
    <row r="624" spans="1:15" x14ac:dyDescent="0.25">
      <c r="A624" t="s">
        <v>685</v>
      </c>
      <c r="B624" s="1">
        <v>45687</v>
      </c>
      <c r="C624" s="2">
        <v>45687.44</v>
      </c>
      <c r="D624" t="s">
        <v>24</v>
      </c>
      <c r="E624" t="s">
        <v>16</v>
      </c>
      <c r="F624" t="s">
        <v>43</v>
      </c>
      <c r="G624" t="s">
        <v>51</v>
      </c>
      <c r="H624" t="s">
        <v>54</v>
      </c>
      <c r="I624" t="s">
        <v>45</v>
      </c>
      <c r="J624" t="s">
        <v>21</v>
      </c>
      <c r="K624">
        <v>24</v>
      </c>
      <c r="L624">
        <v>10.56</v>
      </c>
      <c r="M624">
        <v>4.7</v>
      </c>
      <c r="N624" t="s">
        <v>61</v>
      </c>
      <c r="O624" t="str">
        <f t="shared" si="9"/>
        <v>No</v>
      </c>
    </row>
    <row r="625" spans="1:15" x14ac:dyDescent="0.25">
      <c r="A625" t="s">
        <v>686</v>
      </c>
      <c r="B625" s="1">
        <v>45733</v>
      </c>
      <c r="C625" s="2">
        <v>45733.530416666668</v>
      </c>
      <c r="D625" t="s">
        <v>24</v>
      </c>
      <c r="E625" t="s">
        <v>32</v>
      </c>
      <c r="F625" t="s">
        <v>64</v>
      </c>
      <c r="G625" t="s">
        <v>34</v>
      </c>
      <c r="H625" t="s">
        <v>19</v>
      </c>
      <c r="I625" t="s">
        <v>45</v>
      </c>
      <c r="J625" t="s">
        <v>85</v>
      </c>
      <c r="K625">
        <v>24</v>
      </c>
      <c r="L625">
        <v>12.73</v>
      </c>
      <c r="M625">
        <v>5</v>
      </c>
      <c r="N625" t="s">
        <v>22</v>
      </c>
      <c r="O625" t="str">
        <f t="shared" si="9"/>
        <v>No</v>
      </c>
    </row>
    <row r="626" spans="1:15" x14ac:dyDescent="0.25">
      <c r="A626" t="s">
        <v>687</v>
      </c>
      <c r="B626" s="1">
        <v>45767</v>
      </c>
      <c r="C626" s="2">
        <v>45767.309583333335</v>
      </c>
      <c r="D626" t="s">
        <v>15</v>
      </c>
      <c r="E626" t="s">
        <v>45</v>
      </c>
      <c r="F626" t="s">
        <v>50</v>
      </c>
      <c r="G626" t="s">
        <v>56</v>
      </c>
      <c r="H626" t="s">
        <v>54</v>
      </c>
      <c r="I626" t="s">
        <v>45</v>
      </c>
      <c r="J626" t="s">
        <v>46</v>
      </c>
      <c r="K626">
        <v>48</v>
      </c>
      <c r="L626">
        <v>7.43</v>
      </c>
      <c r="M626">
        <v>5</v>
      </c>
      <c r="N626" t="s">
        <v>22</v>
      </c>
      <c r="O626" t="str">
        <f t="shared" si="9"/>
        <v>No</v>
      </c>
    </row>
    <row r="627" spans="1:15" x14ac:dyDescent="0.25">
      <c r="A627" t="s">
        <v>688</v>
      </c>
      <c r="B627" s="1">
        <v>45700</v>
      </c>
      <c r="C627" s="2">
        <v>45700.481249999997</v>
      </c>
      <c r="D627" t="s">
        <v>15</v>
      </c>
      <c r="E627" t="s">
        <v>39</v>
      </c>
      <c r="F627" t="s">
        <v>40</v>
      </c>
      <c r="G627" t="s">
        <v>18</v>
      </c>
      <c r="H627" t="s">
        <v>27</v>
      </c>
      <c r="I627" t="s">
        <v>36</v>
      </c>
      <c r="J627" t="s">
        <v>21</v>
      </c>
      <c r="K627">
        <v>48</v>
      </c>
      <c r="L627">
        <v>11.55</v>
      </c>
      <c r="M627">
        <v>3.9</v>
      </c>
      <c r="N627" t="s">
        <v>22</v>
      </c>
      <c r="O627" t="str">
        <f t="shared" si="9"/>
        <v>No</v>
      </c>
    </row>
    <row r="628" spans="1:15" x14ac:dyDescent="0.25">
      <c r="A628" t="s">
        <v>689</v>
      </c>
      <c r="B628" s="1">
        <v>45719</v>
      </c>
      <c r="C628" s="2">
        <v>45719.325416666667</v>
      </c>
      <c r="D628" t="s">
        <v>24</v>
      </c>
      <c r="E628" t="s">
        <v>39</v>
      </c>
      <c r="F628" t="s">
        <v>78</v>
      </c>
      <c r="G628" t="s">
        <v>56</v>
      </c>
      <c r="H628" t="s">
        <v>54</v>
      </c>
      <c r="I628" t="s">
        <v>36</v>
      </c>
      <c r="J628" t="s">
        <v>46</v>
      </c>
      <c r="K628">
        <v>24</v>
      </c>
      <c r="L628">
        <v>7.81</v>
      </c>
      <c r="M628">
        <v>5</v>
      </c>
      <c r="N628" t="s">
        <v>22</v>
      </c>
      <c r="O628" t="str">
        <f t="shared" si="9"/>
        <v>No</v>
      </c>
    </row>
    <row r="629" spans="1:15" x14ac:dyDescent="0.25">
      <c r="A629" t="s">
        <v>690</v>
      </c>
      <c r="B629" s="1">
        <v>45724</v>
      </c>
      <c r="C629" s="2">
        <v>45726.138749999998</v>
      </c>
      <c r="D629" t="s">
        <v>15</v>
      </c>
      <c r="E629" t="s">
        <v>16</v>
      </c>
      <c r="F629" t="s">
        <v>60</v>
      </c>
      <c r="G629" t="s">
        <v>51</v>
      </c>
      <c r="H629" t="s">
        <v>27</v>
      </c>
      <c r="I629" t="s">
        <v>28</v>
      </c>
      <c r="J629" t="s">
        <v>21</v>
      </c>
      <c r="K629">
        <v>48</v>
      </c>
      <c r="L629">
        <v>51.33</v>
      </c>
      <c r="M629">
        <v>3.7</v>
      </c>
      <c r="N629" t="s">
        <v>22</v>
      </c>
      <c r="O629" t="str">
        <f t="shared" si="9"/>
        <v>Yes</v>
      </c>
    </row>
    <row r="630" spans="1:15" x14ac:dyDescent="0.25">
      <c r="A630" t="s">
        <v>691</v>
      </c>
      <c r="B630" s="1">
        <v>45749</v>
      </c>
      <c r="C630" s="2">
        <v>45750.369583333333</v>
      </c>
      <c r="D630" t="s">
        <v>24</v>
      </c>
      <c r="E630" t="s">
        <v>16</v>
      </c>
      <c r="F630" t="s">
        <v>17</v>
      </c>
      <c r="G630" t="s">
        <v>18</v>
      </c>
      <c r="H630" t="s">
        <v>54</v>
      </c>
      <c r="I630" t="s">
        <v>20</v>
      </c>
      <c r="J630" t="s">
        <v>21</v>
      </c>
      <c r="K630">
        <v>24</v>
      </c>
      <c r="L630">
        <v>32.869999999999997</v>
      </c>
      <c r="M630">
        <v>4.4000000000000004</v>
      </c>
      <c r="N630" t="s">
        <v>22</v>
      </c>
      <c r="O630" t="str">
        <f t="shared" si="9"/>
        <v>Yes</v>
      </c>
    </row>
    <row r="631" spans="1:15" x14ac:dyDescent="0.25">
      <c r="A631" t="s">
        <v>692</v>
      </c>
      <c r="B631" s="1">
        <v>45724</v>
      </c>
      <c r="C631" s="2">
        <v>45724.247083333335</v>
      </c>
      <c r="D631" t="s">
        <v>38</v>
      </c>
      <c r="E631" t="s">
        <v>39</v>
      </c>
      <c r="F631" t="s">
        <v>40</v>
      </c>
      <c r="G631" t="s">
        <v>56</v>
      </c>
      <c r="H631" t="s">
        <v>19</v>
      </c>
      <c r="I631" t="s">
        <v>28</v>
      </c>
      <c r="J631" t="s">
        <v>21</v>
      </c>
      <c r="K631">
        <v>8</v>
      </c>
      <c r="L631">
        <v>5.93</v>
      </c>
      <c r="M631">
        <v>4.4000000000000004</v>
      </c>
      <c r="N631" t="s">
        <v>22</v>
      </c>
      <c r="O631" t="str">
        <f t="shared" si="9"/>
        <v>No</v>
      </c>
    </row>
    <row r="632" spans="1:15" x14ac:dyDescent="0.25">
      <c r="A632" t="s">
        <v>693</v>
      </c>
      <c r="B632" s="1">
        <v>45791</v>
      </c>
      <c r="C632" s="2">
        <v>45791.500416666669</v>
      </c>
      <c r="D632" t="s">
        <v>24</v>
      </c>
      <c r="E632" t="s">
        <v>16</v>
      </c>
      <c r="F632" t="s">
        <v>58</v>
      </c>
      <c r="G632" t="s">
        <v>51</v>
      </c>
      <c r="H632" t="s">
        <v>19</v>
      </c>
      <c r="I632" t="s">
        <v>36</v>
      </c>
      <c r="J632" t="s">
        <v>29</v>
      </c>
      <c r="K632">
        <v>24</v>
      </c>
      <c r="L632">
        <v>12.01</v>
      </c>
      <c r="M632">
        <v>5</v>
      </c>
      <c r="N632" t="s">
        <v>22</v>
      </c>
      <c r="O632" t="str">
        <f t="shared" si="9"/>
        <v>No</v>
      </c>
    </row>
    <row r="633" spans="1:15" x14ac:dyDescent="0.25">
      <c r="A633" t="s">
        <v>694</v>
      </c>
      <c r="B633" s="1">
        <v>45717</v>
      </c>
      <c r="C633" s="2">
        <v>45717.410416666666</v>
      </c>
      <c r="D633" t="s">
        <v>38</v>
      </c>
      <c r="E633" t="s">
        <v>45</v>
      </c>
      <c r="F633" t="s">
        <v>50</v>
      </c>
      <c r="G633" t="s">
        <v>56</v>
      </c>
      <c r="H633" t="s">
        <v>54</v>
      </c>
      <c r="I633" t="s">
        <v>45</v>
      </c>
      <c r="J633" t="s">
        <v>46</v>
      </c>
      <c r="K633">
        <v>8</v>
      </c>
      <c r="L633">
        <v>9.85</v>
      </c>
      <c r="M633">
        <v>3.4</v>
      </c>
      <c r="N633" t="s">
        <v>22</v>
      </c>
      <c r="O633" t="str">
        <f t="shared" si="9"/>
        <v>Yes</v>
      </c>
    </row>
    <row r="634" spans="1:15" x14ac:dyDescent="0.25">
      <c r="A634" t="s">
        <v>695</v>
      </c>
      <c r="B634" s="1">
        <v>45736</v>
      </c>
      <c r="C634" s="2">
        <v>45737.945833333331</v>
      </c>
      <c r="D634" t="s">
        <v>15</v>
      </c>
      <c r="E634" t="s">
        <v>25</v>
      </c>
      <c r="F634" t="s">
        <v>53</v>
      </c>
      <c r="G634" t="s">
        <v>56</v>
      </c>
      <c r="H634" t="s">
        <v>44</v>
      </c>
      <c r="I634" t="s">
        <v>36</v>
      </c>
      <c r="J634" t="s">
        <v>21</v>
      </c>
      <c r="K634">
        <v>48</v>
      </c>
      <c r="L634">
        <v>46.7</v>
      </c>
      <c r="M634">
        <v>2.8</v>
      </c>
      <c r="N634" t="s">
        <v>22</v>
      </c>
      <c r="O634" t="str">
        <f t="shared" si="9"/>
        <v>No</v>
      </c>
    </row>
    <row r="635" spans="1:15" x14ac:dyDescent="0.25">
      <c r="A635" t="s">
        <v>696</v>
      </c>
      <c r="B635" s="1">
        <v>45726</v>
      </c>
      <c r="C635" s="2">
        <v>45730.157916666663</v>
      </c>
      <c r="D635" t="s">
        <v>15</v>
      </c>
      <c r="E635" t="s">
        <v>25</v>
      </c>
      <c r="F635" t="s">
        <v>53</v>
      </c>
      <c r="G635" t="s">
        <v>51</v>
      </c>
      <c r="H635" t="s">
        <v>54</v>
      </c>
      <c r="I635" t="s">
        <v>28</v>
      </c>
      <c r="J635" t="s">
        <v>21</v>
      </c>
      <c r="K635">
        <v>48</v>
      </c>
      <c r="L635">
        <v>99.79</v>
      </c>
      <c r="M635">
        <v>2.9</v>
      </c>
      <c r="N635" t="s">
        <v>22</v>
      </c>
      <c r="O635" t="str">
        <f t="shared" si="9"/>
        <v>Yes</v>
      </c>
    </row>
    <row r="636" spans="1:15" x14ac:dyDescent="0.25">
      <c r="A636" t="s">
        <v>697</v>
      </c>
      <c r="B636" s="1">
        <v>45691</v>
      </c>
      <c r="C636" s="2">
        <v>45691.034166666665</v>
      </c>
      <c r="D636" t="s">
        <v>38</v>
      </c>
      <c r="E636" t="s">
        <v>32</v>
      </c>
      <c r="F636" t="s">
        <v>75</v>
      </c>
      <c r="G636" t="s">
        <v>18</v>
      </c>
      <c r="H636" t="s">
        <v>65</v>
      </c>
      <c r="I636" t="s">
        <v>36</v>
      </c>
      <c r="J636" t="s">
        <v>29</v>
      </c>
      <c r="K636">
        <v>8</v>
      </c>
      <c r="L636">
        <v>0.82</v>
      </c>
      <c r="M636">
        <v>5</v>
      </c>
      <c r="N636" t="s">
        <v>22</v>
      </c>
      <c r="O636" t="str">
        <f t="shared" si="9"/>
        <v>No</v>
      </c>
    </row>
    <row r="637" spans="1:15" x14ac:dyDescent="0.25">
      <c r="A637" t="s">
        <v>698</v>
      </c>
      <c r="B637" s="1">
        <v>45782</v>
      </c>
      <c r="C637" s="2">
        <v>45782.181666666664</v>
      </c>
      <c r="D637" t="s">
        <v>38</v>
      </c>
      <c r="E637" t="s">
        <v>39</v>
      </c>
      <c r="F637" t="s">
        <v>78</v>
      </c>
      <c r="G637" t="s">
        <v>41</v>
      </c>
      <c r="H637" t="s">
        <v>65</v>
      </c>
      <c r="I637" t="s">
        <v>45</v>
      </c>
      <c r="J637" t="s">
        <v>21</v>
      </c>
      <c r="K637">
        <v>8</v>
      </c>
      <c r="L637">
        <v>4.3600000000000003</v>
      </c>
      <c r="M637">
        <v>4</v>
      </c>
      <c r="N637" t="s">
        <v>61</v>
      </c>
      <c r="O637" t="str">
        <f t="shared" si="9"/>
        <v>No</v>
      </c>
    </row>
    <row r="638" spans="1:15" x14ac:dyDescent="0.25">
      <c r="A638" t="s">
        <v>699</v>
      </c>
      <c r="B638" s="1">
        <v>45700</v>
      </c>
      <c r="C638" s="2">
        <v>45700.113749999997</v>
      </c>
      <c r="D638" t="s">
        <v>38</v>
      </c>
      <c r="E638" t="s">
        <v>16</v>
      </c>
      <c r="F638" t="s">
        <v>17</v>
      </c>
      <c r="G638" t="s">
        <v>51</v>
      </c>
      <c r="H638" t="s">
        <v>19</v>
      </c>
      <c r="I638" t="s">
        <v>36</v>
      </c>
      <c r="J638" t="s">
        <v>21</v>
      </c>
      <c r="K638">
        <v>8</v>
      </c>
      <c r="L638">
        <v>2.73</v>
      </c>
      <c r="M638">
        <v>4.5</v>
      </c>
      <c r="N638" t="s">
        <v>22</v>
      </c>
      <c r="O638" t="str">
        <f t="shared" si="9"/>
        <v>No</v>
      </c>
    </row>
    <row r="639" spans="1:15" x14ac:dyDescent="0.25">
      <c r="A639" t="s">
        <v>700</v>
      </c>
      <c r="B639" s="1">
        <v>45711</v>
      </c>
      <c r="C639" s="2">
        <v>45711.246666666666</v>
      </c>
      <c r="D639" t="s">
        <v>15</v>
      </c>
      <c r="E639" t="s">
        <v>32</v>
      </c>
      <c r="F639" t="s">
        <v>33</v>
      </c>
      <c r="G639" t="s">
        <v>56</v>
      </c>
      <c r="H639" t="s">
        <v>27</v>
      </c>
      <c r="I639" t="s">
        <v>36</v>
      </c>
      <c r="J639" t="s">
        <v>29</v>
      </c>
      <c r="K639">
        <v>48</v>
      </c>
      <c r="L639">
        <v>5.92</v>
      </c>
      <c r="M639">
        <v>3.4</v>
      </c>
      <c r="N639" t="s">
        <v>22</v>
      </c>
      <c r="O639" t="str">
        <f t="shared" si="9"/>
        <v>No</v>
      </c>
    </row>
    <row r="640" spans="1:15" x14ac:dyDescent="0.25">
      <c r="A640" t="s">
        <v>701</v>
      </c>
      <c r="B640" s="1">
        <v>45801</v>
      </c>
      <c r="C640" s="2">
        <v>45801.182916666665</v>
      </c>
      <c r="D640" t="s">
        <v>38</v>
      </c>
      <c r="E640" t="s">
        <v>25</v>
      </c>
      <c r="F640" t="s">
        <v>53</v>
      </c>
      <c r="G640" t="s">
        <v>18</v>
      </c>
      <c r="H640" t="s">
        <v>35</v>
      </c>
      <c r="I640" t="s">
        <v>36</v>
      </c>
      <c r="J640" t="s">
        <v>29</v>
      </c>
      <c r="K640">
        <v>8</v>
      </c>
      <c r="L640">
        <v>4.3899999999999997</v>
      </c>
      <c r="M640">
        <v>4.2</v>
      </c>
      <c r="N640" t="s">
        <v>61</v>
      </c>
      <c r="O640" t="str">
        <f t="shared" si="9"/>
        <v>No</v>
      </c>
    </row>
    <row r="641" spans="1:15" x14ac:dyDescent="0.25">
      <c r="A641" t="s">
        <v>702</v>
      </c>
      <c r="B641" s="1">
        <v>45829</v>
      </c>
      <c r="C641" s="2">
        <v>45830.940821759257</v>
      </c>
      <c r="D641" t="s">
        <v>24</v>
      </c>
      <c r="E641" t="s">
        <v>39</v>
      </c>
      <c r="F641" t="s">
        <v>119</v>
      </c>
      <c r="G641" t="s">
        <v>41</v>
      </c>
      <c r="H641" t="s">
        <v>27</v>
      </c>
      <c r="I641" t="s">
        <v>45</v>
      </c>
      <c r="J641" t="s">
        <v>21</v>
      </c>
      <c r="K641">
        <v>24</v>
      </c>
      <c r="L641">
        <v>46.58</v>
      </c>
      <c r="M641">
        <v>1.9</v>
      </c>
      <c r="N641" t="s">
        <v>61</v>
      </c>
      <c r="O641" t="str">
        <f t="shared" si="9"/>
        <v>Yes</v>
      </c>
    </row>
    <row r="642" spans="1:15" x14ac:dyDescent="0.25">
      <c r="A642" t="s">
        <v>703</v>
      </c>
      <c r="B642" s="1">
        <v>45779</v>
      </c>
      <c r="C642" s="2">
        <v>45779.203750000001</v>
      </c>
      <c r="D642" t="s">
        <v>24</v>
      </c>
      <c r="E642" t="s">
        <v>39</v>
      </c>
      <c r="F642" t="s">
        <v>87</v>
      </c>
      <c r="G642" t="s">
        <v>34</v>
      </c>
      <c r="H642" t="s">
        <v>54</v>
      </c>
      <c r="I642" t="s">
        <v>20</v>
      </c>
      <c r="J642" t="s">
        <v>21</v>
      </c>
      <c r="K642">
        <v>24</v>
      </c>
      <c r="L642">
        <v>4.8899999999999997</v>
      </c>
      <c r="M642">
        <v>5</v>
      </c>
      <c r="N642" t="s">
        <v>22</v>
      </c>
      <c r="O642" t="str">
        <f t="shared" si="9"/>
        <v>No</v>
      </c>
    </row>
    <row r="643" spans="1:15" x14ac:dyDescent="0.25">
      <c r="A643" t="s">
        <v>704</v>
      </c>
      <c r="B643" s="1">
        <v>45823</v>
      </c>
      <c r="C643" s="2">
        <v>45828.176666666666</v>
      </c>
      <c r="D643" t="s">
        <v>15</v>
      </c>
      <c r="E643" t="s">
        <v>32</v>
      </c>
      <c r="F643" t="s">
        <v>80</v>
      </c>
      <c r="G643" t="s">
        <v>51</v>
      </c>
      <c r="H643" t="s">
        <v>54</v>
      </c>
      <c r="I643" t="s">
        <v>28</v>
      </c>
      <c r="J643" t="s">
        <v>46</v>
      </c>
      <c r="K643">
        <v>48</v>
      </c>
      <c r="L643">
        <v>124.24</v>
      </c>
      <c r="M643">
        <v>2.1</v>
      </c>
      <c r="N643" t="s">
        <v>61</v>
      </c>
      <c r="O643" t="str">
        <f t="shared" ref="O643:O706" si="10">IF(L643&gt;K643,"Yes","No")</f>
        <v>Yes</v>
      </c>
    </row>
    <row r="644" spans="1:15" x14ac:dyDescent="0.25">
      <c r="A644" t="s">
        <v>705</v>
      </c>
      <c r="B644" s="1">
        <v>45812</v>
      </c>
      <c r="C644" s="2">
        <v>45812.165000000001</v>
      </c>
      <c r="D644" t="s">
        <v>31</v>
      </c>
      <c r="E644" t="s">
        <v>39</v>
      </c>
      <c r="F644" t="s">
        <v>119</v>
      </c>
      <c r="G644" t="s">
        <v>18</v>
      </c>
      <c r="H644" t="s">
        <v>19</v>
      </c>
      <c r="I644" t="s">
        <v>45</v>
      </c>
      <c r="J644" t="s">
        <v>21</v>
      </c>
      <c r="K644">
        <v>4</v>
      </c>
      <c r="L644">
        <v>3.96</v>
      </c>
      <c r="M644">
        <v>3.8</v>
      </c>
      <c r="N644" t="s">
        <v>22</v>
      </c>
      <c r="O644" t="str">
        <f t="shared" si="10"/>
        <v>No</v>
      </c>
    </row>
    <row r="645" spans="1:15" x14ac:dyDescent="0.25">
      <c r="A645" t="s">
        <v>706</v>
      </c>
      <c r="B645" s="1">
        <v>45745</v>
      </c>
      <c r="C645" s="2">
        <v>45747.528749999998</v>
      </c>
      <c r="D645" t="s">
        <v>15</v>
      </c>
      <c r="E645" t="s">
        <v>39</v>
      </c>
      <c r="F645" t="s">
        <v>87</v>
      </c>
      <c r="G645" t="s">
        <v>51</v>
      </c>
      <c r="H645" t="s">
        <v>65</v>
      </c>
      <c r="I645" t="s">
        <v>45</v>
      </c>
      <c r="J645" t="s">
        <v>46</v>
      </c>
      <c r="K645">
        <v>48</v>
      </c>
      <c r="L645">
        <v>60.69</v>
      </c>
      <c r="M645">
        <v>4.3</v>
      </c>
      <c r="N645" t="s">
        <v>22</v>
      </c>
      <c r="O645" t="str">
        <f t="shared" si="10"/>
        <v>Yes</v>
      </c>
    </row>
    <row r="646" spans="1:15" x14ac:dyDescent="0.25">
      <c r="A646" t="s">
        <v>707</v>
      </c>
      <c r="B646" s="1">
        <v>45797</v>
      </c>
      <c r="C646" s="2">
        <v>45797.419166666667</v>
      </c>
      <c r="D646" t="s">
        <v>38</v>
      </c>
      <c r="E646" t="s">
        <v>16</v>
      </c>
      <c r="F646" t="s">
        <v>58</v>
      </c>
      <c r="G646" t="s">
        <v>56</v>
      </c>
      <c r="H646" t="s">
        <v>54</v>
      </c>
      <c r="I646" t="s">
        <v>20</v>
      </c>
      <c r="J646" t="s">
        <v>46</v>
      </c>
      <c r="K646">
        <v>8</v>
      </c>
      <c r="L646">
        <v>10.06</v>
      </c>
      <c r="M646">
        <v>3.6</v>
      </c>
      <c r="N646" t="s">
        <v>22</v>
      </c>
      <c r="O646" t="str">
        <f t="shared" si="10"/>
        <v>Yes</v>
      </c>
    </row>
    <row r="647" spans="1:15" x14ac:dyDescent="0.25">
      <c r="A647" t="s">
        <v>708</v>
      </c>
      <c r="B647" s="1">
        <v>45717</v>
      </c>
      <c r="C647" s="2">
        <v>45717.744166666664</v>
      </c>
      <c r="D647" t="s">
        <v>24</v>
      </c>
      <c r="E647" t="s">
        <v>16</v>
      </c>
      <c r="F647" t="s">
        <v>43</v>
      </c>
      <c r="G647" t="s">
        <v>18</v>
      </c>
      <c r="H647" t="s">
        <v>27</v>
      </c>
      <c r="I647" t="s">
        <v>36</v>
      </c>
      <c r="J647" t="s">
        <v>46</v>
      </c>
      <c r="K647">
        <v>24</v>
      </c>
      <c r="L647">
        <v>17.86</v>
      </c>
      <c r="M647">
        <v>4.2</v>
      </c>
      <c r="N647" t="s">
        <v>22</v>
      </c>
      <c r="O647" t="str">
        <f t="shared" si="10"/>
        <v>No</v>
      </c>
    </row>
    <row r="648" spans="1:15" x14ac:dyDescent="0.25">
      <c r="A648" t="s">
        <v>709</v>
      </c>
      <c r="B648" s="1">
        <v>45741</v>
      </c>
      <c r="C648" s="2">
        <v>45741.129166666666</v>
      </c>
      <c r="D648" t="s">
        <v>38</v>
      </c>
      <c r="E648" t="s">
        <v>32</v>
      </c>
      <c r="F648" t="s">
        <v>64</v>
      </c>
      <c r="G648" t="s">
        <v>18</v>
      </c>
      <c r="H648" t="s">
        <v>27</v>
      </c>
      <c r="I648" t="s">
        <v>20</v>
      </c>
      <c r="J648" t="s">
        <v>21</v>
      </c>
      <c r="K648">
        <v>8</v>
      </c>
      <c r="L648">
        <v>3.1</v>
      </c>
      <c r="M648">
        <v>4.7</v>
      </c>
      <c r="N648" t="s">
        <v>22</v>
      </c>
      <c r="O648" t="str">
        <f t="shared" si="10"/>
        <v>No</v>
      </c>
    </row>
    <row r="649" spans="1:15" x14ac:dyDescent="0.25">
      <c r="A649" t="s">
        <v>710</v>
      </c>
      <c r="B649" s="1">
        <v>45754</v>
      </c>
      <c r="C649" s="2">
        <v>45754.149155092593</v>
      </c>
      <c r="D649" t="s">
        <v>24</v>
      </c>
      <c r="E649" t="s">
        <v>32</v>
      </c>
      <c r="F649" t="s">
        <v>64</v>
      </c>
      <c r="G649" t="s">
        <v>41</v>
      </c>
      <c r="H649" t="s">
        <v>19</v>
      </c>
      <c r="I649" t="s">
        <v>20</v>
      </c>
      <c r="J649" t="s">
        <v>46</v>
      </c>
      <c r="K649">
        <v>24</v>
      </c>
      <c r="L649">
        <v>3.58</v>
      </c>
      <c r="M649">
        <v>4.4000000000000004</v>
      </c>
      <c r="N649" t="s">
        <v>22</v>
      </c>
      <c r="O649" t="str">
        <f t="shared" si="10"/>
        <v>No</v>
      </c>
    </row>
    <row r="650" spans="1:15" x14ac:dyDescent="0.25">
      <c r="A650" t="s">
        <v>711</v>
      </c>
      <c r="B650" s="1">
        <v>45831</v>
      </c>
      <c r="C650" s="2">
        <v>45831.068749999999</v>
      </c>
      <c r="D650" t="s">
        <v>38</v>
      </c>
      <c r="E650" t="s">
        <v>25</v>
      </c>
      <c r="F650" t="s">
        <v>26</v>
      </c>
      <c r="G650" t="s">
        <v>34</v>
      </c>
      <c r="H650" t="s">
        <v>44</v>
      </c>
      <c r="I650" t="s">
        <v>45</v>
      </c>
      <c r="J650" t="s">
        <v>29</v>
      </c>
      <c r="K650">
        <v>8</v>
      </c>
      <c r="L650">
        <v>1.65</v>
      </c>
      <c r="M650">
        <v>5</v>
      </c>
      <c r="N650" t="s">
        <v>22</v>
      </c>
      <c r="O650" t="str">
        <f t="shared" si="10"/>
        <v>No</v>
      </c>
    </row>
    <row r="651" spans="1:15" x14ac:dyDescent="0.25">
      <c r="A651" t="s">
        <v>712</v>
      </c>
      <c r="B651" s="1">
        <v>45811</v>
      </c>
      <c r="C651" s="2">
        <v>45812.631666666668</v>
      </c>
      <c r="D651" t="s">
        <v>15</v>
      </c>
      <c r="E651" t="s">
        <v>32</v>
      </c>
      <c r="F651" t="s">
        <v>64</v>
      </c>
      <c r="G651" t="s">
        <v>34</v>
      </c>
      <c r="H651" t="s">
        <v>54</v>
      </c>
      <c r="I651" t="s">
        <v>36</v>
      </c>
      <c r="J651" t="s">
        <v>46</v>
      </c>
      <c r="K651">
        <v>48</v>
      </c>
      <c r="L651">
        <v>39.159999999999997</v>
      </c>
      <c r="M651">
        <v>3.4</v>
      </c>
      <c r="N651" t="s">
        <v>22</v>
      </c>
      <c r="O651" t="str">
        <f t="shared" si="10"/>
        <v>No</v>
      </c>
    </row>
    <row r="652" spans="1:15" x14ac:dyDescent="0.25">
      <c r="A652" t="s">
        <v>713</v>
      </c>
      <c r="B652" s="1">
        <v>45746</v>
      </c>
      <c r="C652" s="2">
        <v>45746.801666666666</v>
      </c>
      <c r="D652" t="s">
        <v>15</v>
      </c>
      <c r="E652" t="s">
        <v>16</v>
      </c>
      <c r="F652" t="s">
        <v>17</v>
      </c>
      <c r="G652" t="s">
        <v>34</v>
      </c>
      <c r="H652" t="s">
        <v>27</v>
      </c>
      <c r="I652" t="s">
        <v>36</v>
      </c>
      <c r="J652" t="s">
        <v>21</v>
      </c>
      <c r="K652">
        <v>48</v>
      </c>
      <c r="L652">
        <v>19.239999999999998</v>
      </c>
      <c r="M652">
        <v>4.8</v>
      </c>
      <c r="N652" t="s">
        <v>22</v>
      </c>
      <c r="O652" t="str">
        <f t="shared" si="10"/>
        <v>No</v>
      </c>
    </row>
    <row r="653" spans="1:15" x14ac:dyDescent="0.25">
      <c r="A653" t="s">
        <v>714</v>
      </c>
      <c r="B653" s="1">
        <v>45776</v>
      </c>
      <c r="C653" s="2">
        <v>45776.230416666665</v>
      </c>
      <c r="D653" t="s">
        <v>24</v>
      </c>
      <c r="E653" t="s">
        <v>16</v>
      </c>
      <c r="F653" t="s">
        <v>17</v>
      </c>
      <c r="G653" t="s">
        <v>18</v>
      </c>
      <c r="H653" t="s">
        <v>19</v>
      </c>
      <c r="I653" t="s">
        <v>36</v>
      </c>
      <c r="J653" t="s">
        <v>85</v>
      </c>
      <c r="K653">
        <v>24</v>
      </c>
      <c r="L653">
        <v>5.53</v>
      </c>
      <c r="M653">
        <v>5</v>
      </c>
      <c r="N653" t="s">
        <v>22</v>
      </c>
      <c r="O653" t="str">
        <f t="shared" si="10"/>
        <v>No</v>
      </c>
    </row>
    <row r="654" spans="1:15" x14ac:dyDescent="0.25">
      <c r="A654" t="s">
        <v>715</v>
      </c>
      <c r="B654" s="1">
        <v>45694</v>
      </c>
      <c r="C654" s="2">
        <v>45694.655416666668</v>
      </c>
      <c r="D654" t="s">
        <v>24</v>
      </c>
      <c r="E654" t="s">
        <v>16</v>
      </c>
      <c r="F654" t="s">
        <v>60</v>
      </c>
      <c r="G654" t="s">
        <v>34</v>
      </c>
      <c r="H654" t="s">
        <v>65</v>
      </c>
      <c r="I654" t="s">
        <v>28</v>
      </c>
      <c r="J654" t="s">
        <v>21</v>
      </c>
      <c r="K654">
        <v>24</v>
      </c>
      <c r="L654">
        <v>15.73</v>
      </c>
      <c r="M654">
        <v>3.5</v>
      </c>
      <c r="N654" t="s">
        <v>22</v>
      </c>
      <c r="O654" t="str">
        <f t="shared" si="10"/>
        <v>No</v>
      </c>
    </row>
    <row r="655" spans="1:15" x14ac:dyDescent="0.25">
      <c r="A655" t="s">
        <v>716</v>
      </c>
      <c r="B655" s="1">
        <v>45803</v>
      </c>
      <c r="C655" s="2">
        <v>45804.424583333333</v>
      </c>
      <c r="D655" t="s">
        <v>15</v>
      </c>
      <c r="E655" t="s">
        <v>45</v>
      </c>
      <c r="F655" t="s">
        <v>100</v>
      </c>
      <c r="G655" t="s">
        <v>18</v>
      </c>
      <c r="H655" t="s">
        <v>65</v>
      </c>
      <c r="I655" t="s">
        <v>45</v>
      </c>
      <c r="J655" t="s">
        <v>21</v>
      </c>
      <c r="K655">
        <v>48</v>
      </c>
      <c r="L655">
        <v>34.19</v>
      </c>
      <c r="M655">
        <v>3.3</v>
      </c>
      <c r="N655" t="s">
        <v>61</v>
      </c>
      <c r="O655" t="str">
        <f t="shared" si="10"/>
        <v>No</v>
      </c>
    </row>
    <row r="656" spans="1:15" x14ac:dyDescent="0.25">
      <c r="A656" t="s">
        <v>717</v>
      </c>
      <c r="B656" s="1">
        <v>45758</v>
      </c>
      <c r="C656" s="2">
        <v>45759.85833333333</v>
      </c>
      <c r="D656" t="s">
        <v>15</v>
      </c>
      <c r="E656" t="s">
        <v>16</v>
      </c>
      <c r="F656" t="s">
        <v>17</v>
      </c>
      <c r="G656" t="s">
        <v>34</v>
      </c>
      <c r="H656" t="s">
        <v>44</v>
      </c>
      <c r="I656" t="s">
        <v>45</v>
      </c>
      <c r="J656" t="s">
        <v>21</v>
      </c>
      <c r="K656">
        <v>48</v>
      </c>
      <c r="L656">
        <v>44.6</v>
      </c>
      <c r="M656">
        <v>3.2</v>
      </c>
      <c r="N656" t="s">
        <v>22</v>
      </c>
      <c r="O656" t="str">
        <f t="shared" si="10"/>
        <v>No</v>
      </c>
    </row>
    <row r="657" spans="1:15" x14ac:dyDescent="0.25">
      <c r="A657" t="s">
        <v>718</v>
      </c>
      <c r="B657" s="1">
        <v>45754</v>
      </c>
      <c r="C657" s="2">
        <v>45754.276250000003</v>
      </c>
      <c r="D657" t="s">
        <v>24</v>
      </c>
      <c r="E657" t="s">
        <v>45</v>
      </c>
      <c r="F657" t="s">
        <v>112</v>
      </c>
      <c r="G657" t="s">
        <v>41</v>
      </c>
      <c r="H657" t="s">
        <v>27</v>
      </c>
      <c r="I657" t="s">
        <v>45</v>
      </c>
      <c r="J657" t="s">
        <v>21</v>
      </c>
      <c r="K657">
        <v>24</v>
      </c>
      <c r="L657">
        <v>6.63</v>
      </c>
      <c r="M657">
        <v>5</v>
      </c>
      <c r="N657" t="s">
        <v>22</v>
      </c>
      <c r="O657" t="str">
        <f t="shared" si="10"/>
        <v>No</v>
      </c>
    </row>
    <row r="658" spans="1:15" x14ac:dyDescent="0.25">
      <c r="A658" t="s">
        <v>719</v>
      </c>
      <c r="B658" s="1">
        <v>45796</v>
      </c>
      <c r="C658" s="2">
        <v>45796.997916666667</v>
      </c>
      <c r="D658" t="s">
        <v>15</v>
      </c>
      <c r="E658" t="s">
        <v>25</v>
      </c>
      <c r="F658" t="s">
        <v>70</v>
      </c>
      <c r="G658" t="s">
        <v>18</v>
      </c>
      <c r="H658" t="s">
        <v>44</v>
      </c>
      <c r="I658" t="s">
        <v>20</v>
      </c>
      <c r="J658" t="s">
        <v>21</v>
      </c>
      <c r="K658">
        <v>48</v>
      </c>
      <c r="L658">
        <v>23.95</v>
      </c>
      <c r="M658">
        <v>4</v>
      </c>
      <c r="N658" t="s">
        <v>61</v>
      </c>
      <c r="O658" t="str">
        <f t="shared" si="10"/>
        <v>No</v>
      </c>
    </row>
    <row r="659" spans="1:15" x14ac:dyDescent="0.25">
      <c r="A659" t="s">
        <v>720</v>
      </c>
      <c r="B659" s="1">
        <v>45772</v>
      </c>
      <c r="C659" s="2">
        <v>45772.566666666666</v>
      </c>
      <c r="D659" t="s">
        <v>15</v>
      </c>
      <c r="E659" t="s">
        <v>32</v>
      </c>
      <c r="F659" t="s">
        <v>64</v>
      </c>
      <c r="G659" t="s">
        <v>56</v>
      </c>
      <c r="H659" t="s">
        <v>54</v>
      </c>
      <c r="I659" t="s">
        <v>36</v>
      </c>
      <c r="J659" t="s">
        <v>46</v>
      </c>
      <c r="K659">
        <v>48</v>
      </c>
      <c r="L659">
        <v>13.6</v>
      </c>
      <c r="M659">
        <v>3.9</v>
      </c>
      <c r="N659" t="s">
        <v>22</v>
      </c>
      <c r="O659" t="str">
        <f t="shared" si="10"/>
        <v>No</v>
      </c>
    </row>
    <row r="660" spans="1:15" x14ac:dyDescent="0.25">
      <c r="A660" t="s">
        <v>721</v>
      </c>
      <c r="B660" s="1">
        <v>45671</v>
      </c>
      <c r="C660" s="2">
        <v>45671.058333333334</v>
      </c>
      <c r="D660" t="s">
        <v>38</v>
      </c>
      <c r="E660" t="s">
        <v>32</v>
      </c>
      <c r="F660" t="s">
        <v>64</v>
      </c>
      <c r="G660" t="s">
        <v>34</v>
      </c>
      <c r="H660" t="s">
        <v>65</v>
      </c>
      <c r="I660" t="s">
        <v>36</v>
      </c>
      <c r="J660" t="s">
        <v>21</v>
      </c>
      <c r="K660">
        <v>8</v>
      </c>
      <c r="L660">
        <v>1.4</v>
      </c>
      <c r="M660">
        <v>5</v>
      </c>
      <c r="N660" t="s">
        <v>22</v>
      </c>
      <c r="O660" t="str">
        <f t="shared" si="10"/>
        <v>No</v>
      </c>
    </row>
    <row r="661" spans="1:15" x14ac:dyDescent="0.25">
      <c r="A661" t="s">
        <v>722</v>
      </c>
      <c r="B661" s="1">
        <v>45710</v>
      </c>
      <c r="C661" s="2">
        <v>45711.122083333335</v>
      </c>
      <c r="D661" t="s">
        <v>24</v>
      </c>
      <c r="E661" t="s">
        <v>39</v>
      </c>
      <c r="F661" t="s">
        <v>40</v>
      </c>
      <c r="G661" t="s">
        <v>18</v>
      </c>
      <c r="H661" t="s">
        <v>27</v>
      </c>
      <c r="I661" t="s">
        <v>45</v>
      </c>
      <c r="J661" t="s">
        <v>21</v>
      </c>
      <c r="K661">
        <v>24</v>
      </c>
      <c r="L661">
        <v>26.93</v>
      </c>
      <c r="M661">
        <v>1.9</v>
      </c>
      <c r="N661" t="s">
        <v>22</v>
      </c>
      <c r="O661" t="str">
        <f t="shared" si="10"/>
        <v>Yes</v>
      </c>
    </row>
    <row r="662" spans="1:15" x14ac:dyDescent="0.25">
      <c r="A662" t="s">
        <v>723</v>
      </c>
      <c r="B662" s="1">
        <v>45689</v>
      </c>
      <c r="C662" s="2">
        <v>45689.178333333337</v>
      </c>
      <c r="D662" t="s">
        <v>31</v>
      </c>
      <c r="E662" t="s">
        <v>39</v>
      </c>
      <c r="F662" t="s">
        <v>87</v>
      </c>
      <c r="G662" t="s">
        <v>56</v>
      </c>
      <c r="H662" t="s">
        <v>54</v>
      </c>
      <c r="I662" t="s">
        <v>36</v>
      </c>
      <c r="J662" t="s">
        <v>29</v>
      </c>
      <c r="K662">
        <v>4</v>
      </c>
      <c r="L662">
        <v>4.28</v>
      </c>
      <c r="M662">
        <v>3.1</v>
      </c>
      <c r="N662" t="s">
        <v>22</v>
      </c>
      <c r="O662" t="str">
        <f t="shared" si="10"/>
        <v>Yes</v>
      </c>
    </row>
    <row r="663" spans="1:15" x14ac:dyDescent="0.25">
      <c r="A663" t="s">
        <v>724</v>
      </c>
      <c r="B663" s="1">
        <v>45791</v>
      </c>
      <c r="C663" s="2">
        <v>45791.020833333336</v>
      </c>
      <c r="D663" t="s">
        <v>31</v>
      </c>
      <c r="E663" t="s">
        <v>16</v>
      </c>
      <c r="F663" t="s">
        <v>60</v>
      </c>
      <c r="G663" t="s">
        <v>34</v>
      </c>
      <c r="H663" t="s">
        <v>35</v>
      </c>
      <c r="I663" t="s">
        <v>36</v>
      </c>
      <c r="J663" t="s">
        <v>21</v>
      </c>
      <c r="K663">
        <v>4</v>
      </c>
      <c r="L663">
        <v>0.5</v>
      </c>
      <c r="M663">
        <v>5</v>
      </c>
      <c r="N663" t="s">
        <v>22</v>
      </c>
      <c r="O663" t="str">
        <f t="shared" si="10"/>
        <v>No</v>
      </c>
    </row>
    <row r="664" spans="1:15" x14ac:dyDescent="0.25">
      <c r="A664" t="s">
        <v>725</v>
      </c>
      <c r="B664" s="1">
        <v>45664</v>
      </c>
      <c r="C664" s="2">
        <v>45665.138749999998</v>
      </c>
      <c r="D664" t="s">
        <v>15</v>
      </c>
      <c r="E664" t="s">
        <v>32</v>
      </c>
      <c r="F664" t="s">
        <v>64</v>
      </c>
      <c r="G664" t="s">
        <v>56</v>
      </c>
      <c r="H664" t="s">
        <v>44</v>
      </c>
      <c r="I664" t="s">
        <v>45</v>
      </c>
      <c r="J664" t="s">
        <v>21</v>
      </c>
      <c r="K664">
        <v>48</v>
      </c>
      <c r="L664">
        <v>27.33</v>
      </c>
      <c r="M664">
        <v>3.7</v>
      </c>
      <c r="N664" t="s">
        <v>22</v>
      </c>
      <c r="O664" t="str">
        <f t="shared" si="10"/>
        <v>No</v>
      </c>
    </row>
    <row r="665" spans="1:15" x14ac:dyDescent="0.25">
      <c r="A665" t="s">
        <v>726</v>
      </c>
      <c r="B665" s="1">
        <v>45694</v>
      </c>
      <c r="C665" s="2">
        <v>45695.235833333332</v>
      </c>
      <c r="D665" t="s">
        <v>24</v>
      </c>
      <c r="E665" t="s">
        <v>32</v>
      </c>
      <c r="F665" t="s">
        <v>64</v>
      </c>
      <c r="G665" t="s">
        <v>51</v>
      </c>
      <c r="H665" t="s">
        <v>44</v>
      </c>
      <c r="I665" t="s">
        <v>36</v>
      </c>
      <c r="J665" t="s">
        <v>85</v>
      </c>
      <c r="K665">
        <v>24</v>
      </c>
      <c r="L665">
        <v>29.66</v>
      </c>
      <c r="M665">
        <v>3.3</v>
      </c>
      <c r="N665" t="s">
        <v>22</v>
      </c>
      <c r="O665" t="str">
        <f t="shared" si="10"/>
        <v>Yes</v>
      </c>
    </row>
    <row r="666" spans="1:15" x14ac:dyDescent="0.25">
      <c r="A666" t="s">
        <v>727</v>
      </c>
      <c r="B666" s="1">
        <v>45766</v>
      </c>
      <c r="C666" s="2">
        <v>45766.95208333333</v>
      </c>
      <c r="D666" t="s">
        <v>24</v>
      </c>
      <c r="E666" t="s">
        <v>39</v>
      </c>
      <c r="F666" t="s">
        <v>40</v>
      </c>
      <c r="G666" t="s">
        <v>56</v>
      </c>
      <c r="H666" t="s">
        <v>65</v>
      </c>
      <c r="I666" t="s">
        <v>28</v>
      </c>
      <c r="J666" t="s">
        <v>21</v>
      </c>
      <c r="K666">
        <v>24</v>
      </c>
      <c r="L666">
        <v>22.85</v>
      </c>
      <c r="M666">
        <v>4</v>
      </c>
      <c r="N666" t="s">
        <v>22</v>
      </c>
      <c r="O666" t="str">
        <f t="shared" si="10"/>
        <v>No</v>
      </c>
    </row>
    <row r="667" spans="1:15" x14ac:dyDescent="0.25">
      <c r="A667" t="s">
        <v>728</v>
      </c>
      <c r="B667" s="1">
        <v>45783</v>
      </c>
      <c r="C667" s="2">
        <v>45783.25</v>
      </c>
      <c r="D667" t="s">
        <v>24</v>
      </c>
      <c r="E667" t="s">
        <v>16</v>
      </c>
      <c r="F667" t="s">
        <v>43</v>
      </c>
      <c r="G667" t="s">
        <v>41</v>
      </c>
      <c r="H667" t="s">
        <v>54</v>
      </c>
      <c r="I667" t="s">
        <v>20</v>
      </c>
      <c r="J667" t="s">
        <v>21</v>
      </c>
      <c r="K667">
        <v>24</v>
      </c>
      <c r="L667">
        <v>6</v>
      </c>
      <c r="M667">
        <v>4.9000000000000004</v>
      </c>
      <c r="N667" t="s">
        <v>22</v>
      </c>
      <c r="O667" t="str">
        <f t="shared" si="10"/>
        <v>No</v>
      </c>
    </row>
    <row r="668" spans="1:15" x14ac:dyDescent="0.25">
      <c r="A668" t="s">
        <v>729</v>
      </c>
      <c r="B668" s="1">
        <v>45749</v>
      </c>
      <c r="C668" s="2">
        <v>45751.660833333335</v>
      </c>
      <c r="D668" t="s">
        <v>15</v>
      </c>
      <c r="E668" t="s">
        <v>16</v>
      </c>
      <c r="F668" t="s">
        <v>60</v>
      </c>
      <c r="G668" t="s">
        <v>18</v>
      </c>
      <c r="H668" t="s">
        <v>19</v>
      </c>
      <c r="I668" t="s">
        <v>28</v>
      </c>
      <c r="J668" t="s">
        <v>21</v>
      </c>
      <c r="K668">
        <v>48</v>
      </c>
      <c r="L668">
        <v>63.86</v>
      </c>
      <c r="M668">
        <v>3.1</v>
      </c>
      <c r="N668" t="s">
        <v>22</v>
      </c>
      <c r="O668" t="str">
        <f t="shared" si="10"/>
        <v>Yes</v>
      </c>
    </row>
    <row r="669" spans="1:15" x14ac:dyDescent="0.25">
      <c r="A669" t="s">
        <v>730</v>
      </c>
      <c r="B669" s="1">
        <v>45813</v>
      </c>
      <c r="C669" s="2">
        <v>45815.473333333335</v>
      </c>
      <c r="D669" t="s">
        <v>15</v>
      </c>
      <c r="E669" t="s">
        <v>45</v>
      </c>
      <c r="F669" t="s">
        <v>112</v>
      </c>
      <c r="G669" t="s">
        <v>56</v>
      </c>
      <c r="H669" t="s">
        <v>44</v>
      </c>
      <c r="I669" t="s">
        <v>28</v>
      </c>
      <c r="J669" t="s">
        <v>46</v>
      </c>
      <c r="K669">
        <v>48</v>
      </c>
      <c r="L669">
        <v>59.36</v>
      </c>
      <c r="M669">
        <v>3.9</v>
      </c>
      <c r="N669" t="s">
        <v>22</v>
      </c>
      <c r="O669" t="str">
        <f t="shared" si="10"/>
        <v>Yes</v>
      </c>
    </row>
    <row r="670" spans="1:15" x14ac:dyDescent="0.25">
      <c r="A670" t="s">
        <v>731</v>
      </c>
      <c r="B670" s="1">
        <v>45824</v>
      </c>
      <c r="C670" s="2">
        <v>45825.389166666668</v>
      </c>
      <c r="D670" t="s">
        <v>15</v>
      </c>
      <c r="E670" t="s">
        <v>32</v>
      </c>
      <c r="F670" t="s">
        <v>75</v>
      </c>
      <c r="G670" t="s">
        <v>41</v>
      </c>
      <c r="H670" t="s">
        <v>44</v>
      </c>
      <c r="I670" t="s">
        <v>36</v>
      </c>
      <c r="J670" t="s">
        <v>21</v>
      </c>
      <c r="K670">
        <v>48</v>
      </c>
      <c r="L670">
        <v>33.340000000000003</v>
      </c>
      <c r="M670">
        <v>5</v>
      </c>
      <c r="N670" t="s">
        <v>22</v>
      </c>
      <c r="O670" t="str">
        <f t="shared" si="10"/>
        <v>No</v>
      </c>
    </row>
    <row r="671" spans="1:15" x14ac:dyDescent="0.25">
      <c r="A671" t="s">
        <v>732</v>
      </c>
      <c r="B671" s="1">
        <v>45681</v>
      </c>
      <c r="C671" s="2">
        <v>45681.442916666667</v>
      </c>
      <c r="D671" t="s">
        <v>24</v>
      </c>
      <c r="E671" t="s">
        <v>39</v>
      </c>
      <c r="F671" t="s">
        <v>87</v>
      </c>
      <c r="G671" t="s">
        <v>18</v>
      </c>
      <c r="H671" t="s">
        <v>54</v>
      </c>
      <c r="I671" t="s">
        <v>36</v>
      </c>
      <c r="J671" t="s">
        <v>85</v>
      </c>
      <c r="K671">
        <v>24</v>
      </c>
      <c r="L671">
        <v>10.63</v>
      </c>
      <c r="M671">
        <v>3.8</v>
      </c>
      <c r="N671" t="s">
        <v>22</v>
      </c>
      <c r="O671" t="str">
        <f t="shared" si="10"/>
        <v>No</v>
      </c>
    </row>
    <row r="672" spans="1:15" x14ac:dyDescent="0.25">
      <c r="A672" t="s">
        <v>733</v>
      </c>
      <c r="B672" s="1">
        <v>45830</v>
      </c>
      <c r="C672" s="2">
        <v>45830.041250000002</v>
      </c>
      <c r="D672" t="s">
        <v>31</v>
      </c>
      <c r="E672" t="s">
        <v>45</v>
      </c>
      <c r="F672" t="s">
        <v>104</v>
      </c>
      <c r="G672" t="s">
        <v>34</v>
      </c>
      <c r="H672" t="s">
        <v>19</v>
      </c>
      <c r="I672" t="s">
        <v>45</v>
      </c>
      <c r="J672" t="s">
        <v>46</v>
      </c>
      <c r="K672">
        <v>4</v>
      </c>
      <c r="L672">
        <v>0.99</v>
      </c>
      <c r="M672">
        <v>4.4000000000000004</v>
      </c>
      <c r="N672" t="s">
        <v>61</v>
      </c>
      <c r="O672" t="str">
        <f t="shared" si="10"/>
        <v>No</v>
      </c>
    </row>
    <row r="673" spans="1:15" x14ac:dyDescent="0.25">
      <c r="A673" t="s">
        <v>734</v>
      </c>
      <c r="B673" s="1">
        <v>45769</v>
      </c>
      <c r="C673" s="2">
        <v>45769.54583333333</v>
      </c>
      <c r="D673" t="s">
        <v>24</v>
      </c>
      <c r="E673" t="s">
        <v>16</v>
      </c>
      <c r="F673" t="s">
        <v>43</v>
      </c>
      <c r="G673" t="s">
        <v>41</v>
      </c>
      <c r="H673" t="s">
        <v>35</v>
      </c>
      <c r="I673" t="s">
        <v>36</v>
      </c>
      <c r="J673" t="s">
        <v>46</v>
      </c>
      <c r="K673">
        <v>24</v>
      </c>
      <c r="L673">
        <v>13.1</v>
      </c>
      <c r="M673">
        <v>4.3</v>
      </c>
      <c r="N673" t="s">
        <v>22</v>
      </c>
      <c r="O673" t="str">
        <f t="shared" si="10"/>
        <v>No</v>
      </c>
    </row>
    <row r="674" spans="1:15" x14ac:dyDescent="0.25">
      <c r="A674" t="s">
        <v>735</v>
      </c>
      <c r="B674" s="1">
        <v>45773</v>
      </c>
      <c r="C674" s="2">
        <v>45774.462083333332</v>
      </c>
      <c r="D674" t="s">
        <v>24</v>
      </c>
      <c r="E674" t="s">
        <v>16</v>
      </c>
      <c r="F674" t="s">
        <v>60</v>
      </c>
      <c r="G674" t="s">
        <v>18</v>
      </c>
      <c r="H674" t="s">
        <v>54</v>
      </c>
      <c r="I674" t="s">
        <v>28</v>
      </c>
      <c r="J674" t="s">
        <v>29</v>
      </c>
      <c r="K674">
        <v>24</v>
      </c>
      <c r="L674">
        <v>35.090000000000003</v>
      </c>
      <c r="M674">
        <v>3.7</v>
      </c>
      <c r="N674" t="s">
        <v>22</v>
      </c>
      <c r="O674" t="str">
        <f t="shared" si="10"/>
        <v>Yes</v>
      </c>
    </row>
    <row r="675" spans="1:15" x14ac:dyDescent="0.25">
      <c r="A675" t="s">
        <v>736</v>
      </c>
      <c r="B675" s="1">
        <v>45675</v>
      </c>
      <c r="C675" s="2">
        <v>45675.042500000003</v>
      </c>
      <c r="D675" t="s">
        <v>31</v>
      </c>
      <c r="E675" t="s">
        <v>16</v>
      </c>
      <c r="F675" t="s">
        <v>17</v>
      </c>
      <c r="G675" t="s">
        <v>51</v>
      </c>
      <c r="H675" t="s">
        <v>44</v>
      </c>
      <c r="I675" t="s">
        <v>36</v>
      </c>
      <c r="J675" t="s">
        <v>21</v>
      </c>
      <c r="K675">
        <v>4</v>
      </c>
      <c r="L675">
        <v>1.02</v>
      </c>
      <c r="M675">
        <v>4.7</v>
      </c>
      <c r="N675" t="s">
        <v>22</v>
      </c>
      <c r="O675" t="str">
        <f t="shared" si="10"/>
        <v>No</v>
      </c>
    </row>
    <row r="676" spans="1:15" x14ac:dyDescent="0.25">
      <c r="A676" t="s">
        <v>737</v>
      </c>
      <c r="B676" s="1">
        <v>45770</v>
      </c>
      <c r="C676" s="2">
        <v>45771.550416666665</v>
      </c>
      <c r="D676" t="s">
        <v>24</v>
      </c>
      <c r="E676" t="s">
        <v>32</v>
      </c>
      <c r="F676" t="s">
        <v>64</v>
      </c>
      <c r="G676" t="s">
        <v>56</v>
      </c>
      <c r="H676" t="s">
        <v>54</v>
      </c>
      <c r="I676" t="s">
        <v>45</v>
      </c>
      <c r="J676" t="s">
        <v>46</v>
      </c>
      <c r="K676">
        <v>24</v>
      </c>
      <c r="L676">
        <v>37.21</v>
      </c>
      <c r="M676">
        <v>3.1</v>
      </c>
      <c r="N676" t="s">
        <v>22</v>
      </c>
      <c r="O676" t="str">
        <f t="shared" si="10"/>
        <v>Yes</v>
      </c>
    </row>
    <row r="677" spans="1:15" x14ac:dyDescent="0.25">
      <c r="A677" t="s">
        <v>738</v>
      </c>
      <c r="B677" s="1">
        <v>45789</v>
      </c>
      <c r="C677" s="2">
        <v>45790.84</v>
      </c>
      <c r="D677" t="s">
        <v>15</v>
      </c>
      <c r="E677" t="s">
        <v>45</v>
      </c>
      <c r="F677" t="s">
        <v>50</v>
      </c>
      <c r="G677" t="s">
        <v>18</v>
      </c>
      <c r="H677" t="s">
        <v>27</v>
      </c>
      <c r="I677" t="s">
        <v>45</v>
      </c>
      <c r="J677" t="s">
        <v>46</v>
      </c>
      <c r="K677">
        <v>48</v>
      </c>
      <c r="L677">
        <v>44.16</v>
      </c>
      <c r="M677">
        <v>2.9</v>
      </c>
      <c r="N677" t="s">
        <v>22</v>
      </c>
      <c r="O677" t="str">
        <f t="shared" si="10"/>
        <v>No</v>
      </c>
    </row>
    <row r="678" spans="1:15" x14ac:dyDescent="0.25">
      <c r="A678" t="s">
        <v>739</v>
      </c>
      <c r="B678" s="1">
        <v>45763</v>
      </c>
      <c r="C678" s="2">
        <v>45763.181666666664</v>
      </c>
      <c r="D678" t="s">
        <v>38</v>
      </c>
      <c r="E678" t="s">
        <v>16</v>
      </c>
      <c r="F678" t="s">
        <v>58</v>
      </c>
      <c r="G678" t="s">
        <v>41</v>
      </c>
      <c r="H678" t="s">
        <v>27</v>
      </c>
      <c r="I678" t="s">
        <v>28</v>
      </c>
      <c r="J678" t="s">
        <v>46</v>
      </c>
      <c r="K678">
        <v>8</v>
      </c>
      <c r="L678">
        <v>4.3600000000000003</v>
      </c>
      <c r="M678">
        <v>3.6</v>
      </c>
      <c r="N678" t="s">
        <v>61</v>
      </c>
      <c r="O678" t="str">
        <f t="shared" si="10"/>
        <v>No</v>
      </c>
    </row>
    <row r="679" spans="1:15" x14ac:dyDescent="0.25">
      <c r="A679" t="s">
        <v>740</v>
      </c>
      <c r="B679" s="1">
        <v>45673</v>
      </c>
      <c r="C679" s="2">
        <v>45674.244166666664</v>
      </c>
      <c r="D679" t="s">
        <v>24</v>
      </c>
      <c r="E679" t="s">
        <v>16</v>
      </c>
      <c r="F679" t="s">
        <v>58</v>
      </c>
      <c r="G679" t="s">
        <v>34</v>
      </c>
      <c r="H679" t="s">
        <v>27</v>
      </c>
      <c r="I679" t="s">
        <v>45</v>
      </c>
      <c r="J679" t="s">
        <v>46</v>
      </c>
      <c r="K679">
        <v>24</v>
      </c>
      <c r="L679">
        <v>29.86</v>
      </c>
      <c r="M679">
        <v>3.6</v>
      </c>
      <c r="N679" t="s">
        <v>22</v>
      </c>
      <c r="O679" t="str">
        <f t="shared" si="10"/>
        <v>Yes</v>
      </c>
    </row>
    <row r="680" spans="1:15" x14ac:dyDescent="0.25">
      <c r="A680" t="s">
        <v>741</v>
      </c>
      <c r="B680" s="1">
        <v>45752</v>
      </c>
      <c r="C680" s="2">
        <v>45753.065821759257</v>
      </c>
      <c r="D680" t="s">
        <v>15</v>
      </c>
      <c r="E680" t="s">
        <v>16</v>
      </c>
      <c r="F680" t="s">
        <v>43</v>
      </c>
      <c r="G680" t="s">
        <v>56</v>
      </c>
      <c r="H680" t="s">
        <v>54</v>
      </c>
      <c r="I680" t="s">
        <v>45</v>
      </c>
      <c r="J680" t="s">
        <v>21</v>
      </c>
      <c r="K680">
        <v>48</v>
      </c>
      <c r="L680">
        <v>25.58</v>
      </c>
      <c r="M680">
        <v>4</v>
      </c>
      <c r="N680" t="s">
        <v>22</v>
      </c>
      <c r="O680" t="str">
        <f t="shared" si="10"/>
        <v>No</v>
      </c>
    </row>
    <row r="681" spans="1:15" x14ac:dyDescent="0.25">
      <c r="A681" t="s">
        <v>742</v>
      </c>
      <c r="B681" s="1">
        <v>45827</v>
      </c>
      <c r="C681" s="2">
        <v>45827.470405092594</v>
      </c>
      <c r="D681" t="s">
        <v>24</v>
      </c>
      <c r="E681" t="s">
        <v>39</v>
      </c>
      <c r="F681" t="s">
        <v>78</v>
      </c>
      <c r="G681" t="s">
        <v>56</v>
      </c>
      <c r="H681" t="s">
        <v>35</v>
      </c>
      <c r="I681" t="s">
        <v>36</v>
      </c>
      <c r="J681" t="s">
        <v>46</v>
      </c>
      <c r="K681">
        <v>24</v>
      </c>
      <c r="L681">
        <v>11.29</v>
      </c>
      <c r="M681">
        <v>4.2</v>
      </c>
      <c r="N681" t="s">
        <v>22</v>
      </c>
      <c r="O681" t="str">
        <f t="shared" si="10"/>
        <v>No</v>
      </c>
    </row>
    <row r="682" spans="1:15" x14ac:dyDescent="0.25">
      <c r="A682" t="s">
        <v>743</v>
      </c>
      <c r="B682" s="1">
        <v>45788</v>
      </c>
      <c r="C682" s="2">
        <v>45788.362916666665</v>
      </c>
      <c r="D682" t="s">
        <v>38</v>
      </c>
      <c r="E682" t="s">
        <v>32</v>
      </c>
      <c r="F682" t="s">
        <v>75</v>
      </c>
      <c r="G682" t="s">
        <v>41</v>
      </c>
      <c r="H682" t="s">
        <v>65</v>
      </c>
      <c r="I682" t="s">
        <v>45</v>
      </c>
      <c r="J682" t="s">
        <v>46</v>
      </c>
      <c r="K682">
        <v>8</v>
      </c>
      <c r="L682">
        <v>8.7100000000000009</v>
      </c>
      <c r="M682">
        <v>3.7</v>
      </c>
      <c r="N682" t="s">
        <v>22</v>
      </c>
      <c r="O682" t="str">
        <f t="shared" si="10"/>
        <v>Yes</v>
      </c>
    </row>
    <row r="683" spans="1:15" x14ac:dyDescent="0.25">
      <c r="A683" t="s">
        <v>744</v>
      </c>
      <c r="B683" s="1">
        <v>45682</v>
      </c>
      <c r="C683" s="2">
        <v>45683.126666666663</v>
      </c>
      <c r="D683" t="s">
        <v>15</v>
      </c>
      <c r="E683" t="s">
        <v>25</v>
      </c>
      <c r="F683" t="s">
        <v>26</v>
      </c>
      <c r="G683" t="s">
        <v>18</v>
      </c>
      <c r="H683" t="s">
        <v>44</v>
      </c>
      <c r="I683" t="s">
        <v>20</v>
      </c>
      <c r="J683" t="s">
        <v>46</v>
      </c>
      <c r="K683">
        <v>48</v>
      </c>
      <c r="L683">
        <v>27.04</v>
      </c>
      <c r="M683">
        <v>5</v>
      </c>
      <c r="N683" t="s">
        <v>22</v>
      </c>
      <c r="O683" t="str">
        <f t="shared" si="10"/>
        <v>No</v>
      </c>
    </row>
    <row r="684" spans="1:15" x14ac:dyDescent="0.25">
      <c r="A684" t="s">
        <v>745</v>
      </c>
      <c r="B684" s="1">
        <v>45831</v>
      </c>
      <c r="C684" s="2">
        <v>45831.534166666665</v>
      </c>
      <c r="D684" t="s">
        <v>24</v>
      </c>
      <c r="E684" t="s">
        <v>16</v>
      </c>
      <c r="F684" t="s">
        <v>43</v>
      </c>
      <c r="G684" t="s">
        <v>41</v>
      </c>
      <c r="H684" t="s">
        <v>44</v>
      </c>
      <c r="I684" t="s">
        <v>45</v>
      </c>
      <c r="J684" t="s">
        <v>29</v>
      </c>
      <c r="K684">
        <v>24</v>
      </c>
      <c r="L684">
        <v>12.82</v>
      </c>
      <c r="M684">
        <v>4</v>
      </c>
      <c r="N684" t="s">
        <v>22</v>
      </c>
      <c r="O684" t="str">
        <f t="shared" si="10"/>
        <v>No</v>
      </c>
    </row>
    <row r="685" spans="1:15" x14ac:dyDescent="0.25">
      <c r="A685" t="s">
        <v>746</v>
      </c>
      <c r="B685" s="1">
        <v>45831</v>
      </c>
      <c r="C685" s="2">
        <v>45831.667500000003</v>
      </c>
      <c r="D685" t="s">
        <v>15</v>
      </c>
      <c r="E685" t="s">
        <v>32</v>
      </c>
      <c r="F685" t="s">
        <v>33</v>
      </c>
      <c r="G685" t="s">
        <v>34</v>
      </c>
      <c r="H685" t="s">
        <v>27</v>
      </c>
      <c r="I685" t="s">
        <v>20</v>
      </c>
      <c r="J685" t="s">
        <v>21</v>
      </c>
      <c r="K685">
        <v>48</v>
      </c>
      <c r="L685">
        <v>16.02</v>
      </c>
      <c r="M685">
        <v>5</v>
      </c>
      <c r="N685" t="s">
        <v>22</v>
      </c>
      <c r="O685" t="str">
        <f t="shared" si="10"/>
        <v>No</v>
      </c>
    </row>
    <row r="686" spans="1:15" x14ac:dyDescent="0.25">
      <c r="A686" t="s">
        <v>747</v>
      </c>
      <c r="B686" s="1">
        <v>45688</v>
      </c>
      <c r="C686" s="2">
        <v>45688.925833333335</v>
      </c>
      <c r="D686" t="s">
        <v>15</v>
      </c>
      <c r="E686" t="s">
        <v>39</v>
      </c>
      <c r="F686" t="s">
        <v>119</v>
      </c>
      <c r="G686" t="s">
        <v>51</v>
      </c>
      <c r="H686" t="s">
        <v>54</v>
      </c>
      <c r="I686" t="s">
        <v>36</v>
      </c>
      <c r="J686" t="s">
        <v>85</v>
      </c>
      <c r="K686">
        <v>48</v>
      </c>
      <c r="L686">
        <v>22.22</v>
      </c>
      <c r="M686">
        <v>5</v>
      </c>
      <c r="N686" t="s">
        <v>22</v>
      </c>
      <c r="O686" t="str">
        <f t="shared" si="10"/>
        <v>No</v>
      </c>
    </row>
    <row r="687" spans="1:15" x14ac:dyDescent="0.25">
      <c r="A687" t="s">
        <v>748</v>
      </c>
      <c r="B687" s="1">
        <v>45802</v>
      </c>
      <c r="C687" s="2">
        <v>45805.354583333334</v>
      </c>
      <c r="D687" t="s">
        <v>15</v>
      </c>
      <c r="E687" t="s">
        <v>45</v>
      </c>
      <c r="F687" t="s">
        <v>100</v>
      </c>
      <c r="G687" t="s">
        <v>56</v>
      </c>
      <c r="H687" t="s">
        <v>35</v>
      </c>
      <c r="I687" t="s">
        <v>36</v>
      </c>
      <c r="J687" t="s">
        <v>21</v>
      </c>
      <c r="K687">
        <v>48</v>
      </c>
      <c r="L687">
        <v>80.510000000000005</v>
      </c>
      <c r="M687">
        <v>3.5</v>
      </c>
      <c r="N687" t="s">
        <v>22</v>
      </c>
      <c r="O687" t="str">
        <f t="shared" si="10"/>
        <v>Yes</v>
      </c>
    </row>
    <row r="688" spans="1:15" x14ac:dyDescent="0.25">
      <c r="A688" t="s">
        <v>749</v>
      </c>
      <c r="B688" s="1">
        <v>45731</v>
      </c>
      <c r="C688" s="2">
        <v>45731.020833333336</v>
      </c>
      <c r="D688" t="s">
        <v>38</v>
      </c>
      <c r="E688" t="s">
        <v>39</v>
      </c>
      <c r="F688" t="s">
        <v>119</v>
      </c>
      <c r="G688" t="s">
        <v>51</v>
      </c>
      <c r="H688" t="s">
        <v>27</v>
      </c>
      <c r="I688" t="s">
        <v>28</v>
      </c>
      <c r="J688" t="s">
        <v>21</v>
      </c>
      <c r="K688">
        <v>8</v>
      </c>
      <c r="L688">
        <v>0.5</v>
      </c>
      <c r="M688">
        <v>4.4000000000000004</v>
      </c>
      <c r="N688" t="s">
        <v>22</v>
      </c>
      <c r="O688" t="str">
        <f t="shared" si="10"/>
        <v>No</v>
      </c>
    </row>
    <row r="689" spans="1:15" x14ac:dyDescent="0.25">
      <c r="A689" t="s">
        <v>750</v>
      </c>
      <c r="B689" s="1">
        <v>45765</v>
      </c>
      <c r="C689" s="2">
        <v>45765.082916666666</v>
      </c>
      <c r="D689" t="s">
        <v>38</v>
      </c>
      <c r="E689" t="s">
        <v>39</v>
      </c>
      <c r="F689" t="s">
        <v>40</v>
      </c>
      <c r="G689" t="s">
        <v>41</v>
      </c>
      <c r="H689" t="s">
        <v>54</v>
      </c>
      <c r="I689" t="s">
        <v>36</v>
      </c>
      <c r="J689" t="s">
        <v>21</v>
      </c>
      <c r="K689">
        <v>8</v>
      </c>
      <c r="L689">
        <v>1.99</v>
      </c>
      <c r="M689">
        <v>4.8</v>
      </c>
      <c r="N689" t="s">
        <v>22</v>
      </c>
      <c r="O689" t="str">
        <f t="shared" si="10"/>
        <v>No</v>
      </c>
    </row>
    <row r="690" spans="1:15" x14ac:dyDescent="0.25">
      <c r="A690" t="s">
        <v>751</v>
      </c>
      <c r="B690" s="1">
        <v>45738</v>
      </c>
      <c r="C690" s="2">
        <v>45738.583333333336</v>
      </c>
      <c r="D690" t="s">
        <v>15</v>
      </c>
      <c r="E690" t="s">
        <v>16</v>
      </c>
      <c r="F690" t="s">
        <v>58</v>
      </c>
      <c r="G690" t="s">
        <v>34</v>
      </c>
      <c r="H690" t="s">
        <v>19</v>
      </c>
      <c r="I690" t="s">
        <v>45</v>
      </c>
      <c r="J690" t="s">
        <v>21</v>
      </c>
      <c r="K690">
        <v>48</v>
      </c>
      <c r="L690">
        <v>14</v>
      </c>
      <c r="M690">
        <v>4.4000000000000004</v>
      </c>
      <c r="N690" t="s">
        <v>22</v>
      </c>
      <c r="O690" t="str">
        <f t="shared" si="10"/>
        <v>No</v>
      </c>
    </row>
    <row r="691" spans="1:15" x14ac:dyDescent="0.25">
      <c r="A691" t="s">
        <v>752</v>
      </c>
      <c r="B691" s="1">
        <v>45799</v>
      </c>
      <c r="C691" s="2">
        <v>45800.003333333334</v>
      </c>
      <c r="D691" t="s">
        <v>15</v>
      </c>
      <c r="E691" t="s">
        <v>25</v>
      </c>
      <c r="F691" t="s">
        <v>48</v>
      </c>
      <c r="G691" t="s">
        <v>56</v>
      </c>
      <c r="H691" t="s">
        <v>35</v>
      </c>
      <c r="I691" t="s">
        <v>45</v>
      </c>
      <c r="J691" t="s">
        <v>21</v>
      </c>
      <c r="K691">
        <v>48</v>
      </c>
      <c r="L691">
        <v>24.08</v>
      </c>
      <c r="M691">
        <v>5</v>
      </c>
      <c r="N691" t="s">
        <v>22</v>
      </c>
      <c r="O691" t="str">
        <f t="shared" si="10"/>
        <v>No</v>
      </c>
    </row>
    <row r="692" spans="1:15" x14ac:dyDescent="0.25">
      <c r="A692" t="s">
        <v>753</v>
      </c>
      <c r="B692" s="1">
        <v>45838</v>
      </c>
      <c r="C692" s="2">
        <v>45838.878750000003</v>
      </c>
      <c r="D692" t="s">
        <v>15</v>
      </c>
      <c r="E692" t="s">
        <v>16</v>
      </c>
      <c r="F692" t="s">
        <v>60</v>
      </c>
      <c r="G692" t="s">
        <v>56</v>
      </c>
      <c r="H692" t="s">
        <v>35</v>
      </c>
      <c r="I692" t="s">
        <v>28</v>
      </c>
      <c r="J692" t="s">
        <v>21</v>
      </c>
      <c r="K692">
        <v>48</v>
      </c>
      <c r="L692">
        <v>21.09</v>
      </c>
      <c r="M692">
        <v>4.7</v>
      </c>
      <c r="N692" t="s">
        <v>22</v>
      </c>
      <c r="O692" t="str">
        <f t="shared" si="10"/>
        <v>No</v>
      </c>
    </row>
    <row r="693" spans="1:15" x14ac:dyDescent="0.25">
      <c r="A693" t="s">
        <v>754</v>
      </c>
      <c r="B693" s="1">
        <v>45801</v>
      </c>
      <c r="C693" s="2">
        <v>45802.262916666667</v>
      </c>
      <c r="D693" t="s">
        <v>15</v>
      </c>
      <c r="E693" t="s">
        <v>25</v>
      </c>
      <c r="F693" t="s">
        <v>26</v>
      </c>
      <c r="G693" t="s">
        <v>34</v>
      </c>
      <c r="H693" t="s">
        <v>27</v>
      </c>
      <c r="I693" t="s">
        <v>36</v>
      </c>
      <c r="J693" t="s">
        <v>46</v>
      </c>
      <c r="K693">
        <v>48</v>
      </c>
      <c r="L693">
        <v>30.31</v>
      </c>
      <c r="M693">
        <v>4.0999999999999996</v>
      </c>
      <c r="N693" t="s">
        <v>22</v>
      </c>
      <c r="O693" t="str">
        <f t="shared" si="10"/>
        <v>No</v>
      </c>
    </row>
    <row r="694" spans="1:15" x14ac:dyDescent="0.25">
      <c r="A694" t="s">
        <v>755</v>
      </c>
      <c r="B694" s="1">
        <v>45826</v>
      </c>
      <c r="C694" s="2">
        <v>45826.065821759257</v>
      </c>
      <c r="D694" t="s">
        <v>24</v>
      </c>
      <c r="E694" t="s">
        <v>32</v>
      </c>
      <c r="F694" t="s">
        <v>64</v>
      </c>
      <c r="G694" t="s">
        <v>41</v>
      </c>
      <c r="H694" t="s">
        <v>44</v>
      </c>
      <c r="I694" t="s">
        <v>36</v>
      </c>
      <c r="J694" t="s">
        <v>85</v>
      </c>
      <c r="K694">
        <v>24</v>
      </c>
      <c r="L694">
        <v>1.58</v>
      </c>
      <c r="M694">
        <v>5</v>
      </c>
      <c r="N694" t="s">
        <v>22</v>
      </c>
      <c r="O694" t="str">
        <f t="shared" si="10"/>
        <v>No</v>
      </c>
    </row>
    <row r="695" spans="1:15" x14ac:dyDescent="0.25">
      <c r="A695" t="s">
        <v>756</v>
      </c>
      <c r="B695" s="1">
        <v>45829</v>
      </c>
      <c r="C695" s="2">
        <v>45829.624166666668</v>
      </c>
      <c r="D695" t="s">
        <v>24</v>
      </c>
      <c r="E695" t="s">
        <v>45</v>
      </c>
      <c r="F695" t="s">
        <v>50</v>
      </c>
      <c r="G695" t="s">
        <v>56</v>
      </c>
      <c r="H695" t="s">
        <v>19</v>
      </c>
      <c r="I695" t="s">
        <v>20</v>
      </c>
      <c r="J695" t="s">
        <v>46</v>
      </c>
      <c r="K695">
        <v>24</v>
      </c>
      <c r="L695">
        <v>14.98</v>
      </c>
      <c r="M695">
        <v>4</v>
      </c>
      <c r="N695" t="s">
        <v>22</v>
      </c>
      <c r="O695" t="str">
        <f t="shared" si="10"/>
        <v>No</v>
      </c>
    </row>
    <row r="696" spans="1:15" x14ac:dyDescent="0.25">
      <c r="A696" t="s">
        <v>757</v>
      </c>
      <c r="B696" s="1">
        <v>45674</v>
      </c>
      <c r="C696" s="2">
        <v>45675.668333333335</v>
      </c>
      <c r="D696" t="s">
        <v>24</v>
      </c>
      <c r="E696" t="s">
        <v>45</v>
      </c>
      <c r="F696" t="s">
        <v>50</v>
      </c>
      <c r="G696" t="s">
        <v>41</v>
      </c>
      <c r="H696" t="s">
        <v>54</v>
      </c>
      <c r="I696" t="s">
        <v>45</v>
      </c>
      <c r="J696" t="s">
        <v>21</v>
      </c>
      <c r="K696">
        <v>24</v>
      </c>
      <c r="L696">
        <v>40.04</v>
      </c>
      <c r="M696">
        <v>3.4</v>
      </c>
      <c r="N696" t="s">
        <v>22</v>
      </c>
      <c r="O696" t="str">
        <f t="shared" si="10"/>
        <v>Yes</v>
      </c>
    </row>
    <row r="697" spans="1:15" x14ac:dyDescent="0.25">
      <c r="A697" t="s">
        <v>758</v>
      </c>
      <c r="B697" s="1">
        <v>45703</v>
      </c>
      <c r="C697" s="2">
        <v>45703.562916666669</v>
      </c>
      <c r="D697" t="s">
        <v>24</v>
      </c>
      <c r="E697" t="s">
        <v>16</v>
      </c>
      <c r="F697" t="s">
        <v>17</v>
      </c>
      <c r="G697" t="s">
        <v>56</v>
      </c>
      <c r="H697" t="s">
        <v>44</v>
      </c>
      <c r="I697" t="s">
        <v>45</v>
      </c>
      <c r="J697" t="s">
        <v>85</v>
      </c>
      <c r="K697">
        <v>24</v>
      </c>
      <c r="L697">
        <v>13.51</v>
      </c>
      <c r="M697">
        <v>4.8</v>
      </c>
      <c r="N697" t="s">
        <v>22</v>
      </c>
      <c r="O697" t="str">
        <f t="shared" si="10"/>
        <v>No</v>
      </c>
    </row>
    <row r="698" spans="1:15" x14ac:dyDescent="0.25">
      <c r="A698" t="s">
        <v>759</v>
      </c>
      <c r="B698" s="1">
        <v>45788</v>
      </c>
      <c r="C698" s="2">
        <v>45788.451666666668</v>
      </c>
      <c r="D698" t="s">
        <v>24</v>
      </c>
      <c r="E698" t="s">
        <v>16</v>
      </c>
      <c r="F698" t="s">
        <v>58</v>
      </c>
      <c r="G698" t="s">
        <v>18</v>
      </c>
      <c r="H698" t="s">
        <v>27</v>
      </c>
      <c r="I698" t="s">
        <v>36</v>
      </c>
      <c r="J698" t="s">
        <v>46</v>
      </c>
      <c r="K698">
        <v>24</v>
      </c>
      <c r="L698">
        <v>10.84</v>
      </c>
      <c r="M698">
        <v>4.7</v>
      </c>
      <c r="N698" t="s">
        <v>22</v>
      </c>
      <c r="O698" t="str">
        <f t="shared" si="10"/>
        <v>No</v>
      </c>
    </row>
    <row r="699" spans="1:15" x14ac:dyDescent="0.25">
      <c r="A699" t="s">
        <v>760</v>
      </c>
      <c r="B699" s="1">
        <v>45764</v>
      </c>
      <c r="C699" s="2">
        <v>45765.023738425924</v>
      </c>
      <c r="D699" t="s">
        <v>15</v>
      </c>
      <c r="E699" t="s">
        <v>32</v>
      </c>
      <c r="F699" t="s">
        <v>80</v>
      </c>
      <c r="G699" t="s">
        <v>56</v>
      </c>
      <c r="H699" t="s">
        <v>44</v>
      </c>
      <c r="I699" t="s">
        <v>36</v>
      </c>
      <c r="J699" t="s">
        <v>46</v>
      </c>
      <c r="K699">
        <v>48</v>
      </c>
      <c r="L699">
        <v>24.57</v>
      </c>
      <c r="M699">
        <v>4.3</v>
      </c>
      <c r="N699" t="s">
        <v>22</v>
      </c>
      <c r="O699" t="str">
        <f t="shared" si="10"/>
        <v>No</v>
      </c>
    </row>
    <row r="700" spans="1:15" x14ac:dyDescent="0.25">
      <c r="A700" t="s">
        <v>761</v>
      </c>
      <c r="B700" s="1">
        <v>45667</v>
      </c>
      <c r="C700" s="2">
        <v>45667.809583333335</v>
      </c>
      <c r="D700" t="s">
        <v>15</v>
      </c>
      <c r="E700" t="s">
        <v>39</v>
      </c>
      <c r="F700" t="s">
        <v>119</v>
      </c>
      <c r="G700" t="s">
        <v>51</v>
      </c>
      <c r="H700" t="s">
        <v>19</v>
      </c>
      <c r="I700" t="s">
        <v>28</v>
      </c>
      <c r="J700" t="s">
        <v>21</v>
      </c>
      <c r="K700">
        <v>48</v>
      </c>
      <c r="L700">
        <v>19.43</v>
      </c>
      <c r="M700">
        <v>5</v>
      </c>
      <c r="N700" t="s">
        <v>22</v>
      </c>
      <c r="O700" t="str">
        <f t="shared" si="10"/>
        <v>No</v>
      </c>
    </row>
    <row r="701" spans="1:15" x14ac:dyDescent="0.25">
      <c r="A701" t="s">
        <v>762</v>
      </c>
      <c r="B701" s="1">
        <v>45675</v>
      </c>
      <c r="C701" s="2">
        <v>45675.306666666664</v>
      </c>
      <c r="D701" t="s">
        <v>38</v>
      </c>
      <c r="E701" t="s">
        <v>32</v>
      </c>
      <c r="F701" t="s">
        <v>64</v>
      </c>
      <c r="G701" t="s">
        <v>18</v>
      </c>
      <c r="H701" t="s">
        <v>54</v>
      </c>
      <c r="I701" t="s">
        <v>45</v>
      </c>
      <c r="J701" t="s">
        <v>46</v>
      </c>
      <c r="K701">
        <v>8</v>
      </c>
      <c r="L701">
        <v>7.36</v>
      </c>
      <c r="M701">
        <v>3.5</v>
      </c>
      <c r="N701" t="s">
        <v>22</v>
      </c>
      <c r="O701" t="str">
        <f t="shared" si="10"/>
        <v>No</v>
      </c>
    </row>
    <row r="702" spans="1:15" x14ac:dyDescent="0.25">
      <c r="A702" t="s">
        <v>763</v>
      </c>
      <c r="B702" s="1">
        <v>45752</v>
      </c>
      <c r="C702" s="2">
        <v>45752.233749999999</v>
      </c>
      <c r="D702" t="s">
        <v>38</v>
      </c>
      <c r="E702" t="s">
        <v>32</v>
      </c>
      <c r="F702" t="s">
        <v>64</v>
      </c>
      <c r="G702" t="s">
        <v>41</v>
      </c>
      <c r="H702" t="s">
        <v>35</v>
      </c>
      <c r="I702" t="s">
        <v>28</v>
      </c>
      <c r="J702" t="s">
        <v>21</v>
      </c>
      <c r="K702">
        <v>8</v>
      </c>
      <c r="L702">
        <v>5.61</v>
      </c>
      <c r="M702">
        <v>4.9000000000000004</v>
      </c>
      <c r="N702" t="s">
        <v>22</v>
      </c>
      <c r="O702" t="str">
        <f t="shared" si="10"/>
        <v>No</v>
      </c>
    </row>
    <row r="703" spans="1:15" x14ac:dyDescent="0.25">
      <c r="A703" t="s">
        <v>764</v>
      </c>
      <c r="B703" s="1">
        <v>45769</v>
      </c>
      <c r="C703" s="2">
        <v>45769.222083333334</v>
      </c>
      <c r="D703" t="s">
        <v>38</v>
      </c>
      <c r="E703" t="s">
        <v>45</v>
      </c>
      <c r="F703" t="s">
        <v>104</v>
      </c>
      <c r="G703" t="s">
        <v>41</v>
      </c>
      <c r="H703" t="s">
        <v>27</v>
      </c>
      <c r="I703" t="s">
        <v>28</v>
      </c>
      <c r="J703" t="s">
        <v>21</v>
      </c>
      <c r="K703">
        <v>8</v>
      </c>
      <c r="L703">
        <v>5.33</v>
      </c>
      <c r="M703">
        <v>4</v>
      </c>
      <c r="N703" t="s">
        <v>22</v>
      </c>
      <c r="O703" t="str">
        <f t="shared" si="10"/>
        <v>No</v>
      </c>
    </row>
    <row r="704" spans="1:15" x14ac:dyDescent="0.25">
      <c r="A704" t="s">
        <v>765</v>
      </c>
      <c r="B704" s="1">
        <v>45688</v>
      </c>
      <c r="C704" s="2">
        <v>45688.414583333331</v>
      </c>
      <c r="D704" t="s">
        <v>38</v>
      </c>
      <c r="E704" t="s">
        <v>32</v>
      </c>
      <c r="F704" t="s">
        <v>80</v>
      </c>
      <c r="G704" t="s">
        <v>51</v>
      </c>
      <c r="H704" t="s">
        <v>44</v>
      </c>
      <c r="I704" t="s">
        <v>45</v>
      </c>
      <c r="J704" t="s">
        <v>21</v>
      </c>
      <c r="K704">
        <v>8</v>
      </c>
      <c r="L704">
        <v>9.9499999999999993</v>
      </c>
      <c r="M704">
        <v>4.4000000000000004</v>
      </c>
      <c r="N704" t="s">
        <v>22</v>
      </c>
      <c r="O704" t="str">
        <f t="shared" si="10"/>
        <v>Yes</v>
      </c>
    </row>
    <row r="705" spans="1:15" x14ac:dyDescent="0.25">
      <c r="A705" t="s">
        <v>766</v>
      </c>
      <c r="B705" s="1">
        <v>45689</v>
      </c>
      <c r="C705" s="2">
        <v>45689.926249999997</v>
      </c>
      <c r="D705" t="s">
        <v>24</v>
      </c>
      <c r="E705" t="s">
        <v>16</v>
      </c>
      <c r="F705" t="s">
        <v>17</v>
      </c>
      <c r="G705" t="s">
        <v>56</v>
      </c>
      <c r="H705" t="s">
        <v>54</v>
      </c>
      <c r="I705" t="s">
        <v>45</v>
      </c>
      <c r="J705" t="s">
        <v>46</v>
      </c>
      <c r="K705">
        <v>24</v>
      </c>
      <c r="L705">
        <v>22.23</v>
      </c>
      <c r="M705">
        <v>4.5999999999999996</v>
      </c>
      <c r="N705" t="s">
        <v>22</v>
      </c>
      <c r="O705" t="str">
        <f t="shared" si="10"/>
        <v>No</v>
      </c>
    </row>
    <row r="706" spans="1:15" x14ac:dyDescent="0.25">
      <c r="A706" t="s">
        <v>767</v>
      </c>
      <c r="B706" s="1">
        <v>45681</v>
      </c>
      <c r="C706" s="2">
        <v>45681.020833333336</v>
      </c>
      <c r="D706" t="s">
        <v>38</v>
      </c>
      <c r="E706" t="s">
        <v>39</v>
      </c>
      <c r="F706" t="s">
        <v>78</v>
      </c>
      <c r="G706" t="s">
        <v>34</v>
      </c>
      <c r="H706" t="s">
        <v>54</v>
      </c>
      <c r="I706" t="s">
        <v>45</v>
      </c>
      <c r="J706" t="s">
        <v>21</v>
      </c>
      <c r="K706">
        <v>8</v>
      </c>
      <c r="L706">
        <v>0.5</v>
      </c>
      <c r="M706">
        <v>5</v>
      </c>
      <c r="N706" t="s">
        <v>22</v>
      </c>
      <c r="O706" t="str">
        <f t="shared" si="10"/>
        <v>No</v>
      </c>
    </row>
    <row r="707" spans="1:15" x14ac:dyDescent="0.25">
      <c r="A707" t="s">
        <v>768</v>
      </c>
      <c r="B707" s="1">
        <v>45760</v>
      </c>
      <c r="C707" s="2">
        <v>45760.397499999999</v>
      </c>
      <c r="D707" t="s">
        <v>24</v>
      </c>
      <c r="E707" t="s">
        <v>39</v>
      </c>
      <c r="F707" t="s">
        <v>40</v>
      </c>
      <c r="G707" t="s">
        <v>34</v>
      </c>
      <c r="H707" t="s">
        <v>65</v>
      </c>
      <c r="I707" t="s">
        <v>20</v>
      </c>
      <c r="J707" t="s">
        <v>21</v>
      </c>
      <c r="K707">
        <v>24</v>
      </c>
      <c r="L707">
        <v>9.5399999999999991</v>
      </c>
      <c r="M707">
        <v>4.5</v>
      </c>
      <c r="N707" t="s">
        <v>22</v>
      </c>
      <c r="O707" t="str">
        <f t="shared" ref="O707:O770" si="11">IF(L707&gt;K707,"Yes","No")</f>
        <v>No</v>
      </c>
    </row>
    <row r="708" spans="1:15" x14ac:dyDescent="0.25">
      <c r="A708" t="s">
        <v>769</v>
      </c>
      <c r="B708" s="1">
        <v>45659</v>
      </c>
      <c r="C708" s="2">
        <v>45659.332916666666</v>
      </c>
      <c r="D708" t="s">
        <v>15</v>
      </c>
      <c r="E708" t="s">
        <v>39</v>
      </c>
      <c r="F708" t="s">
        <v>40</v>
      </c>
      <c r="G708" t="s">
        <v>41</v>
      </c>
      <c r="H708" t="s">
        <v>35</v>
      </c>
      <c r="I708" t="s">
        <v>45</v>
      </c>
      <c r="J708" t="s">
        <v>46</v>
      </c>
      <c r="K708">
        <v>48</v>
      </c>
      <c r="L708">
        <v>7.99</v>
      </c>
      <c r="M708">
        <v>5</v>
      </c>
      <c r="N708" t="s">
        <v>22</v>
      </c>
      <c r="O708" t="str">
        <f t="shared" si="11"/>
        <v>No</v>
      </c>
    </row>
    <row r="709" spans="1:15" x14ac:dyDescent="0.25">
      <c r="A709" t="s">
        <v>770</v>
      </c>
      <c r="B709" s="1">
        <v>45761</v>
      </c>
      <c r="C709" s="2">
        <v>45761.565821759257</v>
      </c>
      <c r="D709" t="s">
        <v>15</v>
      </c>
      <c r="E709" t="s">
        <v>39</v>
      </c>
      <c r="F709" t="s">
        <v>40</v>
      </c>
      <c r="G709" t="s">
        <v>51</v>
      </c>
      <c r="H709" t="s">
        <v>65</v>
      </c>
      <c r="I709" t="s">
        <v>36</v>
      </c>
      <c r="J709" t="s">
        <v>21</v>
      </c>
      <c r="K709">
        <v>48</v>
      </c>
      <c r="L709">
        <v>13.58</v>
      </c>
      <c r="M709">
        <v>5</v>
      </c>
      <c r="N709" t="s">
        <v>61</v>
      </c>
      <c r="O709" t="str">
        <f t="shared" si="11"/>
        <v>No</v>
      </c>
    </row>
    <row r="710" spans="1:15" x14ac:dyDescent="0.25">
      <c r="A710" t="s">
        <v>771</v>
      </c>
      <c r="B710" s="1">
        <v>45744</v>
      </c>
      <c r="C710" s="2">
        <v>45744.677916666667</v>
      </c>
      <c r="D710" t="s">
        <v>15</v>
      </c>
      <c r="E710" t="s">
        <v>16</v>
      </c>
      <c r="F710" t="s">
        <v>17</v>
      </c>
      <c r="G710" t="s">
        <v>41</v>
      </c>
      <c r="H710" t="s">
        <v>35</v>
      </c>
      <c r="I710" t="s">
        <v>28</v>
      </c>
      <c r="J710" t="s">
        <v>21</v>
      </c>
      <c r="K710">
        <v>48</v>
      </c>
      <c r="L710">
        <v>16.27</v>
      </c>
      <c r="M710">
        <v>2.5</v>
      </c>
      <c r="N710" t="s">
        <v>22</v>
      </c>
      <c r="O710" t="str">
        <f t="shared" si="11"/>
        <v>No</v>
      </c>
    </row>
    <row r="711" spans="1:15" x14ac:dyDescent="0.25">
      <c r="A711" t="s">
        <v>772</v>
      </c>
      <c r="B711" s="1">
        <v>45742</v>
      </c>
      <c r="C711" s="2">
        <v>45742.549166666664</v>
      </c>
      <c r="D711" t="s">
        <v>15</v>
      </c>
      <c r="E711" t="s">
        <v>45</v>
      </c>
      <c r="F711" t="s">
        <v>100</v>
      </c>
      <c r="G711" t="s">
        <v>41</v>
      </c>
      <c r="H711" t="s">
        <v>35</v>
      </c>
      <c r="I711" t="s">
        <v>45</v>
      </c>
      <c r="J711" t="s">
        <v>29</v>
      </c>
      <c r="K711">
        <v>48</v>
      </c>
      <c r="L711">
        <v>13.18</v>
      </c>
      <c r="M711">
        <v>4.0999999999999996</v>
      </c>
      <c r="N711" t="s">
        <v>22</v>
      </c>
      <c r="O711" t="str">
        <f t="shared" si="11"/>
        <v>No</v>
      </c>
    </row>
    <row r="712" spans="1:15" x14ac:dyDescent="0.25">
      <c r="A712" t="s">
        <v>773</v>
      </c>
      <c r="B712" s="1">
        <v>45780</v>
      </c>
      <c r="C712" s="2">
        <v>45780.955833333333</v>
      </c>
      <c r="D712" t="s">
        <v>24</v>
      </c>
      <c r="E712" t="s">
        <v>39</v>
      </c>
      <c r="F712" t="s">
        <v>87</v>
      </c>
      <c r="G712" t="s">
        <v>51</v>
      </c>
      <c r="H712" t="s">
        <v>44</v>
      </c>
      <c r="I712" t="s">
        <v>20</v>
      </c>
      <c r="J712" t="s">
        <v>29</v>
      </c>
      <c r="K712">
        <v>24</v>
      </c>
      <c r="L712">
        <v>22.94</v>
      </c>
      <c r="M712">
        <v>4</v>
      </c>
      <c r="N712" t="s">
        <v>22</v>
      </c>
      <c r="O712" t="str">
        <f t="shared" si="11"/>
        <v>No</v>
      </c>
    </row>
    <row r="713" spans="1:15" x14ac:dyDescent="0.25">
      <c r="A713" t="s">
        <v>774</v>
      </c>
      <c r="B713" s="1">
        <v>45752</v>
      </c>
      <c r="C713" s="2">
        <v>45752.848333333335</v>
      </c>
      <c r="D713" t="s">
        <v>24</v>
      </c>
      <c r="E713" t="s">
        <v>45</v>
      </c>
      <c r="F713" t="s">
        <v>104</v>
      </c>
      <c r="G713" t="s">
        <v>56</v>
      </c>
      <c r="H713" t="s">
        <v>65</v>
      </c>
      <c r="I713" t="s">
        <v>36</v>
      </c>
      <c r="J713" t="s">
        <v>29</v>
      </c>
      <c r="K713">
        <v>24</v>
      </c>
      <c r="L713">
        <v>20.36</v>
      </c>
      <c r="M713">
        <v>4.2</v>
      </c>
      <c r="N713" t="s">
        <v>22</v>
      </c>
      <c r="O713" t="str">
        <f t="shared" si="11"/>
        <v>No</v>
      </c>
    </row>
    <row r="714" spans="1:15" x14ac:dyDescent="0.25">
      <c r="A714" t="s">
        <v>775</v>
      </c>
      <c r="B714" s="1">
        <v>45789</v>
      </c>
      <c r="C714" s="2">
        <v>45789.13208333333</v>
      </c>
      <c r="D714" t="s">
        <v>38</v>
      </c>
      <c r="E714" t="s">
        <v>16</v>
      </c>
      <c r="F714" t="s">
        <v>43</v>
      </c>
      <c r="G714" t="s">
        <v>34</v>
      </c>
      <c r="H714" t="s">
        <v>44</v>
      </c>
      <c r="I714" t="s">
        <v>45</v>
      </c>
      <c r="J714" t="s">
        <v>46</v>
      </c>
      <c r="K714">
        <v>8</v>
      </c>
      <c r="L714">
        <v>3.17</v>
      </c>
      <c r="M714">
        <v>5</v>
      </c>
      <c r="N714" t="s">
        <v>22</v>
      </c>
      <c r="O714" t="str">
        <f t="shared" si="11"/>
        <v>No</v>
      </c>
    </row>
    <row r="715" spans="1:15" x14ac:dyDescent="0.25">
      <c r="A715" t="s">
        <v>776</v>
      </c>
      <c r="B715" s="1">
        <v>45796</v>
      </c>
      <c r="C715" s="2">
        <v>45796.825833333336</v>
      </c>
      <c r="D715" t="s">
        <v>24</v>
      </c>
      <c r="E715" t="s">
        <v>16</v>
      </c>
      <c r="F715" t="s">
        <v>43</v>
      </c>
      <c r="G715" t="s">
        <v>41</v>
      </c>
      <c r="H715" t="s">
        <v>35</v>
      </c>
      <c r="I715" t="s">
        <v>45</v>
      </c>
      <c r="J715" t="s">
        <v>21</v>
      </c>
      <c r="K715">
        <v>24</v>
      </c>
      <c r="L715">
        <v>19.82</v>
      </c>
      <c r="M715">
        <v>5</v>
      </c>
      <c r="N715" t="s">
        <v>22</v>
      </c>
      <c r="O715" t="str">
        <f t="shared" si="11"/>
        <v>No</v>
      </c>
    </row>
    <row r="716" spans="1:15" x14ac:dyDescent="0.25">
      <c r="A716" t="s">
        <v>777</v>
      </c>
      <c r="B716" s="1">
        <v>45824</v>
      </c>
      <c r="C716" s="2">
        <v>45825.502083333333</v>
      </c>
      <c r="D716" t="s">
        <v>15</v>
      </c>
      <c r="E716" t="s">
        <v>32</v>
      </c>
      <c r="F716" t="s">
        <v>80</v>
      </c>
      <c r="G716" t="s">
        <v>56</v>
      </c>
      <c r="H716" t="s">
        <v>65</v>
      </c>
      <c r="I716" t="s">
        <v>20</v>
      </c>
      <c r="J716" t="s">
        <v>21</v>
      </c>
      <c r="K716">
        <v>48</v>
      </c>
      <c r="L716">
        <v>36.049999999999997</v>
      </c>
      <c r="M716">
        <v>4.5</v>
      </c>
      <c r="N716" t="s">
        <v>22</v>
      </c>
      <c r="O716" t="str">
        <f t="shared" si="11"/>
        <v>No</v>
      </c>
    </row>
    <row r="717" spans="1:15" x14ac:dyDescent="0.25">
      <c r="A717" t="s">
        <v>778</v>
      </c>
      <c r="B717" s="1">
        <v>45802</v>
      </c>
      <c r="C717" s="2">
        <v>45802.199583333335</v>
      </c>
      <c r="D717" t="s">
        <v>38</v>
      </c>
      <c r="E717" t="s">
        <v>32</v>
      </c>
      <c r="F717" t="s">
        <v>80</v>
      </c>
      <c r="G717" t="s">
        <v>18</v>
      </c>
      <c r="H717" t="s">
        <v>54</v>
      </c>
      <c r="I717" t="s">
        <v>36</v>
      </c>
      <c r="J717" t="s">
        <v>21</v>
      </c>
      <c r="K717">
        <v>8</v>
      </c>
      <c r="L717">
        <v>4.79</v>
      </c>
      <c r="M717">
        <v>2.9</v>
      </c>
      <c r="N717" t="s">
        <v>22</v>
      </c>
      <c r="O717" t="str">
        <f t="shared" si="11"/>
        <v>No</v>
      </c>
    </row>
    <row r="718" spans="1:15" x14ac:dyDescent="0.25">
      <c r="A718" t="s">
        <v>779</v>
      </c>
      <c r="B718" s="1">
        <v>45751</v>
      </c>
      <c r="C718" s="2">
        <v>45751.487500000003</v>
      </c>
      <c r="D718" t="s">
        <v>24</v>
      </c>
      <c r="E718" t="s">
        <v>25</v>
      </c>
      <c r="F718" t="s">
        <v>53</v>
      </c>
      <c r="G718" t="s">
        <v>34</v>
      </c>
      <c r="H718" t="s">
        <v>27</v>
      </c>
      <c r="I718" t="s">
        <v>36</v>
      </c>
      <c r="J718" t="s">
        <v>29</v>
      </c>
      <c r="K718">
        <v>24</v>
      </c>
      <c r="L718">
        <v>11.7</v>
      </c>
      <c r="M718">
        <v>4.5</v>
      </c>
      <c r="N718" t="s">
        <v>61</v>
      </c>
      <c r="O718" t="str">
        <f t="shared" si="11"/>
        <v>No</v>
      </c>
    </row>
    <row r="719" spans="1:15" x14ac:dyDescent="0.25">
      <c r="A719" t="s">
        <v>780</v>
      </c>
      <c r="B719" s="1">
        <v>45747</v>
      </c>
      <c r="C719" s="2">
        <v>45749.050833333335</v>
      </c>
      <c r="D719" t="s">
        <v>15</v>
      </c>
      <c r="E719" t="s">
        <v>16</v>
      </c>
      <c r="F719" t="s">
        <v>17</v>
      </c>
      <c r="G719" t="s">
        <v>51</v>
      </c>
      <c r="H719" t="s">
        <v>44</v>
      </c>
      <c r="I719" t="s">
        <v>20</v>
      </c>
      <c r="J719" t="s">
        <v>21</v>
      </c>
      <c r="K719">
        <v>48</v>
      </c>
      <c r="L719">
        <v>49.22</v>
      </c>
      <c r="M719">
        <v>4.5999999999999996</v>
      </c>
      <c r="N719" t="s">
        <v>22</v>
      </c>
      <c r="O719" t="str">
        <f t="shared" si="11"/>
        <v>Yes</v>
      </c>
    </row>
    <row r="720" spans="1:15" x14ac:dyDescent="0.25">
      <c r="A720" t="s">
        <v>781</v>
      </c>
      <c r="B720" s="1">
        <v>45700</v>
      </c>
      <c r="C720" s="2">
        <v>45701.067499999997</v>
      </c>
      <c r="D720" t="s">
        <v>15</v>
      </c>
      <c r="E720" t="s">
        <v>39</v>
      </c>
      <c r="F720" t="s">
        <v>40</v>
      </c>
      <c r="G720" t="s">
        <v>51</v>
      </c>
      <c r="H720" t="s">
        <v>19</v>
      </c>
      <c r="I720" t="s">
        <v>28</v>
      </c>
      <c r="J720" t="s">
        <v>21</v>
      </c>
      <c r="K720">
        <v>48</v>
      </c>
      <c r="L720">
        <v>25.62</v>
      </c>
      <c r="M720">
        <v>4.4000000000000004</v>
      </c>
      <c r="N720" t="s">
        <v>22</v>
      </c>
      <c r="O720" t="str">
        <f t="shared" si="11"/>
        <v>No</v>
      </c>
    </row>
    <row r="721" spans="1:15" x14ac:dyDescent="0.25">
      <c r="A721" t="s">
        <v>782</v>
      </c>
      <c r="B721" s="1">
        <v>45766</v>
      </c>
      <c r="C721" s="2">
        <v>45766.651250000003</v>
      </c>
      <c r="D721" t="s">
        <v>24</v>
      </c>
      <c r="E721" t="s">
        <v>25</v>
      </c>
      <c r="F721" t="s">
        <v>26</v>
      </c>
      <c r="G721" t="s">
        <v>18</v>
      </c>
      <c r="H721" t="s">
        <v>35</v>
      </c>
      <c r="I721" t="s">
        <v>36</v>
      </c>
      <c r="J721" t="s">
        <v>46</v>
      </c>
      <c r="K721">
        <v>24</v>
      </c>
      <c r="L721">
        <v>15.63</v>
      </c>
      <c r="M721">
        <v>4.4000000000000004</v>
      </c>
      <c r="N721" t="s">
        <v>22</v>
      </c>
      <c r="O721" t="str">
        <f t="shared" si="11"/>
        <v>No</v>
      </c>
    </row>
    <row r="722" spans="1:15" x14ac:dyDescent="0.25">
      <c r="A722" t="s">
        <v>783</v>
      </c>
      <c r="B722" s="1">
        <v>45683</v>
      </c>
      <c r="C722" s="2">
        <v>45684.237083333333</v>
      </c>
      <c r="D722" t="s">
        <v>15</v>
      </c>
      <c r="E722" t="s">
        <v>39</v>
      </c>
      <c r="F722" t="s">
        <v>40</v>
      </c>
      <c r="G722" t="s">
        <v>34</v>
      </c>
      <c r="H722" t="s">
        <v>65</v>
      </c>
      <c r="I722" t="s">
        <v>36</v>
      </c>
      <c r="J722" t="s">
        <v>21</v>
      </c>
      <c r="K722">
        <v>48</v>
      </c>
      <c r="L722">
        <v>29.69</v>
      </c>
      <c r="M722">
        <v>3.9</v>
      </c>
      <c r="N722" t="s">
        <v>22</v>
      </c>
      <c r="O722" t="str">
        <f t="shared" si="11"/>
        <v>No</v>
      </c>
    </row>
    <row r="723" spans="1:15" x14ac:dyDescent="0.25">
      <c r="A723" t="s">
        <v>784</v>
      </c>
      <c r="B723" s="1">
        <v>45826</v>
      </c>
      <c r="C723" s="2">
        <v>45826.116666666669</v>
      </c>
      <c r="D723" t="s">
        <v>38</v>
      </c>
      <c r="E723" t="s">
        <v>25</v>
      </c>
      <c r="F723" t="s">
        <v>26</v>
      </c>
      <c r="G723" t="s">
        <v>34</v>
      </c>
      <c r="H723" t="s">
        <v>19</v>
      </c>
      <c r="I723" t="s">
        <v>45</v>
      </c>
      <c r="J723" t="s">
        <v>21</v>
      </c>
      <c r="K723">
        <v>8</v>
      </c>
      <c r="L723">
        <v>2.8</v>
      </c>
      <c r="M723">
        <v>5</v>
      </c>
      <c r="N723" t="s">
        <v>22</v>
      </c>
      <c r="O723" t="str">
        <f t="shared" si="11"/>
        <v>No</v>
      </c>
    </row>
    <row r="724" spans="1:15" x14ac:dyDescent="0.25">
      <c r="A724" t="s">
        <v>785</v>
      </c>
      <c r="B724" s="1">
        <v>45810</v>
      </c>
      <c r="C724" s="2">
        <v>45810.111250000002</v>
      </c>
      <c r="D724" t="s">
        <v>38</v>
      </c>
      <c r="E724" t="s">
        <v>39</v>
      </c>
      <c r="F724" t="s">
        <v>78</v>
      </c>
      <c r="G724" t="s">
        <v>51</v>
      </c>
      <c r="H724" t="s">
        <v>35</v>
      </c>
      <c r="I724" t="s">
        <v>36</v>
      </c>
      <c r="J724" t="s">
        <v>29</v>
      </c>
      <c r="K724">
        <v>8</v>
      </c>
      <c r="L724">
        <v>2.67</v>
      </c>
      <c r="M724">
        <v>4.4000000000000004</v>
      </c>
      <c r="N724" t="s">
        <v>22</v>
      </c>
      <c r="O724" t="str">
        <f t="shared" si="11"/>
        <v>No</v>
      </c>
    </row>
    <row r="725" spans="1:15" x14ac:dyDescent="0.25">
      <c r="A725" t="s">
        <v>786</v>
      </c>
      <c r="B725" s="1">
        <v>45679</v>
      </c>
      <c r="C725" s="2">
        <v>45679.462500000001</v>
      </c>
      <c r="D725" t="s">
        <v>24</v>
      </c>
      <c r="E725" t="s">
        <v>45</v>
      </c>
      <c r="F725" t="s">
        <v>100</v>
      </c>
      <c r="G725" t="s">
        <v>56</v>
      </c>
      <c r="H725" t="s">
        <v>35</v>
      </c>
      <c r="I725" t="s">
        <v>36</v>
      </c>
      <c r="J725" t="s">
        <v>21</v>
      </c>
      <c r="K725">
        <v>24</v>
      </c>
      <c r="L725">
        <v>11.1</v>
      </c>
      <c r="M725">
        <v>4.8</v>
      </c>
      <c r="N725" t="s">
        <v>22</v>
      </c>
      <c r="O725" t="str">
        <f t="shared" si="11"/>
        <v>No</v>
      </c>
    </row>
    <row r="726" spans="1:15" x14ac:dyDescent="0.25">
      <c r="A726" t="s">
        <v>787</v>
      </c>
      <c r="B726" s="1">
        <v>45800</v>
      </c>
      <c r="C726" s="2">
        <v>45801.887499999997</v>
      </c>
      <c r="D726" t="s">
        <v>15</v>
      </c>
      <c r="E726" t="s">
        <v>32</v>
      </c>
      <c r="F726" t="s">
        <v>75</v>
      </c>
      <c r="G726" t="s">
        <v>34</v>
      </c>
      <c r="H726" t="s">
        <v>65</v>
      </c>
      <c r="I726" t="s">
        <v>45</v>
      </c>
      <c r="J726" t="s">
        <v>29</v>
      </c>
      <c r="K726">
        <v>48</v>
      </c>
      <c r="L726">
        <v>45.3</v>
      </c>
      <c r="M726">
        <v>4.0999999999999996</v>
      </c>
      <c r="N726" t="s">
        <v>61</v>
      </c>
      <c r="O726" t="str">
        <f t="shared" si="11"/>
        <v>No</v>
      </c>
    </row>
    <row r="727" spans="1:15" x14ac:dyDescent="0.25">
      <c r="A727" t="s">
        <v>788</v>
      </c>
      <c r="B727" s="1">
        <v>45679</v>
      </c>
      <c r="C727" s="2">
        <v>45679.167083333334</v>
      </c>
      <c r="D727" t="s">
        <v>38</v>
      </c>
      <c r="E727" t="s">
        <v>32</v>
      </c>
      <c r="F727" t="s">
        <v>80</v>
      </c>
      <c r="G727" t="s">
        <v>51</v>
      </c>
      <c r="H727" t="s">
        <v>44</v>
      </c>
      <c r="I727" t="s">
        <v>45</v>
      </c>
      <c r="J727" t="s">
        <v>21</v>
      </c>
      <c r="K727">
        <v>8</v>
      </c>
      <c r="L727">
        <v>4.01</v>
      </c>
      <c r="M727">
        <v>4.4000000000000004</v>
      </c>
      <c r="N727" t="s">
        <v>22</v>
      </c>
      <c r="O727" t="str">
        <f t="shared" si="11"/>
        <v>No</v>
      </c>
    </row>
    <row r="728" spans="1:15" x14ac:dyDescent="0.25">
      <c r="A728" t="s">
        <v>789</v>
      </c>
      <c r="B728" s="1">
        <v>45788</v>
      </c>
      <c r="C728" s="2">
        <v>45788.084999999999</v>
      </c>
      <c r="D728" t="s">
        <v>24</v>
      </c>
      <c r="E728" t="s">
        <v>16</v>
      </c>
      <c r="F728" t="s">
        <v>43</v>
      </c>
      <c r="G728" t="s">
        <v>41</v>
      </c>
      <c r="H728" t="s">
        <v>44</v>
      </c>
      <c r="I728" t="s">
        <v>36</v>
      </c>
      <c r="J728" t="s">
        <v>21</v>
      </c>
      <c r="K728">
        <v>24</v>
      </c>
      <c r="L728">
        <v>2.04</v>
      </c>
      <c r="M728">
        <v>5</v>
      </c>
      <c r="N728" t="s">
        <v>22</v>
      </c>
      <c r="O728" t="str">
        <f t="shared" si="11"/>
        <v>No</v>
      </c>
    </row>
    <row r="729" spans="1:15" x14ac:dyDescent="0.25">
      <c r="A729" t="s">
        <v>790</v>
      </c>
      <c r="B729" s="1">
        <v>45673</v>
      </c>
      <c r="C729" s="2">
        <v>45674.397083333337</v>
      </c>
      <c r="D729" t="s">
        <v>15</v>
      </c>
      <c r="E729" t="s">
        <v>32</v>
      </c>
      <c r="F729" t="s">
        <v>80</v>
      </c>
      <c r="G729" t="s">
        <v>34</v>
      </c>
      <c r="H729" t="s">
        <v>54</v>
      </c>
      <c r="I729" t="s">
        <v>36</v>
      </c>
      <c r="J729" t="s">
        <v>21</v>
      </c>
      <c r="K729">
        <v>48</v>
      </c>
      <c r="L729">
        <v>33.53</v>
      </c>
      <c r="M729">
        <v>4.3</v>
      </c>
      <c r="N729" t="s">
        <v>22</v>
      </c>
      <c r="O729" t="str">
        <f t="shared" si="11"/>
        <v>No</v>
      </c>
    </row>
    <row r="730" spans="1:15" x14ac:dyDescent="0.25">
      <c r="A730" t="s">
        <v>791</v>
      </c>
      <c r="B730" s="1">
        <v>45746</v>
      </c>
      <c r="C730" s="2">
        <v>45746.362916666665</v>
      </c>
      <c r="D730" t="s">
        <v>24</v>
      </c>
      <c r="E730" t="s">
        <v>45</v>
      </c>
      <c r="F730" t="s">
        <v>112</v>
      </c>
      <c r="G730" t="s">
        <v>41</v>
      </c>
      <c r="H730" t="s">
        <v>35</v>
      </c>
      <c r="I730" t="s">
        <v>28</v>
      </c>
      <c r="J730" t="s">
        <v>21</v>
      </c>
      <c r="K730">
        <v>24</v>
      </c>
      <c r="L730">
        <v>8.7100000000000009</v>
      </c>
      <c r="M730">
        <v>5</v>
      </c>
      <c r="N730" t="s">
        <v>22</v>
      </c>
      <c r="O730" t="str">
        <f t="shared" si="11"/>
        <v>No</v>
      </c>
    </row>
    <row r="731" spans="1:15" x14ac:dyDescent="0.25">
      <c r="A731" t="s">
        <v>792</v>
      </c>
      <c r="B731" s="1">
        <v>45777</v>
      </c>
      <c r="C731" s="2">
        <v>45777.272083333337</v>
      </c>
      <c r="D731" t="s">
        <v>24</v>
      </c>
      <c r="E731" t="s">
        <v>16</v>
      </c>
      <c r="F731" t="s">
        <v>58</v>
      </c>
      <c r="G731" t="s">
        <v>51</v>
      </c>
      <c r="H731" t="s">
        <v>19</v>
      </c>
      <c r="I731" t="s">
        <v>45</v>
      </c>
      <c r="J731" t="s">
        <v>21</v>
      </c>
      <c r="K731">
        <v>24</v>
      </c>
      <c r="L731">
        <v>6.53</v>
      </c>
      <c r="M731">
        <v>5</v>
      </c>
      <c r="N731" t="s">
        <v>22</v>
      </c>
      <c r="O731" t="str">
        <f t="shared" si="11"/>
        <v>No</v>
      </c>
    </row>
    <row r="732" spans="1:15" x14ac:dyDescent="0.25">
      <c r="A732" t="s">
        <v>793</v>
      </c>
      <c r="B732" s="1">
        <v>45789</v>
      </c>
      <c r="C732" s="2">
        <v>45789.88208333333</v>
      </c>
      <c r="D732" t="s">
        <v>24</v>
      </c>
      <c r="E732" t="s">
        <v>32</v>
      </c>
      <c r="F732" t="s">
        <v>64</v>
      </c>
      <c r="G732" t="s">
        <v>18</v>
      </c>
      <c r="H732" t="s">
        <v>19</v>
      </c>
      <c r="I732" t="s">
        <v>20</v>
      </c>
      <c r="J732" t="s">
        <v>21</v>
      </c>
      <c r="K732">
        <v>24</v>
      </c>
      <c r="L732">
        <v>21.17</v>
      </c>
      <c r="M732">
        <v>4.5999999999999996</v>
      </c>
      <c r="N732" t="s">
        <v>22</v>
      </c>
      <c r="O732" t="str">
        <f t="shared" si="11"/>
        <v>No</v>
      </c>
    </row>
    <row r="733" spans="1:15" x14ac:dyDescent="0.25">
      <c r="A733" t="s">
        <v>794</v>
      </c>
      <c r="B733" s="1">
        <v>45733</v>
      </c>
      <c r="C733" s="2">
        <v>45734.755833333336</v>
      </c>
      <c r="D733" t="s">
        <v>15</v>
      </c>
      <c r="E733" t="s">
        <v>32</v>
      </c>
      <c r="F733" t="s">
        <v>75</v>
      </c>
      <c r="G733" t="s">
        <v>34</v>
      </c>
      <c r="H733" t="s">
        <v>54</v>
      </c>
      <c r="I733" t="s">
        <v>36</v>
      </c>
      <c r="J733" t="s">
        <v>21</v>
      </c>
      <c r="K733">
        <v>48</v>
      </c>
      <c r="L733">
        <v>42.14</v>
      </c>
      <c r="M733">
        <v>3.4</v>
      </c>
      <c r="N733" t="s">
        <v>22</v>
      </c>
      <c r="O733" t="str">
        <f t="shared" si="11"/>
        <v>No</v>
      </c>
    </row>
    <row r="734" spans="1:15" x14ac:dyDescent="0.25">
      <c r="A734" t="s">
        <v>795</v>
      </c>
      <c r="B734" s="1">
        <v>45824</v>
      </c>
      <c r="C734" s="2">
        <v>45824.602083333331</v>
      </c>
      <c r="D734" t="s">
        <v>24</v>
      </c>
      <c r="E734" t="s">
        <v>45</v>
      </c>
      <c r="F734" t="s">
        <v>112</v>
      </c>
      <c r="G734" t="s">
        <v>51</v>
      </c>
      <c r="H734" t="s">
        <v>54</v>
      </c>
      <c r="I734" t="s">
        <v>20</v>
      </c>
      <c r="J734" t="s">
        <v>21</v>
      </c>
      <c r="K734">
        <v>24</v>
      </c>
      <c r="L734">
        <v>14.45</v>
      </c>
      <c r="M734">
        <v>3.7</v>
      </c>
      <c r="N734" t="s">
        <v>22</v>
      </c>
      <c r="O734" t="str">
        <f t="shared" si="11"/>
        <v>No</v>
      </c>
    </row>
    <row r="735" spans="1:15" x14ac:dyDescent="0.25">
      <c r="A735" t="s">
        <v>796</v>
      </c>
      <c r="B735" s="1">
        <v>45798</v>
      </c>
      <c r="C735" s="2">
        <v>45798.873749999999</v>
      </c>
      <c r="D735" t="s">
        <v>15</v>
      </c>
      <c r="E735" t="s">
        <v>16</v>
      </c>
      <c r="F735" t="s">
        <v>60</v>
      </c>
      <c r="G735" t="s">
        <v>34</v>
      </c>
      <c r="H735" t="s">
        <v>65</v>
      </c>
      <c r="I735" t="s">
        <v>20</v>
      </c>
      <c r="J735" t="s">
        <v>21</v>
      </c>
      <c r="K735">
        <v>48</v>
      </c>
      <c r="L735">
        <v>20.97</v>
      </c>
      <c r="M735">
        <v>4.5</v>
      </c>
      <c r="N735" t="s">
        <v>22</v>
      </c>
      <c r="O735" t="str">
        <f t="shared" si="11"/>
        <v>No</v>
      </c>
    </row>
    <row r="736" spans="1:15" x14ac:dyDescent="0.25">
      <c r="A736" t="s">
        <v>797</v>
      </c>
      <c r="B736" s="1">
        <v>45695</v>
      </c>
      <c r="C736" s="2">
        <v>45695.750833333332</v>
      </c>
      <c r="D736" t="s">
        <v>15</v>
      </c>
      <c r="E736" t="s">
        <v>45</v>
      </c>
      <c r="F736" t="s">
        <v>104</v>
      </c>
      <c r="G736" t="s">
        <v>51</v>
      </c>
      <c r="H736" t="s">
        <v>44</v>
      </c>
      <c r="I736" t="s">
        <v>36</v>
      </c>
      <c r="J736" t="s">
        <v>21</v>
      </c>
      <c r="K736">
        <v>48</v>
      </c>
      <c r="L736">
        <v>18.02</v>
      </c>
      <c r="M736">
        <v>5</v>
      </c>
      <c r="N736" t="s">
        <v>22</v>
      </c>
      <c r="O736" t="str">
        <f t="shared" si="11"/>
        <v>No</v>
      </c>
    </row>
    <row r="737" spans="1:15" x14ac:dyDescent="0.25">
      <c r="A737" t="s">
        <v>798</v>
      </c>
      <c r="B737" s="1">
        <v>45779</v>
      </c>
      <c r="C737" s="2">
        <v>45779.337083333332</v>
      </c>
      <c r="D737" t="s">
        <v>15</v>
      </c>
      <c r="E737" t="s">
        <v>32</v>
      </c>
      <c r="F737" t="s">
        <v>64</v>
      </c>
      <c r="G737" t="s">
        <v>56</v>
      </c>
      <c r="H737" t="s">
        <v>65</v>
      </c>
      <c r="I737" t="s">
        <v>45</v>
      </c>
      <c r="J737" t="s">
        <v>21</v>
      </c>
      <c r="K737">
        <v>48</v>
      </c>
      <c r="L737">
        <v>8.09</v>
      </c>
      <c r="M737">
        <v>5</v>
      </c>
      <c r="N737" t="s">
        <v>22</v>
      </c>
      <c r="O737" t="str">
        <f t="shared" si="11"/>
        <v>No</v>
      </c>
    </row>
    <row r="738" spans="1:15" x14ac:dyDescent="0.25">
      <c r="A738" t="s">
        <v>799</v>
      </c>
      <c r="B738" s="1">
        <v>45790</v>
      </c>
      <c r="C738" s="2">
        <v>45790.020833333336</v>
      </c>
      <c r="D738" t="s">
        <v>31</v>
      </c>
      <c r="E738" t="s">
        <v>45</v>
      </c>
      <c r="F738" t="s">
        <v>50</v>
      </c>
      <c r="G738" t="s">
        <v>34</v>
      </c>
      <c r="H738" t="s">
        <v>44</v>
      </c>
      <c r="I738" t="s">
        <v>45</v>
      </c>
      <c r="J738" t="s">
        <v>21</v>
      </c>
      <c r="K738">
        <v>4</v>
      </c>
      <c r="L738">
        <v>0.5</v>
      </c>
      <c r="M738">
        <v>4.4000000000000004</v>
      </c>
      <c r="N738" t="s">
        <v>22</v>
      </c>
      <c r="O738" t="str">
        <f t="shared" si="11"/>
        <v>No</v>
      </c>
    </row>
    <row r="739" spans="1:15" x14ac:dyDescent="0.25">
      <c r="A739" t="s">
        <v>800</v>
      </c>
      <c r="B739" s="1">
        <v>45718</v>
      </c>
      <c r="C739" s="2">
        <v>45718.794583333336</v>
      </c>
      <c r="D739" t="s">
        <v>15</v>
      </c>
      <c r="E739" t="s">
        <v>16</v>
      </c>
      <c r="F739" t="s">
        <v>43</v>
      </c>
      <c r="G739" t="s">
        <v>18</v>
      </c>
      <c r="H739" t="s">
        <v>35</v>
      </c>
      <c r="I739" t="s">
        <v>36</v>
      </c>
      <c r="J739" t="s">
        <v>21</v>
      </c>
      <c r="K739">
        <v>48</v>
      </c>
      <c r="L739">
        <v>19.07</v>
      </c>
      <c r="M739">
        <v>5</v>
      </c>
      <c r="N739" t="s">
        <v>61</v>
      </c>
      <c r="O739" t="str">
        <f t="shared" si="11"/>
        <v>No</v>
      </c>
    </row>
    <row r="740" spans="1:15" x14ac:dyDescent="0.25">
      <c r="A740" t="s">
        <v>801</v>
      </c>
      <c r="B740" s="1">
        <v>45791</v>
      </c>
      <c r="C740" s="2">
        <v>45791.404166666667</v>
      </c>
      <c r="D740" t="s">
        <v>24</v>
      </c>
      <c r="E740" t="s">
        <v>16</v>
      </c>
      <c r="F740" t="s">
        <v>60</v>
      </c>
      <c r="G740" t="s">
        <v>56</v>
      </c>
      <c r="H740" t="s">
        <v>54</v>
      </c>
      <c r="I740" t="s">
        <v>20</v>
      </c>
      <c r="J740" t="s">
        <v>85</v>
      </c>
      <c r="K740">
        <v>24</v>
      </c>
      <c r="L740">
        <v>9.6999999999999993</v>
      </c>
      <c r="M740">
        <v>4.0999999999999996</v>
      </c>
      <c r="N740" t="s">
        <v>22</v>
      </c>
      <c r="O740" t="str">
        <f t="shared" si="11"/>
        <v>No</v>
      </c>
    </row>
    <row r="741" spans="1:15" x14ac:dyDescent="0.25">
      <c r="A741" t="s">
        <v>802</v>
      </c>
      <c r="B741" s="1">
        <v>45820</v>
      </c>
      <c r="C741" s="2">
        <v>45820.255416666667</v>
      </c>
      <c r="D741" t="s">
        <v>24</v>
      </c>
      <c r="E741" t="s">
        <v>39</v>
      </c>
      <c r="F741" t="s">
        <v>40</v>
      </c>
      <c r="G741" t="s">
        <v>18</v>
      </c>
      <c r="H741" t="s">
        <v>35</v>
      </c>
      <c r="I741" t="s">
        <v>36</v>
      </c>
      <c r="J741" t="s">
        <v>21</v>
      </c>
      <c r="K741">
        <v>24</v>
      </c>
      <c r="L741">
        <v>6.13</v>
      </c>
      <c r="M741">
        <v>5</v>
      </c>
      <c r="N741" t="s">
        <v>22</v>
      </c>
      <c r="O741" t="str">
        <f t="shared" si="11"/>
        <v>No</v>
      </c>
    </row>
    <row r="742" spans="1:15" x14ac:dyDescent="0.25">
      <c r="A742" t="s">
        <v>803</v>
      </c>
      <c r="B742" s="1">
        <v>45805</v>
      </c>
      <c r="C742" s="2">
        <v>45805.41333333333</v>
      </c>
      <c r="D742" t="s">
        <v>38</v>
      </c>
      <c r="E742" t="s">
        <v>32</v>
      </c>
      <c r="F742" t="s">
        <v>64</v>
      </c>
      <c r="G742" t="s">
        <v>41</v>
      </c>
      <c r="H742" t="s">
        <v>44</v>
      </c>
      <c r="I742" t="s">
        <v>45</v>
      </c>
      <c r="J742" t="s">
        <v>46</v>
      </c>
      <c r="K742">
        <v>8</v>
      </c>
      <c r="L742">
        <v>9.92</v>
      </c>
      <c r="M742">
        <v>3.7</v>
      </c>
      <c r="N742" t="s">
        <v>22</v>
      </c>
      <c r="O742" t="str">
        <f t="shared" si="11"/>
        <v>Yes</v>
      </c>
    </row>
    <row r="743" spans="1:15" x14ac:dyDescent="0.25">
      <c r="A743" t="s">
        <v>804</v>
      </c>
      <c r="B743" s="1">
        <v>45796</v>
      </c>
      <c r="C743" s="2">
        <v>45796.352083333331</v>
      </c>
      <c r="D743" t="s">
        <v>24</v>
      </c>
      <c r="E743" t="s">
        <v>45</v>
      </c>
      <c r="F743" t="s">
        <v>100</v>
      </c>
      <c r="G743" t="s">
        <v>34</v>
      </c>
      <c r="H743" t="s">
        <v>19</v>
      </c>
      <c r="I743" t="s">
        <v>28</v>
      </c>
      <c r="J743" t="s">
        <v>21</v>
      </c>
      <c r="K743">
        <v>24</v>
      </c>
      <c r="L743">
        <v>8.4499999999999993</v>
      </c>
      <c r="M743">
        <v>4.4000000000000004</v>
      </c>
      <c r="N743" t="s">
        <v>22</v>
      </c>
      <c r="O743" t="str">
        <f t="shared" si="11"/>
        <v>No</v>
      </c>
    </row>
    <row r="744" spans="1:15" x14ac:dyDescent="0.25">
      <c r="A744" t="s">
        <v>805</v>
      </c>
      <c r="B744" s="1">
        <v>45772</v>
      </c>
      <c r="C744" s="2">
        <v>45772.198750000003</v>
      </c>
      <c r="D744" t="s">
        <v>38</v>
      </c>
      <c r="E744" t="s">
        <v>45</v>
      </c>
      <c r="F744" t="s">
        <v>112</v>
      </c>
      <c r="G744" t="s">
        <v>56</v>
      </c>
      <c r="H744" t="s">
        <v>35</v>
      </c>
      <c r="I744" t="s">
        <v>36</v>
      </c>
      <c r="J744" t="s">
        <v>21</v>
      </c>
      <c r="K744">
        <v>8</v>
      </c>
      <c r="L744">
        <v>4.7699999999999996</v>
      </c>
      <c r="M744">
        <v>3.9</v>
      </c>
      <c r="N744" t="s">
        <v>22</v>
      </c>
      <c r="O744" t="str">
        <f t="shared" si="11"/>
        <v>No</v>
      </c>
    </row>
    <row r="745" spans="1:15" x14ac:dyDescent="0.25">
      <c r="A745" t="s">
        <v>806</v>
      </c>
      <c r="B745" s="1">
        <v>45706</v>
      </c>
      <c r="C745" s="2">
        <v>45707.38</v>
      </c>
      <c r="D745" t="s">
        <v>15</v>
      </c>
      <c r="E745" t="s">
        <v>39</v>
      </c>
      <c r="F745" t="s">
        <v>40</v>
      </c>
      <c r="G745" t="s">
        <v>41</v>
      </c>
      <c r="H745" t="s">
        <v>19</v>
      </c>
      <c r="I745" t="s">
        <v>36</v>
      </c>
      <c r="J745" t="s">
        <v>21</v>
      </c>
      <c r="K745">
        <v>48</v>
      </c>
      <c r="L745">
        <v>33.119999999999997</v>
      </c>
      <c r="M745">
        <v>4.3</v>
      </c>
      <c r="N745" t="s">
        <v>61</v>
      </c>
      <c r="O745" t="str">
        <f t="shared" si="11"/>
        <v>No</v>
      </c>
    </row>
    <row r="746" spans="1:15" x14ac:dyDescent="0.25">
      <c r="A746" t="s">
        <v>807</v>
      </c>
      <c r="B746" s="1">
        <v>45801</v>
      </c>
      <c r="C746" s="2">
        <v>45802.519583333335</v>
      </c>
      <c r="D746" t="s">
        <v>15</v>
      </c>
      <c r="E746" t="s">
        <v>45</v>
      </c>
      <c r="F746" t="s">
        <v>104</v>
      </c>
      <c r="G746" t="s">
        <v>34</v>
      </c>
      <c r="H746" t="s">
        <v>54</v>
      </c>
      <c r="I746" t="s">
        <v>36</v>
      </c>
      <c r="J746" t="s">
        <v>21</v>
      </c>
      <c r="K746">
        <v>48</v>
      </c>
      <c r="L746">
        <v>36.47</v>
      </c>
      <c r="M746">
        <v>4.0999999999999996</v>
      </c>
      <c r="N746" t="s">
        <v>61</v>
      </c>
      <c r="O746" t="str">
        <f t="shared" si="11"/>
        <v>No</v>
      </c>
    </row>
    <row r="747" spans="1:15" x14ac:dyDescent="0.25">
      <c r="A747" t="s">
        <v>808</v>
      </c>
      <c r="B747" s="1">
        <v>45723</v>
      </c>
      <c r="C747" s="2">
        <v>45723.316250000003</v>
      </c>
      <c r="D747" t="s">
        <v>24</v>
      </c>
      <c r="E747" t="s">
        <v>32</v>
      </c>
      <c r="F747" t="s">
        <v>80</v>
      </c>
      <c r="G747" t="s">
        <v>34</v>
      </c>
      <c r="H747" t="s">
        <v>27</v>
      </c>
      <c r="I747" t="s">
        <v>28</v>
      </c>
      <c r="J747" t="s">
        <v>46</v>
      </c>
      <c r="K747">
        <v>24</v>
      </c>
      <c r="L747">
        <v>7.59</v>
      </c>
      <c r="M747">
        <v>3.9</v>
      </c>
      <c r="N747" t="s">
        <v>22</v>
      </c>
      <c r="O747" t="str">
        <f t="shared" si="11"/>
        <v>No</v>
      </c>
    </row>
    <row r="748" spans="1:15" x14ac:dyDescent="0.25">
      <c r="A748" t="s">
        <v>809</v>
      </c>
      <c r="B748" s="1">
        <v>45754</v>
      </c>
      <c r="C748" s="2">
        <v>45754.427499999998</v>
      </c>
      <c r="D748" t="s">
        <v>24</v>
      </c>
      <c r="E748" t="s">
        <v>32</v>
      </c>
      <c r="F748" t="s">
        <v>75</v>
      </c>
      <c r="G748" t="s">
        <v>51</v>
      </c>
      <c r="H748" t="s">
        <v>54</v>
      </c>
      <c r="I748" t="s">
        <v>36</v>
      </c>
      <c r="J748" t="s">
        <v>29</v>
      </c>
      <c r="K748">
        <v>24</v>
      </c>
      <c r="L748">
        <v>10.26</v>
      </c>
      <c r="M748">
        <v>4.9000000000000004</v>
      </c>
      <c r="N748" t="s">
        <v>22</v>
      </c>
      <c r="O748" t="str">
        <f t="shared" si="11"/>
        <v>No</v>
      </c>
    </row>
    <row r="749" spans="1:15" x14ac:dyDescent="0.25">
      <c r="A749" t="s">
        <v>810</v>
      </c>
      <c r="B749" s="1">
        <v>45714</v>
      </c>
      <c r="C749" s="2">
        <v>45714.184583333335</v>
      </c>
      <c r="D749" t="s">
        <v>38</v>
      </c>
      <c r="E749" t="s">
        <v>32</v>
      </c>
      <c r="F749" t="s">
        <v>75</v>
      </c>
      <c r="G749" t="s">
        <v>18</v>
      </c>
      <c r="H749" t="s">
        <v>54</v>
      </c>
      <c r="I749" t="s">
        <v>36</v>
      </c>
      <c r="J749" t="s">
        <v>21</v>
      </c>
      <c r="K749">
        <v>8</v>
      </c>
      <c r="L749">
        <v>4.43</v>
      </c>
      <c r="M749">
        <v>5</v>
      </c>
      <c r="N749" t="s">
        <v>22</v>
      </c>
      <c r="O749" t="str">
        <f t="shared" si="11"/>
        <v>No</v>
      </c>
    </row>
    <row r="750" spans="1:15" x14ac:dyDescent="0.25">
      <c r="A750" t="s">
        <v>811</v>
      </c>
      <c r="B750" s="1">
        <v>45714</v>
      </c>
      <c r="C750" s="2">
        <v>45714.105833333335</v>
      </c>
      <c r="D750" t="s">
        <v>38</v>
      </c>
      <c r="E750" t="s">
        <v>39</v>
      </c>
      <c r="F750" t="s">
        <v>87</v>
      </c>
      <c r="G750" t="s">
        <v>34</v>
      </c>
      <c r="H750" t="s">
        <v>65</v>
      </c>
      <c r="I750" t="s">
        <v>45</v>
      </c>
      <c r="J750" t="s">
        <v>21</v>
      </c>
      <c r="K750">
        <v>8</v>
      </c>
      <c r="L750">
        <v>2.54</v>
      </c>
      <c r="M750">
        <v>5</v>
      </c>
      <c r="N750" t="s">
        <v>22</v>
      </c>
      <c r="O750" t="str">
        <f t="shared" si="11"/>
        <v>No</v>
      </c>
    </row>
    <row r="751" spans="1:15" x14ac:dyDescent="0.25">
      <c r="A751" t="s">
        <v>812</v>
      </c>
      <c r="B751" s="1">
        <v>45686</v>
      </c>
      <c r="C751" s="2">
        <v>45687.161249999997</v>
      </c>
      <c r="D751" t="s">
        <v>24</v>
      </c>
      <c r="E751" t="s">
        <v>32</v>
      </c>
      <c r="F751" t="s">
        <v>33</v>
      </c>
      <c r="G751" t="s">
        <v>51</v>
      </c>
      <c r="H751" t="s">
        <v>44</v>
      </c>
      <c r="I751" t="s">
        <v>20</v>
      </c>
      <c r="J751" t="s">
        <v>46</v>
      </c>
      <c r="K751">
        <v>24</v>
      </c>
      <c r="L751">
        <v>27.87</v>
      </c>
      <c r="M751">
        <v>3.8</v>
      </c>
      <c r="N751" t="s">
        <v>22</v>
      </c>
      <c r="O751" t="str">
        <f t="shared" si="11"/>
        <v>Yes</v>
      </c>
    </row>
    <row r="752" spans="1:15" x14ac:dyDescent="0.25">
      <c r="A752" t="s">
        <v>813</v>
      </c>
      <c r="B752" s="1">
        <v>45831</v>
      </c>
      <c r="C752" s="2">
        <v>45831.360833333332</v>
      </c>
      <c r="D752" t="s">
        <v>31</v>
      </c>
      <c r="E752" t="s">
        <v>39</v>
      </c>
      <c r="F752" t="s">
        <v>87</v>
      </c>
      <c r="G752" t="s">
        <v>18</v>
      </c>
      <c r="H752" t="s">
        <v>54</v>
      </c>
      <c r="I752" t="s">
        <v>45</v>
      </c>
      <c r="J752" t="s">
        <v>46</v>
      </c>
      <c r="K752">
        <v>4</v>
      </c>
      <c r="L752">
        <v>8.66</v>
      </c>
      <c r="M752">
        <v>2.1</v>
      </c>
      <c r="N752" t="s">
        <v>22</v>
      </c>
      <c r="O752" t="str">
        <f t="shared" si="11"/>
        <v>Yes</v>
      </c>
    </row>
    <row r="753" spans="1:15" x14ac:dyDescent="0.25">
      <c r="A753" t="s">
        <v>814</v>
      </c>
      <c r="B753" s="1">
        <v>45684</v>
      </c>
      <c r="C753" s="2">
        <v>45684.675833333335</v>
      </c>
      <c r="D753" t="s">
        <v>24</v>
      </c>
      <c r="E753" t="s">
        <v>32</v>
      </c>
      <c r="F753" t="s">
        <v>33</v>
      </c>
      <c r="G753" t="s">
        <v>18</v>
      </c>
      <c r="H753" t="s">
        <v>44</v>
      </c>
      <c r="I753" t="s">
        <v>28</v>
      </c>
      <c r="J753" t="s">
        <v>21</v>
      </c>
      <c r="K753">
        <v>24</v>
      </c>
      <c r="L753">
        <v>16.22</v>
      </c>
      <c r="M753">
        <v>4.3</v>
      </c>
      <c r="N753" t="s">
        <v>22</v>
      </c>
      <c r="O753" t="str">
        <f t="shared" si="11"/>
        <v>No</v>
      </c>
    </row>
    <row r="754" spans="1:15" x14ac:dyDescent="0.25">
      <c r="A754" t="s">
        <v>815</v>
      </c>
      <c r="B754" s="1">
        <v>45673</v>
      </c>
      <c r="C754" s="2">
        <v>45674.342499999999</v>
      </c>
      <c r="D754" t="s">
        <v>15</v>
      </c>
      <c r="E754" t="s">
        <v>25</v>
      </c>
      <c r="F754" t="s">
        <v>53</v>
      </c>
      <c r="G754" t="s">
        <v>34</v>
      </c>
      <c r="H754" t="s">
        <v>44</v>
      </c>
      <c r="I754" t="s">
        <v>36</v>
      </c>
      <c r="J754" t="s">
        <v>21</v>
      </c>
      <c r="K754">
        <v>48</v>
      </c>
      <c r="L754">
        <v>32.22</v>
      </c>
      <c r="M754">
        <v>4.0999999999999996</v>
      </c>
      <c r="N754" t="s">
        <v>22</v>
      </c>
      <c r="O754" t="str">
        <f t="shared" si="11"/>
        <v>No</v>
      </c>
    </row>
    <row r="755" spans="1:15" x14ac:dyDescent="0.25">
      <c r="A755" t="s">
        <v>816</v>
      </c>
      <c r="B755" s="1">
        <v>45827</v>
      </c>
      <c r="C755" s="2">
        <v>45828.105416666665</v>
      </c>
      <c r="D755" t="s">
        <v>24</v>
      </c>
      <c r="E755" t="s">
        <v>25</v>
      </c>
      <c r="F755" t="s">
        <v>53</v>
      </c>
      <c r="G755" t="s">
        <v>34</v>
      </c>
      <c r="H755" t="s">
        <v>44</v>
      </c>
      <c r="I755" t="s">
        <v>45</v>
      </c>
      <c r="J755" t="s">
        <v>21</v>
      </c>
      <c r="K755">
        <v>24</v>
      </c>
      <c r="L755">
        <v>26.53</v>
      </c>
      <c r="M755">
        <v>3.8</v>
      </c>
      <c r="N755" t="s">
        <v>22</v>
      </c>
      <c r="O755" t="str">
        <f t="shared" si="11"/>
        <v>Yes</v>
      </c>
    </row>
    <row r="756" spans="1:15" x14ac:dyDescent="0.25">
      <c r="A756" t="s">
        <v>817</v>
      </c>
      <c r="B756" s="1">
        <v>45758</v>
      </c>
      <c r="C756" s="2">
        <v>45759.895833333336</v>
      </c>
      <c r="D756" t="s">
        <v>15</v>
      </c>
      <c r="E756" t="s">
        <v>16</v>
      </c>
      <c r="F756" t="s">
        <v>43</v>
      </c>
      <c r="G756" t="s">
        <v>51</v>
      </c>
      <c r="H756" t="s">
        <v>54</v>
      </c>
      <c r="I756" t="s">
        <v>45</v>
      </c>
      <c r="J756" t="s">
        <v>21</v>
      </c>
      <c r="K756">
        <v>48</v>
      </c>
      <c r="L756">
        <v>45.5</v>
      </c>
      <c r="M756">
        <v>4.5</v>
      </c>
      <c r="N756" t="s">
        <v>22</v>
      </c>
      <c r="O756" t="str">
        <f t="shared" si="11"/>
        <v>No</v>
      </c>
    </row>
    <row r="757" spans="1:15" x14ac:dyDescent="0.25">
      <c r="A757" t="s">
        <v>818</v>
      </c>
      <c r="B757" s="1">
        <v>45737</v>
      </c>
      <c r="C757" s="2">
        <v>45737.178333333337</v>
      </c>
      <c r="D757" t="s">
        <v>38</v>
      </c>
      <c r="E757" t="s">
        <v>32</v>
      </c>
      <c r="F757" t="s">
        <v>80</v>
      </c>
      <c r="G757" t="s">
        <v>41</v>
      </c>
      <c r="H757" t="s">
        <v>19</v>
      </c>
      <c r="I757" t="s">
        <v>36</v>
      </c>
      <c r="J757" t="s">
        <v>21</v>
      </c>
      <c r="K757">
        <v>8</v>
      </c>
      <c r="L757">
        <v>4.28</v>
      </c>
      <c r="M757">
        <v>4.3</v>
      </c>
      <c r="N757" t="s">
        <v>22</v>
      </c>
      <c r="O757" t="str">
        <f t="shared" si="11"/>
        <v>No</v>
      </c>
    </row>
    <row r="758" spans="1:15" x14ac:dyDescent="0.25">
      <c r="A758" t="s">
        <v>819</v>
      </c>
      <c r="B758" s="1">
        <v>45791</v>
      </c>
      <c r="C758" s="2">
        <v>45794.192499999997</v>
      </c>
      <c r="D758" t="s">
        <v>15</v>
      </c>
      <c r="E758" t="s">
        <v>25</v>
      </c>
      <c r="F758" t="s">
        <v>26</v>
      </c>
      <c r="G758" t="s">
        <v>18</v>
      </c>
      <c r="H758" t="s">
        <v>27</v>
      </c>
      <c r="I758" t="s">
        <v>20</v>
      </c>
      <c r="J758" t="s">
        <v>21</v>
      </c>
      <c r="K758">
        <v>48</v>
      </c>
      <c r="L758">
        <v>76.62</v>
      </c>
      <c r="M758">
        <v>1.9</v>
      </c>
      <c r="N758" t="s">
        <v>22</v>
      </c>
      <c r="O758" t="str">
        <f t="shared" si="11"/>
        <v>Yes</v>
      </c>
    </row>
    <row r="759" spans="1:15" x14ac:dyDescent="0.25">
      <c r="A759" t="s">
        <v>820</v>
      </c>
      <c r="B759" s="1">
        <v>45727</v>
      </c>
      <c r="C759" s="2">
        <v>45727.330833333333</v>
      </c>
      <c r="D759" t="s">
        <v>24</v>
      </c>
      <c r="E759" t="s">
        <v>32</v>
      </c>
      <c r="F759" t="s">
        <v>64</v>
      </c>
      <c r="G759" t="s">
        <v>18</v>
      </c>
      <c r="H759" t="s">
        <v>44</v>
      </c>
      <c r="I759" t="s">
        <v>45</v>
      </c>
      <c r="J759" t="s">
        <v>21</v>
      </c>
      <c r="K759">
        <v>24</v>
      </c>
      <c r="L759">
        <v>7.94</v>
      </c>
      <c r="M759">
        <v>5</v>
      </c>
      <c r="N759" t="s">
        <v>22</v>
      </c>
      <c r="O759" t="str">
        <f t="shared" si="11"/>
        <v>No</v>
      </c>
    </row>
    <row r="760" spans="1:15" x14ac:dyDescent="0.25">
      <c r="A760" t="s">
        <v>821</v>
      </c>
      <c r="B760" s="1">
        <v>45681</v>
      </c>
      <c r="C760" s="2">
        <v>45681.888333333336</v>
      </c>
      <c r="D760" t="s">
        <v>24</v>
      </c>
      <c r="E760" t="s">
        <v>25</v>
      </c>
      <c r="F760" t="s">
        <v>26</v>
      </c>
      <c r="G760" t="s">
        <v>56</v>
      </c>
      <c r="H760" t="s">
        <v>54</v>
      </c>
      <c r="I760" t="s">
        <v>36</v>
      </c>
      <c r="J760" t="s">
        <v>21</v>
      </c>
      <c r="K760">
        <v>24</v>
      </c>
      <c r="L760">
        <v>21.32</v>
      </c>
      <c r="M760">
        <v>4.2</v>
      </c>
      <c r="N760" t="s">
        <v>22</v>
      </c>
      <c r="O760" t="str">
        <f t="shared" si="11"/>
        <v>No</v>
      </c>
    </row>
    <row r="761" spans="1:15" x14ac:dyDescent="0.25">
      <c r="A761" t="s">
        <v>822</v>
      </c>
      <c r="B761" s="1">
        <v>45790</v>
      </c>
      <c r="C761" s="2">
        <v>45790.849166666667</v>
      </c>
      <c r="D761" t="s">
        <v>15</v>
      </c>
      <c r="E761" t="s">
        <v>16</v>
      </c>
      <c r="F761" t="s">
        <v>60</v>
      </c>
      <c r="G761" t="s">
        <v>34</v>
      </c>
      <c r="H761" t="s">
        <v>27</v>
      </c>
      <c r="I761" t="s">
        <v>36</v>
      </c>
      <c r="J761" t="s">
        <v>21</v>
      </c>
      <c r="K761">
        <v>48</v>
      </c>
      <c r="L761">
        <v>20.38</v>
      </c>
      <c r="M761">
        <v>4.5999999999999996</v>
      </c>
      <c r="N761" t="s">
        <v>22</v>
      </c>
      <c r="O761" t="str">
        <f t="shared" si="11"/>
        <v>No</v>
      </c>
    </row>
    <row r="762" spans="1:15" x14ac:dyDescent="0.25">
      <c r="A762" t="s">
        <v>823</v>
      </c>
      <c r="B762" s="1">
        <v>45689</v>
      </c>
      <c r="C762" s="2">
        <v>45690.468333333331</v>
      </c>
      <c r="D762" t="s">
        <v>15</v>
      </c>
      <c r="E762" t="s">
        <v>39</v>
      </c>
      <c r="F762" t="s">
        <v>87</v>
      </c>
      <c r="G762" t="s">
        <v>34</v>
      </c>
      <c r="H762" t="s">
        <v>54</v>
      </c>
      <c r="I762" t="s">
        <v>36</v>
      </c>
      <c r="J762" t="s">
        <v>21</v>
      </c>
      <c r="K762">
        <v>48</v>
      </c>
      <c r="L762">
        <v>35.24</v>
      </c>
      <c r="M762">
        <v>3.4</v>
      </c>
      <c r="N762" t="s">
        <v>61</v>
      </c>
      <c r="O762" t="str">
        <f t="shared" si="11"/>
        <v>No</v>
      </c>
    </row>
    <row r="763" spans="1:15" x14ac:dyDescent="0.25">
      <c r="A763" t="s">
        <v>824</v>
      </c>
      <c r="B763" s="1">
        <v>45758</v>
      </c>
      <c r="C763" s="2">
        <v>45758.39166666667</v>
      </c>
      <c r="D763" t="s">
        <v>24</v>
      </c>
      <c r="E763" t="s">
        <v>32</v>
      </c>
      <c r="F763" t="s">
        <v>80</v>
      </c>
      <c r="G763" t="s">
        <v>18</v>
      </c>
      <c r="H763" t="s">
        <v>27</v>
      </c>
      <c r="I763" t="s">
        <v>20</v>
      </c>
      <c r="J763" t="s">
        <v>46</v>
      </c>
      <c r="K763">
        <v>24</v>
      </c>
      <c r="L763">
        <v>9.4</v>
      </c>
      <c r="M763">
        <v>4</v>
      </c>
      <c r="N763" t="s">
        <v>22</v>
      </c>
      <c r="O763" t="str">
        <f t="shared" si="11"/>
        <v>No</v>
      </c>
    </row>
    <row r="764" spans="1:15" x14ac:dyDescent="0.25">
      <c r="A764" t="s">
        <v>825</v>
      </c>
      <c r="B764" s="1">
        <v>45829</v>
      </c>
      <c r="C764" s="2">
        <v>45832.123749999999</v>
      </c>
      <c r="D764" t="s">
        <v>15</v>
      </c>
      <c r="E764" t="s">
        <v>25</v>
      </c>
      <c r="F764" t="s">
        <v>70</v>
      </c>
      <c r="G764" t="s">
        <v>41</v>
      </c>
      <c r="H764" t="s">
        <v>54</v>
      </c>
      <c r="I764" t="s">
        <v>36</v>
      </c>
      <c r="J764" t="s">
        <v>21</v>
      </c>
      <c r="K764">
        <v>48</v>
      </c>
      <c r="L764">
        <v>74.97</v>
      </c>
      <c r="M764">
        <v>2.7</v>
      </c>
      <c r="N764" t="s">
        <v>22</v>
      </c>
      <c r="O764" t="str">
        <f t="shared" si="11"/>
        <v>Yes</v>
      </c>
    </row>
    <row r="765" spans="1:15" x14ac:dyDescent="0.25">
      <c r="A765" t="s">
        <v>826</v>
      </c>
      <c r="B765" s="1">
        <v>45827</v>
      </c>
      <c r="C765" s="2">
        <v>45828.142500000002</v>
      </c>
      <c r="D765" t="s">
        <v>24</v>
      </c>
      <c r="E765" t="s">
        <v>45</v>
      </c>
      <c r="F765" t="s">
        <v>104</v>
      </c>
      <c r="G765" t="s">
        <v>18</v>
      </c>
      <c r="H765" t="s">
        <v>65</v>
      </c>
      <c r="I765" t="s">
        <v>28</v>
      </c>
      <c r="J765" t="s">
        <v>21</v>
      </c>
      <c r="K765">
        <v>24</v>
      </c>
      <c r="L765">
        <v>27.42</v>
      </c>
      <c r="M765">
        <v>3.2</v>
      </c>
      <c r="N765" t="s">
        <v>22</v>
      </c>
      <c r="O765" t="str">
        <f t="shared" si="11"/>
        <v>Yes</v>
      </c>
    </row>
    <row r="766" spans="1:15" x14ac:dyDescent="0.25">
      <c r="A766" t="s">
        <v>827</v>
      </c>
      <c r="B766" s="1">
        <v>45723</v>
      </c>
      <c r="C766" s="2">
        <v>45723.707499999997</v>
      </c>
      <c r="D766" t="s">
        <v>24</v>
      </c>
      <c r="E766" t="s">
        <v>16</v>
      </c>
      <c r="F766" t="s">
        <v>60</v>
      </c>
      <c r="G766" t="s">
        <v>18</v>
      </c>
      <c r="H766" t="s">
        <v>19</v>
      </c>
      <c r="I766" t="s">
        <v>36</v>
      </c>
      <c r="J766" t="s">
        <v>21</v>
      </c>
      <c r="K766">
        <v>24</v>
      </c>
      <c r="L766">
        <v>16.98</v>
      </c>
      <c r="M766">
        <v>3.8</v>
      </c>
      <c r="N766" t="s">
        <v>22</v>
      </c>
      <c r="O766" t="str">
        <f t="shared" si="11"/>
        <v>No</v>
      </c>
    </row>
    <row r="767" spans="1:15" x14ac:dyDescent="0.25">
      <c r="A767" t="s">
        <v>828</v>
      </c>
      <c r="B767" s="1">
        <v>45799</v>
      </c>
      <c r="C767" s="2">
        <v>45800.917083333334</v>
      </c>
      <c r="D767" t="s">
        <v>15</v>
      </c>
      <c r="E767" t="s">
        <v>45</v>
      </c>
      <c r="F767" t="s">
        <v>50</v>
      </c>
      <c r="G767" t="s">
        <v>34</v>
      </c>
      <c r="H767" t="s">
        <v>54</v>
      </c>
      <c r="I767" t="s">
        <v>28</v>
      </c>
      <c r="J767" t="s">
        <v>21</v>
      </c>
      <c r="K767">
        <v>48</v>
      </c>
      <c r="L767">
        <v>46.01</v>
      </c>
      <c r="M767">
        <v>3.1</v>
      </c>
      <c r="N767" t="s">
        <v>22</v>
      </c>
      <c r="O767" t="str">
        <f t="shared" si="11"/>
        <v>No</v>
      </c>
    </row>
    <row r="768" spans="1:15" x14ac:dyDescent="0.25">
      <c r="A768" t="s">
        <v>829</v>
      </c>
      <c r="B768" s="1">
        <v>45768</v>
      </c>
      <c r="C768" s="2">
        <v>45768.513333333336</v>
      </c>
      <c r="D768" t="s">
        <v>15</v>
      </c>
      <c r="E768" t="s">
        <v>45</v>
      </c>
      <c r="F768" t="s">
        <v>50</v>
      </c>
      <c r="G768" t="s">
        <v>41</v>
      </c>
      <c r="H768" t="s">
        <v>65</v>
      </c>
      <c r="I768" t="s">
        <v>20</v>
      </c>
      <c r="J768" t="s">
        <v>21</v>
      </c>
      <c r="K768">
        <v>48</v>
      </c>
      <c r="L768">
        <v>12.32</v>
      </c>
      <c r="M768">
        <v>5</v>
      </c>
      <c r="N768" t="s">
        <v>22</v>
      </c>
      <c r="O768" t="str">
        <f t="shared" si="11"/>
        <v>No</v>
      </c>
    </row>
    <row r="769" spans="1:15" x14ac:dyDescent="0.25">
      <c r="A769" t="s">
        <v>830</v>
      </c>
      <c r="B769" s="1">
        <v>45744</v>
      </c>
      <c r="C769" s="2">
        <v>45744.047083333331</v>
      </c>
      <c r="D769" t="s">
        <v>38</v>
      </c>
      <c r="E769" t="s">
        <v>32</v>
      </c>
      <c r="F769" t="s">
        <v>75</v>
      </c>
      <c r="G769" t="s">
        <v>34</v>
      </c>
      <c r="H769" t="s">
        <v>44</v>
      </c>
      <c r="I769" t="s">
        <v>36</v>
      </c>
      <c r="J769" t="s">
        <v>21</v>
      </c>
      <c r="K769">
        <v>8</v>
      </c>
      <c r="L769">
        <v>1.1299999999999999</v>
      </c>
      <c r="M769">
        <v>5</v>
      </c>
      <c r="N769" t="s">
        <v>22</v>
      </c>
      <c r="O769" t="str">
        <f t="shared" si="11"/>
        <v>No</v>
      </c>
    </row>
    <row r="770" spans="1:15" x14ac:dyDescent="0.25">
      <c r="A770" t="s">
        <v>831</v>
      </c>
      <c r="B770" s="1">
        <v>45683</v>
      </c>
      <c r="C770" s="2">
        <v>45683.053333333337</v>
      </c>
      <c r="D770" t="s">
        <v>31</v>
      </c>
      <c r="E770" t="s">
        <v>25</v>
      </c>
      <c r="F770" t="s">
        <v>26</v>
      </c>
      <c r="G770" t="s">
        <v>51</v>
      </c>
      <c r="H770" t="s">
        <v>35</v>
      </c>
      <c r="I770" t="s">
        <v>36</v>
      </c>
      <c r="J770" t="s">
        <v>21</v>
      </c>
      <c r="K770">
        <v>4</v>
      </c>
      <c r="L770">
        <v>1.28</v>
      </c>
      <c r="M770">
        <v>4.8</v>
      </c>
      <c r="N770" t="s">
        <v>22</v>
      </c>
      <c r="O770" t="str">
        <f t="shared" si="11"/>
        <v>No</v>
      </c>
    </row>
    <row r="771" spans="1:15" x14ac:dyDescent="0.25">
      <c r="A771" t="s">
        <v>832</v>
      </c>
      <c r="B771" s="1">
        <v>45726</v>
      </c>
      <c r="C771" s="2">
        <v>45729.065000000002</v>
      </c>
      <c r="D771" t="s">
        <v>15</v>
      </c>
      <c r="E771" t="s">
        <v>39</v>
      </c>
      <c r="F771" t="s">
        <v>78</v>
      </c>
      <c r="G771" t="s">
        <v>41</v>
      </c>
      <c r="H771" t="s">
        <v>27</v>
      </c>
      <c r="I771" t="s">
        <v>20</v>
      </c>
      <c r="J771" t="s">
        <v>21</v>
      </c>
      <c r="K771">
        <v>48</v>
      </c>
      <c r="L771">
        <v>73.56</v>
      </c>
      <c r="M771">
        <v>3.1</v>
      </c>
      <c r="N771" t="s">
        <v>22</v>
      </c>
      <c r="O771" t="str">
        <f t="shared" ref="O771:O834" si="12">IF(L771&gt;K771,"Yes","No")</f>
        <v>Yes</v>
      </c>
    </row>
    <row r="772" spans="1:15" x14ac:dyDescent="0.25">
      <c r="A772" t="s">
        <v>833</v>
      </c>
      <c r="B772" s="1">
        <v>45775</v>
      </c>
      <c r="C772" s="2">
        <v>45775.065000000002</v>
      </c>
      <c r="D772" t="s">
        <v>31</v>
      </c>
      <c r="E772" t="s">
        <v>16</v>
      </c>
      <c r="F772" t="s">
        <v>43</v>
      </c>
      <c r="G772" t="s">
        <v>51</v>
      </c>
      <c r="H772" t="s">
        <v>65</v>
      </c>
      <c r="I772" t="s">
        <v>36</v>
      </c>
      <c r="J772" t="s">
        <v>21</v>
      </c>
      <c r="K772">
        <v>4</v>
      </c>
      <c r="L772">
        <v>1.56</v>
      </c>
      <c r="M772">
        <v>5</v>
      </c>
      <c r="N772" t="s">
        <v>22</v>
      </c>
      <c r="O772" t="str">
        <f t="shared" si="12"/>
        <v>No</v>
      </c>
    </row>
    <row r="773" spans="1:15" x14ac:dyDescent="0.25">
      <c r="A773" t="s">
        <v>834</v>
      </c>
      <c r="B773" s="1">
        <v>45836</v>
      </c>
      <c r="C773" s="2">
        <v>45837.001250000001</v>
      </c>
      <c r="D773" t="s">
        <v>24</v>
      </c>
      <c r="E773" t="s">
        <v>32</v>
      </c>
      <c r="F773" t="s">
        <v>75</v>
      </c>
      <c r="G773" t="s">
        <v>56</v>
      </c>
      <c r="H773" t="s">
        <v>27</v>
      </c>
      <c r="I773" t="s">
        <v>36</v>
      </c>
      <c r="J773" t="s">
        <v>21</v>
      </c>
      <c r="K773">
        <v>24</v>
      </c>
      <c r="L773">
        <v>24.03</v>
      </c>
      <c r="M773">
        <v>4.9000000000000004</v>
      </c>
      <c r="N773" t="s">
        <v>22</v>
      </c>
      <c r="O773" t="str">
        <f t="shared" si="12"/>
        <v>Yes</v>
      </c>
    </row>
    <row r="774" spans="1:15" x14ac:dyDescent="0.25">
      <c r="A774" t="s">
        <v>835</v>
      </c>
      <c r="B774" s="1">
        <v>45658</v>
      </c>
      <c r="C774" s="2">
        <v>45658.455416666664</v>
      </c>
      <c r="D774" t="s">
        <v>24</v>
      </c>
      <c r="E774" t="s">
        <v>45</v>
      </c>
      <c r="F774" t="s">
        <v>112</v>
      </c>
      <c r="G774" t="s">
        <v>41</v>
      </c>
      <c r="H774" t="s">
        <v>27</v>
      </c>
      <c r="I774" t="s">
        <v>20</v>
      </c>
      <c r="J774" t="s">
        <v>21</v>
      </c>
      <c r="K774">
        <v>24</v>
      </c>
      <c r="L774">
        <v>10.93</v>
      </c>
      <c r="M774">
        <v>4</v>
      </c>
      <c r="N774" t="s">
        <v>22</v>
      </c>
      <c r="O774" t="str">
        <f t="shared" si="12"/>
        <v>No</v>
      </c>
    </row>
    <row r="775" spans="1:15" x14ac:dyDescent="0.25">
      <c r="A775" t="s">
        <v>836</v>
      </c>
      <c r="B775" s="1">
        <v>45787</v>
      </c>
      <c r="C775" s="2">
        <v>45787.477500000001</v>
      </c>
      <c r="D775" t="s">
        <v>24</v>
      </c>
      <c r="E775" t="s">
        <v>25</v>
      </c>
      <c r="F775" t="s">
        <v>70</v>
      </c>
      <c r="G775" t="s">
        <v>18</v>
      </c>
      <c r="H775" t="s">
        <v>35</v>
      </c>
      <c r="I775" t="s">
        <v>28</v>
      </c>
      <c r="J775" t="s">
        <v>85</v>
      </c>
      <c r="K775">
        <v>24</v>
      </c>
      <c r="L775">
        <v>11.46</v>
      </c>
      <c r="M775">
        <v>4.5999999999999996</v>
      </c>
      <c r="N775" t="s">
        <v>22</v>
      </c>
      <c r="O775" t="str">
        <f t="shared" si="12"/>
        <v>No</v>
      </c>
    </row>
    <row r="776" spans="1:15" x14ac:dyDescent="0.25">
      <c r="A776" t="s">
        <v>837</v>
      </c>
      <c r="B776" s="1">
        <v>45811</v>
      </c>
      <c r="C776" s="2">
        <v>45811.394999999997</v>
      </c>
      <c r="D776" t="s">
        <v>24</v>
      </c>
      <c r="E776" t="s">
        <v>32</v>
      </c>
      <c r="F776" t="s">
        <v>33</v>
      </c>
      <c r="G776" t="s">
        <v>18</v>
      </c>
      <c r="H776" t="s">
        <v>54</v>
      </c>
      <c r="I776" t="s">
        <v>20</v>
      </c>
      <c r="J776" t="s">
        <v>21</v>
      </c>
      <c r="K776">
        <v>24</v>
      </c>
      <c r="L776">
        <v>9.48</v>
      </c>
      <c r="M776">
        <v>4.4000000000000004</v>
      </c>
      <c r="N776" t="s">
        <v>22</v>
      </c>
      <c r="O776" t="str">
        <f t="shared" si="12"/>
        <v>No</v>
      </c>
    </row>
    <row r="777" spans="1:15" x14ac:dyDescent="0.25">
      <c r="A777" t="s">
        <v>838</v>
      </c>
      <c r="B777" s="1">
        <v>45830</v>
      </c>
      <c r="C777" s="2">
        <v>45830.124583333331</v>
      </c>
      <c r="D777" t="s">
        <v>38</v>
      </c>
      <c r="E777" t="s">
        <v>39</v>
      </c>
      <c r="F777" t="s">
        <v>40</v>
      </c>
      <c r="G777" t="s">
        <v>18</v>
      </c>
      <c r="H777" t="s">
        <v>35</v>
      </c>
      <c r="I777" t="s">
        <v>20</v>
      </c>
      <c r="J777" t="s">
        <v>46</v>
      </c>
      <c r="K777">
        <v>8</v>
      </c>
      <c r="L777">
        <v>2.99</v>
      </c>
      <c r="M777">
        <v>4.4000000000000004</v>
      </c>
      <c r="N777" t="s">
        <v>22</v>
      </c>
      <c r="O777" t="str">
        <f t="shared" si="12"/>
        <v>No</v>
      </c>
    </row>
    <row r="778" spans="1:15" x14ac:dyDescent="0.25">
      <c r="A778" t="s">
        <v>839</v>
      </c>
      <c r="B778" s="1">
        <v>45734</v>
      </c>
      <c r="C778" s="2">
        <v>45734.95208333333</v>
      </c>
      <c r="D778" t="s">
        <v>24</v>
      </c>
      <c r="E778" t="s">
        <v>39</v>
      </c>
      <c r="F778" t="s">
        <v>78</v>
      </c>
      <c r="G778" t="s">
        <v>56</v>
      </c>
      <c r="H778" t="s">
        <v>54</v>
      </c>
      <c r="I778" t="s">
        <v>45</v>
      </c>
      <c r="J778" t="s">
        <v>21</v>
      </c>
      <c r="K778">
        <v>24</v>
      </c>
      <c r="L778">
        <v>22.85</v>
      </c>
      <c r="M778">
        <v>3.7</v>
      </c>
      <c r="N778" t="s">
        <v>22</v>
      </c>
      <c r="O778" t="str">
        <f t="shared" si="12"/>
        <v>No</v>
      </c>
    </row>
    <row r="779" spans="1:15" x14ac:dyDescent="0.25">
      <c r="A779" t="s">
        <v>840</v>
      </c>
      <c r="B779" s="1">
        <v>45679</v>
      </c>
      <c r="C779" s="2">
        <v>45679.378333333334</v>
      </c>
      <c r="D779" t="s">
        <v>24</v>
      </c>
      <c r="E779" t="s">
        <v>25</v>
      </c>
      <c r="F779" t="s">
        <v>53</v>
      </c>
      <c r="G779" t="s">
        <v>51</v>
      </c>
      <c r="H779" t="s">
        <v>19</v>
      </c>
      <c r="I779" t="s">
        <v>20</v>
      </c>
      <c r="J779" t="s">
        <v>29</v>
      </c>
      <c r="K779">
        <v>24</v>
      </c>
      <c r="L779">
        <v>9.08</v>
      </c>
      <c r="M779">
        <v>4.5</v>
      </c>
      <c r="N779" t="s">
        <v>22</v>
      </c>
      <c r="O779" t="str">
        <f t="shared" si="12"/>
        <v>No</v>
      </c>
    </row>
    <row r="780" spans="1:15" x14ac:dyDescent="0.25">
      <c r="A780" t="s">
        <v>841</v>
      </c>
      <c r="B780" s="1">
        <v>45707</v>
      </c>
      <c r="C780" s="2">
        <v>45707.37</v>
      </c>
      <c r="D780" t="s">
        <v>24</v>
      </c>
      <c r="E780" t="s">
        <v>45</v>
      </c>
      <c r="F780" t="s">
        <v>104</v>
      </c>
      <c r="G780" t="s">
        <v>41</v>
      </c>
      <c r="H780" t="s">
        <v>44</v>
      </c>
      <c r="I780" t="s">
        <v>36</v>
      </c>
      <c r="J780" t="s">
        <v>21</v>
      </c>
      <c r="K780">
        <v>24</v>
      </c>
      <c r="L780">
        <v>8.8800000000000008</v>
      </c>
      <c r="M780">
        <v>4.7</v>
      </c>
      <c r="N780" t="s">
        <v>61</v>
      </c>
      <c r="O780" t="str">
        <f t="shared" si="12"/>
        <v>No</v>
      </c>
    </row>
    <row r="781" spans="1:15" x14ac:dyDescent="0.25">
      <c r="A781" t="s">
        <v>842</v>
      </c>
      <c r="B781" s="1">
        <v>45811</v>
      </c>
      <c r="C781" s="2">
        <v>45812.080416666664</v>
      </c>
      <c r="D781" t="s">
        <v>15</v>
      </c>
      <c r="E781" t="s">
        <v>39</v>
      </c>
      <c r="F781" t="s">
        <v>87</v>
      </c>
      <c r="G781" t="s">
        <v>41</v>
      </c>
      <c r="H781" t="s">
        <v>27</v>
      </c>
      <c r="I781" t="s">
        <v>20</v>
      </c>
      <c r="J781" t="s">
        <v>21</v>
      </c>
      <c r="K781">
        <v>48</v>
      </c>
      <c r="L781">
        <v>25.93</v>
      </c>
      <c r="M781">
        <v>4.5</v>
      </c>
      <c r="N781" t="s">
        <v>22</v>
      </c>
      <c r="O781" t="str">
        <f t="shared" si="12"/>
        <v>No</v>
      </c>
    </row>
    <row r="782" spans="1:15" x14ac:dyDescent="0.25">
      <c r="A782" t="s">
        <v>843</v>
      </c>
      <c r="B782" s="1">
        <v>45816</v>
      </c>
      <c r="C782" s="2">
        <v>45816.428333333337</v>
      </c>
      <c r="D782" t="s">
        <v>24</v>
      </c>
      <c r="E782" t="s">
        <v>39</v>
      </c>
      <c r="F782" t="s">
        <v>78</v>
      </c>
      <c r="G782" t="s">
        <v>51</v>
      </c>
      <c r="H782" t="s">
        <v>35</v>
      </c>
      <c r="I782" t="s">
        <v>45</v>
      </c>
      <c r="J782" t="s">
        <v>46</v>
      </c>
      <c r="K782">
        <v>24</v>
      </c>
      <c r="L782">
        <v>10.28</v>
      </c>
      <c r="M782">
        <v>5</v>
      </c>
      <c r="N782" t="s">
        <v>22</v>
      </c>
      <c r="O782" t="str">
        <f t="shared" si="12"/>
        <v>No</v>
      </c>
    </row>
    <row r="783" spans="1:15" x14ac:dyDescent="0.25">
      <c r="A783" t="s">
        <v>844</v>
      </c>
      <c r="B783" s="1">
        <v>45773</v>
      </c>
      <c r="C783" s="2">
        <v>45773.552083333336</v>
      </c>
      <c r="D783" t="s">
        <v>15</v>
      </c>
      <c r="E783" t="s">
        <v>16</v>
      </c>
      <c r="F783" t="s">
        <v>58</v>
      </c>
      <c r="G783" t="s">
        <v>56</v>
      </c>
      <c r="H783" t="s">
        <v>44</v>
      </c>
      <c r="I783" t="s">
        <v>45</v>
      </c>
      <c r="J783" t="s">
        <v>21</v>
      </c>
      <c r="K783">
        <v>48</v>
      </c>
      <c r="L783">
        <v>13.25</v>
      </c>
      <c r="M783">
        <v>4.0999999999999996</v>
      </c>
      <c r="N783" t="s">
        <v>22</v>
      </c>
      <c r="O783" t="str">
        <f t="shared" si="12"/>
        <v>No</v>
      </c>
    </row>
    <row r="784" spans="1:15" x14ac:dyDescent="0.25">
      <c r="A784" t="s">
        <v>845</v>
      </c>
      <c r="B784" s="1">
        <v>45680</v>
      </c>
      <c r="C784" s="2">
        <v>45681.760416666664</v>
      </c>
      <c r="D784" t="s">
        <v>15</v>
      </c>
      <c r="E784" t="s">
        <v>39</v>
      </c>
      <c r="F784" t="s">
        <v>87</v>
      </c>
      <c r="G784" t="s">
        <v>18</v>
      </c>
      <c r="H784" t="s">
        <v>27</v>
      </c>
      <c r="I784" t="s">
        <v>28</v>
      </c>
      <c r="J784" t="s">
        <v>85</v>
      </c>
      <c r="K784">
        <v>48</v>
      </c>
      <c r="L784">
        <v>42.25</v>
      </c>
      <c r="M784">
        <v>4.5999999999999996</v>
      </c>
      <c r="N784" t="s">
        <v>22</v>
      </c>
      <c r="O784" t="str">
        <f t="shared" si="12"/>
        <v>No</v>
      </c>
    </row>
    <row r="785" spans="1:15" x14ac:dyDescent="0.25">
      <c r="A785" t="s">
        <v>846</v>
      </c>
      <c r="B785" s="1">
        <v>45680</v>
      </c>
      <c r="C785" s="2">
        <v>45681.270416666666</v>
      </c>
      <c r="D785" t="s">
        <v>15</v>
      </c>
      <c r="E785" t="s">
        <v>16</v>
      </c>
      <c r="F785" t="s">
        <v>17</v>
      </c>
      <c r="G785" t="s">
        <v>18</v>
      </c>
      <c r="H785" t="s">
        <v>27</v>
      </c>
      <c r="I785" t="s">
        <v>45</v>
      </c>
      <c r="J785" t="s">
        <v>21</v>
      </c>
      <c r="K785">
        <v>48</v>
      </c>
      <c r="L785">
        <v>30.49</v>
      </c>
      <c r="M785">
        <v>3.5</v>
      </c>
      <c r="N785" t="s">
        <v>22</v>
      </c>
      <c r="O785" t="str">
        <f t="shared" si="12"/>
        <v>No</v>
      </c>
    </row>
    <row r="786" spans="1:15" x14ac:dyDescent="0.25">
      <c r="A786" t="s">
        <v>847</v>
      </c>
      <c r="B786" s="1">
        <v>45744</v>
      </c>
      <c r="C786" s="2">
        <v>45744.718333333331</v>
      </c>
      <c r="D786" t="s">
        <v>15</v>
      </c>
      <c r="E786" t="s">
        <v>32</v>
      </c>
      <c r="F786" t="s">
        <v>80</v>
      </c>
      <c r="G786" t="s">
        <v>41</v>
      </c>
      <c r="H786" t="s">
        <v>35</v>
      </c>
      <c r="I786" t="s">
        <v>45</v>
      </c>
      <c r="J786" t="s">
        <v>46</v>
      </c>
      <c r="K786">
        <v>48</v>
      </c>
      <c r="L786">
        <v>17.239999999999998</v>
      </c>
      <c r="M786">
        <v>4.7</v>
      </c>
      <c r="N786" t="s">
        <v>22</v>
      </c>
      <c r="O786" t="str">
        <f t="shared" si="12"/>
        <v>No</v>
      </c>
    </row>
    <row r="787" spans="1:15" x14ac:dyDescent="0.25">
      <c r="A787" t="s">
        <v>848</v>
      </c>
      <c r="B787" s="1">
        <v>45764</v>
      </c>
      <c r="C787" s="2">
        <v>45764.276666666665</v>
      </c>
      <c r="D787" t="s">
        <v>24</v>
      </c>
      <c r="E787" t="s">
        <v>32</v>
      </c>
      <c r="F787" t="s">
        <v>33</v>
      </c>
      <c r="G787" t="s">
        <v>34</v>
      </c>
      <c r="H787" t="s">
        <v>19</v>
      </c>
      <c r="I787" t="s">
        <v>45</v>
      </c>
      <c r="J787" t="s">
        <v>85</v>
      </c>
      <c r="K787">
        <v>24</v>
      </c>
      <c r="L787">
        <v>6.64</v>
      </c>
      <c r="M787">
        <v>5</v>
      </c>
      <c r="N787" t="s">
        <v>61</v>
      </c>
      <c r="O787" t="str">
        <f t="shared" si="12"/>
        <v>No</v>
      </c>
    </row>
    <row r="788" spans="1:15" x14ac:dyDescent="0.25">
      <c r="A788" t="s">
        <v>849</v>
      </c>
      <c r="B788" s="1">
        <v>45663</v>
      </c>
      <c r="C788" s="2">
        <v>45664.120416666665</v>
      </c>
      <c r="D788" t="s">
        <v>24</v>
      </c>
      <c r="E788" t="s">
        <v>39</v>
      </c>
      <c r="F788" t="s">
        <v>40</v>
      </c>
      <c r="G788" t="s">
        <v>34</v>
      </c>
      <c r="H788" t="s">
        <v>44</v>
      </c>
      <c r="I788" t="s">
        <v>36</v>
      </c>
      <c r="J788" t="s">
        <v>21</v>
      </c>
      <c r="K788">
        <v>24</v>
      </c>
      <c r="L788">
        <v>26.89</v>
      </c>
      <c r="M788">
        <v>4</v>
      </c>
      <c r="N788" t="s">
        <v>22</v>
      </c>
      <c r="O788" t="str">
        <f t="shared" si="12"/>
        <v>Yes</v>
      </c>
    </row>
    <row r="789" spans="1:15" x14ac:dyDescent="0.25">
      <c r="A789" t="s">
        <v>850</v>
      </c>
      <c r="B789" s="1">
        <v>45782</v>
      </c>
      <c r="C789" s="2">
        <v>45782.186249999999</v>
      </c>
      <c r="D789" t="s">
        <v>24</v>
      </c>
      <c r="E789" t="s">
        <v>45</v>
      </c>
      <c r="F789" t="s">
        <v>112</v>
      </c>
      <c r="G789" t="s">
        <v>56</v>
      </c>
      <c r="H789" t="s">
        <v>65</v>
      </c>
      <c r="I789" t="s">
        <v>36</v>
      </c>
      <c r="J789" t="s">
        <v>29</v>
      </c>
      <c r="K789">
        <v>24</v>
      </c>
      <c r="L789">
        <v>4.47</v>
      </c>
      <c r="M789">
        <v>4.5999999999999996</v>
      </c>
      <c r="N789" t="s">
        <v>22</v>
      </c>
      <c r="O789" t="str">
        <f t="shared" si="12"/>
        <v>No</v>
      </c>
    </row>
    <row r="790" spans="1:15" x14ac:dyDescent="0.25">
      <c r="A790" t="s">
        <v>851</v>
      </c>
      <c r="B790" s="1">
        <v>45756</v>
      </c>
      <c r="C790" s="2">
        <v>45757.602083333331</v>
      </c>
      <c r="D790" t="s">
        <v>15</v>
      </c>
      <c r="E790" t="s">
        <v>39</v>
      </c>
      <c r="F790" t="s">
        <v>40</v>
      </c>
      <c r="G790" t="s">
        <v>18</v>
      </c>
      <c r="H790" t="s">
        <v>35</v>
      </c>
      <c r="I790" t="s">
        <v>28</v>
      </c>
      <c r="J790" t="s">
        <v>21</v>
      </c>
      <c r="K790">
        <v>48</v>
      </c>
      <c r="L790">
        <v>38.450000000000003</v>
      </c>
      <c r="M790">
        <v>4.2</v>
      </c>
      <c r="N790" t="s">
        <v>22</v>
      </c>
      <c r="O790" t="str">
        <f t="shared" si="12"/>
        <v>No</v>
      </c>
    </row>
    <row r="791" spans="1:15" x14ac:dyDescent="0.25">
      <c r="A791" t="s">
        <v>852</v>
      </c>
      <c r="B791" s="1">
        <v>45660</v>
      </c>
      <c r="C791" s="2">
        <v>45660.081250000003</v>
      </c>
      <c r="D791" t="s">
        <v>24</v>
      </c>
      <c r="E791" t="s">
        <v>32</v>
      </c>
      <c r="F791" t="s">
        <v>64</v>
      </c>
      <c r="G791" t="s">
        <v>18</v>
      </c>
      <c r="H791" t="s">
        <v>65</v>
      </c>
      <c r="I791" t="s">
        <v>36</v>
      </c>
      <c r="J791" t="s">
        <v>46</v>
      </c>
      <c r="K791">
        <v>24</v>
      </c>
      <c r="L791">
        <v>1.95</v>
      </c>
      <c r="M791">
        <v>5</v>
      </c>
      <c r="N791" t="s">
        <v>22</v>
      </c>
      <c r="O791" t="str">
        <f t="shared" si="12"/>
        <v>No</v>
      </c>
    </row>
    <row r="792" spans="1:15" x14ac:dyDescent="0.25">
      <c r="A792" t="s">
        <v>853</v>
      </c>
      <c r="B792" s="1">
        <v>45675</v>
      </c>
      <c r="C792" s="2">
        <v>45675.581250000003</v>
      </c>
      <c r="D792" t="s">
        <v>24</v>
      </c>
      <c r="E792" t="s">
        <v>25</v>
      </c>
      <c r="F792" t="s">
        <v>53</v>
      </c>
      <c r="G792" t="s">
        <v>18</v>
      </c>
      <c r="H792" t="s">
        <v>27</v>
      </c>
      <c r="I792" t="s">
        <v>45</v>
      </c>
      <c r="J792" t="s">
        <v>21</v>
      </c>
      <c r="K792">
        <v>24</v>
      </c>
      <c r="L792">
        <v>13.95</v>
      </c>
      <c r="M792">
        <v>3.9</v>
      </c>
      <c r="N792" t="s">
        <v>22</v>
      </c>
      <c r="O792" t="str">
        <f t="shared" si="12"/>
        <v>No</v>
      </c>
    </row>
    <row r="793" spans="1:15" x14ac:dyDescent="0.25">
      <c r="A793" t="s">
        <v>854</v>
      </c>
      <c r="B793" s="1">
        <v>45740</v>
      </c>
      <c r="C793" s="2">
        <v>45740.197916666664</v>
      </c>
      <c r="D793" t="s">
        <v>38</v>
      </c>
      <c r="E793" t="s">
        <v>45</v>
      </c>
      <c r="F793" t="s">
        <v>104</v>
      </c>
      <c r="G793" t="s">
        <v>34</v>
      </c>
      <c r="H793" t="s">
        <v>19</v>
      </c>
      <c r="I793" t="s">
        <v>45</v>
      </c>
      <c r="J793" t="s">
        <v>21</v>
      </c>
      <c r="K793">
        <v>8</v>
      </c>
      <c r="L793">
        <v>4.75</v>
      </c>
      <c r="M793">
        <v>4.7</v>
      </c>
      <c r="N793" t="s">
        <v>22</v>
      </c>
      <c r="O793" t="str">
        <f t="shared" si="12"/>
        <v>No</v>
      </c>
    </row>
    <row r="794" spans="1:15" x14ac:dyDescent="0.25">
      <c r="A794" t="s">
        <v>855</v>
      </c>
      <c r="B794" s="1">
        <v>45788</v>
      </c>
      <c r="C794" s="2">
        <v>45788.15625</v>
      </c>
      <c r="D794" t="s">
        <v>24</v>
      </c>
      <c r="E794" t="s">
        <v>39</v>
      </c>
      <c r="F794" t="s">
        <v>87</v>
      </c>
      <c r="G794" t="s">
        <v>41</v>
      </c>
      <c r="H794" t="s">
        <v>19</v>
      </c>
      <c r="I794" t="s">
        <v>20</v>
      </c>
      <c r="J794" t="s">
        <v>21</v>
      </c>
      <c r="K794">
        <v>24</v>
      </c>
      <c r="L794">
        <v>3.75</v>
      </c>
      <c r="M794">
        <v>5</v>
      </c>
      <c r="N794" t="s">
        <v>22</v>
      </c>
      <c r="O794" t="str">
        <f t="shared" si="12"/>
        <v>No</v>
      </c>
    </row>
    <row r="795" spans="1:15" x14ac:dyDescent="0.25">
      <c r="A795" t="s">
        <v>856</v>
      </c>
      <c r="B795" s="1">
        <v>45807</v>
      </c>
      <c r="C795" s="2">
        <v>45807.168749999997</v>
      </c>
      <c r="D795" t="s">
        <v>24</v>
      </c>
      <c r="E795" t="s">
        <v>32</v>
      </c>
      <c r="F795" t="s">
        <v>33</v>
      </c>
      <c r="G795" t="s">
        <v>34</v>
      </c>
      <c r="H795" t="s">
        <v>19</v>
      </c>
      <c r="I795" t="s">
        <v>20</v>
      </c>
      <c r="J795" t="s">
        <v>21</v>
      </c>
      <c r="K795">
        <v>24</v>
      </c>
      <c r="L795">
        <v>4.05</v>
      </c>
      <c r="M795">
        <v>4.5</v>
      </c>
      <c r="N795" t="s">
        <v>22</v>
      </c>
      <c r="O795" t="str">
        <f t="shared" si="12"/>
        <v>No</v>
      </c>
    </row>
    <row r="796" spans="1:15" x14ac:dyDescent="0.25">
      <c r="A796" t="s">
        <v>857</v>
      </c>
      <c r="B796" s="1">
        <v>45736</v>
      </c>
      <c r="C796" s="2">
        <v>45736.608749999999</v>
      </c>
      <c r="D796" t="s">
        <v>24</v>
      </c>
      <c r="E796" t="s">
        <v>16</v>
      </c>
      <c r="F796" t="s">
        <v>43</v>
      </c>
      <c r="G796" t="s">
        <v>18</v>
      </c>
      <c r="H796" t="s">
        <v>44</v>
      </c>
      <c r="I796" t="s">
        <v>36</v>
      </c>
      <c r="J796" t="s">
        <v>46</v>
      </c>
      <c r="K796">
        <v>24</v>
      </c>
      <c r="L796">
        <v>14.61</v>
      </c>
      <c r="M796">
        <v>5</v>
      </c>
      <c r="N796" t="s">
        <v>22</v>
      </c>
      <c r="O796" t="str">
        <f t="shared" si="12"/>
        <v>No</v>
      </c>
    </row>
    <row r="797" spans="1:15" x14ac:dyDescent="0.25">
      <c r="A797" t="s">
        <v>858</v>
      </c>
      <c r="B797" s="1">
        <v>45711</v>
      </c>
      <c r="C797" s="2">
        <v>45711.027499999997</v>
      </c>
      <c r="D797" t="s">
        <v>31</v>
      </c>
      <c r="E797" t="s">
        <v>39</v>
      </c>
      <c r="F797" t="s">
        <v>119</v>
      </c>
      <c r="G797" t="s">
        <v>18</v>
      </c>
      <c r="H797" t="s">
        <v>44</v>
      </c>
      <c r="I797" t="s">
        <v>36</v>
      </c>
      <c r="J797" t="s">
        <v>21</v>
      </c>
      <c r="K797">
        <v>4</v>
      </c>
      <c r="L797">
        <v>0.66</v>
      </c>
      <c r="M797">
        <v>5</v>
      </c>
      <c r="N797" t="s">
        <v>22</v>
      </c>
      <c r="O797" t="str">
        <f t="shared" si="12"/>
        <v>No</v>
      </c>
    </row>
    <row r="798" spans="1:15" x14ac:dyDescent="0.25">
      <c r="A798" t="s">
        <v>859</v>
      </c>
      <c r="B798" s="1">
        <v>45833</v>
      </c>
      <c r="C798" s="2">
        <v>45833.427916666667</v>
      </c>
      <c r="D798" t="s">
        <v>38</v>
      </c>
      <c r="E798" t="s">
        <v>16</v>
      </c>
      <c r="F798" t="s">
        <v>43</v>
      </c>
      <c r="G798" t="s">
        <v>34</v>
      </c>
      <c r="H798" t="s">
        <v>65</v>
      </c>
      <c r="I798" t="s">
        <v>20</v>
      </c>
      <c r="J798" t="s">
        <v>21</v>
      </c>
      <c r="K798">
        <v>8</v>
      </c>
      <c r="L798">
        <v>10.27</v>
      </c>
      <c r="M798">
        <v>4.2</v>
      </c>
      <c r="N798" t="s">
        <v>22</v>
      </c>
      <c r="O798" t="str">
        <f t="shared" si="12"/>
        <v>Yes</v>
      </c>
    </row>
    <row r="799" spans="1:15" x14ac:dyDescent="0.25">
      <c r="A799" t="s">
        <v>860</v>
      </c>
      <c r="B799" s="1">
        <v>45740</v>
      </c>
      <c r="C799" s="2">
        <v>45740.362916666665</v>
      </c>
      <c r="D799" t="s">
        <v>24</v>
      </c>
      <c r="E799" t="s">
        <v>32</v>
      </c>
      <c r="F799" t="s">
        <v>75</v>
      </c>
      <c r="G799" t="s">
        <v>34</v>
      </c>
      <c r="H799" t="s">
        <v>35</v>
      </c>
      <c r="I799" t="s">
        <v>36</v>
      </c>
      <c r="J799" t="s">
        <v>21</v>
      </c>
      <c r="K799">
        <v>24</v>
      </c>
      <c r="L799">
        <v>8.7100000000000009</v>
      </c>
      <c r="M799">
        <v>5</v>
      </c>
      <c r="N799" t="s">
        <v>61</v>
      </c>
      <c r="O799" t="str">
        <f t="shared" si="12"/>
        <v>No</v>
      </c>
    </row>
    <row r="800" spans="1:15" x14ac:dyDescent="0.25">
      <c r="A800" t="s">
        <v>861</v>
      </c>
      <c r="B800" s="1">
        <v>45715</v>
      </c>
      <c r="C800" s="2">
        <v>45716.434166666666</v>
      </c>
      <c r="D800" t="s">
        <v>24</v>
      </c>
      <c r="E800" t="s">
        <v>32</v>
      </c>
      <c r="F800" t="s">
        <v>33</v>
      </c>
      <c r="G800" t="s">
        <v>34</v>
      </c>
      <c r="H800" t="s">
        <v>65</v>
      </c>
      <c r="I800" t="s">
        <v>45</v>
      </c>
      <c r="J800" t="s">
        <v>46</v>
      </c>
      <c r="K800">
        <v>24</v>
      </c>
      <c r="L800">
        <v>34.42</v>
      </c>
      <c r="M800">
        <v>2.2000000000000002</v>
      </c>
      <c r="N800" t="s">
        <v>22</v>
      </c>
      <c r="O800" t="str">
        <f t="shared" si="12"/>
        <v>Yes</v>
      </c>
    </row>
    <row r="801" spans="1:15" x14ac:dyDescent="0.25">
      <c r="A801" t="s">
        <v>862</v>
      </c>
      <c r="B801" s="1">
        <v>45738</v>
      </c>
      <c r="C801" s="2">
        <v>45740.46125</v>
      </c>
      <c r="D801" t="s">
        <v>15</v>
      </c>
      <c r="E801" t="s">
        <v>39</v>
      </c>
      <c r="F801" t="s">
        <v>87</v>
      </c>
      <c r="G801" t="s">
        <v>18</v>
      </c>
      <c r="H801" t="s">
        <v>27</v>
      </c>
      <c r="I801" t="s">
        <v>36</v>
      </c>
      <c r="J801" t="s">
        <v>21</v>
      </c>
      <c r="K801">
        <v>48</v>
      </c>
      <c r="L801">
        <v>59.07</v>
      </c>
      <c r="M801">
        <v>2.7</v>
      </c>
      <c r="N801" t="s">
        <v>22</v>
      </c>
      <c r="O801" t="str">
        <f t="shared" si="12"/>
        <v>Yes</v>
      </c>
    </row>
    <row r="802" spans="1:15" x14ac:dyDescent="0.25">
      <c r="A802" t="s">
        <v>863</v>
      </c>
      <c r="B802" s="1">
        <v>45660</v>
      </c>
      <c r="C802" s="2">
        <v>45660.164166666669</v>
      </c>
      <c r="D802" t="s">
        <v>38</v>
      </c>
      <c r="E802" t="s">
        <v>16</v>
      </c>
      <c r="F802" t="s">
        <v>43</v>
      </c>
      <c r="G802" t="s">
        <v>56</v>
      </c>
      <c r="H802" t="s">
        <v>35</v>
      </c>
      <c r="I802" t="s">
        <v>36</v>
      </c>
      <c r="J802" t="s">
        <v>21</v>
      </c>
      <c r="K802">
        <v>8</v>
      </c>
      <c r="L802">
        <v>3.94</v>
      </c>
      <c r="M802">
        <v>4.4000000000000004</v>
      </c>
      <c r="N802" t="s">
        <v>22</v>
      </c>
      <c r="O802" t="str">
        <f t="shared" si="12"/>
        <v>No</v>
      </c>
    </row>
    <row r="803" spans="1:15" x14ac:dyDescent="0.25">
      <c r="A803" t="s">
        <v>864</v>
      </c>
      <c r="B803" s="1">
        <v>45712</v>
      </c>
      <c r="C803" s="2">
        <v>45712.623749999999</v>
      </c>
      <c r="D803" t="s">
        <v>24</v>
      </c>
      <c r="E803" t="s">
        <v>39</v>
      </c>
      <c r="F803" t="s">
        <v>40</v>
      </c>
      <c r="G803" t="s">
        <v>18</v>
      </c>
      <c r="H803" t="s">
        <v>27</v>
      </c>
      <c r="I803" t="s">
        <v>28</v>
      </c>
      <c r="J803" t="s">
        <v>85</v>
      </c>
      <c r="K803">
        <v>24</v>
      </c>
      <c r="L803">
        <v>14.97</v>
      </c>
      <c r="M803">
        <v>3.8</v>
      </c>
      <c r="N803" t="s">
        <v>22</v>
      </c>
      <c r="O803" t="str">
        <f t="shared" si="12"/>
        <v>No</v>
      </c>
    </row>
    <row r="804" spans="1:15" x14ac:dyDescent="0.25">
      <c r="A804" t="s">
        <v>865</v>
      </c>
      <c r="B804" s="1">
        <v>45751</v>
      </c>
      <c r="C804" s="2">
        <v>45753.150416666664</v>
      </c>
      <c r="D804" t="s">
        <v>15</v>
      </c>
      <c r="E804" t="s">
        <v>32</v>
      </c>
      <c r="F804" t="s">
        <v>80</v>
      </c>
      <c r="G804" t="s">
        <v>41</v>
      </c>
      <c r="H804" t="s">
        <v>19</v>
      </c>
      <c r="I804" t="s">
        <v>28</v>
      </c>
      <c r="J804" t="s">
        <v>85</v>
      </c>
      <c r="K804">
        <v>48</v>
      </c>
      <c r="L804">
        <v>51.61</v>
      </c>
      <c r="M804">
        <v>4.0999999999999996</v>
      </c>
      <c r="N804" t="s">
        <v>22</v>
      </c>
      <c r="O804" t="str">
        <f t="shared" si="12"/>
        <v>Yes</v>
      </c>
    </row>
    <row r="805" spans="1:15" x14ac:dyDescent="0.25">
      <c r="A805" t="s">
        <v>866</v>
      </c>
      <c r="B805" s="1">
        <v>45824</v>
      </c>
      <c r="C805" s="2">
        <v>45824.036249999997</v>
      </c>
      <c r="D805" t="s">
        <v>31</v>
      </c>
      <c r="E805" t="s">
        <v>39</v>
      </c>
      <c r="F805" t="s">
        <v>119</v>
      </c>
      <c r="G805" t="s">
        <v>18</v>
      </c>
      <c r="H805" t="s">
        <v>27</v>
      </c>
      <c r="I805" t="s">
        <v>20</v>
      </c>
      <c r="J805" t="s">
        <v>21</v>
      </c>
      <c r="K805">
        <v>4</v>
      </c>
      <c r="L805">
        <v>0.87</v>
      </c>
      <c r="M805">
        <v>2.9</v>
      </c>
      <c r="N805" t="s">
        <v>22</v>
      </c>
      <c r="O805" t="str">
        <f t="shared" si="12"/>
        <v>No</v>
      </c>
    </row>
    <row r="806" spans="1:15" x14ac:dyDescent="0.25">
      <c r="A806" t="s">
        <v>867</v>
      </c>
      <c r="B806" s="1">
        <v>45791</v>
      </c>
      <c r="C806" s="2">
        <v>45791.39</v>
      </c>
      <c r="D806" t="s">
        <v>24</v>
      </c>
      <c r="E806" t="s">
        <v>25</v>
      </c>
      <c r="F806" t="s">
        <v>70</v>
      </c>
      <c r="G806" t="s">
        <v>41</v>
      </c>
      <c r="H806" t="s">
        <v>27</v>
      </c>
      <c r="I806" t="s">
        <v>36</v>
      </c>
      <c r="J806" t="s">
        <v>21</v>
      </c>
      <c r="K806">
        <v>24</v>
      </c>
      <c r="L806">
        <v>9.36</v>
      </c>
      <c r="M806">
        <v>4.9000000000000004</v>
      </c>
      <c r="N806" t="s">
        <v>22</v>
      </c>
      <c r="O806" t="str">
        <f t="shared" si="12"/>
        <v>No</v>
      </c>
    </row>
    <row r="807" spans="1:15" x14ac:dyDescent="0.25">
      <c r="A807" t="s">
        <v>868</v>
      </c>
      <c r="B807" s="1">
        <v>45799</v>
      </c>
      <c r="C807" s="2">
        <v>45801.820416666669</v>
      </c>
      <c r="D807" t="s">
        <v>15</v>
      </c>
      <c r="E807" t="s">
        <v>32</v>
      </c>
      <c r="F807" t="s">
        <v>75</v>
      </c>
      <c r="G807" t="s">
        <v>41</v>
      </c>
      <c r="H807" t="s">
        <v>19</v>
      </c>
      <c r="I807" t="s">
        <v>28</v>
      </c>
      <c r="J807" t="s">
        <v>21</v>
      </c>
      <c r="K807">
        <v>48</v>
      </c>
      <c r="L807">
        <v>67.69</v>
      </c>
      <c r="M807">
        <v>3.2</v>
      </c>
      <c r="N807" t="s">
        <v>22</v>
      </c>
      <c r="O807" t="str">
        <f t="shared" si="12"/>
        <v>Yes</v>
      </c>
    </row>
    <row r="808" spans="1:15" x14ac:dyDescent="0.25">
      <c r="A808" t="s">
        <v>869</v>
      </c>
      <c r="B808" s="1">
        <v>45756</v>
      </c>
      <c r="C808" s="2">
        <v>45757.982488425929</v>
      </c>
      <c r="D808" t="s">
        <v>15</v>
      </c>
      <c r="E808" t="s">
        <v>16</v>
      </c>
      <c r="F808" t="s">
        <v>58</v>
      </c>
      <c r="G808" t="s">
        <v>56</v>
      </c>
      <c r="H808" t="s">
        <v>54</v>
      </c>
      <c r="I808" t="s">
        <v>45</v>
      </c>
      <c r="J808" t="s">
        <v>21</v>
      </c>
      <c r="K808">
        <v>48</v>
      </c>
      <c r="L808">
        <v>47.58</v>
      </c>
      <c r="M808">
        <v>3.5</v>
      </c>
      <c r="N808" t="s">
        <v>61</v>
      </c>
      <c r="O808" t="str">
        <f t="shared" si="12"/>
        <v>No</v>
      </c>
    </row>
    <row r="809" spans="1:15" x14ac:dyDescent="0.25">
      <c r="A809" t="s">
        <v>870</v>
      </c>
      <c r="B809" s="1">
        <v>45678</v>
      </c>
      <c r="C809" s="2">
        <v>45678.892916666664</v>
      </c>
      <c r="D809" t="s">
        <v>15</v>
      </c>
      <c r="E809" t="s">
        <v>16</v>
      </c>
      <c r="F809" t="s">
        <v>17</v>
      </c>
      <c r="G809" t="s">
        <v>51</v>
      </c>
      <c r="H809" t="s">
        <v>65</v>
      </c>
      <c r="I809" t="s">
        <v>28</v>
      </c>
      <c r="J809" t="s">
        <v>21</v>
      </c>
      <c r="K809">
        <v>48</v>
      </c>
      <c r="L809">
        <v>21.43</v>
      </c>
      <c r="M809">
        <v>5</v>
      </c>
      <c r="N809" t="s">
        <v>61</v>
      </c>
      <c r="O809" t="str">
        <f t="shared" si="12"/>
        <v>No</v>
      </c>
    </row>
    <row r="810" spans="1:15" x14ac:dyDescent="0.25">
      <c r="A810" t="s">
        <v>871</v>
      </c>
      <c r="B810" s="1">
        <v>45728</v>
      </c>
      <c r="C810" s="2">
        <v>45728.627500000002</v>
      </c>
      <c r="D810" t="s">
        <v>24</v>
      </c>
      <c r="E810" t="s">
        <v>39</v>
      </c>
      <c r="F810" t="s">
        <v>78</v>
      </c>
      <c r="G810" t="s">
        <v>18</v>
      </c>
      <c r="H810" t="s">
        <v>54</v>
      </c>
      <c r="I810" t="s">
        <v>36</v>
      </c>
      <c r="J810" t="s">
        <v>85</v>
      </c>
      <c r="K810">
        <v>24</v>
      </c>
      <c r="L810">
        <v>15.06</v>
      </c>
      <c r="M810">
        <v>4</v>
      </c>
      <c r="N810" t="s">
        <v>22</v>
      </c>
      <c r="O810" t="str">
        <f t="shared" si="12"/>
        <v>No</v>
      </c>
    </row>
    <row r="811" spans="1:15" x14ac:dyDescent="0.25">
      <c r="A811" t="s">
        <v>872</v>
      </c>
      <c r="B811" s="1">
        <v>45838</v>
      </c>
      <c r="C811" s="2">
        <v>45838.625</v>
      </c>
      <c r="D811" t="s">
        <v>15</v>
      </c>
      <c r="E811" t="s">
        <v>45</v>
      </c>
      <c r="F811" t="s">
        <v>112</v>
      </c>
      <c r="G811" t="s">
        <v>56</v>
      </c>
      <c r="H811" t="s">
        <v>35</v>
      </c>
      <c r="I811" t="s">
        <v>36</v>
      </c>
      <c r="J811" t="s">
        <v>21</v>
      </c>
      <c r="K811">
        <v>48</v>
      </c>
      <c r="L811">
        <v>15</v>
      </c>
      <c r="M811">
        <v>3.6</v>
      </c>
      <c r="N811" t="s">
        <v>22</v>
      </c>
      <c r="O811" t="str">
        <f t="shared" si="12"/>
        <v>No</v>
      </c>
    </row>
    <row r="812" spans="1:15" x14ac:dyDescent="0.25">
      <c r="A812" t="s">
        <v>873</v>
      </c>
      <c r="B812" s="1">
        <v>45665</v>
      </c>
      <c r="C812" s="2">
        <v>45665.139166666668</v>
      </c>
      <c r="D812" t="s">
        <v>38</v>
      </c>
      <c r="E812" t="s">
        <v>45</v>
      </c>
      <c r="F812" t="s">
        <v>112</v>
      </c>
      <c r="G812" t="s">
        <v>51</v>
      </c>
      <c r="H812" t="s">
        <v>19</v>
      </c>
      <c r="I812" t="s">
        <v>45</v>
      </c>
      <c r="J812" t="s">
        <v>21</v>
      </c>
      <c r="K812">
        <v>8</v>
      </c>
      <c r="L812">
        <v>3.34</v>
      </c>
      <c r="M812">
        <v>4.8</v>
      </c>
      <c r="N812" t="s">
        <v>22</v>
      </c>
      <c r="O812" t="str">
        <f t="shared" si="12"/>
        <v>No</v>
      </c>
    </row>
    <row r="813" spans="1:15" x14ac:dyDescent="0.25">
      <c r="A813" t="s">
        <v>874</v>
      </c>
      <c r="B813" s="1">
        <v>45817</v>
      </c>
      <c r="C813" s="2">
        <v>45817.264166666668</v>
      </c>
      <c r="D813" t="s">
        <v>38</v>
      </c>
      <c r="E813" t="s">
        <v>39</v>
      </c>
      <c r="F813" t="s">
        <v>78</v>
      </c>
      <c r="G813" t="s">
        <v>34</v>
      </c>
      <c r="H813" t="s">
        <v>44</v>
      </c>
      <c r="I813" t="s">
        <v>28</v>
      </c>
      <c r="J813" t="s">
        <v>21</v>
      </c>
      <c r="K813">
        <v>8</v>
      </c>
      <c r="L813">
        <v>6.34</v>
      </c>
      <c r="M813">
        <v>4.3</v>
      </c>
      <c r="N813" t="s">
        <v>22</v>
      </c>
      <c r="O813" t="str">
        <f t="shared" si="12"/>
        <v>No</v>
      </c>
    </row>
    <row r="814" spans="1:15" x14ac:dyDescent="0.25">
      <c r="A814" t="s">
        <v>875</v>
      </c>
      <c r="B814" s="1">
        <v>45781</v>
      </c>
      <c r="C814" s="2">
        <v>45781.418333333335</v>
      </c>
      <c r="D814" t="s">
        <v>24</v>
      </c>
      <c r="E814" t="s">
        <v>32</v>
      </c>
      <c r="F814" t="s">
        <v>33</v>
      </c>
      <c r="G814" t="s">
        <v>56</v>
      </c>
      <c r="H814" t="s">
        <v>44</v>
      </c>
      <c r="I814" t="s">
        <v>36</v>
      </c>
      <c r="J814" t="s">
        <v>29</v>
      </c>
      <c r="K814">
        <v>24</v>
      </c>
      <c r="L814">
        <v>10.039999999999999</v>
      </c>
      <c r="M814">
        <v>4.4000000000000004</v>
      </c>
      <c r="N814" t="s">
        <v>22</v>
      </c>
      <c r="O814" t="str">
        <f t="shared" si="12"/>
        <v>No</v>
      </c>
    </row>
    <row r="815" spans="1:15" x14ac:dyDescent="0.25">
      <c r="A815" t="s">
        <v>876</v>
      </c>
      <c r="B815" s="1">
        <v>45709</v>
      </c>
      <c r="C815" s="2">
        <v>45709.8825</v>
      </c>
      <c r="D815" t="s">
        <v>24</v>
      </c>
      <c r="E815" t="s">
        <v>39</v>
      </c>
      <c r="F815" t="s">
        <v>78</v>
      </c>
      <c r="G815" t="s">
        <v>18</v>
      </c>
      <c r="H815" t="s">
        <v>54</v>
      </c>
      <c r="I815" t="s">
        <v>36</v>
      </c>
      <c r="J815" t="s">
        <v>46</v>
      </c>
      <c r="K815">
        <v>24</v>
      </c>
      <c r="L815">
        <v>21.18</v>
      </c>
      <c r="M815">
        <v>5</v>
      </c>
      <c r="N815" t="s">
        <v>22</v>
      </c>
      <c r="O815" t="str">
        <f t="shared" si="12"/>
        <v>No</v>
      </c>
    </row>
    <row r="816" spans="1:15" x14ac:dyDescent="0.25">
      <c r="A816" t="s">
        <v>877</v>
      </c>
      <c r="B816" s="1">
        <v>45798</v>
      </c>
      <c r="C816" s="2">
        <v>45798.328333333331</v>
      </c>
      <c r="D816" t="s">
        <v>15</v>
      </c>
      <c r="E816" t="s">
        <v>32</v>
      </c>
      <c r="F816" t="s">
        <v>64</v>
      </c>
      <c r="G816" t="s">
        <v>51</v>
      </c>
      <c r="H816" t="s">
        <v>35</v>
      </c>
      <c r="I816" t="s">
        <v>45</v>
      </c>
      <c r="J816" t="s">
        <v>21</v>
      </c>
      <c r="K816">
        <v>48</v>
      </c>
      <c r="L816">
        <v>7.88</v>
      </c>
      <c r="M816">
        <v>4.9000000000000004</v>
      </c>
      <c r="N816" t="s">
        <v>22</v>
      </c>
      <c r="O816" t="str">
        <f t="shared" si="12"/>
        <v>No</v>
      </c>
    </row>
    <row r="817" spans="1:15" x14ac:dyDescent="0.25">
      <c r="A817" t="s">
        <v>878</v>
      </c>
      <c r="B817" s="1">
        <v>45809</v>
      </c>
      <c r="C817" s="2">
        <v>45810.571666666663</v>
      </c>
      <c r="D817" t="s">
        <v>15</v>
      </c>
      <c r="E817" t="s">
        <v>16</v>
      </c>
      <c r="F817" t="s">
        <v>58</v>
      </c>
      <c r="G817" t="s">
        <v>41</v>
      </c>
      <c r="H817" t="s">
        <v>54</v>
      </c>
      <c r="I817" t="s">
        <v>28</v>
      </c>
      <c r="J817" t="s">
        <v>46</v>
      </c>
      <c r="K817">
        <v>48</v>
      </c>
      <c r="L817">
        <v>37.72</v>
      </c>
      <c r="M817">
        <v>4.7</v>
      </c>
      <c r="N817" t="s">
        <v>22</v>
      </c>
      <c r="O817" t="str">
        <f t="shared" si="12"/>
        <v>No</v>
      </c>
    </row>
    <row r="818" spans="1:15" x14ac:dyDescent="0.25">
      <c r="A818" t="s">
        <v>879</v>
      </c>
      <c r="B818" s="1">
        <v>45665</v>
      </c>
      <c r="C818" s="2">
        <v>45665.079583333332</v>
      </c>
      <c r="D818" t="s">
        <v>38</v>
      </c>
      <c r="E818" t="s">
        <v>45</v>
      </c>
      <c r="F818" t="s">
        <v>50</v>
      </c>
      <c r="G818" t="s">
        <v>41</v>
      </c>
      <c r="H818" t="s">
        <v>27</v>
      </c>
      <c r="I818" t="s">
        <v>20</v>
      </c>
      <c r="J818" t="s">
        <v>29</v>
      </c>
      <c r="K818">
        <v>8</v>
      </c>
      <c r="L818">
        <v>1.91</v>
      </c>
      <c r="M818">
        <v>4.9000000000000004</v>
      </c>
      <c r="N818" t="s">
        <v>22</v>
      </c>
      <c r="O818" t="str">
        <f t="shared" si="12"/>
        <v>No</v>
      </c>
    </row>
    <row r="819" spans="1:15" x14ac:dyDescent="0.25">
      <c r="A819" t="s">
        <v>880</v>
      </c>
      <c r="B819" s="1">
        <v>45677</v>
      </c>
      <c r="C819" s="2">
        <v>45677.963750000003</v>
      </c>
      <c r="D819" t="s">
        <v>15</v>
      </c>
      <c r="E819" t="s">
        <v>25</v>
      </c>
      <c r="F819" t="s">
        <v>70</v>
      </c>
      <c r="G819" t="s">
        <v>18</v>
      </c>
      <c r="H819" t="s">
        <v>35</v>
      </c>
      <c r="I819" t="s">
        <v>28</v>
      </c>
      <c r="J819" t="s">
        <v>46</v>
      </c>
      <c r="K819">
        <v>48</v>
      </c>
      <c r="L819">
        <v>23.13</v>
      </c>
      <c r="M819">
        <v>5</v>
      </c>
      <c r="N819" t="s">
        <v>22</v>
      </c>
      <c r="O819" t="str">
        <f t="shared" si="12"/>
        <v>No</v>
      </c>
    </row>
    <row r="820" spans="1:15" x14ac:dyDescent="0.25">
      <c r="A820" t="s">
        <v>881</v>
      </c>
      <c r="B820" s="1">
        <v>45778</v>
      </c>
      <c r="C820" s="2">
        <v>45778.59375</v>
      </c>
      <c r="D820" t="s">
        <v>15</v>
      </c>
      <c r="E820" t="s">
        <v>39</v>
      </c>
      <c r="F820" t="s">
        <v>119</v>
      </c>
      <c r="G820" t="s">
        <v>18</v>
      </c>
      <c r="H820" t="s">
        <v>54</v>
      </c>
      <c r="I820" t="s">
        <v>45</v>
      </c>
      <c r="J820" t="s">
        <v>21</v>
      </c>
      <c r="K820">
        <v>48</v>
      </c>
      <c r="L820">
        <v>14.25</v>
      </c>
      <c r="M820">
        <v>4.4000000000000004</v>
      </c>
      <c r="N820" t="s">
        <v>22</v>
      </c>
      <c r="O820" t="str">
        <f t="shared" si="12"/>
        <v>No</v>
      </c>
    </row>
    <row r="821" spans="1:15" x14ac:dyDescent="0.25">
      <c r="A821" t="s">
        <v>882</v>
      </c>
      <c r="B821" s="1">
        <v>45838</v>
      </c>
      <c r="C821" s="2">
        <v>45838.787083333336</v>
      </c>
      <c r="D821" t="s">
        <v>24</v>
      </c>
      <c r="E821" t="s">
        <v>39</v>
      </c>
      <c r="F821" t="s">
        <v>40</v>
      </c>
      <c r="G821" t="s">
        <v>41</v>
      </c>
      <c r="H821" t="s">
        <v>19</v>
      </c>
      <c r="I821" t="s">
        <v>20</v>
      </c>
      <c r="J821" t="s">
        <v>21</v>
      </c>
      <c r="K821">
        <v>24</v>
      </c>
      <c r="L821">
        <v>18.89</v>
      </c>
      <c r="M821">
        <v>3.4</v>
      </c>
      <c r="N821" t="s">
        <v>22</v>
      </c>
      <c r="O821" t="str">
        <f t="shared" si="12"/>
        <v>No</v>
      </c>
    </row>
    <row r="822" spans="1:15" x14ac:dyDescent="0.25">
      <c r="A822" t="s">
        <v>883</v>
      </c>
      <c r="B822" s="1">
        <v>45662</v>
      </c>
      <c r="C822" s="2">
        <v>45662.361250000002</v>
      </c>
      <c r="D822" t="s">
        <v>15</v>
      </c>
      <c r="E822" t="s">
        <v>32</v>
      </c>
      <c r="F822" t="s">
        <v>33</v>
      </c>
      <c r="G822" t="s">
        <v>41</v>
      </c>
      <c r="H822" t="s">
        <v>27</v>
      </c>
      <c r="I822" t="s">
        <v>45</v>
      </c>
      <c r="J822" t="s">
        <v>46</v>
      </c>
      <c r="K822">
        <v>48</v>
      </c>
      <c r="L822">
        <v>8.67</v>
      </c>
      <c r="M822">
        <v>5</v>
      </c>
      <c r="N822" t="s">
        <v>22</v>
      </c>
      <c r="O822" t="str">
        <f t="shared" si="12"/>
        <v>No</v>
      </c>
    </row>
    <row r="823" spans="1:15" x14ac:dyDescent="0.25">
      <c r="A823" t="s">
        <v>884</v>
      </c>
      <c r="B823" s="1">
        <v>45778</v>
      </c>
      <c r="C823" s="2">
        <v>45778.88958333333</v>
      </c>
      <c r="D823" t="s">
        <v>24</v>
      </c>
      <c r="E823" t="s">
        <v>16</v>
      </c>
      <c r="F823" t="s">
        <v>58</v>
      </c>
      <c r="G823" t="s">
        <v>34</v>
      </c>
      <c r="H823" t="s">
        <v>35</v>
      </c>
      <c r="I823" t="s">
        <v>36</v>
      </c>
      <c r="J823" t="s">
        <v>21</v>
      </c>
      <c r="K823">
        <v>24</v>
      </c>
      <c r="L823">
        <v>21.35</v>
      </c>
      <c r="M823">
        <v>4.0999999999999996</v>
      </c>
      <c r="N823" t="s">
        <v>22</v>
      </c>
      <c r="O823" t="str">
        <f t="shared" si="12"/>
        <v>No</v>
      </c>
    </row>
    <row r="824" spans="1:15" x14ac:dyDescent="0.25">
      <c r="A824" t="s">
        <v>885</v>
      </c>
      <c r="B824" s="1">
        <v>45682</v>
      </c>
      <c r="C824" s="2">
        <v>45682.535833333335</v>
      </c>
      <c r="D824" t="s">
        <v>24</v>
      </c>
      <c r="E824" t="s">
        <v>32</v>
      </c>
      <c r="F824" t="s">
        <v>80</v>
      </c>
      <c r="G824" t="s">
        <v>51</v>
      </c>
      <c r="H824" t="s">
        <v>44</v>
      </c>
      <c r="I824" t="s">
        <v>20</v>
      </c>
      <c r="J824" t="s">
        <v>21</v>
      </c>
      <c r="K824">
        <v>24</v>
      </c>
      <c r="L824">
        <v>12.86</v>
      </c>
      <c r="M824">
        <v>4.9000000000000004</v>
      </c>
      <c r="N824" t="s">
        <v>61</v>
      </c>
      <c r="O824" t="str">
        <f t="shared" si="12"/>
        <v>No</v>
      </c>
    </row>
    <row r="825" spans="1:15" x14ac:dyDescent="0.25">
      <c r="A825" t="s">
        <v>886</v>
      </c>
      <c r="B825" s="1">
        <v>45775</v>
      </c>
      <c r="C825" s="2">
        <v>45775.150416666664</v>
      </c>
      <c r="D825" t="s">
        <v>38</v>
      </c>
      <c r="E825" t="s">
        <v>45</v>
      </c>
      <c r="F825" t="s">
        <v>50</v>
      </c>
      <c r="G825" t="s">
        <v>51</v>
      </c>
      <c r="H825" t="s">
        <v>35</v>
      </c>
      <c r="I825" t="s">
        <v>45</v>
      </c>
      <c r="J825" t="s">
        <v>46</v>
      </c>
      <c r="K825">
        <v>8</v>
      </c>
      <c r="L825">
        <v>3.61</v>
      </c>
      <c r="M825">
        <v>4.0999999999999996</v>
      </c>
      <c r="N825" t="s">
        <v>22</v>
      </c>
      <c r="O825" t="str">
        <f t="shared" si="12"/>
        <v>No</v>
      </c>
    </row>
    <row r="826" spans="1:15" x14ac:dyDescent="0.25">
      <c r="A826" t="s">
        <v>887</v>
      </c>
      <c r="B826" s="1">
        <v>45770</v>
      </c>
      <c r="C826" s="2">
        <v>45770.331250000003</v>
      </c>
      <c r="D826" t="s">
        <v>24</v>
      </c>
      <c r="E826" t="s">
        <v>25</v>
      </c>
      <c r="F826" t="s">
        <v>53</v>
      </c>
      <c r="G826" t="s">
        <v>41</v>
      </c>
      <c r="H826" t="s">
        <v>35</v>
      </c>
      <c r="I826" t="s">
        <v>45</v>
      </c>
      <c r="J826" t="s">
        <v>46</v>
      </c>
      <c r="K826">
        <v>24</v>
      </c>
      <c r="L826">
        <v>7.95</v>
      </c>
      <c r="M826">
        <v>4.9000000000000004</v>
      </c>
      <c r="N826" t="s">
        <v>22</v>
      </c>
      <c r="O826" t="str">
        <f t="shared" si="12"/>
        <v>No</v>
      </c>
    </row>
    <row r="827" spans="1:15" x14ac:dyDescent="0.25">
      <c r="A827" t="s">
        <v>888</v>
      </c>
      <c r="B827" s="1">
        <v>45674</v>
      </c>
      <c r="C827" s="2">
        <v>45674.127916666665</v>
      </c>
      <c r="D827" t="s">
        <v>38</v>
      </c>
      <c r="E827" t="s">
        <v>32</v>
      </c>
      <c r="F827" t="s">
        <v>33</v>
      </c>
      <c r="G827" t="s">
        <v>51</v>
      </c>
      <c r="H827" t="s">
        <v>65</v>
      </c>
      <c r="I827" t="s">
        <v>36</v>
      </c>
      <c r="J827" t="s">
        <v>21</v>
      </c>
      <c r="K827">
        <v>8</v>
      </c>
      <c r="L827">
        <v>3.07</v>
      </c>
      <c r="M827">
        <v>3.5</v>
      </c>
      <c r="N827" t="s">
        <v>22</v>
      </c>
      <c r="O827" t="str">
        <f t="shared" si="12"/>
        <v>No</v>
      </c>
    </row>
    <row r="828" spans="1:15" x14ac:dyDescent="0.25">
      <c r="A828" t="s">
        <v>889</v>
      </c>
      <c r="B828" s="1">
        <v>45781</v>
      </c>
      <c r="C828" s="2">
        <v>45782.212500000001</v>
      </c>
      <c r="D828" t="s">
        <v>24</v>
      </c>
      <c r="E828" t="s">
        <v>16</v>
      </c>
      <c r="F828" t="s">
        <v>17</v>
      </c>
      <c r="G828" t="s">
        <v>18</v>
      </c>
      <c r="H828" t="s">
        <v>44</v>
      </c>
      <c r="I828" t="s">
        <v>20</v>
      </c>
      <c r="J828" t="s">
        <v>21</v>
      </c>
      <c r="K828">
        <v>24</v>
      </c>
      <c r="L828">
        <v>29.1</v>
      </c>
      <c r="M828">
        <v>3.2</v>
      </c>
      <c r="N828" t="s">
        <v>61</v>
      </c>
      <c r="O828" t="str">
        <f t="shared" si="12"/>
        <v>Yes</v>
      </c>
    </row>
    <row r="829" spans="1:15" x14ac:dyDescent="0.25">
      <c r="A829" t="s">
        <v>890</v>
      </c>
      <c r="B829" s="1">
        <v>45820</v>
      </c>
      <c r="C829" s="2">
        <v>45820.10833333333</v>
      </c>
      <c r="D829" t="s">
        <v>38</v>
      </c>
      <c r="E829" t="s">
        <v>16</v>
      </c>
      <c r="F829" t="s">
        <v>17</v>
      </c>
      <c r="G829" t="s">
        <v>51</v>
      </c>
      <c r="H829" t="s">
        <v>19</v>
      </c>
      <c r="I829" t="s">
        <v>20</v>
      </c>
      <c r="J829" t="s">
        <v>21</v>
      </c>
      <c r="K829">
        <v>8</v>
      </c>
      <c r="L829">
        <v>2.6</v>
      </c>
      <c r="M829">
        <v>4.2</v>
      </c>
      <c r="N829" t="s">
        <v>22</v>
      </c>
      <c r="O829" t="str">
        <f t="shared" si="12"/>
        <v>No</v>
      </c>
    </row>
    <row r="830" spans="1:15" x14ac:dyDescent="0.25">
      <c r="A830" t="s">
        <v>891</v>
      </c>
      <c r="B830" s="1">
        <v>45814</v>
      </c>
      <c r="C830" s="2">
        <v>45815.218333333331</v>
      </c>
      <c r="D830" t="s">
        <v>24</v>
      </c>
      <c r="E830" t="s">
        <v>25</v>
      </c>
      <c r="F830" t="s">
        <v>26</v>
      </c>
      <c r="G830" t="s">
        <v>56</v>
      </c>
      <c r="H830" t="s">
        <v>44</v>
      </c>
      <c r="I830" t="s">
        <v>36</v>
      </c>
      <c r="J830" t="s">
        <v>21</v>
      </c>
      <c r="K830">
        <v>24</v>
      </c>
      <c r="L830">
        <v>29.24</v>
      </c>
      <c r="M830">
        <v>3.9</v>
      </c>
      <c r="N830" t="s">
        <v>22</v>
      </c>
      <c r="O830" t="str">
        <f t="shared" si="12"/>
        <v>Yes</v>
      </c>
    </row>
    <row r="831" spans="1:15" x14ac:dyDescent="0.25">
      <c r="A831" t="s">
        <v>892</v>
      </c>
      <c r="B831" s="1">
        <v>45663</v>
      </c>
      <c r="C831" s="2">
        <v>45665.97</v>
      </c>
      <c r="D831" t="s">
        <v>15</v>
      </c>
      <c r="E831" t="s">
        <v>39</v>
      </c>
      <c r="F831" t="s">
        <v>40</v>
      </c>
      <c r="G831" t="s">
        <v>18</v>
      </c>
      <c r="H831" t="s">
        <v>27</v>
      </c>
      <c r="I831" t="s">
        <v>28</v>
      </c>
      <c r="J831" t="s">
        <v>21</v>
      </c>
      <c r="K831">
        <v>48</v>
      </c>
      <c r="L831">
        <v>71.28</v>
      </c>
      <c r="M831">
        <v>2.9</v>
      </c>
      <c r="N831" t="s">
        <v>22</v>
      </c>
      <c r="O831" t="str">
        <f t="shared" si="12"/>
        <v>Yes</v>
      </c>
    </row>
    <row r="832" spans="1:15" x14ac:dyDescent="0.25">
      <c r="A832" t="s">
        <v>893</v>
      </c>
      <c r="B832" s="1">
        <v>45702</v>
      </c>
      <c r="C832" s="2">
        <v>45702.147499999999</v>
      </c>
      <c r="D832" t="s">
        <v>38</v>
      </c>
      <c r="E832" t="s">
        <v>32</v>
      </c>
      <c r="F832" t="s">
        <v>80</v>
      </c>
      <c r="G832" t="s">
        <v>18</v>
      </c>
      <c r="H832" t="s">
        <v>44</v>
      </c>
      <c r="I832" t="s">
        <v>36</v>
      </c>
      <c r="J832" t="s">
        <v>21</v>
      </c>
      <c r="K832">
        <v>8</v>
      </c>
      <c r="L832">
        <v>3.54</v>
      </c>
      <c r="M832">
        <v>3.6</v>
      </c>
      <c r="N832" t="s">
        <v>22</v>
      </c>
      <c r="O832" t="str">
        <f t="shared" si="12"/>
        <v>No</v>
      </c>
    </row>
    <row r="833" spans="1:15" x14ac:dyDescent="0.25">
      <c r="A833" t="s">
        <v>894</v>
      </c>
      <c r="B833" s="1">
        <v>45701</v>
      </c>
      <c r="C833" s="2">
        <v>45701.282083333332</v>
      </c>
      <c r="D833" t="s">
        <v>15</v>
      </c>
      <c r="E833" t="s">
        <v>16</v>
      </c>
      <c r="F833" t="s">
        <v>17</v>
      </c>
      <c r="G833" t="s">
        <v>41</v>
      </c>
      <c r="H833" t="s">
        <v>27</v>
      </c>
      <c r="I833" t="s">
        <v>36</v>
      </c>
      <c r="J833" t="s">
        <v>21</v>
      </c>
      <c r="K833">
        <v>48</v>
      </c>
      <c r="L833">
        <v>6.77</v>
      </c>
      <c r="M833">
        <v>4.5</v>
      </c>
      <c r="N833" t="s">
        <v>22</v>
      </c>
      <c r="O833" t="str">
        <f t="shared" si="12"/>
        <v>No</v>
      </c>
    </row>
    <row r="834" spans="1:15" x14ac:dyDescent="0.25">
      <c r="A834" t="s">
        <v>895</v>
      </c>
      <c r="B834" s="1">
        <v>45740</v>
      </c>
      <c r="C834" s="2">
        <v>45742.044583333336</v>
      </c>
      <c r="D834" t="s">
        <v>15</v>
      </c>
      <c r="E834" t="s">
        <v>32</v>
      </c>
      <c r="F834" t="s">
        <v>80</v>
      </c>
      <c r="G834" t="s">
        <v>34</v>
      </c>
      <c r="H834" t="s">
        <v>35</v>
      </c>
      <c r="I834" t="s">
        <v>36</v>
      </c>
      <c r="J834" t="s">
        <v>21</v>
      </c>
      <c r="K834">
        <v>48</v>
      </c>
      <c r="L834">
        <v>49.07</v>
      </c>
      <c r="M834">
        <v>4.2</v>
      </c>
      <c r="N834" t="s">
        <v>22</v>
      </c>
      <c r="O834" t="str">
        <f t="shared" si="12"/>
        <v>Yes</v>
      </c>
    </row>
    <row r="835" spans="1:15" x14ac:dyDescent="0.25">
      <c r="A835" t="s">
        <v>896</v>
      </c>
      <c r="B835" s="1">
        <v>45683</v>
      </c>
      <c r="C835" s="2">
        <v>45685.029166666667</v>
      </c>
      <c r="D835" t="s">
        <v>15</v>
      </c>
      <c r="E835" t="s">
        <v>16</v>
      </c>
      <c r="F835" t="s">
        <v>58</v>
      </c>
      <c r="G835" t="s">
        <v>56</v>
      </c>
      <c r="H835" t="s">
        <v>54</v>
      </c>
      <c r="I835" t="s">
        <v>45</v>
      </c>
      <c r="J835" t="s">
        <v>85</v>
      </c>
      <c r="K835">
        <v>48</v>
      </c>
      <c r="L835">
        <v>48.7</v>
      </c>
      <c r="M835">
        <v>3.9</v>
      </c>
      <c r="N835" t="s">
        <v>22</v>
      </c>
      <c r="O835" t="str">
        <f t="shared" ref="O835:O898" si="13">IF(L835&gt;K835,"Yes","No")</f>
        <v>Yes</v>
      </c>
    </row>
    <row r="836" spans="1:15" x14ac:dyDescent="0.25">
      <c r="A836" t="s">
        <v>897</v>
      </c>
      <c r="B836" s="1">
        <v>45812</v>
      </c>
      <c r="C836" s="2">
        <v>45813.23</v>
      </c>
      <c r="D836" t="s">
        <v>24</v>
      </c>
      <c r="E836" t="s">
        <v>32</v>
      </c>
      <c r="F836" t="s">
        <v>64</v>
      </c>
      <c r="G836" t="s">
        <v>51</v>
      </c>
      <c r="H836" t="s">
        <v>65</v>
      </c>
      <c r="I836" t="s">
        <v>36</v>
      </c>
      <c r="J836" t="s">
        <v>21</v>
      </c>
      <c r="K836">
        <v>24</v>
      </c>
      <c r="L836">
        <v>29.52</v>
      </c>
      <c r="M836">
        <v>3</v>
      </c>
      <c r="N836" t="s">
        <v>22</v>
      </c>
      <c r="O836" t="str">
        <f t="shared" si="13"/>
        <v>Yes</v>
      </c>
    </row>
    <row r="837" spans="1:15" x14ac:dyDescent="0.25">
      <c r="A837" t="s">
        <v>898</v>
      </c>
      <c r="B837" s="1">
        <v>45798</v>
      </c>
      <c r="C837" s="2">
        <v>45798.508333333331</v>
      </c>
      <c r="D837" t="s">
        <v>24</v>
      </c>
      <c r="E837" t="s">
        <v>16</v>
      </c>
      <c r="F837" t="s">
        <v>17</v>
      </c>
      <c r="G837" t="s">
        <v>34</v>
      </c>
      <c r="H837" t="s">
        <v>27</v>
      </c>
      <c r="I837" t="s">
        <v>20</v>
      </c>
      <c r="J837" t="s">
        <v>21</v>
      </c>
      <c r="K837">
        <v>24</v>
      </c>
      <c r="L837">
        <v>12.2</v>
      </c>
      <c r="M837">
        <v>4.9000000000000004</v>
      </c>
      <c r="N837" t="s">
        <v>22</v>
      </c>
      <c r="O837" t="str">
        <f t="shared" si="13"/>
        <v>No</v>
      </c>
    </row>
    <row r="838" spans="1:15" x14ac:dyDescent="0.25">
      <c r="A838" t="s">
        <v>899</v>
      </c>
      <c r="B838" s="1">
        <v>45804</v>
      </c>
      <c r="C838" s="2">
        <v>45804.673750000002</v>
      </c>
      <c r="D838" t="s">
        <v>24</v>
      </c>
      <c r="E838" t="s">
        <v>25</v>
      </c>
      <c r="F838" t="s">
        <v>53</v>
      </c>
      <c r="G838" t="s">
        <v>41</v>
      </c>
      <c r="H838" t="s">
        <v>44</v>
      </c>
      <c r="I838" t="s">
        <v>20</v>
      </c>
      <c r="J838" t="s">
        <v>21</v>
      </c>
      <c r="K838">
        <v>24</v>
      </c>
      <c r="L838">
        <v>16.170000000000002</v>
      </c>
      <c r="M838">
        <v>5</v>
      </c>
      <c r="N838" t="s">
        <v>22</v>
      </c>
      <c r="O838" t="str">
        <f t="shared" si="13"/>
        <v>No</v>
      </c>
    </row>
    <row r="839" spans="1:15" x14ac:dyDescent="0.25">
      <c r="A839" t="s">
        <v>900</v>
      </c>
      <c r="B839" s="1">
        <v>45693</v>
      </c>
      <c r="C839" s="2">
        <v>45693.126666666663</v>
      </c>
      <c r="D839" t="s">
        <v>38</v>
      </c>
      <c r="E839" t="s">
        <v>32</v>
      </c>
      <c r="F839" t="s">
        <v>33</v>
      </c>
      <c r="G839" t="s">
        <v>18</v>
      </c>
      <c r="H839" t="s">
        <v>54</v>
      </c>
      <c r="I839" t="s">
        <v>45</v>
      </c>
      <c r="J839" t="s">
        <v>21</v>
      </c>
      <c r="K839">
        <v>8</v>
      </c>
      <c r="L839">
        <v>3.04</v>
      </c>
      <c r="M839">
        <v>5</v>
      </c>
      <c r="N839" t="s">
        <v>22</v>
      </c>
      <c r="O839" t="str">
        <f t="shared" si="13"/>
        <v>No</v>
      </c>
    </row>
    <row r="840" spans="1:15" x14ac:dyDescent="0.25">
      <c r="A840" t="s">
        <v>901</v>
      </c>
      <c r="B840" s="1">
        <v>45660</v>
      </c>
      <c r="C840" s="2">
        <v>45660.735000000001</v>
      </c>
      <c r="D840" t="s">
        <v>15</v>
      </c>
      <c r="E840" t="s">
        <v>39</v>
      </c>
      <c r="F840" t="s">
        <v>119</v>
      </c>
      <c r="G840" t="s">
        <v>41</v>
      </c>
      <c r="H840" t="s">
        <v>44</v>
      </c>
      <c r="I840" t="s">
        <v>20</v>
      </c>
      <c r="J840" t="s">
        <v>21</v>
      </c>
      <c r="K840">
        <v>48</v>
      </c>
      <c r="L840">
        <v>17.64</v>
      </c>
      <c r="M840">
        <v>3.1</v>
      </c>
      <c r="N840" t="s">
        <v>61</v>
      </c>
      <c r="O840" t="str">
        <f t="shared" si="13"/>
        <v>No</v>
      </c>
    </row>
    <row r="841" spans="1:15" x14ac:dyDescent="0.25">
      <c r="A841" t="s">
        <v>902</v>
      </c>
      <c r="B841" s="1">
        <v>45822</v>
      </c>
      <c r="C841" s="2">
        <v>45822.649155092593</v>
      </c>
      <c r="D841" t="s">
        <v>24</v>
      </c>
      <c r="E841" t="s">
        <v>25</v>
      </c>
      <c r="F841" t="s">
        <v>26</v>
      </c>
      <c r="G841" t="s">
        <v>41</v>
      </c>
      <c r="H841" t="s">
        <v>27</v>
      </c>
      <c r="I841" t="s">
        <v>28</v>
      </c>
      <c r="J841" t="s">
        <v>29</v>
      </c>
      <c r="K841">
        <v>24</v>
      </c>
      <c r="L841">
        <v>15.58</v>
      </c>
      <c r="M841">
        <v>4.4000000000000004</v>
      </c>
      <c r="N841" t="s">
        <v>22</v>
      </c>
      <c r="O841" t="str">
        <f t="shared" si="13"/>
        <v>No</v>
      </c>
    </row>
    <row r="842" spans="1:15" x14ac:dyDescent="0.25">
      <c r="A842" t="s">
        <v>903</v>
      </c>
      <c r="B842" s="1">
        <v>45710</v>
      </c>
      <c r="C842" s="2">
        <v>45711.081666666665</v>
      </c>
      <c r="D842" t="s">
        <v>24</v>
      </c>
      <c r="E842" t="s">
        <v>32</v>
      </c>
      <c r="F842" t="s">
        <v>75</v>
      </c>
      <c r="G842" t="s">
        <v>34</v>
      </c>
      <c r="H842" t="s">
        <v>44</v>
      </c>
      <c r="I842" t="s">
        <v>36</v>
      </c>
      <c r="J842" t="s">
        <v>46</v>
      </c>
      <c r="K842">
        <v>24</v>
      </c>
      <c r="L842">
        <v>25.96</v>
      </c>
      <c r="M842">
        <v>3.6</v>
      </c>
      <c r="N842" t="s">
        <v>61</v>
      </c>
      <c r="O842" t="str">
        <f t="shared" si="13"/>
        <v>Yes</v>
      </c>
    </row>
    <row r="843" spans="1:15" x14ac:dyDescent="0.25">
      <c r="A843" t="s">
        <v>904</v>
      </c>
      <c r="B843" s="1">
        <v>45776</v>
      </c>
      <c r="C843" s="2">
        <v>45776.308749999997</v>
      </c>
      <c r="D843" t="s">
        <v>38</v>
      </c>
      <c r="E843" t="s">
        <v>16</v>
      </c>
      <c r="F843" t="s">
        <v>58</v>
      </c>
      <c r="G843" t="s">
        <v>51</v>
      </c>
      <c r="H843" t="s">
        <v>65</v>
      </c>
      <c r="I843" t="s">
        <v>36</v>
      </c>
      <c r="J843" t="s">
        <v>21</v>
      </c>
      <c r="K843">
        <v>8</v>
      </c>
      <c r="L843">
        <v>7.41</v>
      </c>
      <c r="M843">
        <v>2.6</v>
      </c>
      <c r="N843" t="s">
        <v>22</v>
      </c>
      <c r="O843" t="str">
        <f t="shared" si="13"/>
        <v>No</v>
      </c>
    </row>
    <row r="844" spans="1:15" x14ac:dyDescent="0.25">
      <c r="A844" t="s">
        <v>905</v>
      </c>
      <c r="B844" s="1">
        <v>45822</v>
      </c>
      <c r="C844" s="2">
        <v>45823.107071759259</v>
      </c>
      <c r="D844" t="s">
        <v>15</v>
      </c>
      <c r="E844" t="s">
        <v>16</v>
      </c>
      <c r="F844" t="s">
        <v>43</v>
      </c>
      <c r="G844" t="s">
        <v>56</v>
      </c>
      <c r="H844" t="s">
        <v>44</v>
      </c>
      <c r="I844" t="s">
        <v>36</v>
      </c>
      <c r="J844" t="s">
        <v>21</v>
      </c>
      <c r="K844">
        <v>48</v>
      </c>
      <c r="L844">
        <v>26.57</v>
      </c>
      <c r="M844">
        <v>3.5</v>
      </c>
      <c r="N844" t="s">
        <v>22</v>
      </c>
      <c r="O844" t="str">
        <f t="shared" si="13"/>
        <v>No</v>
      </c>
    </row>
    <row r="845" spans="1:15" x14ac:dyDescent="0.25">
      <c r="A845" t="s">
        <v>906</v>
      </c>
      <c r="B845" s="1">
        <v>45664</v>
      </c>
      <c r="C845" s="2">
        <v>45666.285833333335</v>
      </c>
      <c r="D845" t="s">
        <v>15</v>
      </c>
      <c r="E845" t="s">
        <v>39</v>
      </c>
      <c r="F845" t="s">
        <v>78</v>
      </c>
      <c r="G845" t="s">
        <v>18</v>
      </c>
      <c r="H845" t="s">
        <v>19</v>
      </c>
      <c r="I845" t="s">
        <v>45</v>
      </c>
      <c r="J845" t="s">
        <v>21</v>
      </c>
      <c r="K845">
        <v>48</v>
      </c>
      <c r="L845">
        <v>54.86</v>
      </c>
      <c r="M845">
        <v>4.0999999999999996</v>
      </c>
      <c r="N845" t="s">
        <v>22</v>
      </c>
      <c r="O845" t="str">
        <f t="shared" si="13"/>
        <v>Yes</v>
      </c>
    </row>
    <row r="846" spans="1:15" x14ac:dyDescent="0.25">
      <c r="A846" t="s">
        <v>907</v>
      </c>
      <c r="B846" s="1">
        <v>45658</v>
      </c>
      <c r="C846" s="2">
        <v>45658.184999999998</v>
      </c>
      <c r="D846" t="s">
        <v>24</v>
      </c>
      <c r="E846" t="s">
        <v>25</v>
      </c>
      <c r="F846" t="s">
        <v>26</v>
      </c>
      <c r="G846" t="s">
        <v>56</v>
      </c>
      <c r="H846" t="s">
        <v>35</v>
      </c>
      <c r="I846" t="s">
        <v>36</v>
      </c>
      <c r="J846" t="s">
        <v>21</v>
      </c>
      <c r="K846">
        <v>24</v>
      </c>
      <c r="L846">
        <v>4.4400000000000004</v>
      </c>
      <c r="M846">
        <v>4.9000000000000004</v>
      </c>
      <c r="N846" t="s">
        <v>22</v>
      </c>
      <c r="O846" t="str">
        <f t="shared" si="13"/>
        <v>No</v>
      </c>
    </row>
    <row r="847" spans="1:15" x14ac:dyDescent="0.25">
      <c r="A847" t="s">
        <v>908</v>
      </c>
      <c r="B847" s="1">
        <v>45658</v>
      </c>
      <c r="C847" s="2">
        <v>45660.303738425922</v>
      </c>
      <c r="D847" t="s">
        <v>24</v>
      </c>
      <c r="E847" t="s">
        <v>16</v>
      </c>
      <c r="F847" t="s">
        <v>43</v>
      </c>
      <c r="G847" t="s">
        <v>56</v>
      </c>
      <c r="H847" t="s">
        <v>19</v>
      </c>
      <c r="I847" t="s">
        <v>45</v>
      </c>
      <c r="J847" t="s">
        <v>21</v>
      </c>
      <c r="K847">
        <v>24</v>
      </c>
      <c r="L847">
        <v>55.29</v>
      </c>
      <c r="M847">
        <v>2.2999999999999998</v>
      </c>
      <c r="N847" t="s">
        <v>22</v>
      </c>
      <c r="O847" t="str">
        <f t="shared" si="13"/>
        <v>Yes</v>
      </c>
    </row>
    <row r="848" spans="1:15" x14ac:dyDescent="0.25">
      <c r="A848" t="s">
        <v>909</v>
      </c>
      <c r="B848" s="1">
        <v>45686</v>
      </c>
      <c r="C848" s="2">
        <v>45686.067916666667</v>
      </c>
      <c r="D848" t="s">
        <v>38</v>
      </c>
      <c r="E848" t="s">
        <v>16</v>
      </c>
      <c r="F848" t="s">
        <v>43</v>
      </c>
      <c r="G848" t="s">
        <v>18</v>
      </c>
      <c r="H848" t="s">
        <v>35</v>
      </c>
      <c r="I848" t="s">
        <v>45</v>
      </c>
      <c r="J848" t="s">
        <v>21</v>
      </c>
      <c r="K848">
        <v>8</v>
      </c>
      <c r="L848">
        <v>1.63</v>
      </c>
      <c r="M848">
        <v>4.3</v>
      </c>
      <c r="N848" t="s">
        <v>22</v>
      </c>
      <c r="O848" t="str">
        <f t="shared" si="13"/>
        <v>No</v>
      </c>
    </row>
    <row r="849" spans="1:15" x14ac:dyDescent="0.25">
      <c r="A849" t="s">
        <v>910</v>
      </c>
      <c r="B849" s="1">
        <v>45667</v>
      </c>
      <c r="C849" s="2">
        <v>45667.520416666666</v>
      </c>
      <c r="D849" t="s">
        <v>24</v>
      </c>
      <c r="E849" t="s">
        <v>32</v>
      </c>
      <c r="F849" t="s">
        <v>80</v>
      </c>
      <c r="G849" t="s">
        <v>41</v>
      </c>
      <c r="H849" t="s">
        <v>27</v>
      </c>
      <c r="I849" t="s">
        <v>45</v>
      </c>
      <c r="J849" t="s">
        <v>21</v>
      </c>
      <c r="K849">
        <v>24</v>
      </c>
      <c r="L849">
        <v>12.49</v>
      </c>
      <c r="M849">
        <v>5</v>
      </c>
      <c r="N849" t="s">
        <v>22</v>
      </c>
      <c r="O849" t="str">
        <f t="shared" si="13"/>
        <v>No</v>
      </c>
    </row>
    <row r="850" spans="1:15" x14ac:dyDescent="0.25">
      <c r="A850" t="s">
        <v>911</v>
      </c>
      <c r="B850" s="1">
        <v>45806</v>
      </c>
      <c r="C850" s="2">
        <v>45806.213750000003</v>
      </c>
      <c r="D850" t="s">
        <v>38</v>
      </c>
      <c r="E850" t="s">
        <v>32</v>
      </c>
      <c r="F850" t="s">
        <v>64</v>
      </c>
      <c r="G850" t="s">
        <v>56</v>
      </c>
      <c r="H850" t="s">
        <v>65</v>
      </c>
      <c r="I850" t="s">
        <v>36</v>
      </c>
      <c r="J850" t="s">
        <v>21</v>
      </c>
      <c r="K850">
        <v>8</v>
      </c>
      <c r="L850">
        <v>5.13</v>
      </c>
      <c r="M850">
        <v>3.4</v>
      </c>
      <c r="N850" t="s">
        <v>22</v>
      </c>
      <c r="O850" t="str">
        <f t="shared" si="13"/>
        <v>No</v>
      </c>
    </row>
    <row r="851" spans="1:15" x14ac:dyDescent="0.25">
      <c r="A851" t="s">
        <v>912</v>
      </c>
      <c r="B851" s="1">
        <v>45767</v>
      </c>
      <c r="C851" s="2">
        <v>45767.659583333334</v>
      </c>
      <c r="D851" t="s">
        <v>24</v>
      </c>
      <c r="E851" t="s">
        <v>32</v>
      </c>
      <c r="F851" t="s">
        <v>75</v>
      </c>
      <c r="G851" t="s">
        <v>56</v>
      </c>
      <c r="H851" t="s">
        <v>19</v>
      </c>
      <c r="I851" t="s">
        <v>36</v>
      </c>
      <c r="J851" t="s">
        <v>46</v>
      </c>
      <c r="K851">
        <v>24</v>
      </c>
      <c r="L851">
        <v>15.83</v>
      </c>
      <c r="M851">
        <v>3.6</v>
      </c>
      <c r="N851" t="s">
        <v>22</v>
      </c>
      <c r="O851" t="str">
        <f t="shared" si="13"/>
        <v>No</v>
      </c>
    </row>
    <row r="852" spans="1:15" x14ac:dyDescent="0.25">
      <c r="A852" t="s">
        <v>913</v>
      </c>
      <c r="B852" s="1">
        <v>45835</v>
      </c>
      <c r="C852" s="2">
        <v>45837.135416666664</v>
      </c>
      <c r="D852" t="s">
        <v>15</v>
      </c>
      <c r="E852" t="s">
        <v>45</v>
      </c>
      <c r="F852" t="s">
        <v>50</v>
      </c>
      <c r="G852" t="s">
        <v>51</v>
      </c>
      <c r="H852" t="s">
        <v>19</v>
      </c>
      <c r="I852" t="s">
        <v>36</v>
      </c>
      <c r="J852" t="s">
        <v>21</v>
      </c>
      <c r="K852">
        <v>48</v>
      </c>
      <c r="L852">
        <v>51.25</v>
      </c>
      <c r="M852">
        <v>3.5</v>
      </c>
      <c r="N852" t="s">
        <v>22</v>
      </c>
      <c r="O852" t="str">
        <f t="shared" si="13"/>
        <v>Yes</v>
      </c>
    </row>
    <row r="853" spans="1:15" x14ac:dyDescent="0.25">
      <c r="A853" t="s">
        <v>914</v>
      </c>
      <c r="B853" s="1">
        <v>45803</v>
      </c>
      <c r="C853" s="2">
        <v>45803.541250000002</v>
      </c>
      <c r="D853" t="s">
        <v>15</v>
      </c>
      <c r="E853" t="s">
        <v>45</v>
      </c>
      <c r="F853" t="s">
        <v>112</v>
      </c>
      <c r="G853" t="s">
        <v>18</v>
      </c>
      <c r="H853" t="s">
        <v>27</v>
      </c>
      <c r="I853" t="s">
        <v>20</v>
      </c>
      <c r="J853" t="s">
        <v>29</v>
      </c>
      <c r="K853">
        <v>48</v>
      </c>
      <c r="L853">
        <v>12.99</v>
      </c>
      <c r="M853">
        <v>3.7</v>
      </c>
      <c r="N853" t="s">
        <v>22</v>
      </c>
      <c r="O853" t="str">
        <f t="shared" si="13"/>
        <v>No</v>
      </c>
    </row>
    <row r="854" spans="1:15" x14ac:dyDescent="0.25">
      <c r="A854" t="s">
        <v>915</v>
      </c>
      <c r="B854" s="1">
        <v>45832</v>
      </c>
      <c r="C854" s="2">
        <v>45833.3825</v>
      </c>
      <c r="D854" t="s">
        <v>15</v>
      </c>
      <c r="E854" t="s">
        <v>25</v>
      </c>
      <c r="F854" t="s">
        <v>53</v>
      </c>
      <c r="G854" t="s">
        <v>41</v>
      </c>
      <c r="H854" t="s">
        <v>65</v>
      </c>
      <c r="I854" t="s">
        <v>45</v>
      </c>
      <c r="J854" t="s">
        <v>21</v>
      </c>
      <c r="K854">
        <v>48</v>
      </c>
      <c r="L854">
        <v>33.18</v>
      </c>
      <c r="M854">
        <v>3.6</v>
      </c>
      <c r="N854" t="s">
        <v>22</v>
      </c>
      <c r="O854" t="str">
        <f t="shared" si="13"/>
        <v>No</v>
      </c>
    </row>
    <row r="855" spans="1:15" x14ac:dyDescent="0.25">
      <c r="A855" t="s">
        <v>916</v>
      </c>
      <c r="B855" s="1">
        <v>45701</v>
      </c>
      <c r="C855" s="2">
        <v>45701.874583333331</v>
      </c>
      <c r="D855" t="s">
        <v>24</v>
      </c>
      <c r="E855" t="s">
        <v>32</v>
      </c>
      <c r="F855" t="s">
        <v>64</v>
      </c>
      <c r="G855" t="s">
        <v>34</v>
      </c>
      <c r="H855" t="s">
        <v>27</v>
      </c>
      <c r="I855" t="s">
        <v>45</v>
      </c>
      <c r="J855" t="s">
        <v>46</v>
      </c>
      <c r="K855">
        <v>24</v>
      </c>
      <c r="L855">
        <v>20.99</v>
      </c>
      <c r="M855">
        <v>4.5999999999999996</v>
      </c>
      <c r="N855" t="s">
        <v>22</v>
      </c>
      <c r="O855" t="str">
        <f t="shared" si="13"/>
        <v>No</v>
      </c>
    </row>
    <row r="856" spans="1:15" x14ac:dyDescent="0.25">
      <c r="A856" t="s">
        <v>917</v>
      </c>
      <c r="B856" s="1">
        <v>45710</v>
      </c>
      <c r="C856" s="2">
        <v>45711.171666666669</v>
      </c>
      <c r="D856" t="s">
        <v>24</v>
      </c>
      <c r="E856" t="s">
        <v>16</v>
      </c>
      <c r="F856" t="s">
        <v>58</v>
      </c>
      <c r="G856" t="s">
        <v>56</v>
      </c>
      <c r="H856" t="s">
        <v>27</v>
      </c>
      <c r="I856" t="s">
        <v>45</v>
      </c>
      <c r="J856" t="s">
        <v>46</v>
      </c>
      <c r="K856">
        <v>24</v>
      </c>
      <c r="L856">
        <v>28.12</v>
      </c>
      <c r="M856">
        <v>3</v>
      </c>
      <c r="N856" t="s">
        <v>22</v>
      </c>
      <c r="O856" t="str">
        <f t="shared" si="13"/>
        <v>Yes</v>
      </c>
    </row>
    <row r="857" spans="1:15" x14ac:dyDescent="0.25">
      <c r="A857" t="s">
        <v>918</v>
      </c>
      <c r="B857" s="1">
        <v>45811</v>
      </c>
      <c r="C857" s="2">
        <v>45811.439166666663</v>
      </c>
      <c r="D857" t="s">
        <v>24</v>
      </c>
      <c r="E857" t="s">
        <v>25</v>
      </c>
      <c r="F857" t="s">
        <v>48</v>
      </c>
      <c r="G857" t="s">
        <v>51</v>
      </c>
      <c r="H857" t="s">
        <v>19</v>
      </c>
      <c r="I857" t="s">
        <v>45</v>
      </c>
      <c r="J857" t="s">
        <v>46</v>
      </c>
      <c r="K857">
        <v>24</v>
      </c>
      <c r="L857">
        <v>10.54</v>
      </c>
      <c r="M857">
        <v>5</v>
      </c>
      <c r="N857" t="s">
        <v>22</v>
      </c>
      <c r="O857" t="str">
        <f t="shared" si="13"/>
        <v>No</v>
      </c>
    </row>
    <row r="858" spans="1:15" x14ac:dyDescent="0.25">
      <c r="A858" t="s">
        <v>919</v>
      </c>
      <c r="B858" s="1">
        <v>45702</v>
      </c>
      <c r="C858" s="2">
        <v>45702.6</v>
      </c>
      <c r="D858" t="s">
        <v>24</v>
      </c>
      <c r="E858" t="s">
        <v>16</v>
      </c>
      <c r="F858" t="s">
        <v>17</v>
      </c>
      <c r="G858" t="s">
        <v>41</v>
      </c>
      <c r="H858" t="s">
        <v>44</v>
      </c>
      <c r="I858" t="s">
        <v>36</v>
      </c>
      <c r="J858" t="s">
        <v>46</v>
      </c>
      <c r="K858">
        <v>24</v>
      </c>
      <c r="L858">
        <v>14.4</v>
      </c>
      <c r="M858">
        <v>4.7</v>
      </c>
      <c r="N858" t="s">
        <v>22</v>
      </c>
      <c r="O858" t="str">
        <f t="shared" si="13"/>
        <v>No</v>
      </c>
    </row>
    <row r="859" spans="1:15" x14ac:dyDescent="0.25">
      <c r="A859" t="s">
        <v>920</v>
      </c>
      <c r="B859" s="1">
        <v>45668</v>
      </c>
      <c r="C859" s="2">
        <v>45668.541666666664</v>
      </c>
      <c r="D859" t="s">
        <v>24</v>
      </c>
      <c r="E859" t="s">
        <v>32</v>
      </c>
      <c r="F859" t="s">
        <v>80</v>
      </c>
      <c r="G859" t="s">
        <v>41</v>
      </c>
      <c r="H859" t="s">
        <v>54</v>
      </c>
      <c r="I859" t="s">
        <v>36</v>
      </c>
      <c r="J859" t="s">
        <v>21</v>
      </c>
      <c r="K859">
        <v>24</v>
      </c>
      <c r="L859">
        <v>13</v>
      </c>
      <c r="M859">
        <v>4.2</v>
      </c>
      <c r="N859" t="s">
        <v>22</v>
      </c>
      <c r="O859" t="str">
        <f t="shared" si="13"/>
        <v>No</v>
      </c>
    </row>
    <row r="860" spans="1:15" x14ac:dyDescent="0.25">
      <c r="A860" t="s">
        <v>921</v>
      </c>
      <c r="B860" s="1">
        <v>45779</v>
      </c>
      <c r="C860" s="2">
        <v>45779.845405092594</v>
      </c>
      <c r="D860" t="s">
        <v>24</v>
      </c>
      <c r="E860" t="s">
        <v>45</v>
      </c>
      <c r="F860" t="s">
        <v>104</v>
      </c>
      <c r="G860" t="s">
        <v>41</v>
      </c>
      <c r="H860" t="s">
        <v>35</v>
      </c>
      <c r="I860" t="s">
        <v>36</v>
      </c>
      <c r="J860" t="s">
        <v>21</v>
      </c>
      <c r="K860">
        <v>24</v>
      </c>
      <c r="L860">
        <v>20.29</v>
      </c>
      <c r="M860">
        <v>3.1</v>
      </c>
      <c r="N860" t="s">
        <v>22</v>
      </c>
      <c r="O860" t="str">
        <f t="shared" si="13"/>
        <v>No</v>
      </c>
    </row>
    <row r="861" spans="1:15" x14ac:dyDescent="0.25">
      <c r="A861" t="s">
        <v>922</v>
      </c>
      <c r="B861" s="1">
        <v>45802</v>
      </c>
      <c r="C861" s="2">
        <v>45802.849166666667</v>
      </c>
      <c r="D861" t="s">
        <v>24</v>
      </c>
      <c r="E861" t="s">
        <v>32</v>
      </c>
      <c r="F861" t="s">
        <v>64</v>
      </c>
      <c r="G861" t="s">
        <v>51</v>
      </c>
      <c r="H861" t="s">
        <v>35</v>
      </c>
      <c r="I861" t="s">
        <v>36</v>
      </c>
      <c r="J861" t="s">
        <v>85</v>
      </c>
      <c r="K861">
        <v>24</v>
      </c>
      <c r="L861">
        <v>20.38</v>
      </c>
      <c r="M861">
        <v>4</v>
      </c>
      <c r="N861" t="s">
        <v>22</v>
      </c>
      <c r="O861" t="str">
        <f t="shared" si="13"/>
        <v>No</v>
      </c>
    </row>
    <row r="862" spans="1:15" x14ac:dyDescent="0.25">
      <c r="A862" t="s">
        <v>923</v>
      </c>
      <c r="B862" s="1">
        <v>45833</v>
      </c>
      <c r="C862" s="2">
        <v>45833.425416666665</v>
      </c>
      <c r="D862" t="s">
        <v>24</v>
      </c>
      <c r="E862" t="s">
        <v>32</v>
      </c>
      <c r="F862" t="s">
        <v>64</v>
      </c>
      <c r="G862" t="s">
        <v>18</v>
      </c>
      <c r="H862" t="s">
        <v>65</v>
      </c>
      <c r="I862" t="s">
        <v>36</v>
      </c>
      <c r="J862" t="s">
        <v>21</v>
      </c>
      <c r="K862">
        <v>24</v>
      </c>
      <c r="L862">
        <v>10.210000000000001</v>
      </c>
      <c r="M862">
        <v>3.1</v>
      </c>
      <c r="N862" t="s">
        <v>22</v>
      </c>
      <c r="O862" t="str">
        <f t="shared" si="13"/>
        <v>No</v>
      </c>
    </row>
    <row r="863" spans="1:15" x14ac:dyDescent="0.25">
      <c r="A863" t="s">
        <v>924</v>
      </c>
      <c r="B863" s="1">
        <v>45825</v>
      </c>
      <c r="C863" s="2">
        <v>45825.534166666665</v>
      </c>
      <c r="D863" t="s">
        <v>24</v>
      </c>
      <c r="E863" t="s">
        <v>45</v>
      </c>
      <c r="F863" t="s">
        <v>104</v>
      </c>
      <c r="G863" t="s">
        <v>51</v>
      </c>
      <c r="H863" t="s">
        <v>27</v>
      </c>
      <c r="I863" t="s">
        <v>20</v>
      </c>
      <c r="J863" t="s">
        <v>46</v>
      </c>
      <c r="K863">
        <v>24</v>
      </c>
      <c r="L863">
        <v>12.82</v>
      </c>
      <c r="M863">
        <v>4</v>
      </c>
      <c r="N863" t="s">
        <v>22</v>
      </c>
      <c r="O863" t="str">
        <f t="shared" si="13"/>
        <v>No</v>
      </c>
    </row>
    <row r="864" spans="1:15" x14ac:dyDescent="0.25">
      <c r="A864" t="s">
        <v>925</v>
      </c>
      <c r="B864" s="1">
        <v>45679</v>
      </c>
      <c r="C864" s="2">
        <v>45679.563750000001</v>
      </c>
      <c r="D864" t="s">
        <v>24</v>
      </c>
      <c r="E864" t="s">
        <v>16</v>
      </c>
      <c r="F864" t="s">
        <v>60</v>
      </c>
      <c r="G864" t="s">
        <v>34</v>
      </c>
      <c r="H864" t="s">
        <v>27</v>
      </c>
      <c r="I864" t="s">
        <v>36</v>
      </c>
      <c r="J864" t="s">
        <v>29</v>
      </c>
      <c r="K864">
        <v>24</v>
      </c>
      <c r="L864">
        <v>13.53</v>
      </c>
      <c r="M864">
        <v>4.5</v>
      </c>
      <c r="N864" t="s">
        <v>22</v>
      </c>
      <c r="O864" t="str">
        <f t="shared" si="13"/>
        <v>No</v>
      </c>
    </row>
    <row r="865" spans="1:15" x14ac:dyDescent="0.25">
      <c r="A865" t="s">
        <v>926</v>
      </c>
      <c r="B865" s="1">
        <v>45797</v>
      </c>
      <c r="C865" s="2">
        <v>45797.234583333331</v>
      </c>
      <c r="D865" t="s">
        <v>24</v>
      </c>
      <c r="E865" t="s">
        <v>39</v>
      </c>
      <c r="F865" t="s">
        <v>119</v>
      </c>
      <c r="G865" t="s">
        <v>51</v>
      </c>
      <c r="H865" t="s">
        <v>27</v>
      </c>
      <c r="I865" t="s">
        <v>36</v>
      </c>
      <c r="J865" t="s">
        <v>21</v>
      </c>
      <c r="K865">
        <v>24</v>
      </c>
      <c r="L865">
        <v>5.63</v>
      </c>
      <c r="M865">
        <v>5</v>
      </c>
      <c r="N865" t="s">
        <v>22</v>
      </c>
      <c r="O865" t="str">
        <f t="shared" si="13"/>
        <v>No</v>
      </c>
    </row>
    <row r="866" spans="1:15" x14ac:dyDescent="0.25">
      <c r="A866" t="s">
        <v>927</v>
      </c>
      <c r="B866" s="1">
        <v>45811</v>
      </c>
      <c r="C866" s="2">
        <v>45811.71875</v>
      </c>
      <c r="D866" t="s">
        <v>24</v>
      </c>
      <c r="E866" t="s">
        <v>16</v>
      </c>
      <c r="F866" t="s">
        <v>60</v>
      </c>
      <c r="G866" t="s">
        <v>34</v>
      </c>
      <c r="H866" t="s">
        <v>44</v>
      </c>
      <c r="I866" t="s">
        <v>36</v>
      </c>
      <c r="J866" t="s">
        <v>29</v>
      </c>
      <c r="K866">
        <v>24</v>
      </c>
      <c r="L866">
        <v>17.25</v>
      </c>
      <c r="M866">
        <v>4</v>
      </c>
      <c r="N866" t="s">
        <v>61</v>
      </c>
      <c r="O866" t="str">
        <f t="shared" si="13"/>
        <v>No</v>
      </c>
    </row>
    <row r="867" spans="1:15" x14ac:dyDescent="0.25">
      <c r="A867" t="s">
        <v>928</v>
      </c>
      <c r="B867" s="1">
        <v>45784</v>
      </c>
      <c r="C867" s="2">
        <v>45784.699166666665</v>
      </c>
      <c r="D867" t="s">
        <v>24</v>
      </c>
      <c r="E867" t="s">
        <v>45</v>
      </c>
      <c r="F867" t="s">
        <v>50</v>
      </c>
      <c r="G867" t="s">
        <v>34</v>
      </c>
      <c r="H867" t="s">
        <v>44</v>
      </c>
      <c r="I867" t="s">
        <v>36</v>
      </c>
      <c r="J867" t="s">
        <v>21</v>
      </c>
      <c r="K867">
        <v>24</v>
      </c>
      <c r="L867">
        <v>16.78</v>
      </c>
      <c r="M867">
        <v>3.8</v>
      </c>
      <c r="N867" t="s">
        <v>22</v>
      </c>
      <c r="O867" t="str">
        <f t="shared" si="13"/>
        <v>No</v>
      </c>
    </row>
    <row r="868" spans="1:15" x14ac:dyDescent="0.25">
      <c r="A868" t="s">
        <v>929</v>
      </c>
      <c r="B868" s="1">
        <v>45806</v>
      </c>
      <c r="C868" s="2">
        <v>45806.236666666664</v>
      </c>
      <c r="D868" t="s">
        <v>24</v>
      </c>
      <c r="E868" t="s">
        <v>32</v>
      </c>
      <c r="F868" t="s">
        <v>64</v>
      </c>
      <c r="G868" t="s">
        <v>51</v>
      </c>
      <c r="H868" t="s">
        <v>44</v>
      </c>
      <c r="I868" t="s">
        <v>36</v>
      </c>
      <c r="J868" t="s">
        <v>21</v>
      </c>
      <c r="K868">
        <v>24</v>
      </c>
      <c r="L868">
        <v>5.68</v>
      </c>
      <c r="M868">
        <v>4.3</v>
      </c>
      <c r="N868" t="s">
        <v>22</v>
      </c>
      <c r="O868" t="str">
        <f t="shared" si="13"/>
        <v>No</v>
      </c>
    </row>
    <row r="869" spans="1:15" x14ac:dyDescent="0.25">
      <c r="A869" t="s">
        <v>930</v>
      </c>
      <c r="B869" s="1">
        <v>45809</v>
      </c>
      <c r="C869" s="2">
        <v>45809.752500000002</v>
      </c>
      <c r="D869" t="s">
        <v>24</v>
      </c>
      <c r="E869" t="s">
        <v>25</v>
      </c>
      <c r="F869" t="s">
        <v>26</v>
      </c>
      <c r="G869" t="s">
        <v>34</v>
      </c>
      <c r="H869" t="s">
        <v>19</v>
      </c>
      <c r="I869" t="s">
        <v>36</v>
      </c>
      <c r="J869" t="s">
        <v>46</v>
      </c>
      <c r="K869">
        <v>24</v>
      </c>
      <c r="L869">
        <v>18.059999999999999</v>
      </c>
      <c r="M869">
        <v>3.8</v>
      </c>
      <c r="N869" t="s">
        <v>22</v>
      </c>
      <c r="O869" t="str">
        <f t="shared" si="13"/>
        <v>No</v>
      </c>
    </row>
    <row r="870" spans="1:15" x14ac:dyDescent="0.25">
      <c r="A870" t="s">
        <v>931</v>
      </c>
      <c r="B870" s="1">
        <v>45738</v>
      </c>
      <c r="C870" s="2">
        <v>45743.029583333337</v>
      </c>
      <c r="D870" t="s">
        <v>15</v>
      </c>
      <c r="E870" t="s">
        <v>39</v>
      </c>
      <c r="F870" t="s">
        <v>40</v>
      </c>
      <c r="G870" t="s">
        <v>51</v>
      </c>
      <c r="H870" t="s">
        <v>27</v>
      </c>
      <c r="I870" t="s">
        <v>36</v>
      </c>
      <c r="J870" t="s">
        <v>46</v>
      </c>
      <c r="K870">
        <v>48</v>
      </c>
      <c r="L870">
        <v>120.71</v>
      </c>
      <c r="M870">
        <v>2.4</v>
      </c>
      <c r="N870" t="s">
        <v>22</v>
      </c>
      <c r="O870" t="str">
        <f t="shared" si="13"/>
        <v>Yes</v>
      </c>
    </row>
    <row r="871" spans="1:15" x14ac:dyDescent="0.25">
      <c r="A871" t="s">
        <v>932</v>
      </c>
      <c r="B871" s="1">
        <v>45665</v>
      </c>
      <c r="C871" s="2">
        <v>45665.297083333331</v>
      </c>
      <c r="D871" t="s">
        <v>24</v>
      </c>
      <c r="E871" t="s">
        <v>32</v>
      </c>
      <c r="F871" t="s">
        <v>75</v>
      </c>
      <c r="G871" t="s">
        <v>18</v>
      </c>
      <c r="H871" t="s">
        <v>65</v>
      </c>
      <c r="I871" t="s">
        <v>28</v>
      </c>
      <c r="J871" t="s">
        <v>21</v>
      </c>
      <c r="K871">
        <v>24</v>
      </c>
      <c r="L871">
        <v>7.13</v>
      </c>
      <c r="M871">
        <v>4.9000000000000004</v>
      </c>
      <c r="N871" t="s">
        <v>22</v>
      </c>
      <c r="O871" t="str">
        <f t="shared" si="13"/>
        <v>No</v>
      </c>
    </row>
    <row r="872" spans="1:15" x14ac:dyDescent="0.25">
      <c r="A872" t="s">
        <v>933</v>
      </c>
      <c r="B872" s="1">
        <v>45740</v>
      </c>
      <c r="C872" s="2">
        <v>45740.078333333331</v>
      </c>
      <c r="D872" t="s">
        <v>38</v>
      </c>
      <c r="E872" t="s">
        <v>39</v>
      </c>
      <c r="F872" t="s">
        <v>40</v>
      </c>
      <c r="G872" t="s">
        <v>41</v>
      </c>
      <c r="H872" t="s">
        <v>35</v>
      </c>
      <c r="I872" t="s">
        <v>36</v>
      </c>
      <c r="J872" t="s">
        <v>21</v>
      </c>
      <c r="K872">
        <v>8</v>
      </c>
      <c r="L872">
        <v>1.88</v>
      </c>
      <c r="M872">
        <v>4.7</v>
      </c>
      <c r="N872" t="s">
        <v>22</v>
      </c>
      <c r="O872" t="str">
        <f t="shared" si="13"/>
        <v>No</v>
      </c>
    </row>
    <row r="873" spans="1:15" x14ac:dyDescent="0.25">
      <c r="A873" t="s">
        <v>934</v>
      </c>
      <c r="B873" s="1">
        <v>45694</v>
      </c>
      <c r="C873" s="2">
        <v>45695.733749999999</v>
      </c>
      <c r="D873" t="s">
        <v>15</v>
      </c>
      <c r="E873" t="s">
        <v>16</v>
      </c>
      <c r="F873" t="s">
        <v>60</v>
      </c>
      <c r="G873" t="s">
        <v>18</v>
      </c>
      <c r="H873" t="s">
        <v>27</v>
      </c>
      <c r="I873" t="s">
        <v>36</v>
      </c>
      <c r="J873" t="s">
        <v>46</v>
      </c>
      <c r="K873">
        <v>48</v>
      </c>
      <c r="L873">
        <v>41.61</v>
      </c>
      <c r="M873">
        <v>4.4000000000000004</v>
      </c>
      <c r="N873" t="s">
        <v>22</v>
      </c>
      <c r="O873" t="str">
        <f t="shared" si="13"/>
        <v>No</v>
      </c>
    </row>
    <row r="874" spans="1:15" x14ac:dyDescent="0.25">
      <c r="A874" t="s">
        <v>935</v>
      </c>
      <c r="B874" s="1">
        <v>45678</v>
      </c>
      <c r="C874" s="2">
        <v>45678.141250000001</v>
      </c>
      <c r="D874" t="s">
        <v>38</v>
      </c>
      <c r="E874" t="s">
        <v>32</v>
      </c>
      <c r="F874" t="s">
        <v>33</v>
      </c>
      <c r="G874" t="s">
        <v>56</v>
      </c>
      <c r="H874" t="s">
        <v>27</v>
      </c>
      <c r="I874" t="s">
        <v>45</v>
      </c>
      <c r="J874" t="s">
        <v>46</v>
      </c>
      <c r="K874">
        <v>8</v>
      </c>
      <c r="L874">
        <v>3.39</v>
      </c>
      <c r="M874">
        <v>4.5</v>
      </c>
      <c r="N874" t="s">
        <v>22</v>
      </c>
      <c r="O874" t="str">
        <f t="shared" si="13"/>
        <v>No</v>
      </c>
    </row>
    <row r="875" spans="1:15" x14ac:dyDescent="0.25">
      <c r="A875" t="s">
        <v>936</v>
      </c>
      <c r="B875" s="1">
        <v>45680</v>
      </c>
      <c r="C875" s="2">
        <v>45682.14</v>
      </c>
      <c r="D875" t="s">
        <v>15</v>
      </c>
      <c r="E875" t="s">
        <v>39</v>
      </c>
      <c r="F875" t="s">
        <v>87</v>
      </c>
      <c r="G875" t="s">
        <v>18</v>
      </c>
      <c r="H875" t="s">
        <v>44</v>
      </c>
      <c r="I875" t="s">
        <v>36</v>
      </c>
      <c r="J875" t="s">
        <v>46</v>
      </c>
      <c r="K875">
        <v>48</v>
      </c>
      <c r="L875">
        <v>51.36</v>
      </c>
      <c r="M875">
        <v>2.8</v>
      </c>
      <c r="N875" t="s">
        <v>22</v>
      </c>
      <c r="O875" t="str">
        <f t="shared" si="13"/>
        <v>Yes</v>
      </c>
    </row>
    <row r="876" spans="1:15" x14ac:dyDescent="0.25">
      <c r="A876" t="s">
        <v>937</v>
      </c>
      <c r="B876" s="1">
        <v>45784</v>
      </c>
      <c r="C876" s="2">
        <v>45784.515833333331</v>
      </c>
      <c r="D876" t="s">
        <v>24</v>
      </c>
      <c r="E876" t="s">
        <v>16</v>
      </c>
      <c r="F876" t="s">
        <v>60</v>
      </c>
      <c r="G876" t="s">
        <v>41</v>
      </c>
      <c r="H876" t="s">
        <v>27</v>
      </c>
      <c r="I876" t="s">
        <v>45</v>
      </c>
      <c r="J876" t="s">
        <v>21</v>
      </c>
      <c r="K876">
        <v>24</v>
      </c>
      <c r="L876">
        <v>12.38</v>
      </c>
      <c r="M876">
        <v>3.7</v>
      </c>
      <c r="N876" t="s">
        <v>22</v>
      </c>
      <c r="O876" t="str">
        <f t="shared" si="13"/>
        <v>No</v>
      </c>
    </row>
    <row r="877" spans="1:15" x14ac:dyDescent="0.25">
      <c r="A877" t="s">
        <v>938</v>
      </c>
      <c r="B877" s="1">
        <v>45749</v>
      </c>
      <c r="C877" s="2">
        <v>45749.346666666665</v>
      </c>
      <c r="D877" t="s">
        <v>24</v>
      </c>
      <c r="E877" t="s">
        <v>16</v>
      </c>
      <c r="F877" t="s">
        <v>60</v>
      </c>
      <c r="G877" t="s">
        <v>56</v>
      </c>
      <c r="H877" t="s">
        <v>54</v>
      </c>
      <c r="I877" t="s">
        <v>36</v>
      </c>
      <c r="J877" t="s">
        <v>21</v>
      </c>
      <c r="K877">
        <v>24</v>
      </c>
      <c r="L877">
        <v>8.32</v>
      </c>
      <c r="M877">
        <v>5</v>
      </c>
      <c r="N877" t="s">
        <v>22</v>
      </c>
      <c r="O877" t="str">
        <f t="shared" si="13"/>
        <v>No</v>
      </c>
    </row>
    <row r="878" spans="1:15" x14ac:dyDescent="0.25">
      <c r="A878" t="s">
        <v>939</v>
      </c>
      <c r="B878" s="1">
        <v>45755</v>
      </c>
      <c r="C878" s="2">
        <v>45756.018750000003</v>
      </c>
      <c r="D878" t="s">
        <v>15</v>
      </c>
      <c r="E878" t="s">
        <v>25</v>
      </c>
      <c r="F878" t="s">
        <v>70</v>
      </c>
      <c r="G878" t="s">
        <v>56</v>
      </c>
      <c r="H878" t="s">
        <v>54</v>
      </c>
      <c r="I878" t="s">
        <v>20</v>
      </c>
      <c r="J878" t="s">
        <v>21</v>
      </c>
      <c r="K878">
        <v>48</v>
      </c>
      <c r="L878">
        <v>24.45</v>
      </c>
      <c r="M878">
        <v>3.5</v>
      </c>
      <c r="N878" t="s">
        <v>61</v>
      </c>
      <c r="O878" t="str">
        <f t="shared" si="13"/>
        <v>No</v>
      </c>
    </row>
    <row r="879" spans="1:15" x14ac:dyDescent="0.25">
      <c r="A879" t="s">
        <v>940</v>
      </c>
      <c r="B879" s="1">
        <v>45792</v>
      </c>
      <c r="C879" s="2">
        <v>45792.282916666663</v>
      </c>
      <c r="D879" t="s">
        <v>38</v>
      </c>
      <c r="E879" t="s">
        <v>25</v>
      </c>
      <c r="F879" t="s">
        <v>53</v>
      </c>
      <c r="G879" t="s">
        <v>34</v>
      </c>
      <c r="H879" t="s">
        <v>27</v>
      </c>
      <c r="I879" t="s">
        <v>28</v>
      </c>
      <c r="J879" t="s">
        <v>21</v>
      </c>
      <c r="K879">
        <v>8</v>
      </c>
      <c r="L879">
        <v>6.79</v>
      </c>
      <c r="M879">
        <v>3.7</v>
      </c>
      <c r="N879" t="s">
        <v>22</v>
      </c>
      <c r="O879" t="str">
        <f t="shared" si="13"/>
        <v>No</v>
      </c>
    </row>
    <row r="880" spans="1:15" x14ac:dyDescent="0.25">
      <c r="A880" t="s">
        <v>941</v>
      </c>
      <c r="B880" s="1">
        <v>45757</v>
      </c>
      <c r="C880" s="2">
        <v>45757.82916666667</v>
      </c>
      <c r="D880" t="s">
        <v>24</v>
      </c>
      <c r="E880" t="s">
        <v>39</v>
      </c>
      <c r="F880" t="s">
        <v>78</v>
      </c>
      <c r="G880" t="s">
        <v>34</v>
      </c>
      <c r="H880" t="s">
        <v>54</v>
      </c>
      <c r="I880" t="s">
        <v>20</v>
      </c>
      <c r="J880" t="s">
        <v>46</v>
      </c>
      <c r="K880">
        <v>24</v>
      </c>
      <c r="L880">
        <v>19.899999999999999</v>
      </c>
      <c r="M880">
        <v>3.9</v>
      </c>
      <c r="N880" t="s">
        <v>22</v>
      </c>
      <c r="O880" t="str">
        <f t="shared" si="13"/>
        <v>No</v>
      </c>
    </row>
    <row r="881" spans="1:15" x14ac:dyDescent="0.25">
      <c r="A881" t="s">
        <v>942</v>
      </c>
      <c r="B881" s="1">
        <v>45772</v>
      </c>
      <c r="C881" s="2">
        <v>45772.027916666666</v>
      </c>
      <c r="D881" t="s">
        <v>31</v>
      </c>
      <c r="E881" t="s">
        <v>39</v>
      </c>
      <c r="F881" t="s">
        <v>87</v>
      </c>
      <c r="G881" t="s">
        <v>51</v>
      </c>
      <c r="H881" t="s">
        <v>35</v>
      </c>
      <c r="I881" t="s">
        <v>36</v>
      </c>
      <c r="J881" t="s">
        <v>21</v>
      </c>
      <c r="K881">
        <v>4</v>
      </c>
      <c r="L881">
        <v>0.67</v>
      </c>
      <c r="M881">
        <v>4.0999999999999996</v>
      </c>
      <c r="N881" t="s">
        <v>22</v>
      </c>
      <c r="O881" t="str">
        <f t="shared" si="13"/>
        <v>No</v>
      </c>
    </row>
    <row r="882" spans="1:15" x14ac:dyDescent="0.25">
      <c r="A882" t="s">
        <v>943</v>
      </c>
      <c r="B882" s="1">
        <v>45673</v>
      </c>
      <c r="C882" s="2">
        <v>45674.695</v>
      </c>
      <c r="D882" t="s">
        <v>15</v>
      </c>
      <c r="E882" t="s">
        <v>16</v>
      </c>
      <c r="F882" t="s">
        <v>60</v>
      </c>
      <c r="G882" t="s">
        <v>34</v>
      </c>
      <c r="H882" t="s">
        <v>19</v>
      </c>
      <c r="I882" t="s">
        <v>45</v>
      </c>
      <c r="J882" t="s">
        <v>21</v>
      </c>
      <c r="K882">
        <v>48</v>
      </c>
      <c r="L882">
        <v>40.68</v>
      </c>
      <c r="M882">
        <v>2.9</v>
      </c>
      <c r="N882" t="s">
        <v>22</v>
      </c>
      <c r="O882" t="str">
        <f t="shared" si="13"/>
        <v>No</v>
      </c>
    </row>
    <row r="883" spans="1:15" x14ac:dyDescent="0.25">
      <c r="A883" t="s">
        <v>944</v>
      </c>
      <c r="B883" s="1">
        <v>45812</v>
      </c>
      <c r="C883" s="2">
        <v>45812.192083333335</v>
      </c>
      <c r="D883" t="s">
        <v>38</v>
      </c>
      <c r="E883" t="s">
        <v>16</v>
      </c>
      <c r="F883" t="s">
        <v>58</v>
      </c>
      <c r="G883" t="s">
        <v>18</v>
      </c>
      <c r="H883" t="s">
        <v>54</v>
      </c>
      <c r="I883" t="s">
        <v>36</v>
      </c>
      <c r="J883" t="s">
        <v>29</v>
      </c>
      <c r="K883">
        <v>8</v>
      </c>
      <c r="L883">
        <v>4.6100000000000003</v>
      </c>
      <c r="M883">
        <v>3.5</v>
      </c>
      <c r="N883" t="s">
        <v>22</v>
      </c>
      <c r="O883" t="str">
        <f t="shared" si="13"/>
        <v>No</v>
      </c>
    </row>
    <row r="884" spans="1:15" x14ac:dyDescent="0.25">
      <c r="A884" t="s">
        <v>945</v>
      </c>
      <c r="B884" s="1">
        <v>45739</v>
      </c>
      <c r="C884" s="2">
        <v>45739.203750000001</v>
      </c>
      <c r="D884" t="s">
        <v>38</v>
      </c>
      <c r="E884" t="s">
        <v>32</v>
      </c>
      <c r="F884" t="s">
        <v>80</v>
      </c>
      <c r="G884" t="s">
        <v>34</v>
      </c>
      <c r="H884" t="s">
        <v>65</v>
      </c>
      <c r="I884" t="s">
        <v>20</v>
      </c>
      <c r="J884" t="s">
        <v>21</v>
      </c>
      <c r="K884">
        <v>8</v>
      </c>
      <c r="L884">
        <v>4.8899999999999997</v>
      </c>
      <c r="M884">
        <v>3.1</v>
      </c>
      <c r="N884" t="s">
        <v>22</v>
      </c>
      <c r="O884" t="str">
        <f t="shared" si="13"/>
        <v>No</v>
      </c>
    </row>
    <row r="885" spans="1:15" x14ac:dyDescent="0.25">
      <c r="A885" t="s">
        <v>946</v>
      </c>
      <c r="B885" s="1">
        <v>45686</v>
      </c>
      <c r="C885" s="2">
        <v>45686.71875</v>
      </c>
      <c r="D885" t="s">
        <v>24</v>
      </c>
      <c r="E885" t="s">
        <v>39</v>
      </c>
      <c r="F885" t="s">
        <v>87</v>
      </c>
      <c r="G885" t="s">
        <v>34</v>
      </c>
      <c r="H885" t="s">
        <v>44</v>
      </c>
      <c r="I885" t="s">
        <v>36</v>
      </c>
      <c r="J885" t="s">
        <v>46</v>
      </c>
      <c r="K885">
        <v>24</v>
      </c>
      <c r="L885">
        <v>17.25</v>
      </c>
      <c r="M885">
        <v>4.5</v>
      </c>
      <c r="N885" t="s">
        <v>22</v>
      </c>
      <c r="O885" t="str">
        <f t="shared" si="13"/>
        <v>No</v>
      </c>
    </row>
    <row r="886" spans="1:15" x14ac:dyDescent="0.25">
      <c r="A886" t="s">
        <v>947</v>
      </c>
      <c r="B886" s="1">
        <v>45805</v>
      </c>
      <c r="C886" s="2">
        <v>45805.46125</v>
      </c>
      <c r="D886" t="s">
        <v>15</v>
      </c>
      <c r="E886" t="s">
        <v>32</v>
      </c>
      <c r="F886" t="s">
        <v>80</v>
      </c>
      <c r="G886" t="s">
        <v>41</v>
      </c>
      <c r="H886" t="s">
        <v>44</v>
      </c>
      <c r="I886" t="s">
        <v>45</v>
      </c>
      <c r="J886" t="s">
        <v>21</v>
      </c>
      <c r="K886">
        <v>48</v>
      </c>
      <c r="L886">
        <v>11.07</v>
      </c>
      <c r="M886">
        <v>5</v>
      </c>
      <c r="N886" t="s">
        <v>61</v>
      </c>
      <c r="O886" t="str">
        <f t="shared" si="13"/>
        <v>No</v>
      </c>
    </row>
    <row r="887" spans="1:15" x14ac:dyDescent="0.25">
      <c r="A887" t="s">
        <v>948</v>
      </c>
      <c r="B887" s="1">
        <v>45790</v>
      </c>
      <c r="C887" s="2">
        <v>45790.160416666666</v>
      </c>
      <c r="D887" t="s">
        <v>24</v>
      </c>
      <c r="E887" t="s">
        <v>39</v>
      </c>
      <c r="F887" t="s">
        <v>119</v>
      </c>
      <c r="G887" t="s">
        <v>51</v>
      </c>
      <c r="H887" t="s">
        <v>44</v>
      </c>
      <c r="I887" t="s">
        <v>36</v>
      </c>
      <c r="J887" t="s">
        <v>21</v>
      </c>
      <c r="K887">
        <v>24</v>
      </c>
      <c r="L887">
        <v>3.85</v>
      </c>
      <c r="M887">
        <v>4.3</v>
      </c>
      <c r="N887" t="s">
        <v>22</v>
      </c>
      <c r="O887" t="str">
        <f t="shared" si="13"/>
        <v>No</v>
      </c>
    </row>
    <row r="888" spans="1:15" x14ac:dyDescent="0.25">
      <c r="A888" t="s">
        <v>949</v>
      </c>
      <c r="B888" s="1">
        <v>45667</v>
      </c>
      <c r="C888" s="2">
        <v>45667.172083333331</v>
      </c>
      <c r="D888" t="s">
        <v>24</v>
      </c>
      <c r="E888" t="s">
        <v>45</v>
      </c>
      <c r="F888" t="s">
        <v>112</v>
      </c>
      <c r="G888" t="s">
        <v>56</v>
      </c>
      <c r="H888" t="s">
        <v>54</v>
      </c>
      <c r="I888" t="s">
        <v>45</v>
      </c>
      <c r="J888" t="s">
        <v>46</v>
      </c>
      <c r="K888">
        <v>24</v>
      </c>
      <c r="L888">
        <v>4.13</v>
      </c>
      <c r="M888">
        <v>3.9</v>
      </c>
      <c r="N888" t="s">
        <v>22</v>
      </c>
      <c r="O888" t="str">
        <f t="shared" si="13"/>
        <v>No</v>
      </c>
    </row>
    <row r="889" spans="1:15" x14ac:dyDescent="0.25">
      <c r="A889" t="s">
        <v>950</v>
      </c>
      <c r="B889" s="1">
        <v>45692</v>
      </c>
      <c r="C889" s="2">
        <v>45692.342083333337</v>
      </c>
      <c r="D889" t="s">
        <v>38</v>
      </c>
      <c r="E889" t="s">
        <v>16</v>
      </c>
      <c r="F889" t="s">
        <v>17</v>
      </c>
      <c r="G889" t="s">
        <v>18</v>
      </c>
      <c r="H889" t="s">
        <v>65</v>
      </c>
      <c r="I889" t="s">
        <v>36</v>
      </c>
      <c r="J889" t="s">
        <v>29</v>
      </c>
      <c r="K889">
        <v>8</v>
      </c>
      <c r="L889">
        <v>8.2100000000000009</v>
      </c>
      <c r="M889">
        <v>4.5</v>
      </c>
      <c r="N889" t="s">
        <v>22</v>
      </c>
      <c r="O889" t="str">
        <f t="shared" si="13"/>
        <v>Yes</v>
      </c>
    </row>
    <row r="890" spans="1:15" x14ac:dyDescent="0.25">
      <c r="A890" t="s">
        <v>951</v>
      </c>
      <c r="B890" s="1">
        <v>45660</v>
      </c>
      <c r="C890" s="2">
        <v>45661.020416666666</v>
      </c>
      <c r="D890" t="s">
        <v>24</v>
      </c>
      <c r="E890" t="s">
        <v>39</v>
      </c>
      <c r="F890" t="s">
        <v>87</v>
      </c>
      <c r="G890" t="s">
        <v>56</v>
      </c>
      <c r="H890" t="s">
        <v>65</v>
      </c>
      <c r="I890" t="s">
        <v>36</v>
      </c>
      <c r="J890" t="s">
        <v>46</v>
      </c>
      <c r="K890">
        <v>24</v>
      </c>
      <c r="L890">
        <v>24.49</v>
      </c>
      <c r="M890">
        <v>4.0999999999999996</v>
      </c>
      <c r="N890" t="s">
        <v>22</v>
      </c>
      <c r="O890" t="str">
        <f t="shared" si="13"/>
        <v>Yes</v>
      </c>
    </row>
    <row r="891" spans="1:15" x14ac:dyDescent="0.25">
      <c r="A891" t="s">
        <v>952</v>
      </c>
      <c r="B891" s="1">
        <v>45707</v>
      </c>
      <c r="C891" s="2">
        <v>45707.108749999999</v>
      </c>
      <c r="D891" t="s">
        <v>15</v>
      </c>
      <c r="E891" t="s">
        <v>16</v>
      </c>
      <c r="F891" t="s">
        <v>58</v>
      </c>
      <c r="G891" t="s">
        <v>34</v>
      </c>
      <c r="H891" t="s">
        <v>35</v>
      </c>
      <c r="I891" t="s">
        <v>45</v>
      </c>
      <c r="J891" t="s">
        <v>21</v>
      </c>
      <c r="K891">
        <v>48</v>
      </c>
      <c r="L891">
        <v>2.61</v>
      </c>
      <c r="M891">
        <v>4.5</v>
      </c>
      <c r="N891" t="s">
        <v>22</v>
      </c>
      <c r="O891" t="str">
        <f t="shared" si="13"/>
        <v>No</v>
      </c>
    </row>
    <row r="892" spans="1:15" x14ac:dyDescent="0.25">
      <c r="A892" t="s">
        <v>953</v>
      </c>
      <c r="B892" s="1">
        <v>45676</v>
      </c>
      <c r="C892" s="2">
        <v>45677.066666666666</v>
      </c>
      <c r="D892" t="s">
        <v>15</v>
      </c>
      <c r="E892" t="s">
        <v>16</v>
      </c>
      <c r="F892" t="s">
        <v>58</v>
      </c>
      <c r="G892" t="s">
        <v>34</v>
      </c>
      <c r="H892" t="s">
        <v>65</v>
      </c>
      <c r="I892" t="s">
        <v>45</v>
      </c>
      <c r="J892" t="s">
        <v>21</v>
      </c>
      <c r="K892">
        <v>48</v>
      </c>
      <c r="L892">
        <v>25.6</v>
      </c>
      <c r="M892">
        <v>5</v>
      </c>
      <c r="N892" t="s">
        <v>22</v>
      </c>
      <c r="O892" t="str">
        <f t="shared" si="13"/>
        <v>No</v>
      </c>
    </row>
    <row r="893" spans="1:15" x14ac:dyDescent="0.25">
      <c r="A893" t="s">
        <v>954</v>
      </c>
      <c r="B893" s="1">
        <v>45786</v>
      </c>
      <c r="C893" s="2">
        <v>45786.372083333335</v>
      </c>
      <c r="D893" t="s">
        <v>24</v>
      </c>
      <c r="E893" t="s">
        <v>39</v>
      </c>
      <c r="F893" t="s">
        <v>87</v>
      </c>
      <c r="G893" t="s">
        <v>18</v>
      </c>
      <c r="H893" t="s">
        <v>35</v>
      </c>
      <c r="I893" t="s">
        <v>36</v>
      </c>
      <c r="J893" t="s">
        <v>46</v>
      </c>
      <c r="K893">
        <v>24</v>
      </c>
      <c r="L893">
        <v>8.93</v>
      </c>
      <c r="M893">
        <v>4.5999999999999996</v>
      </c>
      <c r="N893" t="s">
        <v>22</v>
      </c>
      <c r="O893" t="str">
        <f t="shared" si="13"/>
        <v>No</v>
      </c>
    </row>
    <row r="894" spans="1:15" x14ac:dyDescent="0.25">
      <c r="A894" t="s">
        <v>955</v>
      </c>
      <c r="B894" s="1">
        <v>45752</v>
      </c>
      <c r="C894" s="2">
        <v>45752.042916666665</v>
      </c>
      <c r="D894" t="s">
        <v>31</v>
      </c>
      <c r="E894" t="s">
        <v>39</v>
      </c>
      <c r="F894" t="s">
        <v>87</v>
      </c>
      <c r="G894" t="s">
        <v>56</v>
      </c>
      <c r="H894" t="s">
        <v>44</v>
      </c>
      <c r="I894" t="s">
        <v>36</v>
      </c>
      <c r="J894" t="s">
        <v>21</v>
      </c>
      <c r="K894">
        <v>4</v>
      </c>
      <c r="L894">
        <v>1.03</v>
      </c>
      <c r="M894">
        <v>4.9000000000000004</v>
      </c>
      <c r="N894" t="s">
        <v>61</v>
      </c>
      <c r="O894" t="str">
        <f t="shared" si="13"/>
        <v>No</v>
      </c>
    </row>
    <row r="895" spans="1:15" x14ac:dyDescent="0.25">
      <c r="A895" t="s">
        <v>956</v>
      </c>
      <c r="B895" s="1">
        <v>45835</v>
      </c>
      <c r="C895" s="2">
        <v>45837.324999999997</v>
      </c>
      <c r="D895" t="s">
        <v>15</v>
      </c>
      <c r="E895" t="s">
        <v>16</v>
      </c>
      <c r="F895" t="s">
        <v>60</v>
      </c>
      <c r="G895" t="s">
        <v>56</v>
      </c>
      <c r="H895" t="s">
        <v>27</v>
      </c>
      <c r="I895" t="s">
        <v>20</v>
      </c>
      <c r="J895" t="s">
        <v>21</v>
      </c>
      <c r="K895">
        <v>48</v>
      </c>
      <c r="L895">
        <v>55.8</v>
      </c>
      <c r="M895">
        <v>2.9</v>
      </c>
      <c r="N895" t="s">
        <v>22</v>
      </c>
      <c r="O895" t="str">
        <f t="shared" si="13"/>
        <v>Yes</v>
      </c>
    </row>
    <row r="896" spans="1:15" x14ac:dyDescent="0.25">
      <c r="A896" t="s">
        <v>957</v>
      </c>
      <c r="B896" s="1">
        <v>45793</v>
      </c>
      <c r="C896" s="2">
        <v>45793.439166666663</v>
      </c>
      <c r="D896" t="s">
        <v>38</v>
      </c>
      <c r="E896" t="s">
        <v>32</v>
      </c>
      <c r="F896" t="s">
        <v>75</v>
      </c>
      <c r="G896" t="s">
        <v>51</v>
      </c>
      <c r="H896" t="s">
        <v>44</v>
      </c>
      <c r="I896" t="s">
        <v>45</v>
      </c>
      <c r="J896" t="s">
        <v>21</v>
      </c>
      <c r="K896">
        <v>8</v>
      </c>
      <c r="L896">
        <v>10.54</v>
      </c>
      <c r="M896">
        <v>2.4</v>
      </c>
      <c r="N896" t="s">
        <v>22</v>
      </c>
      <c r="O896" t="str">
        <f t="shared" si="13"/>
        <v>Yes</v>
      </c>
    </row>
    <row r="897" spans="1:15" x14ac:dyDescent="0.25">
      <c r="A897" t="s">
        <v>958</v>
      </c>
      <c r="B897" s="1">
        <v>45768</v>
      </c>
      <c r="C897" s="2">
        <v>45768.210416666669</v>
      </c>
      <c r="D897" t="s">
        <v>38</v>
      </c>
      <c r="E897" t="s">
        <v>16</v>
      </c>
      <c r="F897" t="s">
        <v>58</v>
      </c>
      <c r="G897" t="s">
        <v>56</v>
      </c>
      <c r="H897" t="s">
        <v>54</v>
      </c>
      <c r="I897" t="s">
        <v>45</v>
      </c>
      <c r="J897" t="s">
        <v>21</v>
      </c>
      <c r="K897">
        <v>8</v>
      </c>
      <c r="L897">
        <v>5.05</v>
      </c>
      <c r="M897">
        <v>3.2</v>
      </c>
      <c r="N897" t="s">
        <v>22</v>
      </c>
      <c r="O897" t="str">
        <f t="shared" si="13"/>
        <v>No</v>
      </c>
    </row>
    <row r="898" spans="1:15" x14ac:dyDescent="0.25">
      <c r="A898" t="s">
        <v>959</v>
      </c>
      <c r="B898" s="1">
        <v>45750</v>
      </c>
      <c r="C898" s="2">
        <v>45750.709166666667</v>
      </c>
      <c r="D898" t="s">
        <v>15</v>
      </c>
      <c r="E898" t="s">
        <v>16</v>
      </c>
      <c r="F898" t="s">
        <v>43</v>
      </c>
      <c r="G898" t="s">
        <v>18</v>
      </c>
      <c r="H898" t="s">
        <v>44</v>
      </c>
      <c r="I898" t="s">
        <v>45</v>
      </c>
      <c r="J898" t="s">
        <v>21</v>
      </c>
      <c r="K898">
        <v>48</v>
      </c>
      <c r="L898">
        <v>17.02</v>
      </c>
      <c r="M898">
        <v>5</v>
      </c>
      <c r="N898" t="s">
        <v>22</v>
      </c>
      <c r="O898" t="str">
        <f t="shared" si="13"/>
        <v>No</v>
      </c>
    </row>
    <row r="899" spans="1:15" x14ac:dyDescent="0.25">
      <c r="A899" t="s">
        <v>960</v>
      </c>
      <c r="B899" s="1">
        <v>45667</v>
      </c>
      <c r="C899" s="2">
        <v>45667.812916666669</v>
      </c>
      <c r="D899" t="s">
        <v>15</v>
      </c>
      <c r="E899" t="s">
        <v>25</v>
      </c>
      <c r="F899" t="s">
        <v>70</v>
      </c>
      <c r="G899" t="s">
        <v>34</v>
      </c>
      <c r="H899" t="s">
        <v>65</v>
      </c>
      <c r="I899" t="s">
        <v>45</v>
      </c>
      <c r="J899" t="s">
        <v>29</v>
      </c>
      <c r="K899">
        <v>48</v>
      </c>
      <c r="L899">
        <v>19.510000000000002</v>
      </c>
      <c r="M899">
        <v>4</v>
      </c>
      <c r="N899" t="s">
        <v>22</v>
      </c>
      <c r="O899" t="str">
        <f t="shared" ref="O899:O962" si="14">IF(L899&gt;K899,"Yes","No")</f>
        <v>No</v>
      </c>
    </row>
    <row r="900" spans="1:15" x14ac:dyDescent="0.25">
      <c r="A900" t="s">
        <v>961</v>
      </c>
      <c r="B900" s="1">
        <v>45670</v>
      </c>
      <c r="C900" s="2">
        <v>45670.220833333333</v>
      </c>
      <c r="D900" t="s">
        <v>24</v>
      </c>
      <c r="E900" t="s">
        <v>45</v>
      </c>
      <c r="F900" t="s">
        <v>50</v>
      </c>
      <c r="G900" t="s">
        <v>18</v>
      </c>
      <c r="H900" t="s">
        <v>35</v>
      </c>
      <c r="I900" t="s">
        <v>45</v>
      </c>
      <c r="J900" t="s">
        <v>21</v>
      </c>
      <c r="K900">
        <v>24</v>
      </c>
      <c r="L900">
        <v>5.3</v>
      </c>
      <c r="M900">
        <v>4.8</v>
      </c>
      <c r="N900" t="s">
        <v>22</v>
      </c>
      <c r="O900" t="str">
        <f t="shared" si="14"/>
        <v>No</v>
      </c>
    </row>
    <row r="901" spans="1:15" x14ac:dyDescent="0.25">
      <c r="A901" t="s">
        <v>962</v>
      </c>
      <c r="B901" s="1">
        <v>45769</v>
      </c>
      <c r="C901" s="2">
        <v>45769.401250000003</v>
      </c>
      <c r="D901" t="s">
        <v>24</v>
      </c>
      <c r="E901" t="s">
        <v>25</v>
      </c>
      <c r="F901" t="s">
        <v>53</v>
      </c>
      <c r="G901" t="s">
        <v>18</v>
      </c>
      <c r="H901" t="s">
        <v>19</v>
      </c>
      <c r="I901" t="s">
        <v>36</v>
      </c>
      <c r="J901" t="s">
        <v>21</v>
      </c>
      <c r="K901">
        <v>24</v>
      </c>
      <c r="L901">
        <v>9.6300000000000008</v>
      </c>
      <c r="M901">
        <v>4.8</v>
      </c>
      <c r="N901" t="s">
        <v>61</v>
      </c>
      <c r="O901" t="str">
        <f t="shared" si="14"/>
        <v>No</v>
      </c>
    </row>
    <row r="902" spans="1:15" x14ac:dyDescent="0.25">
      <c r="A902" t="s">
        <v>963</v>
      </c>
      <c r="B902" s="1">
        <v>45658</v>
      </c>
      <c r="C902" s="2">
        <v>45658.570833333331</v>
      </c>
      <c r="D902" t="s">
        <v>15</v>
      </c>
      <c r="E902" t="s">
        <v>16</v>
      </c>
      <c r="F902" t="s">
        <v>17</v>
      </c>
      <c r="G902" t="s">
        <v>18</v>
      </c>
      <c r="H902" t="s">
        <v>54</v>
      </c>
      <c r="I902" t="s">
        <v>45</v>
      </c>
      <c r="J902" t="s">
        <v>29</v>
      </c>
      <c r="K902">
        <v>48</v>
      </c>
      <c r="L902">
        <v>13.7</v>
      </c>
      <c r="M902">
        <v>4.5999999999999996</v>
      </c>
      <c r="N902" t="s">
        <v>61</v>
      </c>
      <c r="O902" t="str">
        <f t="shared" si="14"/>
        <v>No</v>
      </c>
    </row>
    <row r="903" spans="1:15" x14ac:dyDescent="0.25">
      <c r="A903" t="s">
        <v>964</v>
      </c>
      <c r="B903" s="1">
        <v>45665</v>
      </c>
      <c r="C903" s="2">
        <v>45665.420416666668</v>
      </c>
      <c r="D903" t="s">
        <v>38</v>
      </c>
      <c r="E903" t="s">
        <v>32</v>
      </c>
      <c r="F903" t="s">
        <v>33</v>
      </c>
      <c r="G903" t="s">
        <v>18</v>
      </c>
      <c r="H903" t="s">
        <v>19</v>
      </c>
      <c r="I903" t="s">
        <v>45</v>
      </c>
      <c r="J903" t="s">
        <v>85</v>
      </c>
      <c r="K903">
        <v>8</v>
      </c>
      <c r="L903">
        <v>10.09</v>
      </c>
      <c r="M903">
        <v>3.4</v>
      </c>
      <c r="N903" t="s">
        <v>22</v>
      </c>
      <c r="O903" t="str">
        <f t="shared" si="14"/>
        <v>Yes</v>
      </c>
    </row>
    <row r="904" spans="1:15" x14ac:dyDescent="0.25">
      <c r="A904" t="s">
        <v>965</v>
      </c>
      <c r="B904" s="1">
        <v>45697</v>
      </c>
      <c r="C904" s="2">
        <v>45697.11</v>
      </c>
      <c r="D904" t="s">
        <v>24</v>
      </c>
      <c r="E904" t="s">
        <v>16</v>
      </c>
      <c r="F904" t="s">
        <v>60</v>
      </c>
      <c r="G904" t="s">
        <v>56</v>
      </c>
      <c r="H904" t="s">
        <v>35</v>
      </c>
      <c r="I904" t="s">
        <v>36</v>
      </c>
      <c r="J904" t="s">
        <v>29</v>
      </c>
      <c r="K904">
        <v>24</v>
      </c>
      <c r="L904">
        <v>2.64</v>
      </c>
      <c r="M904">
        <v>4.8</v>
      </c>
      <c r="N904" t="s">
        <v>22</v>
      </c>
      <c r="O904" t="str">
        <f t="shared" si="14"/>
        <v>No</v>
      </c>
    </row>
    <row r="905" spans="1:15" x14ac:dyDescent="0.25">
      <c r="A905" t="s">
        <v>966</v>
      </c>
      <c r="B905" s="1">
        <v>45818</v>
      </c>
      <c r="C905" s="2">
        <v>45818.316250000003</v>
      </c>
      <c r="D905" t="s">
        <v>38</v>
      </c>
      <c r="E905" t="s">
        <v>25</v>
      </c>
      <c r="F905" t="s">
        <v>48</v>
      </c>
      <c r="G905" t="s">
        <v>51</v>
      </c>
      <c r="H905" t="s">
        <v>35</v>
      </c>
      <c r="I905" t="s">
        <v>20</v>
      </c>
      <c r="J905" t="s">
        <v>46</v>
      </c>
      <c r="K905">
        <v>8</v>
      </c>
      <c r="L905">
        <v>7.59</v>
      </c>
      <c r="M905">
        <v>4.2</v>
      </c>
      <c r="N905" t="s">
        <v>22</v>
      </c>
      <c r="O905" t="str">
        <f t="shared" si="14"/>
        <v>No</v>
      </c>
    </row>
    <row r="906" spans="1:15" x14ac:dyDescent="0.25">
      <c r="A906" t="s">
        <v>967</v>
      </c>
      <c r="B906" s="1">
        <v>45741</v>
      </c>
      <c r="C906" s="2">
        <v>45741.09</v>
      </c>
      <c r="D906" t="s">
        <v>38</v>
      </c>
      <c r="E906" t="s">
        <v>45</v>
      </c>
      <c r="F906" t="s">
        <v>104</v>
      </c>
      <c r="G906" t="s">
        <v>41</v>
      </c>
      <c r="H906" t="s">
        <v>19</v>
      </c>
      <c r="I906" t="s">
        <v>36</v>
      </c>
      <c r="J906" t="s">
        <v>85</v>
      </c>
      <c r="K906">
        <v>8</v>
      </c>
      <c r="L906">
        <v>2.16</v>
      </c>
      <c r="M906">
        <v>4</v>
      </c>
      <c r="N906" t="s">
        <v>61</v>
      </c>
      <c r="O906" t="str">
        <f t="shared" si="14"/>
        <v>No</v>
      </c>
    </row>
    <row r="907" spans="1:15" x14ac:dyDescent="0.25">
      <c r="A907" t="s">
        <v>968</v>
      </c>
      <c r="B907" s="1">
        <v>45786</v>
      </c>
      <c r="C907" s="2">
        <v>45786.280833333331</v>
      </c>
      <c r="D907" t="s">
        <v>38</v>
      </c>
      <c r="E907" t="s">
        <v>25</v>
      </c>
      <c r="F907" t="s">
        <v>48</v>
      </c>
      <c r="G907" t="s">
        <v>34</v>
      </c>
      <c r="H907" t="s">
        <v>44</v>
      </c>
      <c r="I907" t="s">
        <v>36</v>
      </c>
      <c r="J907" t="s">
        <v>21</v>
      </c>
      <c r="K907">
        <v>8</v>
      </c>
      <c r="L907">
        <v>6.74</v>
      </c>
      <c r="M907">
        <v>3.7</v>
      </c>
      <c r="N907" t="s">
        <v>22</v>
      </c>
      <c r="O907" t="str">
        <f t="shared" si="14"/>
        <v>No</v>
      </c>
    </row>
    <row r="908" spans="1:15" x14ac:dyDescent="0.25">
      <c r="A908" t="s">
        <v>969</v>
      </c>
      <c r="B908" s="1">
        <v>45732</v>
      </c>
      <c r="C908" s="2">
        <v>45732.493750000001</v>
      </c>
      <c r="D908" t="s">
        <v>24</v>
      </c>
      <c r="E908" t="s">
        <v>32</v>
      </c>
      <c r="F908" t="s">
        <v>75</v>
      </c>
      <c r="G908" t="s">
        <v>18</v>
      </c>
      <c r="H908" t="s">
        <v>65</v>
      </c>
      <c r="I908" t="s">
        <v>20</v>
      </c>
      <c r="J908" t="s">
        <v>29</v>
      </c>
      <c r="K908">
        <v>24</v>
      </c>
      <c r="L908">
        <v>11.85</v>
      </c>
      <c r="M908">
        <v>2.9</v>
      </c>
      <c r="N908" t="s">
        <v>22</v>
      </c>
      <c r="O908" t="str">
        <f t="shared" si="14"/>
        <v>No</v>
      </c>
    </row>
    <row r="909" spans="1:15" x14ac:dyDescent="0.25">
      <c r="A909" t="s">
        <v>970</v>
      </c>
      <c r="B909" s="1">
        <v>45689</v>
      </c>
      <c r="C909" s="2">
        <v>45690.917500000003</v>
      </c>
      <c r="D909" t="s">
        <v>15</v>
      </c>
      <c r="E909" t="s">
        <v>16</v>
      </c>
      <c r="F909" t="s">
        <v>58</v>
      </c>
      <c r="G909" t="s">
        <v>41</v>
      </c>
      <c r="H909" t="s">
        <v>27</v>
      </c>
      <c r="I909" t="s">
        <v>20</v>
      </c>
      <c r="J909" t="s">
        <v>21</v>
      </c>
      <c r="K909">
        <v>48</v>
      </c>
      <c r="L909">
        <v>46.02</v>
      </c>
      <c r="M909">
        <v>2.6</v>
      </c>
      <c r="N909" t="s">
        <v>22</v>
      </c>
      <c r="O909" t="str">
        <f t="shared" si="14"/>
        <v>No</v>
      </c>
    </row>
    <row r="910" spans="1:15" x14ac:dyDescent="0.25">
      <c r="A910" t="s">
        <v>971</v>
      </c>
      <c r="B910" s="1">
        <v>45725</v>
      </c>
      <c r="C910" s="2">
        <v>45725.18</v>
      </c>
      <c r="D910" t="s">
        <v>24</v>
      </c>
      <c r="E910" t="s">
        <v>45</v>
      </c>
      <c r="F910" t="s">
        <v>112</v>
      </c>
      <c r="G910" t="s">
        <v>51</v>
      </c>
      <c r="H910" t="s">
        <v>54</v>
      </c>
      <c r="I910" t="s">
        <v>36</v>
      </c>
      <c r="J910" t="s">
        <v>21</v>
      </c>
      <c r="K910">
        <v>24</v>
      </c>
      <c r="L910">
        <v>4.32</v>
      </c>
      <c r="M910">
        <v>3.9</v>
      </c>
      <c r="N910" t="s">
        <v>22</v>
      </c>
      <c r="O910" t="str">
        <f t="shared" si="14"/>
        <v>No</v>
      </c>
    </row>
    <row r="911" spans="1:15" x14ac:dyDescent="0.25">
      <c r="A911" t="s">
        <v>972</v>
      </c>
      <c r="B911" s="1">
        <v>45674</v>
      </c>
      <c r="C911" s="2">
        <v>45674.684166666666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 t="s">
        <v>45</v>
      </c>
      <c r="J911" t="s">
        <v>21</v>
      </c>
      <c r="K911">
        <v>48</v>
      </c>
      <c r="L911">
        <v>16.420000000000002</v>
      </c>
      <c r="M911">
        <v>5</v>
      </c>
      <c r="N911" t="s">
        <v>22</v>
      </c>
      <c r="O911" t="str">
        <f t="shared" si="14"/>
        <v>No</v>
      </c>
    </row>
    <row r="912" spans="1:15" x14ac:dyDescent="0.25">
      <c r="A912" t="s">
        <v>973</v>
      </c>
      <c r="B912" s="1">
        <v>45797</v>
      </c>
      <c r="C912" s="2">
        <v>45797.425833333335</v>
      </c>
      <c r="D912" t="s">
        <v>24</v>
      </c>
      <c r="E912" t="s">
        <v>16</v>
      </c>
      <c r="F912" t="s">
        <v>17</v>
      </c>
      <c r="G912" t="s">
        <v>51</v>
      </c>
      <c r="H912" t="s">
        <v>44</v>
      </c>
      <c r="I912" t="s">
        <v>36</v>
      </c>
      <c r="J912" t="s">
        <v>21</v>
      </c>
      <c r="K912">
        <v>24</v>
      </c>
      <c r="L912">
        <v>10.220000000000001</v>
      </c>
      <c r="M912">
        <v>4.3</v>
      </c>
      <c r="N912" t="s">
        <v>22</v>
      </c>
      <c r="O912" t="str">
        <f t="shared" si="14"/>
        <v>No</v>
      </c>
    </row>
    <row r="913" spans="1:15" x14ac:dyDescent="0.25">
      <c r="A913" t="s">
        <v>974</v>
      </c>
      <c r="B913" s="1">
        <v>45691</v>
      </c>
      <c r="C913" s="2">
        <v>45692.142916666664</v>
      </c>
      <c r="D913" t="s">
        <v>15</v>
      </c>
      <c r="E913" t="s">
        <v>16</v>
      </c>
      <c r="F913" t="s">
        <v>60</v>
      </c>
      <c r="G913" t="s">
        <v>34</v>
      </c>
      <c r="H913" t="s">
        <v>65</v>
      </c>
      <c r="I913" t="s">
        <v>20</v>
      </c>
      <c r="J913" t="s">
        <v>46</v>
      </c>
      <c r="K913">
        <v>48</v>
      </c>
      <c r="L913">
        <v>27.43</v>
      </c>
      <c r="M913">
        <v>4.8</v>
      </c>
      <c r="N913" t="s">
        <v>22</v>
      </c>
      <c r="O913" t="str">
        <f t="shared" si="14"/>
        <v>No</v>
      </c>
    </row>
    <row r="914" spans="1:15" x14ac:dyDescent="0.25">
      <c r="A914" t="s">
        <v>975</v>
      </c>
      <c r="B914" s="1">
        <v>45726</v>
      </c>
      <c r="C914" s="2">
        <v>45726.565405092595</v>
      </c>
      <c r="D914" t="s">
        <v>24</v>
      </c>
      <c r="E914" t="s">
        <v>16</v>
      </c>
      <c r="F914" t="s">
        <v>43</v>
      </c>
      <c r="G914" t="s">
        <v>51</v>
      </c>
      <c r="H914" t="s">
        <v>65</v>
      </c>
      <c r="I914" t="s">
        <v>45</v>
      </c>
      <c r="J914" t="s">
        <v>29</v>
      </c>
      <c r="K914">
        <v>24</v>
      </c>
      <c r="L914">
        <v>13.57</v>
      </c>
      <c r="M914">
        <v>4.5999999999999996</v>
      </c>
      <c r="N914" t="s">
        <v>22</v>
      </c>
      <c r="O914" t="str">
        <f t="shared" si="14"/>
        <v>No</v>
      </c>
    </row>
    <row r="915" spans="1:15" x14ac:dyDescent="0.25">
      <c r="A915" t="s">
        <v>976</v>
      </c>
      <c r="B915" s="1">
        <v>45835</v>
      </c>
      <c r="C915" s="2">
        <v>45835.438333333332</v>
      </c>
      <c r="D915" t="s">
        <v>15</v>
      </c>
      <c r="E915" t="s">
        <v>39</v>
      </c>
      <c r="F915" t="s">
        <v>87</v>
      </c>
      <c r="G915" t="s">
        <v>51</v>
      </c>
      <c r="H915" t="s">
        <v>35</v>
      </c>
      <c r="I915" t="s">
        <v>20</v>
      </c>
      <c r="J915" t="s">
        <v>21</v>
      </c>
      <c r="K915">
        <v>48</v>
      </c>
      <c r="L915">
        <v>10.52</v>
      </c>
      <c r="M915">
        <v>4.9000000000000004</v>
      </c>
      <c r="N915" t="s">
        <v>22</v>
      </c>
      <c r="O915" t="str">
        <f t="shared" si="14"/>
        <v>No</v>
      </c>
    </row>
    <row r="916" spans="1:15" x14ac:dyDescent="0.25">
      <c r="A916" t="s">
        <v>977</v>
      </c>
      <c r="B916" s="1">
        <v>45765</v>
      </c>
      <c r="C916" s="2">
        <v>45765.33666666667</v>
      </c>
      <c r="D916" t="s">
        <v>15</v>
      </c>
      <c r="E916" t="s">
        <v>32</v>
      </c>
      <c r="F916" t="s">
        <v>33</v>
      </c>
      <c r="G916" t="s">
        <v>56</v>
      </c>
      <c r="H916" t="s">
        <v>19</v>
      </c>
      <c r="I916" t="s">
        <v>36</v>
      </c>
      <c r="J916" t="s">
        <v>46</v>
      </c>
      <c r="K916">
        <v>48</v>
      </c>
      <c r="L916">
        <v>8.08</v>
      </c>
      <c r="M916">
        <v>4.2</v>
      </c>
      <c r="N916" t="s">
        <v>22</v>
      </c>
      <c r="O916" t="str">
        <f t="shared" si="14"/>
        <v>No</v>
      </c>
    </row>
    <row r="917" spans="1:15" x14ac:dyDescent="0.25">
      <c r="A917" t="s">
        <v>978</v>
      </c>
      <c r="B917" s="1">
        <v>45740</v>
      </c>
      <c r="C917" s="2">
        <v>45740.89166666667</v>
      </c>
      <c r="D917" t="s">
        <v>15</v>
      </c>
      <c r="E917" t="s">
        <v>25</v>
      </c>
      <c r="F917" t="s">
        <v>70</v>
      </c>
      <c r="G917" t="s">
        <v>18</v>
      </c>
      <c r="H917" t="s">
        <v>19</v>
      </c>
      <c r="I917" t="s">
        <v>36</v>
      </c>
      <c r="J917" t="s">
        <v>46</v>
      </c>
      <c r="K917">
        <v>48</v>
      </c>
      <c r="L917">
        <v>21.4</v>
      </c>
      <c r="M917">
        <v>4.5</v>
      </c>
      <c r="N917" t="s">
        <v>22</v>
      </c>
      <c r="O917" t="str">
        <f t="shared" si="14"/>
        <v>No</v>
      </c>
    </row>
    <row r="918" spans="1:15" x14ac:dyDescent="0.25">
      <c r="A918" t="s">
        <v>979</v>
      </c>
      <c r="B918" s="1">
        <v>45756</v>
      </c>
      <c r="C918" s="2">
        <v>45756.518750000003</v>
      </c>
      <c r="D918" t="s">
        <v>24</v>
      </c>
      <c r="E918" t="s">
        <v>45</v>
      </c>
      <c r="F918" t="s">
        <v>100</v>
      </c>
      <c r="G918" t="s">
        <v>51</v>
      </c>
      <c r="H918" t="s">
        <v>35</v>
      </c>
      <c r="I918" t="s">
        <v>20</v>
      </c>
      <c r="J918" t="s">
        <v>21</v>
      </c>
      <c r="K918">
        <v>24</v>
      </c>
      <c r="L918">
        <v>12.45</v>
      </c>
      <c r="M918">
        <v>4.5</v>
      </c>
      <c r="N918" t="s">
        <v>22</v>
      </c>
      <c r="O918" t="str">
        <f t="shared" si="14"/>
        <v>No</v>
      </c>
    </row>
    <row r="919" spans="1:15" x14ac:dyDescent="0.25">
      <c r="A919" t="s">
        <v>980</v>
      </c>
      <c r="B919" s="1">
        <v>45799</v>
      </c>
      <c r="C919" s="2">
        <v>45799.142500000002</v>
      </c>
      <c r="D919" t="s">
        <v>38</v>
      </c>
      <c r="E919" t="s">
        <v>25</v>
      </c>
      <c r="F919" t="s">
        <v>53</v>
      </c>
      <c r="G919" t="s">
        <v>18</v>
      </c>
      <c r="H919" t="s">
        <v>35</v>
      </c>
      <c r="I919" t="s">
        <v>36</v>
      </c>
      <c r="J919" t="s">
        <v>46</v>
      </c>
      <c r="K919">
        <v>8</v>
      </c>
      <c r="L919">
        <v>3.42</v>
      </c>
      <c r="M919">
        <v>5</v>
      </c>
      <c r="N919" t="s">
        <v>22</v>
      </c>
      <c r="O919" t="str">
        <f t="shared" si="14"/>
        <v>No</v>
      </c>
    </row>
    <row r="920" spans="1:15" x14ac:dyDescent="0.25">
      <c r="A920" t="s">
        <v>981</v>
      </c>
      <c r="B920" s="1">
        <v>45704</v>
      </c>
      <c r="C920" s="2">
        <v>45704.219166666669</v>
      </c>
      <c r="D920" t="s">
        <v>15</v>
      </c>
      <c r="E920" t="s">
        <v>39</v>
      </c>
      <c r="F920" t="s">
        <v>119</v>
      </c>
      <c r="G920" t="s">
        <v>34</v>
      </c>
      <c r="H920" t="s">
        <v>27</v>
      </c>
      <c r="I920" t="s">
        <v>36</v>
      </c>
      <c r="J920" t="s">
        <v>21</v>
      </c>
      <c r="K920">
        <v>48</v>
      </c>
      <c r="L920">
        <v>5.26</v>
      </c>
      <c r="M920">
        <v>4.5999999999999996</v>
      </c>
      <c r="N920" t="s">
        <v>61</v>
      </c>
      <c r="O920" t="str">
        <f t="shared" si="14"/>
        <v>No</v>
      </c>
    </row>
    <row r="921" spans="1:15" x14ac:dyDescent="0.25">
      <c r="A921" t="s">
        <v>982</v>
      </c>
      <c r="B921" s="1">
        <v>45773</v>
      </c>
      <c r="C921" s="2">
        <v>45773.178333333337</v>
      </c>
      <c r="D921" t="s">
        <v>38</v>
      </c>
      <c r="E921" t="s">
        <v>32</v>
      </c>
      <c r="F921" t="s">
        <v>75</v>
      </c>
      <c r="G921" t="s">
        <v>56</v>
      </c>
      <c r="H921" t="s">
        <v>54</v>
      </c>
      <c r="I921" t="s">
        <v>36</v>
      </c>
      <c r="J921" t="s">
        <v>21</v>
      </c>
      <c r="K921">
        <v>8</v>
      </c>
      <c r="L921">
        <v>4.28</v>
      </c>
      <c r="M921">
        <v>4.8</v>
      </c>
      <c r="N921" t="s">
        <v>61</v>
      </c>
      <c r="O921" t="str">
        <f t="shared" si="14"/>
        <v>No</v>
      </c>
    </row>
    <row r="922" spans="1:15" x14ac:dyDescent="0.25">
      <c r="A922" t="s">
        <v>983</v>
      </c>
      <c r="B922" s="1">
        <v>45815</v>
      </c>
      <c r="C922" s="2">
        <v>45815.248333333337</v>
      </c>
      <c r="D922" t="s">
        <v>38</v>
      </c>
      <c r="E922" t="s">
        <v>39</v>
      </c>
      <c r="F922" t="s">
        <v>40</v>
      </c>
      <c r="G922" t="s">
        <v>56</v>
      </c>
      <c r="H922" t="s">
        <v>65</v>
      </c>
      <c r="I922" t="s">
        <v>45</v>
      </c>
      <c r="J922" t="s">
        <v>21</v>
      </c>
      <c r="K922">
        <v>8</v>
      </c>
      <c r="L922">
        <v>5.96</v>
      </c>
      <c r="M922">
        <v>4</v>
      </c>
      <c r="N922" t="s">
        <v>61</v>
      </c>
      <c r="O922" t="str">
        <f t="shared" si="14"/>
        <v>No</v>
      </c>
    </row>
    <row r="923" spans="1:15" x14ac:dyDescent="0.25">
      <c r="A923" t="s">
        <v>984</v>
      </c>
      <c r="B923" s="1">
        <v>45761</v>
      </c>
      <c r="C923" s="2">
        <v>45761.631249999999</v>
      </c>
      <c r="D923" t="s">
        <v>24</v>
      </c>
      <c r="E923" t="s">
        <v>25</v>
      </c>
      <c r="F923" t="s">
        <v>48</v>
      </c>
      <c r="G923" t="s">
        <v>51</v>
      </c>
      <c r="H923" t="s">
        <v>54</v>
      </c>
      <c r="I923" t="s">
        <v>36</v>
      </c>
      <c r="J923" t="s">
        <v>29</v>
      </c>
      <c r="K923">
        <v>24</v>
      </c>
      <c r="L923">
        <v>15.15</v>
      </c>
      <c r="M923">
        <v>3.8</v>
      </c>
      <c r="N923" t="s">
        <v>61</v>
      </c>
      <c r="O923" t="str">
        <f t="shared" si="14"/>
        <v>No</v>
      </c>
    </row>
    <row r="924" spans="1:15" x14ac:dyDescent="0.25">
      <c r="A924" t="s">
        <v>985</v>
      </c>
      <c r="B924" s="1">
        <v>45738</v>
      </c>
      <c r="C924" s="2">
        <v>45738.480416666665</v>
      </c>
      <c r="D924" t="s">
        <v>24</v>
      </c>
      <c r="E924" t="s">
        <v>16</v>
      </c>
      <c r="F924" t="s">
        <v>17</v>
      </c>
      <c r="G924" t="s">
        <v>41</v>
      </c>
      <c r="H924" t="s">
        <v>65</v>
      </c>
      <c r="I924" t="s">
        <v>45</v>
      </c>
      <c r="J924" t="s">
        <v>21</v>
      </c>
      <c r="K924">
        <v>24</v>
      </c>
      <c r="L924">
        <v>11.53</v>
      </c>
      <c r="M924">
        <v>5</v>
      </c>
      <c r="N924" t="s">
        <v>22</v>
      </c>
      <c r="O924" t="str">
        <f t="shared" si="14"/>
        <v>No</v>
      </c>
    </row>
    <row r="925" spans="1:15" x14ac:dyDescent="0.25">
      <c r="A925" t="s">
        <v>986</v>
      </c>
      <c r="B925" s="1">
        <v>45684</v>
      </c>
      <c r="C925" s="2">
        <v>45684.595000000001</v>
      </c>
      <c r="D925" t="s">
        <v>24</v>
      </c>
      <c r="E925" t="s">
        <v>45</v>
      </c>
      <c r="F925" t="s">
        <v>104</v>
      </c>
      <c r="G925" t="s">
        <v>56</v>
      </c>
      <c r="H925" t="s">
        <v>19</v>
      </c>
      <c r="I925" t="s">
        <v>36</v>
      </c>
      <c r="J925" t="s">
        <v>21</v>
      </c>
      <c r="K925">
        <v>24</v>
      </c>
      <c r="L925">
        <v>14.28</v>
      </c>
      <c r="M925">
        <v>5</v>
      </c>
      <c r="N925" t="s">
        <v>22</v>
      </c>
      <c r="O925" t="str">
        <f t="shared" si="14"/>
        <v>No</v>
      </c>
    </row>
    <row r="926" spans="1:15" x14ac:dyDescent="0.25">
      <c r="A926" t="s">
        <v>987</v>
      </c>
      <c r="B926" s="1">
        <v>45702</v>
      </c>
      <c r="C926" s="2">
        <v>45702.587916666664</v>
      </c>
      <c r="D926" t="s">
        <v>15</v>
      </c>
      <c r="E926" t="s">
        <v>39</v>
      </c>
      <c r="F926" t="s">
        <v>40</v>
      </c>
      <c r="G926" t="s">
        <v>51</v>
      </c>
      <c r="H926" t="s">
        <v>27</v>
      </c>
      <c r="I926" t="s">
        <v>45</v>
      </c>
      <c r="J926" t="s">
        <v>21</v>
      </c>
      <c r="K926">
        <v>48</v>
      </c>
      <c r="L926">
        <v>14.11</v>
      </c>
      <c r="M926">
        <v>4.8</v>
      </c>
      <c r="N926" t="s">
        <v>22</v>
      </c>
      <c r="O926" t="str">
        <f t="shared" si="14"/>
        <v>No</v>
      </c>
    </row>
    <row r="927" spans="1:15" x14ac:dyDescent="0.25">
      <c r="A927" t="s">
        <v>988</v>
      </c>
      <c r="B927" s="1">
        <v>45829</v>
      </c>
      <c r="C927" s="2">
        <v>45830.16333333333</v>
      </c>
      <c r="D927" t="s">
        <v>24</v>
      </c>
      <c r="E927" t="s">
        <v>16</v>
      </c>
      <c r="F927" t="s">
        <v>17</v>
      </c>
      <c r="G927" t="s">
        <v>51</v>
      </c>
      <c r="H927" t="s">
        <v>27</v>
      </c>
      <c r="I927" t="s">
        <v>28</v>
      </c>
      <c r="J927" t="s">
        <v>46</v>
      </c>
      <c r="K927">
        <v>24</v>
      </c>
      <c r="L927">
        <v>27.92</v>
      </c>
      <c r="M927">
        <v>3.2</v>
      </c>
      <c r="N927" t="s">
        <v>22</v>
      </c>
      <c r="O927" t="str">
        <f t="shared" si="14"/>
        <v>Yes</v>
      </c>
    </row>
    <row r="928" spans="1:15" x14ac:dyDescent="0.25">
      <c r="A928" t="s">
        <v>989</v>
      </c>
      <c r="B928" s="1">
        <v>45755</v>
      </c>
      <c r="C928" s="2">
        <v>45755.732916666668</v>
      </c>
      <c r="D928" t="s">
        <v>15</v>
      </c>
      <c r="E928" t="s">
        <v>25</v>
      </c>
      <c r="F928" t="s">
        <v>48</v>
      </c>
      <c r="G928" t="s">
        <v>18</v>
      </c>
      <c r="H928" t="s">
        <v>27</v>
      </c>
      <c r="I928" t="s">
        <v>36</v>
      </c>
      <c r="J928" t="s">
        <v>29</v>
      </c>
      <c r="K928">
        <v>48</v>
      </c>
      <c r="L928">
        <v>17.59</v>
      </c>
      <c r="M928">
        <v>4.9000000000000004</v>
      </c>
      <c r="N928" t="s">
        <v>22</v>
      </c>
      <c r="O928" t="str">
        <f t="shared" si="14"/>
        <v>No</v>
      </c>
    </row>
    <row r="929" spans="1:15" x14ac:dyDescent="0.25">
      <c r="A929" t="s">
        <v>990</v>
      </c>
      <c r="B929" s="1">
        <v>45712</v>
      </c>
      <c r="C929" s="2">
        <v>45712.253750000003</v>
      </c>
      <c r="D929" t="s">
        <v>38</v>
      </c>
      <c r="E929" t="s">
        <v>32</v>
      </c>
      <c r="F929" t="s">
        <v>75</v>
      </c>
      <c r="G929" t="s">
        <v>41</v>
      </c>
      <c r="H929" t="s">
        <v>19</v>
      </c>
      <c r="I929" t="s">
        <v>45</v>
      </c>
      <c r="J929" t="s">
        <v>21</v>
      </c>
      <c r="K929">
        <v>8</v>
      </c>
      <c r="L929">
        <v>6.09</v>
      </c>
      <c r="M929">
        <v>4.3</v>
      </c>
      <c r="N929" t="s">
        <v>22</v>
      </c>
      <c r="O929" t="str">
        <f t="shared" si="14"/>
        <v>No</v>
      </c>
    </row>
    <row r="930" spans="1:15" x14ac:dyDescent="0.25">
      <c r="A930" t="s">
        <v>991</v>
      </c>
      <c r="B930" s="1">
        <v>45733</v>
      </c>
      <c r="C930" s="2">
        <v>45733.155416666668</v>
      </c>
      <c r="D930" t="s">
        <v>38</v>
      </c>
      <c r="E930" t="s">
        <v>45</v>
      </c>
      <c r="F930" t="s">
        <v>100</v>
      </c>
      <c r="G930" t="s">
        <v>41</v>
      </c>
      <c r="H930" t="s">
        <v>19</v>
      </c>
      <c r="I930" t="s">
        <v>45</v>
      </c>
      <c r="J930" t="s">
        <v>46</v>
      </c>
      <c r="K930">
        <v>8</v>
      </c>
      <c r="L930">
        <v>3.73</v>
      </c>
      <c r="M930">
        <v>5</v>
      </c>
      <c r="N930" t="s">
        <v>22</v>
      </c>
      <c r="O930" t="str">
        <f t="shared" si="14"/>
        <v>No</v>
      </c>
    </row>
    <row r="931" spans="1:15" x14ac:dyDescent="0.25">
      <c r="A931" t="s">
        <v>992</v>
      </c>
      <c r="B931" s="1">
        <v>45762</v>
      </c>
      <c r="C931" s="2">
        <v>45762.32916666667</v>
      </c>
      <c r="D931" t="s">
        <v>38</v>
      </c>
      <c r="E931" t="s">
        <v>16</v>
      </c>
      <c r="F931" t="s">
        <v>60</v>
      </c>
      <c r="G931" t="s">
        <v>34</v>
      </c>
      <c r="H931" t="s">
        <v>27</v>
      </c>
      <c r="I931" t="s">
        <v>36</v>
      </c>
      <c r="J931" t="s">
        <v>46</v>
      </c>
      <c r="K931">
        <v>8</v>
      </c>
      <c r="L931">
        <v>7.9</v>
      </c>
      <c r="M931">
        <v>4.3</v>
      </c>
      <c r="N931" t="s">
        <v>22</v>
      </c>
      <c r="O931" t="str">
        <f t="shared" si="14"/>
        <v>No</v>
      </c>
    </row>
    <row r="932" spans="1:15" x14ac:dyDescent="0.25">
      <c r="A932" t="s">
        <v>993</v>
      </c>
      <c r="B932" s="1">
        <v>45755</v>
      </c>
      <c r="C932" s="2">
        <v>45755.360000000001</v>
      </c>
      <c r="D932" t="s">
        <v>24</v>
      </c>
      <c r="E932" t="s">
        <v>32</v>
      </c>
      <c r="F932" t="s">
        <v>64</v>
      </c>
      <c r="G932" t="s">
        <v>18</v>
      </c>
      <c r="H932" t="s">
        <v>19</v>
      </c>
      <c r="I932" t="s">
        <v>20</v>
      </c>
      <c r="J932" t="s">
        <v>21</v>
      </c>
      <c r="K932">
        <v>24</v>
      </c>
      <c r="L932">
        <v>8.64</v>
      </c>
      <c r="M932">
        <v>4</v>
      </c>
      <c r="N932" t="s">
        <v>61</v>
      </c>
      <c r="O932" t="str">
        <f t="shared" si="14"/>
        <v>No</v>
      </c>
    </row>
    <row r="933" spans="1:15" x14ac:dyDescent="0.25">
      <c r="A933" t="s">
        <v>994</v>
      </c>
      <c r="B933" s="1">
        <v>45784</v>
      </c>
      <c r="C933" s="2">
        <v>45784.99291666667</v>
      </c>
      <c r="D933" t="s">
        <v>24</v>
      </c>
      <c r="E933" t="s">
        <v>32</v>
      </c>
      <c r="F933" t="s">
        <v>64</v>
      </c>
      <c r="G933" t="s">
        <v>41</v>
      </c>
      <c r="H933" t="s">
        <v>35</v>
      </c>
      <c r="I933" t="s">
        <v>20</v>
      </c>
      <c r="J933" t="s">
        <v>21</v>
      </c>
      <c r="K933">
        <v>24</v>
      </c>
      <c r="L933">
        <v>23.83</v>
      </c>
      <c r="M933">
        <v>4.5999999999999996</v>
      </c>
      <c r="N933" t="s">
        <v>22</v>
      </c>
      <c r="O933" t="str">
        <f t="shared" si="14"/>
        <v>No</v>
      </c>
    </row>
    <row r="934" spans="1:15" x14ac:dyDescent="0.25">
      <c r="A934" t="s">
        <v>995</v>
      </c>
      <c r="B934" s="1">
        <v>45704</v>
      </c>
      <c r="C934" s="2">
        <v>45704.210416666669</v>
      </c>
      <c r="D934" t="s">
        <v>31</v>
      </c>
      <c r="E934" t="s">
        <v>45</v>
      </c>
      <c r="F934" t="s">
        <v>100</v>
      </c>
      <c r="G934" t="s">
        <v>56</v>
      </c>
      <c r="H934" t="s">
        <v>19</v>
      </c>
      <c r="I934" t="s">
        <v>20</v>
      </c>
      <c r="J934" t="s">
        <v>21</v>
      </c>
      <c r="K934">
        <v>4</v>
      </c>
      <c r="L934">
        <v>5.05</v>
      </c>
      <c r="M934">
        <v>4</v>
      </c>
      <c r="N934" t="s">
        <v>22</v>
      </c>
      <c r="O934" t="str">
        <f t="shared" si="14"/>
        <v>Yes</v>
      </c>
    </row>
    <row r="935" spans="1:15" x14ac:dyDescent="0.25">
      <c r="A935" t="s">
        <v>996</v>
      </c>
      <c r="B935" s="1">
        <v>45775</v>
      </c>
      <c r="C935" s="2">
        <v>45775.550416666665</v>
      </c>
      <c r="D935" t="s">
        <v>15</v>
      </c>
      <c r="E935" t="s">
        <v>16</v>
      </c>
      <c r="F935" t="s">
        <v>58</v>
      </c>
      <c r="G935" t="s">
        <v>34</v>
      </c>
      <c r="H935" t="s">
        <v>19</v>
      </c>
      <c r="I935" t="s">
        <v>28</v>
      </c>
      <c r="J935" t="s">
        <v>46</v>
      </c>
      <c r="K935">
        <v>48</v>
      </c>
      <c r="L935">
        <v>13.21</v>
      </c>
      <c r="M935">
        <v>5</v>
      </c>
      <c r="N935" t="s">
        <v>61</v>
      </c>
      <c r="O935" t="str">
        <f t="shared" si="14"/>
        <v>No</v>
      </c>
    </row>
    <row r="936" spans="1:15" x14ac:dyDescent="0.25">
      <c r="A936" t="s">
        <v>997</v>
      </c>
      <c r="B936" s="1">
        <v>45738</v>
      </c>
      <c r="C936" s="2">
        <v>45739.845000000001</v>
      </c>
      <c r="D936" t="s">
        <v>15</v>
      </c>
      <c r="E936" t="s">
        <v>25</v>
      </c>
      <c r="F936" t="s">
        <v>70</v>
      </c>
      <c r="G936" t="s">
        <v>18</v>
      </c>
      <c r="H936" t="s">
        <v>65</v>
      </c>
      <c r="I936" t="s">
        <v>45</v>
      </c>
      <c r="J936" t="s">
        <v>21</v>
      </c>
      <c r="K936">
        <v>48</v>
      </c>
      <c r="L936">
        <v>44.28</v>
      </c>
      <c r="M936">
        <v>4.2</v>
      </c>
      <c r="N936" t="s">
        <v>22</v>
      </c>
      <c r="O936" t="str">
        <f t="shared" si="14"/>
        <v>No</v>
      </c>
    </row>
    <row r="937" spans="1:15" x14ac:dyDescent="0.25">
      <c r="A937" t="s">
        <v>998</v>
      </c>
      <c r="B937" s="1">
        <v>45828</v>
      </c>
      <c r="C937" s="2">
        <v>45829.450416666667</v>
      </c>
      <c r="D937" t="s">
        <v>24</v>
      </c>
      <c r="E937" t="s">
        <v>25</v>
      </c>
      <c r="F937" t="s">
        <v>48</v>
      </c>
      <c r="G937" t="s">
        <v>41</v>
      </c>
      <c r="H937" t="s">
        <v>54</v>
      </c>
      <c r="I937" t="s">
        <v>45</v>
      </c>
      <c r="J937" t="s">
        <v>21</v>
      </c>
      <c r="K937">
        <v>24</v>
      </c>
      <c r="L937">
        <v>34.81</v>
      </c>
      <c r="M937">
        <v>3.9</v>
      </c>
      <c r="N937" t="s">
        <v>22</v>
      </c>
      <c r="O937" t="str">
        <f t="shared" si="14"/>
        <v>Yes</v>
      </c>
    </row>
    <row r="938" spans="1:15" x14ac:dyDescent="0.25">
      <c r="A938" t="s">
        <v>999</v>
      </c>
      <c r="B938" s="1">
        <v>45686</v>
      </c>
      <c r="C938" s="2">
        <v>45686.666250000002</v>
      </c>
      <c r="D938" t="s">
        <v>24</v>
      </c>
      <c r="E938" t="s">
        <v>39</v>
      </c>
      <c r="F938" t="s">
        <v>87</v>
      </c>
      <c r="G938" t="s">
        <v>41</v>
      </c>
      <c r="H938" t="s">
        <v>65</v>
      </c>
      <c r="I938" t="s">
        <v>36</v>
      </c>
      <c r="J938" t="s">
        <v>85</v>
      </c>
      <c r="K938">
        <v>24</v>
      </c>
      <c r="L938">
        <v>15.99</v>
      </c>
      <c r="M938">
        <v>4.5</v>
      </c>
      <c r="N938" t="s">
        <v>61</v>
      </c>
      <c r="O938" t="str">
        <f t="shared" si="14"/>
        <v>No</v>
      </c>
    </row>
    <row r="939" spans="1:15" x14ac:dyDescent="0.25">
      <c r="A939" t="s">
        <v>1000</v>
      </c>
      <c r="B939" s="1">
        <v>45684</v>
      </c>
      <c r="C939" s="2">
        <v>45685.113333333335</v>
      </c>
      <c r="D939" t="s">
        <v>24</v>
      </c>
      <c r="E939" t="s">
        <v>25</v>
      </c>
      <c r="F939" t="s">
        <v>48</v>
      </c>
      <c r="G939" t="s">
        <v>41</v>
      </c>
      <c r="H939" t="s">
        <v>65</v>
      </c>
      <c r="I939" t="s">
        <v>28</v>
      </c>
      <c r="J939" t="s">
        <v>29</v>
      </c>
      <c r="K939">
        <v>24</v>
      </c>
      <c r="L939">
        <v>26.72</v>
      </c>
      <c r="M939">
        <v>3.5</v>
      </c>
      <c r="N939" t="s">
        <v>22</v>
      </c>
      <c r="O939" t="str">
        <f t="shared" si="14"/>
        <v>Yes</v>
      </c>
    </row>
    <row r="940" spans="1:15" x14ac:dyDescent="0.25">
      <c r="A940" t="s">
        <v>1001</v>
      </c>
      <c r="B940" s="1">
        <v>45741</v>
      </c>
      <c r="C940" s="2">
        <v>45743.563750000001</v>
      </c>
      <c r="D940" t="s">
        <v>15</v>
      </c>
      <c r="E940" t="s">
        <v>45</v>
      </c>
      <c r="F940" t="s">
        <v>104</v>
      </c>
      <c r="G940" t="s">
        <v>18</v>
      </c>
      <c r="H940" t="s">
        <v>27</v>
      </c>
      <c r="I940" t="s">
        <v>45</v>
      </c>
      <c r="J940" t="s">
        <v>21</v>
      </c>
      <c r="K940">
        <v>48</v>
      </c>
      <c r="L940">
        <v>61.53</v>
      </c>
      <c r="M940">
        <v>3.5</v>
      </c>
      <c r="N940" t="s">
        <v>22</v>
      </c>
      <c r="O940" t="str">
        <f t="shared" si="14"/>
        <v>Yes</v>
      </c>
    </row>
    <row r="941" spans="1:15" x14ac:dyDescent="0.25">
      <c r="A941" t="s">
        <v>1002</v>
      </c>
      <c r="B941" s="1">
        <v>45750</v>
      </c>
      <c r="C941" s="2">
        <v>45751.013333333336</v>
      </c>
      <c r="D941" t="s">
        <v>24</v>
      </c>
      <c r="E941" t="s">
        <v>32</v>
      </c>
      <c r="F941" t="s">
        <v>33</v>
      </c>
      <c r="G941" t="s">
        <v>41</v>
      </c>
      <c r="H941" t="s">
        <v>44</v>
      </c>
      <c r="I941" t="s">
        <v>36</v>
      </c>
      <c r="J941" t="s">
        <v>46</v>
      </c>
      <c r="K941">
        <v>24</v>
      </c>
      <c r="L941">
        <v>24.32</v>
      </c>
      <c r="M941">
        <v>3.7</v>
      </c>
      <c r="N941" t="s">
        <v>22</v>
      </c>
      <c r="O941" t="str">
        <f t="shared" si="14"/>
        <v>Yes</v>
      </c>
    </row>
    <row r="942" spans="1:15" x14ac:dyDescent="0.25">
      <c r="A942" t="s">
        <v>1003</v>
      </c>
      <c r="B942" s="1">
        <v>45783</v>
      </c>
      <c r="C942" s="2">
        <v>45783.599583333336</v>
      </c>
      <c r="D942" t="s">
        <v>15</v>
      </c>
      <c r="E942" t="s">
        <v>25</v>
      </c>
      <c r="F942" t="s">
        <v>26</v>
      </c>
      <c r="G942" t="s">
        <v>51</v>
      </c>
      <c r="H942" t="s">
        <v>65</v>
      </c>
      <c r="I942" t="s">
        <v>20</v>
      </c>
      <c r="J942" t="s">
        <v>85</v>
      </c>
      <c r="K942">
        <v>48</v>
      </c>
      <c r="L942">
        <v>14.39</v>
      </c>
      <c r="M942">
        <v>4.9000000000000004</v>
      </c>
      <c r="N942" t="s">
        <v>22</v>
      </c>
      <c r="O942" t="str">
        <f t="shared" si="14"/>
        <v>No</v>
      </c>
    </row>
    <row r="943" spans="1:15" x14ac:dyDescent="0.25">
      <c r="A943" t="s">
        <v>1004</v>
      </c>
      <c r="B943" s="1">
        <v>45731</v>
      </c>
      <c r="C943" s="2">
        <v>45732.46166666667</v>
      </c>
      <c r="D943" t="s">
        <v>15</v>
      </c>
      <c r="E943" t="s">
        <v>39</v>
      </c>
      <c r="F943" t="s">
        <v>40</v>
      </c>
      <c r="G943" t="s">
        <v>18</v>
      </c>
      <c r="H943" t="s">
        <v>35</v>
      </c>
      <c r="I943" t="s">
        <v>45</v>
      </c>
      <c r="J943" t="s">
        <v>21</v>
      </c>
      <c r="K943">
        <v>48</v>
      </c>
      <c r="L943">
        <v>35.08</v>
      </c>
      <c r="M943">
        <v>4.2</v>
      </c>
      <c r="N943" t="s">
        <v>22</v>
      </c>
      <c r="O943" t="str">
        <f t="shared" si="14"/>
        <v>No</v>
      </c>
    </row>
    <row r="944" spans="1:15" x14ac:dyDescent="0.25">
      <c r="A944" t="s">
        <v>1005</v>
      </c>
      <c r="B944" s="1">
        <v>45823</v>
      </c>
      <c r="C944" s="2">
        <v>45824.587916666664</v>
      </c>
      <c r="D944" t="s">
        <v>15</v>
      </c>
      <c r="E944" t="s">
        <v>39</v>
      </c>
      <c r="F944" t="s">
        <v>87</v>
      </c>
      <c r="G944" t="s">
        <v>56</v>
      </c>
      <c r="H944" t="s">
        <v>44</v>
      </c>
      <c r="I944" t="s">
        <v>28</v>
      </c>
      <c r="J944" t="s">
        <v>46</v>
      </c>
      <c r="K944">
        <v>48</v>
      </c>
      <c r="L944">
        <v>38.11</v>
      </c>
      <c r="M944">
        <v>3.8</v>
      </c>
      <c r="N944" t="s">
        <v>22</v>
      </c>
      <c r="O944" t="str">
        <f t="shared" si="14"/>
        <v>No</v>
      </c>
    </row>
    <row r="945" spans="1:15" x14ac:dyDescent="0.25">
      <c r="A945" t="s">
        <v>1006</v>
      </c>
      <c r="B945" s="1">
        <v>45743</v>
      </c>
      <c r="C945" s="2">
        <v>45743.095000000001</v>
      </c>
      <c r="D945" t="s">
        <v>24</v>
      </c>
      <c r="E945" t="s">
        <v>39</v>
      </c>
      <c r="F945" t="s">
        <v>87</v>
      </c>
      <c r="G945" t="s">
        <v>56</v>
      </c>
      <c r="H945" t="s">
        <v>54</v>
      </c>
      <c r="I945" t="s">
        <v>20</v>
      </c>
      <c r="J945" t="s">
        <v>21</v>
      </c>
      <c r="K945">
        <v>24</v>
      </c>
      <c r="L945">
        <v>2.2799999999999998</v>
      </c>
      <c r="M945">
        <v>4.8</v>
      </c>
      <c r="N945" t="s">
        <v>22</v>
      </c>
      <c r="O945" t="str">
        <f t="shared" si="14"/>
        <v>No</v>
      </c>
    </row>
    <row r="946" spans="1:15" x14ac:dyDescent="0.25">
      <c r="A946" t="s">
        <v>1007</v>
      </c>
      <c r="B946" s="1">
        <v>45681</v>
      </c>
      <c r="C946" s="2">
        <v>45681.165000000001</v>
      </c>
      <c r="D946" t="s">
        <v>38</v>
      </c>
      <c r="E946" t="s">
        <v>25</v>
      </c>
      <c r="F946" t="s">
        <v>48</v>
      </c>
      <c r="G946" t="s">
        <v>51</v>
      </c>
      <c r="H946" t="s">
        <v>35</v>
      </c>
      <c r="I946" t="s">
        <v>20</v>
      </c>
      <c r="J946" t="s">
        <v>46</v>
      </c>
      <c r="K946">
        <v>8</v>
      </c>
      <c r="L946">
        <v>3.96</v>
      </c>
      <c r="M946">
        <v>4.4000000000000004</v>
      </c>
      <c r="N946" t="s">
        <v>22</v>
      </c>
      <c r="O946" t="str">
        <f t="shared" si="14"/>
        <v>No</v>
      </c>
    </row>
    <row r="947" spans="1:15" x14ac:dyDescent="0.25">
      <c r="A947" t="s">
        <v>1008</v>
      </c>
      <c r="B947" s="1">
        <v>45679</v>
      </c>
      <c r="C947" s="2">
        <v>45679.597500000003</v>
      </c>
      <c r="D947" t="s">
        <v>24</v>
      </c>
      <c r="E947" t="s">
        <v>32</v>
      </c>
      <c r="F947" t="s">
        <v>75</v>
      </c>
      <c r="G947" t="s">
        <v>51</v>
      </c>
      <c r="H947" t="s">
        <v>65</v>
      </c>
      <c r="I947" t="s">
        <v>45</v>
      </c>
      <c r="J947" t="s">
        <v>21</v>
      </c>
      <c r="K947">
        <v>24</v>
      </c>
      <c r="L947">
        <v>14.34</v>
      </c>
      <c r="M947">
        <v>3.1</v>
      </c>
      <c r="N947" t="s">
        <v>61</v>
      </c>
      <c r="O947" t="str">
        <f t="shared" si="14"/>
        <v>No</v>
      </c>
    </row>
    <row r="948" spans="1:15" x14ac:dyDescent="0.25">
      <c r="A948" t="s">
        <v>1009</v>
      </c>
      <c r="B948" s="1">
        <v>45834</v>
      </c>
      <c r="C948" s="2">
        <v>45834.754166666666</v>
      </c>
      <c r="D948" t="s">
        <v>24</v>
      </c>
      <c r="E948" t="s">
        <v>39</v>
      </c>
      <c r="F948" t="s">
        <v>119</v>
      </c>
      <c r="G948" t="s">
        <v>56</v>
      </c>
      <c r="H948" t="s">
        <v>27</v>
      </c>
      <c r="I948" t="s">
        <v>45</v>
      </c>
      <c r="J948" t="s">
        <v>46</v>
      </c>
      <c r="K948">
        <v>24</v>
      </c>
      <c r="L948">
        <v>18.100000000000001</v>
      </c>
      <c r="M948">
        <v>4.8</v>
      </c>
      <c r="N948" t="s">
        <v>22</v>
      </c>
      <c r="O948" t="str">
        <f t="shared" si="14"/>
        <v>No</v>
      </c>
    </row>
    <row r="949" spans="1:15" x14ac:dyDescent="0.25">
      <c r="A949" t="s">
        <v>1010</v>
      </c>
      <c r="B949" s="1">
        <v>45682</v>
      </c>
      <c r="C949" s="2">
        <v>45682.079583333332</v>
      </c>
      <c r="D949" t="s">
        <v>38</v>
      </c>
      <c r="E949" t="s">
        <v>16</v>
      </c>
      <c r="F949" t="s">
        <v>17</v>
      </c>
      <c r="G949" t="s">
        <v>34</v>
      </c>
      <c r="H949" t="s">
        <v>19</v>
      </c>
      <c r="I949" t="s">
        <v>20</v>
      </c>
      <c r="J949" t="s">
        <v>21</v>
      </c>
      <c r="K949">
        <v>8</v>
      </c>
      <c r="L949">
        <v>1.91</v>
      </c>
      <c r="M949">
        <v>4.9000000000000004</v>
      </c>
      <c r="N949" t="s">
        <v>22</v>
      </c>
      <c r="O949" t="str">
        <f t="shared" si="14"/>
        <v>No</v>
      </c>
    </row>
    <row r="950" spans="1:15" x14ac:dyDescent="0.25">
      <c r="A950" t="s">
        <v>1011</v>
      </c>
      <c r="B950" s="1">
        <v>45829</v>
      </c>
      <c r="C950" s="2">
        <v>45829.466249999998</v>
      </c>
      <c r="D950" t="s">
        <v>24</v>
      </c>
      <c r="E950" t="s">
        <v>32</v>
      </c>
      <c r="F950" t="s">
        <v>75</v>
      </c>
      <c r="G950" t="s">
        <v>41</v>
      </c>
      <c r="H950" t="s">
        <v>19</v>
      </c>
      <c r="I950" t="s">
        <v>36</v>
      </c>
      <c r="J950" t="s">
        <v>21</v>
      </c>
      <c r="K950">
        <v>24</v>
      </c>
      <c r="L950">
        <v>11.19</v>
      </c>
      <c r="M950">
        <v>4</v>
      </c>
      <c r="N950" t="s">
        <v>61</v>
      </c>
      <c r="O950" t="str">
        <f t="shared" si="14"/>
        <v>No</v>
      </c>
    </row>
    <row r="951" spans="1:15" x14ac:dyDescent="0.25">
      <c r="A951" t="s">
        <v>1012</v>
      </c>
      <c r="B951" s="1">
        <v>45708</v>
      </c>
      <c r="C951" s="2">
        <v>45708.210416666669</v>
      </c>
      <c r="D951" t="s">
        <v>38</v>
      </c>
      <c r="E951" t="s">
        <v>25</v>
      </c>
      <c r="F951" t="s">
        <v>48</v>
      </c>
      <c r="G951" t="s">
        <v>56</v>
      </c>
      <c r="H951" t="s">
        <v>19</v>
      </c>
      <c r="I951" t="s">
        <v>36</v>
      </c>
      <c r="J951" t="s">
        <v>46</v>
      </c>
      <c r="K951">
        <v>8</v>
      </c>
      <c r="L951">
        <v>5.05</v>
      </c>
      <c r="M951">
        <v>4.5999999999999996</v>
      </c>
      <c r="N951" t="s">
        <v>22</v>
      </c>
      <c r="O951" t="str">
        <f t="shared" si="14"/>
        <v>No</v>
      </c>
    </row>
    <row r="952" spans="1:15" x14ac:dyDescent="0.25">
      <c r="A952" t="s">
        <v>1013</v>
      </c>
      <c r="B952" s="1">
        <v>45674</v>
      </c>
      <c r="C952" s="2">
        <v>45674.396249999998</v>
      </c>
      <c r="D952" t="s">
        <v>24</v>
      </c>
      <c r="E952" t="s">
        <v>45</v>
      </c>
      <c r="F952" t="s">
        <v>100</v>
      </c>
      <c r="G952" t="s">
        <v>18</v>
      </c>
      <c r="H952" t="s">
        <v>54</v>
      </c>
      <c r="I952" t="s">
        <v>28</v>
      </c>
      <c r="J952" t="s">
        <v>21</v>
      </c>
      <c r="K952">
        <v>24</v>
      </c>
      <c r="L952">
        <v>9.51</v>
      </c>
      <c r="M952">
        <v>4.2</v>
      </c>
      <c r="N952" t="s">
        <v>22</v>
      </c>
      <c r="O952" t="str">
        <f t="shared" si="14"/>
        <v>No</v>
      </c>
    </row>
    <row r="953" spans="1:15" x14ac:dyDescent="0.25">
      <c r="A953" t="s">
        <v>1014</v>
      </c>
      <c r="B953" s="1">
        <v>45713</v>
      </c>
      <c r="C953" s="2">
        <v>45713.092499999999</v>
      </c>
      <c r="D953" t="s">
        <v>24</v>
      </c>
      <c r="E953" t="s">
        <v>32</v>
      </c>
      <c r="F953" t="s">
        <v>80</v>
      </c>
      <c r="G953" t="s">
        <v>56</v>
      </c>
      <c r="H953" t="s">
        <v>19</v>
      </c>
      <c r="I953" t="s">
        <v>28</v>
      </c>
      <c r="J953" t="s">
        <v>29</v>
      </c>
      <c r="K953">
        <v>24</v>
      </c>
      <c r="L953">
        <v>2.2200000000000002</v>
      </c>
      <c r="M953">
        <v>4.5999999999999996</v>
      </c>
      <c r="N953" t="s">
        <v>22</v>
      </c>
      <c r="O953" t="str">
        <f t="shared" si="14"/>
        <v>No</v>
      </c>
    </row>
    <row r="954" spans="1:15" x14ac:dyDescent="0.25">
      <c r="A954" t="s">
        <v>1015</v>
      </c>
      <c r="B954" s="1">
        <v>45769</v>
      </c>
      <c r="C954" s="2">
        <v>45771.398738425924</v>
      </c>
      <c r="D954" t="s">
        <v>15</v>
      </c>
      <c r="E954" t="s">
        <v>32</v>
      </c>
      <c r="F954" t="s">
        <v>75</v>
      </c>
      <c r="G954" t="s">
        <v>41</v>
      </c>
      <c r="H954" t="s">
        <v>27</v>
      </c>
      <c r="I954" t="s">
        <v>28</v>
      </c>
      <c r="J954" t="s">
        <v>21</v>
      </c>
      <c r="K954">
        <v>48</v>
      </c>
      <c r="L954">
        <v>57.57</v>
      </c>
      <c r="M954">
        <v>3.8</v>
      </c>
      <c r="N954" t="s">
        <v>22</v>
      </c>
      <c r="O954" t="str">
        <f t="shared" si="14"/>
        <v>Yes</v>
      </c>
    </row>
    <row r="955" spans="1:15" x14ac:dyDescent="0.25">
      <c r="A955" t="s">
        <v>1016</v>
      </c>
      <c r="B955" s="1">
        <v>45735</v>
      </c>
      <c r="C955" s="2">
        <v>45738.578750000001</v>
      </c>
      <c r="D955" t="s">
        <v>15</v>
      </c>
      <c r="E955" t="s">
        <v>45</v>
      </c>
      <c r="F955" t="s">
        <v>104</v>
      </c>
      <c r="G955" t="s">
        <v>18</v>
      </c>
      <c r="H955" t="s">
        <v>54</v>
      </c>
      <c r="I955" t="s">
        <v>36</v>
      </c>
      <c r="J955" t="s">
        <v>21</v>
      </c>
      <c r="K955">
        <v>48</v>
      </c>
      <c r="L955">
        <v>85.89</v>
      </c>
      <c r="M955">
        <v>3.8</v>
      </c>
      <c r="N955" t="s">
        <v>61</v>
      </c>
      <c r="O955" t="str">
        <f t="shared" si="14"/>
        <v>Yes</v>
      </c>
    </row>
    <row r="956" spans="1:15" x14ac:dyDescent="0.25">
      <c r="A956" t="s">
        <v>1017</v>
      </c>
      <c r="B956" s="1">
        <v>45800</v>
      </c>
      <c r="C956" s="2">
        <v>45800.115416666667</v>
      </c>
      <c r="D956" t="s">
        <v>31</v>
      </c>
      <c r="E956" t="s">
        <v>32</v>
      </c>
      <c r="F956" t="s">
        <v>75</v>
      </c>
      <c r="G956" t="s">
        <v>34</v>
      </c>
      <c r="H956" t="s">
        <v>35</v>
      </c>
      <c r="I956" t="s">
        <v>36</v>
      </c>
      <c r="J956" t="s">
        <v>46</v>
      </c>
      <c r="K956">
        <v>4</v>
      </c>
      <c r="L956">
        <v>2.77</v>
      </c>
      <c r="M956">
        <v>4.4000000000000004</v>
      </c>
      <c r="N956" t="s">
        <v>22</v>
      </c>
      <c r="O956" t="str">
        <f t="shared" si="14"/>
        <v>No</v>
      </c>
    </row>
    <row r="957" spans="1:15" x14ac:dyDescent="0.25">
      <c r="A957" t="s">
        <v>1018</v>
      </c>
      <c r="B957" s="1">
        <v>45768</v>
      </c>
      <c r="C957" s="2">
        <v>45768.233749999999</v>
      </c>
      <c r="D957" t="s">
        <v>38</v>
      </c>
      <c r="E957" t="s">
        <v>32</v>
      </c>
      <c r="F957" t="s">
        <v>33</v>
      </c>
      <c r="G957" t="s">
        <v>34</v>
      </c>
      <c r="H957" t="s">
        <v>19</v>
      </c>
      <c r="I957" t="s">
        <v>28</v>
      </c>
      <c r="J957" t="s">
        <v>21</v>
      </c>
      <c r="K957">
        <v>8</v>
      </c>
      <c r="L957">
        <v>5.61</v>
      </c>
      <c r="M957">
        <v>3.7</v>
      </c>
      <c r="N957" t="s">
        <v>22</v>
      </c>
      <c r="O957" t="str">
        <f t="shared" si="14"/>
        <v>No</v>
      </c>
    </row>
    <row r="958" spans="1:15" x14ac:dyDescent="0.25">
      <c r="A958" t="s">
        <v>1019</v>
      </c>
      <c r="B958" s="1">
        <v>45730</v>
      </c>
      <c r="C958" s="2">
        <v>45730.174166666664</v>
      </c>
      <c r="D958" t="s">
        <v>38</v>
      </c>
      <c r="E958" t="s">
        <v>45</v>
      </c>
      <c r="F958" t="s">
        <v>112</v>
      </c>
      <c r="G958" t="s">
        <v>56</v>
      </c>
      <c r="H958" t="s">
        <v>27</v>
      </c>
      <c r="I958" t="s">
        <v>36</v>
      </c>
      <c r="J958" t="s">
        <v>46</v>
      </c>
      <c r="K958">
        <v>8</v>
      </c>
      <c r="L958">
        <v>4.18</v>
      </c>
      <c r="M958">
        <v>4.0999999999999996</v>
      </c>
      <c r="N958" t="s">
        <v>22</v>
      </c>
      <c r="O958" t="str">
        <f t="shared" si="14"/>
        <v>No</v>
      </c>
    </row>
    <row r="959" spans="1:15" x14ac:dyDescent="0.25">
      <c r="A959" t="s">
        <v>1020</v>
      </c>
      <c r="B959" s="1">
        <v>45772</v>
      </c>
      <c r="C959" s="2">
        <v>45772.056666666664</v>
      </c>
      <c r="D959" t="s">
        <v>38</v>
      </c>
      <c r="E959" t="s">
        <v>45</v>
      </c>
      <c r="F959" t="s">
        <v>112</v>
      </c>
      <c r="G959" t="s">
        <v>41</v>
      </c>
      <c r="H959" t="s">
        <v>19</v>
      </c>
      <c r="I959" t="s">
        <v>45</v>
      </c>
      <c r="J959" t="s">
        <v>21</v>
      </c>
      <c r="K959">
        <v>8</v>
      </c>
      <c r="L959">
        <v>1.36</v>
      </c>
      <c r="M959">
        <v>5</v>
      </c>
      <c r="N959" t="s">
        <v>22</v>
      </c>
      <c r="O959" t="str">
        <f t="shared" si="14"/>
        <v>No</v>
      </c>
    </row>
    <row r="960" spans="1:15" x14ac:dyDescent="0.25">
      <c r="A960" t="s">
        <v>1021</v>
      </c>
      <c r="B960" s="1">
        <v>45833</v>
      </c>
      <c r="C960" s="2">
        <v>45833.245416666665</v>
      </c>
      <c r="D960" t="s">
        <v>15</v>
      </c>
      <c r="E960" t="s">
        <v>16</v>
      </c>
      <c r="F960" t="s">
        <v>43</v>
      </c>
      <c r="G960" t="s">
        <v>51</v>
      </c>
      <c r="H960" t="s">
        <v>54</v>
      </c>
      <c r="I960" t="s">
        <v>36</v>
      </c>
      <c r="J960" t="s">
        <v>21</v>
      </c>
      <c r="K960">
        <v>48</v>
      </c>
      <c r="L960">
        <v>5.89</v>
      </c>
      <c r="M960">
        <v>5</v>
      </c>
      <c r="N960" t="s">
        <v>22</v>
      </c>
      <c r="O960" t="str">
        <f t="shared" si="14"/>
        <v>No</v>
      </c>
    </row>
    <row r="961" spans="1:15" x14ac:dyDescent="0.25">
      <c r="A961" t="s">
        <v>1022</v>
      </c>
      <c r="B961" s="1">
        <v>45732</v>
      </c>
      <c r="C961" s="2">
        <v>45732.379583333335</v>
      </c>
      <c r="D961" t="s">
        <v>38</v>
      </c>
      <c r="E961" t="s">
        <v>16</v>
      </c>
      <c r="F961" t="s">
        <v>17</v>
      </c>
      <c r="G961" t="s">
        <v>18</v>
      </c>
      <c r="H961" t="s">
        <v>44</v>
      </c>
      <c r="I961" t="s">
        <v>20</v>
      </c>
      <c r="J961" t="s">
        <v>46</v>
      </c>
      <c r="K961">
        <v>8</v>
      </c>
      <c r="L961">
        <v>9.11</v>
      </c>
      <c r="M961">
        <v>4.3</v>
      </c>
      <c r="N961" t="s">
        <v>22</v>
      </c>
      <c r="O961" t="str">
        <f t="shared" si="14"/>
        <v>Yes</v>
      </c>
    </row>
    <row r="962" spans="1:15" x14ac:dyDescent="0.25">
      <c r="A962" t="s">
        <v>1023</v>
      </c>
      <c r="B962" s="1">
        <v>45685</v>
      </c>
      <c r="C962" s="2">
        <v>45686.664166666669</v>
      </c>
      <c r="D962" t="s">
        <v>24</v>
      </c>
      <c r="E962" t="s">
        <v>45</v>
      </c>
      <c r="F962" t="s">
        <v>104</v>
      </c>
      <c r="G962" t="s">
        <v>18</v>
      </c>
      <c r="H962" t="s">
        <v>54</v>
      </c>
      <c r="I962" t="s">
        <v>45</v>
      </c>
      <c r="J962" t="s">
        <v>21</v>
      </c>
      <c r="K962">
        <v>24</v>
      </c>
      <c r="L962">
        <v>39.94</v>
      </c>
      <c r="M962">
        <v>3.3</v>
      </c>
      <c r="N962" t="s">
        <v>22</v>
      </c>
      <c r="O962" t="str">
        <f t="shared" si="14"/>
        <v>Yes</v>
      </c>
    </row>
    <row r="963" spans="1:15" x14ac:dyDescent="0.25">
      <c r="A963" t="s">
        <v>1024</v>
      </c>
      <c r="B963" s="1">
        <v>45731</v>
      </c>
      <c r="C963" s="2">
        <v>45731.246249999997</v>
      </c>
      <c r="D963" t="s">
        <v>38</v>
      </c>
      <c r="E963" t="s">
        <v>16</v>
      </c>
      <c r="F963" t="s">
        <v>43</v>
      </c>
      <c r="G963" t="s">
        <v>41</v>
      </c>
      <c r="H963" t="s">
        <v>19</v>
      </c>
      <c r="I963" t="s">
        <v>36</v>
      </c>
      <c r="J963" t="s">
        <v>21</v>
      </c>
      <c r="K963">
        <v>8</v>
      </c>
      <c r="L963">
        <v>5.91</v>
      </c>
      <c r="M963">
        <v>4.5999999999999996</v>
      </c>
      <c r="N963" t="s">
        <v>22</v>
      </c>
      <c r="O963" t="str">
        <f t="shared" ref="O963:O1026" si="15">IF(L963&gt;K963,"Yes","No")</f>
        <v>No</v>
      </c>
    </row>
    <row r="964" spans="1:15" x14ac:dyDescent="0.25">
      <c r="A964" t="s">
        <v>1025</v>
      </c>
      <c r="B964" s="1">
        <v>45810</v>
      </c>
      <c r="C964" s="2">
        <v>45810.784583333334</v>
      </c>
      <c r="D964" t="s">
        <v>15</v>
      </c>
      <c r="E964" t="s">
        <v>16</v>
      </c>
      <c r="F964" t="s">
        <v>43</v>
      </c>
      <c r="G964" t="s">
        <v>18</v>
      </c>
      <c r="H964" t="s">
        <v>27</v>
      </c>
      <c r="I964" t="s">
        <v>45</v>
      </c>
      <c r="J964" t="s">
        <v>21</v>
      </c>
      <c r="K964">
        <v>48</v>
      </c>
      <c r="L964">
        <v>18.829999999999998</v>
      </c>
      <c r="M964">
        <v>5</v>
      </c>
      <c r="N964" t="s">
        <v>22</v>
      </c>
      <c r="O964" t="str">
        <f t="shared" si="15"/>
        <v>No</v>
      </c>
    </row>
    <row r="965" spans="1:15" x14ac:dyDescent="0.25">
      <c r="A965" t="s">
        <v>1026</v>
      </c>
      <c r="B965" s="1">
        <v>45697</v>
      </c>
      <c r="C965" s="2">
        <v>45697.931666666664</v>
      </c>
      <c r="D965" t="s">
        <v>15</v>
      </c>
      <c r="E965" t="s">
        <v>25</v>
      </c>
      <c r="F965" t="s">
        <v>48</v>
      </c>
      <c r="G965" t="s">
        <v>18</v>
      </c>
      <c r="H965" t="s">
        <v>54</v>
      </c>
      <c r="I965" t="s">
        <v>36</v>
      </c>
      <c r="J965" t="s">
        <v>85</v>
      </c>
      <c r="K965">
        <v>48</v>
      </c>
      <c r="L965">
        <v>22.36</v>
      </c>
      <c r="M965">
        <v>3.6</v>
      </c>
      <c r="N965" t="s">
        <v>22</v>
      </c>
      <c r="O965" t="str">
        <f t="shared" si="15"/>
        <v>No</v>
      </c>
    </row>
    <row r="966" spans="1:15" x14ac:dyDescent="0.25">
      <c r="A966" t="s">
        <v>1027</v>
      </c>
      <c r="B966" s="1">
        <v>45829</v>
      </c>
      <c r="C966" s="2">
        <v>45829.271666666667</v>
      </c>
      <c r="D966" t="s">
        <v>38</v>
      </c>
      <c r="E966" t="s">
        <v>16</v>
      </c>
      <c r="F966" t="s">
        <v>60</v>
      </c>
      <c r="G966" t="s">
        <v>41</v>
      </c>
      <c r="H966" t="s">
        <v>19</v>
      </c>
      <c r="I966" t="s">
        <v>20</v>
      </c>
      <c r="J966" t="s">
        <v>21</v>
      </c>
      <c r="K966">
        <v>8</v>
      </c>
      <c r="L966">
        <v>6.52</v>
      </c>
      <c r="M966">
        <v>5</v>
      </c>
      <c r="N966" t="s">
        <v>61</v>
      </c>
      <c r="O966" t="str">
        <f t="shared" si="15"/>
        <v>No</v>
      </c>
    </row>
    <row r="967" spans="1:15" x14ac:dyDescent="0.25">
      <c r="A967" t="s">
        <v>1028</v>
      </c>
      <c r="B967" s="1">
        <v>45764</v>
      </c>
      <c r="C967" s="2">
        <v>45764.366666666669</v>
      </c>
      <c r="D967" t="s">
        <v>38</v>
      </c>
      <c r="E967" t="s">
        <v>16</v>
      </c>
      <c r="F967" t="s">
        <v>58</v>
      </c>
      <c r="G967" t="s">
        <v>56</v>
      </c>
      <c r="H967" t="s">
        <v>19</v>
      </c>
      <c r="I967" t="s">
        <v>45</v>
      </c>
      <c r="J967" t="s">
        <v>21</v>
      </c>
      <c r="K967">
        <v>8</v>
      </c>
      <c r="L967">
        <v>8.8000000000000007</v>
      </c>
      <c r="M967">
        <v>4.3</v>
      </c>
      <c r="N967" t="s">
        <v>22</v>
      </c>
      <c r="O967" t="str">
        <f t="shared" si="15"/>
        <v>Yes</v>
      </c>
    </row>
    <row r="968" spans="1:15" x14ac:dyDescent="0.25">
      <c r="A968" t="s">
        <v>1029</v>
      </c>
      <c r="B968" s="1">
        <v>45766</v>
      </c>
      <c r="C968" s="2">
        <v>45766.529583333337</v>
      </c>
      <c r="D968" t="s">
        <v>24</v>
      </c>
      <c r="E968" t="s">
        <v>39</v>
      </c>
      <c r="F968" t="s">
        <v>78</v>
      </c>
      <c r="G968" t="s">
        <v>34</v>
      </c>
      <c r="H968" t="s">
        <v>27</v>
      </c>
      <c r="I968" t="s">
        <v>45</v>
      </c>
      <c r="J968" t="s">
        <v>21</v>
      </c>
      <c r="K968">
        <v>24</v>
      </c>
      <c r="L968">
        <v>12.71</v>
      </c>
      <c r="M968">
        <v>5</v>
      </c>
      <c r="N968" t="s">
        <v>61</v>
      </c>
      <c r="O968" t="str">
        <f t="shared" si="15"/>
        <v>No</v>
      </c>
    </row>
    <row r="969" spans="1:15" x14ac:dyDescent="0.25">
      <c r="A969" t="s">
        <v>1030</v>
      </c>
      <c r="B969" s="1">
        <v>45715</v>
      </c>
      <c r="C969" s="2">
        <v>45715.419166666667</v>
      </c>
      <c r="D969" t="s">
        <v>24</v>
      </c>
      <c r="E969" t="s">
        <v>16</v>
      </c>
      <c r="F969" t="s">
        <v>58</v>
      </c>
      <c r="G969" t="s">
        <v>41</v>
      </c>
      <c r="H969" t="s">
        <v>35</v>
      </c>
      <c r="I969" t="s">
        <v>36</v>
      </c>
      <c r="J969" t="s">
        <v>46</v>
      </c>
      <c r="K969">
        <v>24</v>
      </c>
      <c r="L969">
        <v>10.06</v>
      </c>
      <c r="M969">
        <v>3.9</v>
      </c>
      <c r="N969" t="s">
        <v>22</v>
      </c>
      <c r="O969" t="str">
        <f t="shared" si="15"/>
        <v>No</v>
      </c>
    </row>
    <row r="970" spans="1:15" x14ac:dyDescent="0.25">
      <c r="A970" t="s">
        <v>1031</v>
      </c>
      <c r="B970" s="1">
        <v>45824</v>
      </c>
      <c r="C970" s="2">
        <v>45824.23541666667</v>
      </c>
      <c r="D970" t="s">
        <v>24</v>
      </c>
      <c r="E970" t="s">
        <v>16</v>
      </c>
      <c r="F970" t="s">
        <v>17</v>
      </c>
      <c r="G970" t="s">
        <v>41</v>
      </c>
      <c r="H970" t="s">
        <v>54</v>
      </c>
      <c r="I970" t="s">
        <v>36</v>
      </c>
      <c r="J970" t="s">
        <v>21</v>
      </c>
      <c r="K970">
        <v>24</v>
      </c>
      <c r="L970">
        <v>5.65</v>
      </c>
      <c r="M970">
        <v>5</v>
      </c>
      <c r="N970" t="s">
        <v>22</v>
      </c>
      <c r="O970" t="str">
        <f t="shared" si="15"/>
        <v>No</v>
      </c>
    </row>
    <row r="971" spans="1:15" x14ac:dyDescent="0.25">
      <c r="A971" t="s">
        <v>1032</v>
      </c>
      <c r="B971" s="1">
        <v>45664</v>
      </c>
      <c r="C971" s="2">
        <v>45664.059583333335</v>
      </c>
      <c r="D971" t="s">
        <v>31</v>
      </c>
      <c r="E971" t="s">
        <v>39</v>
      </c>
      <c r="F971" t="s">
        <v>87</v>
      </c>
      <c r="G971" t="s">
        <v>41</v>
      </c>
      <c r="H971" t="s">
        <v>54</v>
      </c>
      <c r="I971" t="s">
        <v>36</v>
      </c>
      <c r="J971" t="s">
        <v>21</v>
      </c>
      <c r="K971">
        <v>4</v>
      </c>
      <c r="L971">
        <v>1.43</v>
      </c>
      <c r="M971">
        <v>4.7</v>
      </c>
      <c r="N971" t="s">
        <v>22</v>
      </c>
      <c r="O971" t="str">
        <f t="shared" si="15"/>
        <v>No</v>
      </c>
    </row>
    <row r="972" spans="1:15" x14ac:dyDescent="0.25">
      <c r="A972" t="s">
        <v>1033</v>
      </c>
      <c r="B972" s="1">
        <v>45712</v>
      </c>
      <c r="C972" s="2">
        <v>45712.780416666668</v>
      </c>
      <c r="D972" t="s">
        <v>24</v>
      </c>
      <c r="E972" t="s">
        <v>39</v>
      </c>
      <c r="F972" t="s">
        <v>87</v>
      </c>
      <c r="G972" t="s">
        <v>56</v>
      </c>
      <c r="H972" t="s">
        <v>35</v>
      </c>
      <c r="I972" t="s">
        <v>28</v>
      </c>
      <c r="J972" t="s">
        <v>29</v>
      </c>
      <c r="K972">
        <v>24</v>
      </c>
      <c r="L972">
        <v>18.73</v>
      </c>
      <c r="M972">
        <v>4.5999999999999996</v>
      </c>
      <c r="N972" t="s">
        <v>22</v>
      </c>
      <c r="O972" t="str">
        <f t="shared" si="15"/>
        <v>No</v>
      </c>
    </row>
    <row r="973" spans="1:15" x14ac:dyDescent="0.25">
      <c r="A973" t="s">
        <v>1034</v>
      </c>
      <c r="B973" s="1">
        <v>45733</v>
      </c>
      <c r="C973" s="2">
        <v>45733.660416666666</v>
      </c>
      <c r="D973" t="s">
        <v>24</v>
      </c>
      <c r="E973" t="s">
        <v>25</v>
      </c>
      <c r="F973" t="s">
        <v>26</v>
      </c>
      <c r="G973" t="s">
        <v>34</v>
      </c>
      <c r="H973" t="s">
        <v>65</v>
      </c>
      <c r="I973" t="s">
        <v>36</v>
      </c>
      <c r="J973" t="s">
        <v>85</v>
      </c>
      <c r="K973">
        <v>24</v>
      </c>
      <c r="L973">
        <v>15.85</v>
      </c>
      <c r="M973">
        <v>4.5</v>
      </c>
      <c r="N973" t="s">
        <v>22</v>
      </c>
      <c r="O973" t="str">
        <f t="shared" si="15"/>
        <v>No</v>
      </c>
    </row>
    <row r="974" spans="1:15" x14ac:dyDescent="0.25">
      <c r="A974" t="s">
        <v>1035</v>
      </c>
      <c r="B974" s="1">
        <v>45744</v>
      </c>
      <c r="C974" s="2">
        <v>45744.621249999997</v>
      </c>
      <c r="D974" t="s">
        <v>24</v>
      </c>
      <c r="E974" t="s">
        <v>39</v>
      </c>
      <c r="F974" t="s">
        <v>40</v>
      </c>
      <c r="G974" t="s">
        <v>18</v>
      </c>
      <c r="H974" t="s">
        <v>65</v>
      </c>
      <c r="I974" t="s">
        <v>45</v>
      </c>
      <c r="J974" t="s">
        <v>29</v>
      </c>
      <c r="K974">
        <v>24</v>
      </c>
      <c r="L974">
        <v>14.91</v>
      </c>
      <c r="M974">
        <v>4.5</v>
      </c>
      <c r="N974" t="s">
        <v>22</v>
      </c>
      <c r="O974" t="str">
        <f t="shared" si="15"/>
        <v>No</v>
      </c>
    </row>
    <row r="975" spans="1:15" x14ac:dyDescent="0.25">
      <c r="A975" t="s">
        <v>1036</v>
      </c>
      <c r="B975" s="1">
        <v>45743</v>
      </c>
      <c r="C975" s="2">
        <v>45743.243333333332</v>
      </c>
      <c r="D975" t="s">
        <v>24</v>
      </c>
      <c r="E975" t="s">
        <v>32</v>
      </c>
      <c r="F975" t="s">
        <v>75</v>
      </c>
      <c r="G975" t="s">
        <v>41</v>
      </c>
      <c r="H975" t="s">
        <v>44</v>
      </c>
      <c r="I975" t="s">
        <v>36</v>
      </c>
      <c r="J975" t="s">
        <v>21</v>
      </c>
      <c r="K975">
        <v>24</v>
      </c>
      <c r="L975">
        <v>5.84</v>
      </c>
      <c r="M975">
        <v>5</v>
      </c>
      <c r="N975" t="s">
        <v>22</v>
      </c>
      <c r="O975" t="str">
        <f t="shared" si="15"/>
        <v>No</v>
      </c>
    </row>
    <row r="976" spans="1:15" x14ac:dyDescent="0.25">
      <c r="A976" t="s">
        <v>1037</v>
      </c>
      <c r="B976" s="1">
        <v>45684</v>
      </c>
      <c r="C976" s="2">
        <v>45684.447916666664</v>
      </c>
      <c r="D976" t="s">
        <v>24</v>
      </c>
      <c r="E976" t="s">
        <v>39</v>
      </c>
      <c r="F976" t="s">
        <v>78</v>
      </c>
      <c r="G976" t="s">
        <v>41</v>
      </c>
      <c r="H976" t="s">
        <v>19</v>
      </c>
      <c r="I976" t="s">
        <v>28</v>
      </c>
      <c r="J976" t="s">
        <v>21</v>
      </c>
      <c r="K976">
        <v>24</v>
      </c>
      <c r="L976">
        <v>10.75</v>
      </c>
      <c r="M976">
        <v>4.4000000000000004</v>
      </c>
      <c r="N976" t="s">
        <v>22</v>
      </c>
      <c r="O976" t="str">
        <f t="shared" si="15"/>
        <v>No</v>
      </c>
    </row>
    <row r="977" spans="1:15" x14ac:dyDescent="0.25">
      <c r="A977" t="s">
        <v>1038</v>
      </c>
      <c r="B977" s="1">
        <v>45698</v>
      </c>
      <c r="C977" s="2">
        <v>45698.930833333332</v>
      </c>
      <c r="D977" t="s">
        <v>24</v>
      </c>
      <c r="E977" t="s">
        <v>32</v>
      </c>
      <c r="F977" t="s">
        <v>80</v>
      </c>
      <c r="G977" t="s">
        <v>51</v>
      </c>
      <c r="H977" t="s">
        <v>65</v>
      </c>
      <c r="I977" t="s">
        <v>20</v>
      </c>
      <c r="J977" t="s">
        <v>21</v>
      </c>
      <c r="K977">
        <v>24</v>
      </c>
      <c r="L977">
        <v>22.34</v>
      </c>
      <c r="M977">
        <v>3.5</v>
      </c>
      <c r="N977" t="s">
        <v>22</v>
      </c>
      <c r="O977" t="str">
        <f t="shared" si="15"/>
        <v>No</v>
      </c>
    </row>
    <row r="978" spans="1:15" x14ac:dyDescent="0.25">
      <c r="A978" t="s">
        <v>1039</v>
      </c>
      <c r="B978" s="1">
        <v>45675</v>
      </c>
      <c r="C978" s="2">
        <v>45675.458749999998</v>
      </c>
      <c r="D978" t="s">
        <v>38</v>
      </c>
      <c r="E978" t="s">
        <v>25</v>
      </c>
      <c r="F978" t="s">
        <v>48</v>
      </c>
      <c r="G978" t="s">
        <v>18</v>
      </c>
      <c r="H978" t="s">
        <v>35</v>
      </c>
      <c r="I978" t="s">
        <v>36</v>
      </c>
      <c r="J978" t="s">
        <v>21</v>
      </c>
      <c r="K978">
        <v>8</v>
      </c>
      <c r="L978">
        <v>11.01</v>
      </c>
      <c r="M978">
        <v>3.6</v>
      </c>
      <c r="N978" t="s">
        <v>61</v>
      </c>
      <c r="O978" t="str">
        <f t="shared" si="15"/>
        <v>Yes</v>
      </c>
    </row>
    <row r="979" spans="1:15" x14ac:dyDescent="0.25">
      <c r="A979" t="s">
        <v>1040</v>
      </c>
      <c r="B979" s="1">
        <v>45761</v>
      </c>
      <c r="C979" s="2">
        <v>45761.3</v>
      </c>
      <c r="D979" t="s">
        <v>38</v>
      </c>
      <c r="E979" t="s">
        <v>39</v>
      </c>
      <c r="F979" t="s">
        <v>119</v>
      </c>
      <c r="G979" t="s">
        <v>18</v>
      </c>
      <c r="H979" t="s">
        <v>35</v>
      </c>
      <c r="I979" t="s">
        <v>45</v>
      </c>
      <c r="J979" t="s">
        <v>46</v>
      </c>
      <c r="K979">
        <v>8</v>
      </c>
      <c r="L979">
        <v>7.2</v>
      </c>
      <c r="M979">
        <v>3.6</v>
      </c>
      <c r="N979" t="s">
        <v>22</v>
      </c>
      <c r="O979" t="str">
        <f t="shared" si="15"/>
        <v>No</v>
      </c>
    </row>
    <row r="980" spans="1:15" x14ac:dyDescent="0.25">
      <c r="A980" t="s">
        <v>1041</v>
      </c>
      <c r="B980" s="1">
        <v>45721</v>
      </c>
      <c r="C980" s="2">
        <v>45721.365833333337</v>
      </c>
      <c r="D980" t="s">
        <v>38</v>
      </c>
      <c r="E980" t="s">
        <v>39</v>
      </c>
      <c r="F980" t="s">
        <v>119</v>
      </c>
      <c r="G980" t="s">
        <v>18</v>
      </c>
      <c r="H980" t="s">
        <v>35</v>
      </c>
      <c r="I980" t="s">
        <v>45</v>
      </c>
      <c r="J980" t="s">
        <v>21</v>
      </c>
      <c r="K980">
        <v>8</v>
      </c>
      <c r="L980">
        <v>8.7799999999999994</v>
      </c>
      <c r="M980">
        <v>3.6</v>
      </c>
      <c r="N980" t="s">
        <v>22</v>
      </c>
      <c r="O980" t="str">
        <f t="shared" si="15"/>
        <v>Yes</v>
      </c>
    </row>
    <row r="981" spans="1:15" x14ac:dyDescent="0.25">
      <c r="A981" t="s">
        <v>1042</v>
      </c>
      <c r="B981" s="1">
        <v>45760</v>
      </c>
      <c r="C981" s="2">
        <v>45760.095405092594</v>
      </c>
      <c r="D981" t="s">
        <v>24</v>
      </c>
      <c r="E981" t="s">
        <v>25</v>
      </c>
      <c r="F981" t="s">
        <v>48</v>
      </c>
      <c r="G981" t="s">
        <v>34</v>
      </c>
      <c r="H981" t="s">
        <v>19</v>
      </c>
      <c r="I981" t="s">
        <v>20</v>
      </c>
      <c r="J981" t="s">
        <v>21</v>
      </c>
      <c r="K981">
        <v>24</v>
      </c>
      <c r="L981">
        <v>2.29</v>
      </c>
      <c r="M981">
        <v>3.9</v>
      </c>
      <c r="N981" t="s">
        <v>22</v>
      </c>
      <c r="O981" t="str">
        <f t="shared" si="15"/>
        <v>No</v>
      </c>
    </row>
    <row r="982" spans="1:15" x14ac:dyDescent="0.25">
      <c r="A982" t="s">
        <v>1043</v>
      </c>
      <c r="B982" s="1">
        <v>45764</v>
      </c>
      <c r="C982" s="2">
        <v>45765.224583333336</v>
      </c>
      <c r="D982" t="s">
        <v>24</v>
      </c>
      <c r="E982" t="s">
        <v>32</v>
      </c>
      <c r="F982" t="s">
        <v>64</v>
      </c>
      <c r="G982" t="s">
        <v>18</v>
      </c>
      <c r="H982" t="s">
        <v>19</v>
      </c>
      <c r="I982" t="s">
        <v>28</v>
      </c>
      <c r="J982" t="s">
        <v>21</v>
      </c>
      <c r="K982">
        <v>24</v>
      </c>
      <c r="L982">
        <v>29.39</v>
      </c>
      <c r="M982">
        <v>3.6</v>
      </c>
      <c r="N982" t="s">
        <v>61</v>
      </c>
      <c r="O982" t="str">
        <f t="shared" si="15"/>
        <v>Yes</v>
      </c>
    </row>
    <row r="983" spans="1:15" x14ac:dyDescent="0.25">
      <c r="A983" t="s">
        <v>1044</v>
      </c>
      <c r="B983" s="1">
        <v>45785</v>
      </c>
      <c r="C983" s="2">
        <v>45785.732071759259</v>
      </c>
      <c r="D983" t="s">
        <v>24</v>
      </c>
      <c r="E983" t="s">
        <v>32</v>
      </c>
      <c r="F983" t="s">
        <v>33</v>
      </c>
      <c r="G983" t="s">
        <v>51</v>
      </c>
      <c r="H983" t="s">
        <v>44</v>
      </c>
      <c r="I983" t="s">
        <v>20</v>
      </c>
      <c r="J983" t="s">
        <v>46</v>
      </c>
      <c r="K983">
        <v>24</v>
      </c>
      <c r="L983">
        <v>17.57</v>
      </c>
      <c r="M983">
        <v>3.5</v>
      </c>
      <c r="N983" t="s">
        <v>22</v>
      </c>
      <c r="O983" t="str">
        <f t="shared" si="15"/>
        <v>No</v>
      </c>
    </row>
    <row r="984" spans="1:15" x14ac:dyDescent="0.25">
      <c r="A984" t="s">
        <v>1045</v>
      </c>
      <c r="B984" s="1">
        <v>45757</v>
      </c>
      <c r="C984" s="2">
        <v>45757.208749999998</v>
      </c>
      <c r="D984" t="s">
        <v>38</v>
      </c>
      <c r="E984" t="s">
        <v>25</v>
      </c>
      <c r="F984" t="s">
        <v>26</v>
      </c>
      <c r="G984" t="s">
        <v>51</v>
      </c>
      <c r="H984" t="s">
        <v>19</v>
      </c>
      <c r="I984" t="s">
        <v>20</v>
      </c>
      <c r="J984" t="s">
        <v>21</v>
      </c>
      <c r="K984">
        <v>8</v>
      </c>
      <c r="L984">
        <v>5.01</v>
      </c>
      <c r="M984">
        <v>4.2</v>
      </c>
      <c r="N984" t="s">
        <v>22</v>
      </c>
      <c r="O984" t="str">
        <f t="shared" si="15"/>
        <v>No</v>
      </c>
    </row>
    <row r="985" spans="1:15" x14ac:dyDescent="0.25">
      <c r="A985" t="s">
        <v>1046</v>
      </c>
      <c r="B985" s="1">
        <v>45775</v>
      </c>
      <c r="C985" s="2">
        <v>45775.671666666669</v>
      </c>
      <c r="D985" t="s">
        <v>24</v>
      </c>
      <c r="E985" t="s">
        <v>16</v>
      </c>
      <c r="F985" t="s">
        <v>60</v>
      </c>
      <c r="G985" t="s">
        <v>41</v>
      </c>
      <c r="H985" t="s">
        <v>65</v>
      </c>
      <c r="I985" t="s">
        <v>45</v>
      </c>
      <c r="J985" t="s">
        <v>29</v>
      </c>
      <c r="K985">
        <v>24</v>
      </c>
      <c r="L985">
        <v>16.12</v>
      </c>
      <c r="M985">
        <v>3.5</v>
      </c>
      <c r="N985" t="s">
        <v>22</v>
      </c>
      <c r="O985" t="str">
        <f t="shared" si="15"/>
        <v>No</v>
      </c>
    </row>
    <row r="986" spans="1:15" x14ac:dyDescent="0.25">
      <c r="A986" t="s">
        <v>1047</v>
      </c>
      <c r="B986" s="1">
        <v>45764</v>
      </c>
      <c r="C986" s="2">
        <v>45765.554166666669</v>
      </c>
      <c r="D986" t="s">
        <v>24</v>
      </c>
      <c r="E986" t="s">
        <v>25</v>
      </c>
      <c r="F986" t="s">
        <v>70</v>
      </c>
      <c r="G986" t="s">
        <v>18</v>
      </c>
      <c r="H986" t="s">
        <v>54</v>
      </c>
      <c r="I986" t="s">
        <v>36</v>
      </c>
      <c r="J986" t="s">
        <v>21</v>
      </c>
      <c r="K986">
        <v>24</v>
      </c>
      <c r="L986">
        <v>37.299999999999997</v>
      </c>
      <c r="M986">
        <v>3.1</v>
      </c>
      <c r="N986" t="s">
        <v>61</v>
      </c>
      <c r="O986" t="str">
        <f t="shared" si="15"/>
        <v>Yes</v>
      </c>
    </row>
    <row r="987" spans="1:15" x14ac:dyDescent="0.25">
      <c r="A987" t="s">
        <v>1048</v>
      </c>
      <c r="B987" s="1">
        <v>45776</v>
      </c>
      <c r="C987" s="2">
        <v>45776.126666666663</v>
      </c>
      <c r="D987" t="s">
        <v>38</v>
      </c>
      <c r="E987" t="s">
        <v>25</v>
      </c>
      <c r="F987" t="s">
        <v>70</v>
      </c>
      <c r="G987" t="s">
        <v>34</v>
      </c>
      <c r="H987" t="s">
        <v>35</v>
      </c>
      <c r="I987" t="s">
        <v>45</v>
      </c>
      <c r="J987" t="s">
        <v>21</v>
      </c>
      <c r="K987">
        <v>8</v>
      </c>
      <c r="L987">
        <v>3.04</v>
      </c>
      <c r="M987">
        <v>5</v>
      </c>
      <c r="N987" t="s">
        <v>22</v>
      </c>
      <c r="O987" t="str">
        <f t="shared" si="15"/>
        <v>No</v>
      </c>
    </row>
    <row r="988" spans="1:15" x14ac:dyDescent="0.25">
      <c r="A988" t="s">
        <v>1049</v>
      </c>
      <c r="B988" s="1">
        <v>45769</v>
      </c>
      <c r="C988" s="2">
        <v>45769.672083333331</v>
      </c>
      <c r="D988" t="s">
        <v>24</v>
      </c>
      <c r="E988" t="s">
        <v>45</v>
      </c>
      <c r="F988" t="s">
        <v>112</v>
      </c>
      <c r="G988" t="s">
        <v>34</v>
      </c>
      <c r="H988" t="s">
        <v>44</v>
      </c>
      <c r="I988" t="s">
        <v>20</v>
      </c>
      <c r="J988" t="s">
        <v>85</v>
      </c>
      <c r="K988">
        <v>24</v>
      </c>
      <c r="L988">
        <v>16.13</v>
      </c>
      <c r="M988">
        <v>3.8</v>
      </c>
      <c r="N988" t="s">
        <v>22</v>
      </c>
      <c r="O988" t="str">
        <f t="shared" si="15"/>
        <v>No</v>
      </c>
    </row>
    <row r="989" spans="1:15" x14ac:dyDescent="0.25">
      <c r="A989" t="s">
        <v>1050</v>
      </c>
      <c r="B989" s="1">
        <v>45715</v>
      </c>
      <c r="C989" s="2">
        <v>45715.16333333333</v>
      </c>
      <c r="D989" t="s">
        <v>38</v>
      </c>
      <c r="E989" t="s">
        <v>32</v>
      </c>
      <c r="F989" t="s">
        <v>80</v>
      </c>
      <c r="G989" t="s">
        <v>56</v>
      </c>
      <c r="H989" t="s">
        <v>65</v>
      </c>
      <c r="I989" t="s">
        <v>36</v>
      </c>
      <c r="J989" t="s">
        <v>21</v>
      </c>
      <c r="K989">
        <v>8</v>
      </c>
      <c r="L989">
        <v>3.92</v>
      </c>
      <c r="M989">
        <v>3.8</v>
      </c>
      <c r="N989" t="s">
        <v>22</v>
      </c>
      <c r="O989" t="str">
        <f t="shared" si="15"/>
        <v>No</v>
      </c>
    </row>
    <row r="990" spans="1:15" x14ac:dyDescent="0.25">
      <c r="A990" t="s">
        <v>1051</v>
      </c>
      <c r="B990" s="1">
        <v>45702</v>
      </c>
      <c r="C990" s="2">
        <v>45702.510416666664</v>
      </c>
      <c r="D990" t="s">
        <v>15</v>
      </c>
      <c r="E990" t="s">
        <v>25</v>
      </c>
      <c r="F990" t="s">
        <v>48</v>
      </c>
      <c r="G990" t="s">
        <v>41</v>
      </c>
      <c r="H990" t="s">
        <v>19</v>
      </c>
      <c r="I990" t="s">
        <v>45</v>
      </c>
      <c r="J990" t="s">
        <v>29</v>
      </c>
      <c r="K990">
        <v>48</v>
      </c>
      <c r="L990">
        <v>12.25</v>
      </c>
      <c r="M990">
        <v>5</v>
      </c>
      <c r="N990" t="s">
        <v>22</v>
      </c>
      <c r="O990" t="str">
        <f t="shared" si="15"/>
        <v>No</v>
      </c>
    </row>
    <row r="991" spans="1:15" x14ac:dyDescent="0.25">
      <c r="A991" t="s">
        <v>1052</v>
      </c>
      <c r="B991" s="1">
        <v>45800</v>
      </c>
      <c r="C991" s="2">
        <v>45800.142500000002</v>
      </c>
      <c r="D991" t="s">
        <v>24</v>
      </c>
      <c r="E991" t="s">
        <v>16</v>
      </c>
      <c r="F991" t="s">
        <v>17</v>
      </c>
      <c r="G991" t="s">
        <v>18</v>
      </c>
      <c r="H991" t="s">
        <v>44</v>
      </c>
      <c r="I991" t="s">
        <v>36</v>
      </c>
      <c r="J991" t="s">
        <v>46</v>
      </c>
      <c r="K991">
        <v>24</v>
      </c>
      <c r="L991">
        <v>3.42</v>
      </c>
      <c r="M991">
        <v>5</v>
      </c>
      <c r="N991" t="s">
        <v>22</v>
      </c>
      <c r="O991" t="str">
        <f t="shared" si="15"/>
        <v>No</v>
      </c>
    </row>
    <row r="992" spans="1:15" x14ac:dyDescent="0.25">
      <c r="A992" t="s">
        <v>1053</v>
      </c>
      <c r="B992" s="1">
        <v>45720</v>
      </c>
      <c r="C992" s="2">
        <v>45720.251666666663</v>
      </c>
      <c r="D992" t="s">
        <v>24</v>
      </c>
      <c r="E992" t="s">
        <v>32</v>
      </c>
      <c r="F992" t="s">
        <v>33</v>
      </c>
      <c r="G992" t="s">
        <v>34</v>
      </c>
      <c r="H992" t="s">
        <v>65</v>
      </c>
      <c r="I992" t="s">
        <v>36</v>
      </c>
      <c r="J992" t="s">
        <v>85</v>
      </c>
      <c r="K992">
        <v>24</v>
      </c>
      <c r="L992">
        <v>6.04</v>
      </c>
      <c r="M992">
        <v>5</v>
      </c>
      <c r="N992" t="s">
        <v>22</v>
      </c>
      <c r="O992" t="str">
        <f t="shared" si="15"/>
        <v>No</v>
      </c>
    </row>
    <row r="993" spans="1:15" x14ac:dyDescent="0.25">
      <c r="A993" t="s">
        <v>1054</v>
      </c>
      <c r="B993" s="1">
        <v>45757</v>
      </c>
      <c r="C993" s="2">
        <v>45757.618333333332</v>
      </c>
      <c r="D993" t="s">
        <v>15</v>
      </c>
      <c r="E993" t="s">
        <v>45</v>
      </c>
      <c r="F993" t="s">
        <v>50</v>
      </c>
      <c r="G993" t="s">
        <v>51</v>
      </c>
      <c r="H993" t="s">
        <v>44</v>
      </c>
      <c r="I993" t="s">
        <v>20</v>
      </c>
      <c r="J993" t="s">
        <v>21</v>
      </c>
      <c r="K993">
        <v>48</v>
      </c>
      <c r="L993">
        <v>14.84</v>
      </c>
      <c r="M993">
        <v>4.3</v>
      </c>
      <c r="N993" t="s">
        <v>22</v>
      </c>
      <c r="O993" t="str">
        <f t="shared" si="15"/>
        <v>No</v>
      </c>
    </row>
    <row r="994" spans="1:15" x14ac:dyDescent="0.25">
      <c r="A994" t="s">
        <v>1055</v>
      </c>
      <c r="B994" s="1">
        <v>45693</v>
      </c>
      <c r="C994" s="2">
        <v>45693.168749999997</v>
      </c>
      <c r="D994" t="s">
        <v>38</v>
      </c>
      <c r="E994" t="s">
        <v>39</v>
      </c>
      <c r="F994" t="s">
        <v>78</v>
      </c>
      <c r="G994" t="s">
        <v>41</v>
      </c>
      <c r="H994" t="s">
        <v>65</v>
      </c>
      <c r="I994" t="s">
        <v>36</v>
      </c>
      <c r="J994" t="s">
        <v>21</v>
      </c>
      <c r="K994">
        <v>8</v>
      </c>
      <c r="L994">
        <v>4.05</v>
      </c>
      <c r="M994">
        <v>4</v>
      </c>
      <c r="N994" t="s">
        <v>22</v>
      </c>
      <c r="O994" t="str">
        <f t="shared" si="15"/>
        <v>No</v>
      </c>
    </row>
    <row r="995" spans="1:15" x14ac:dyDescent="0.25">
      <c r="A995" t="s">
        <v>1056</v>
      </c>
      <c r="B995" s="1">
        <v>45736</v>
      </c>
      <c r="C995" s="2">
        <v>45737.097083333334</v>
      </c>
      <c r="D995" t="s">
        <v>24</v>
      </c>
      <c r="E995" t="s">
        <v>45</v>
      </c>
      <c r="F995" t="s">
        <v>100</v>
      </c>
      <c r="G995" t="s">
        <v>51</v>
      </c>
      <c r="H995" t="s">
        <v>54</v>
      </c>
      <c r="I995" t="s">
        <v>20</v>
      </c>
      <c r="J995" t="s">
        <v>21</v>
      </c>
      <c r="K995">
        <v>24</v>
      </c>
      <c r="L995">
        <v>26.33</v>
      </c>
      <c r="M995">
        <v>3.5</v>
      </c>
      <c r="N995" t="s">
        <v>61</v>
      </c>
      <c r="O995" t="str">
        <f t="shared" si="15"/>
        <v>Yes</v>
      </c>
    </row>
    <row r="996" spans="1:15" x14ac:dyDescent="0.25">
      <c r="A996" t="s">
        <v>1057</v>
      </c>
      <c r="B996" s="1">
        <v>45753</v>
      </c>
      <c r="C996" s="2">
        <v>45753.504583333335</v>
      </c>
      <c r="D996" t="s">
        <v>15</v>
      </c>
      <c r="E996" t="s">
        <v>16</v>
      </c>
      <c r="F996" t="s">
        <v>43</v>
      </c>
      <c r="G996" t="s">
        <v>41</v>
      </c>
      <c r="H996" t="s">
        <v>19</v>
      </c>
      <c r="I996" t="s">
        <v>36</v>
      </c>
      <c r="J996" t="s">
        <v>46</v>
      </c>
      <c r="K996">
        <v>48</v>
      </c>
      <c r="L996">
        <v>12.11</v>
      </c>
      <c r="M996">
        <v>4.7</v>
      </c>
      <c r="N996" t="s">
        <v>22</v>
      </c>
      <c r="O996" t="str">
        <f t="shared" si="15"/>
        <v>No</v>
      </c>
    </row>
    <row r="997" spans="1:15" x14ac:dyDescent="0.25">
      <c r="A997" t="s">
        <v>1058</v>
      </c>
      <c r="B997" s="1">
        <v>45771</v>
      </c>
      <c r="C997" s="2">
        <v>45771.101666666669</v>
      </c>
      <c r="D997" t="s">
        <v>38</v>
      </c>
      <c r="E997" t="s">
        <v>16</v>
      </c>
      <c r="F997" t="s">
        <v>60</v>
      </c>
      <c r="G997" t="s">
        <v>18</v>
      </c>
      <c r="H997" t="s">
        <v>54</v>
      </c>
      <c r="I997" t="s">
        <v>45</v>
      </c>
      <c r="J997" t="s">
        <v>21</v>
      </c>
      <c r="K997">
        <v>8</v>
      </c>
      <c r="L997">
        <v>2.44</v>
      </c>
      <c r="M997">
        <v>3.5</v>
      </c>
      <c r="N997" t="s">
        <v>22</v>
      </c>
      <c r="O997" t="str">
        <f t="shared" si="15"/>
        <v>No</v>
      </c>
    </row>
    <row r="998" spans="1:15" x14ac:dyDescent="0.25">
      <c r="A998" t="s">
        <v>1059</v>
      </c>
      <c r="B998" s="1">
        <v>45753</v>
      </c>
      <c r="C998" s="2">
        <v>45754.532916666663</v>
      </c>
      <c r="D998" t="s">
        <v>24</v>
      </c>
      <c r="E998" t="s">
        <v>32</v>
      </c>
      <c r="F998" t="s">
        <v>33</v>
      </c>
      <c r="G998" t="s">
        <v>56</v>
      </c>
      <c r="H998" t="s">
        <v>65</v>
      </c>
      <c r="I998" t="s">
        <v>28</v>
      </c>
      <c r="J998" t="s">
        <v>21</v>
      </c>
      <c r="K998">
        <v>24</v>
      </c>
      <c r="L998">
        <v>36.79</v>
      </c>
      <c r="M998">
        <v>2.5</v>
      </c>
      <c r="N998" t="s">
        <v>22</v>
      </c>
      <c r="O998" t="str">
        <f t="shared" si="15"/>
        <v>Yes</v>
      </c>
    </row>
    <row r="999" spans="1:15" x14ac:dyDescent="0.25">
      <c r="A999" t="s">
        <v>1060</v>
      </c>
      <c r="B999" s="1">
        <v>45723</v>
      </c>
      <c r="C999" s="2">
        <v>45723.13</v>
      </c>
      <c r="D999" t="s">
        <v>38</v>
      </c>
      <c r="E999" t="s">
        <v>45</v>
      </c>
      <c r="F999" t="s">
        <v>100</v>
      </c>
      <c r="G999" t="s">
        <v>18</v>
      </c>
      <c r="H999" t="s">
        <v>19</v>
      </c>
      <c r="I999" t="s">
        <v>20</v>
      </c>
      <c r="J999" t="s">
        <v>85</v>
      </c>
      <c r="K999">
        <v>8</v>
      </c>
      <c r="L999">
        <v>3.12</v>
      </c>
      <c r="M999">
        <v>5</v>
      </c>
      <c r="N999" t="s">
        <v>22</v>
      </c>
      <c r="O999" t="str">
        <f t="shared" si="15"/>
        <v>No</v>
      </c>
    </row>
    <row r="1000" spans="1:15" x14ac:dyDescent="0.25">
      <c r="A1000" t="s">
        <v>1061</v>
      </c>
      <c r="B1000" s="1">
        <v>45832</v>
      </c>
      <c r="C1000" s="2">
        <v>45832.335833333331</v>
      </c>
      <c r="D1000" t="s">
        <v>24</v>
      </c>
      <c r="E1000" t="s">
        <v>16</v>
      </c>
      <c r="F1000" t="s">
        <v>58</v>
      </c>
      <c r="G1000" t="s">
        <v>51</v>
      </c>
      <c r="H1000" t="s">
        <v>27</v>
      </c>
      <c r="I1000" t="s">
        <v>20</v>
      </c>
      <c r="J1000" t="s">
        <v>21</v>
      </c>
      <c r="K1000">
        <v>24</v>
      </c>
      <c r="L1000">
        <v>8.06</v>
      </c>
      <c r="M1000">
        <v>4.7</v>
      </c>
      <c r="N1000" t="s">
        <v>22</v>
      </c>
      <c r="O1000" t="str">
        <f t="shared" si="15"/>
        <v>No</v>
      </c>
    </row>
    <row r="1001" spans="1:15" x14ac:dyDescent="0.25">
      <c r="A1001" t="s">
        <v>1062</v>
      </c>
      <c r="B1001" s="1">
        <v>45750</v>
      </c>
      <c r="C1001" s="2">
        <v>45750.115416666667</v>
      </c>
      <c r="D1001" t="s">
        <v>38</v>
      </c>
      <c r="E1001" t="s">
        <v>32</v>
      </c>
      <c r="F1001" t="s">
        <v>64</v>
      </c>
      <c r="G1001" t="s">
        <v>41</v>
      </c>
      <c r="H1001" t="s">
        <v>65</v>
      </c>
      <c r="I1001" t="s">
        <v>36</v>
      </c>
      <c r="J1001" t="s">
        <v>21</v>
      </c>
      <c r="K1001">
        <v>8</v>
      </c>
      <c r="L1001">
        <v>2.77</v>
      </c>
      <c r="M1001">
        <v>5</v>
      </c>
      <c r="N1001" t="s">
        <v>22</v>
      </c>
      <c r="O1001" t="str">
        <f t="shared" si="15"/>
        <v>No</v>
      </c>
    </row>
    <row r="1002" spans="1:15" x14ac:dyDescent="0.25">
      <c r="A1002" t="s">
        <v>1063</v>
      </c>
      <c r="B1002" s="1">
        <v>45804</v>
      </c>
      <c r="C1002" s="2">
        <v>45804.590416666666</v>
      </c>
      <c r="D1002" t="s">
        <v>24</v>
      </c>
      <c r="E1002" t="s">
        <v>32</v>
      </c>
      <c r="F1002" t="s">
        <v>80</v>
      </c>
      <c r="G1002" t="s">
        <v>34</v>
      </c>
      <c r="H1002" t="s">
        <v>54</v>
      </c>
      <c r="I1002" t="s">
        <v>36</v>
      </c>
      <c r="J1002" t="s">
        <v>46</v>
      </c>
      <c r="K1002">
        <v>24</v>
      </c>
      <c r="L1002">
        <v>14.17</v>
      </c>
      <c r="M1002">
        <v>5</v>
      </c>
      <c r="N1002" t="s">
        <v>22</v>
      </c>
      <c r="O1002" t="str">
        <f t="shared" si="15"/>
        <v>No</v>
      </c>
    </row>
    <row r="1003" spans="1:15" x14ac:dyDescent="0.25">
      <c r="A1003" t="s">
        <v>1064</v>
      </c>
      <c r="B1003" s="1">
        <v>45791</v>
      </c>
      <c r="C1003" s="2">
        <v>45791.510833333334</v>
      </c>
      <c r="D1003" t="s">
        <v>24</v>
      </c>
      <c r="E1003" t="s">
        <v>25</v>
      </c>
      <c r="F1003" t="s">
        <v>70</v>
      </c>
      <c r="G1003" t="s">
        <v>56</v>
      </c>
      <c r="H1003" t="s">
        <v>44</v>
      </c>
      <c r="I1003" t="s">
        <v>20</v>
      </c>
      <c r="J1003" t="s">
        <v>21</v>
      </c>
      <c r="K1003">
        <v>24</v>
      </c>
      <c r="L1003">
        <v>12.26</v>
      </c>
      <c r="M1003">
        <v>4.2</v>
      </c>
      <c r="N1003" t="s">
        <v>22</v>
      </c>
      <c r="O1003" t="str">
        <f t="shared" si="15"/>
        <v>No</v>
      </c>
    </row>
    <row r="1004" spans="1:15" x14ac:dyDescent="0.25">
      <c r="A1004" t="s">
        <v>1065</v>
      </c>
      <c r="B1004" s="1">
        <v>45759</v>
      </c>
      <c r="C1004" s="2">
        <v>45759.633333333331</v>
      </c>
      <c r="D1004" t="s">
        <v>15</v>
      </c>
      <c r="E1004" t="s">
        <v>32</v>
      </c>
      <c r="F1004" t="s">
        <v>80</v>
      </c>
      <c r="G1004" t="s">
        <v>18</v>
      </c>
      <c r="H1004" t="s">
        <v>27</v>
      </c>
      <c r="I1004" t="s">
        <v>20</v>
      </c>
      <c r="J1004" t="s">
        <v>21</v>
      </c>
      <c r="K1004">
        <v>48</v>
      </c>
      <c r="L1004">
        <v>15.2</v>
      </c>
      <c r="M1004">
        <v>4.4000000000000004</v>
      </c>
      <c r="N1004" t="s">
        <v>22</v>
      </c>
      <c r="O1004" t="str">
        <f t="shared" si="15"/>
        <v>No</v>
      </c>
    </row>
    <row r="1005" spans="1:15" x14ac:dyDescent="0.25">
      <c r="A1005" t="s">
        <v>1066</v>
      </c>
      <c r="B1005" s="1">
        <v>45818</v>
      </c>
      <c r="C1005" s="2">
        <v>45818.407500000001</v>
      </c>
      <c r="D1005" t="s">
        <v>24</v>
      </c>
      <c r="E1005" t="s">
        <v>16</v>
      </c>
      <c r="F1005" t="s">
        <v>58</v>
      </c>
      <c r="G1005" t="s">
        <v>34</v>
      </c>
      <c r="H1005" t="s">
        <v>35</v>
      </c>
      <c r="I1005" t="s">
        <v>20</v>
      </c>
      <c r="J1005" t="s">
        <v>21</v>
      </c>
      <c r="K1005">
        <v>24</v>
      </c>
      <c r="L1005">
        <v>9.7799999999999994</v>
      </c>
      <c r="M1005">
        <v>5</v>
      </c>
      <c r="N1005" t="s">
        <v>61</v>
      </c>
      <c r="O1005" t="str">
        <f t="shared" si="15"/>
        <v>No</v>
      </c>
    </row>
    <row r="1006" spans="1:15" x14ac:dyDescent="0.25">
      <c r="A1006" t="s">
        <v>1067</v>
      </c>
      <c r="B1006" s="1">
        <v>45681</v>
      </c>
      <c r="C1006" s="2">
        <v>45681.950833333336</v>
      </c>
      <c r="D1006" t="s">
        <v>24</v>
      </c>
      <c r="E1006" t="s">
        <v>16</v>
      </c>
      <c r="F1006" t="s">
        <v>17</v>
      </c>
      <c r="G1006" t="s">
        <v>56</v>
      </c>
      <c r="H1006" t="s">
        <v>54</v>
      </c>
      <c r="I1006" t="s">
        <v>20</v>
      </c>
      <c r="J1006" t="s">
        <v>21</v>
      </c>
      <c r="K1006">
        <v>24</v>
      </c>
      <c r="L1006">
        <v>22.82</v>
      </c>
      <c r="M1006">
        <v>4.4000000000000004</v>
      </c>
      <c r="N1006" t="s">
        <v>22</v>
      </c>
      <c r="O1006" t="str">
        <f t="shared" si="15"/>
        <v>No</v>
      </c>
    </row>
    <row r="1007" spans="1:15" x14ac:dyDescent="0.25">
      <c r="A1007" t="s">
        <v>1068</v>
      </c>
      <c r="B1007" s="1">
        <v>45824</v>
      </c>
      <c r="C1007" s="2">
        <v>45824.647083333337</v>
      </c>
      <c r="D1007" t="s">
        <v>24</v>
      </c>
      <c r="E1007" t="s">
        <v>32</v>
      </c>
      <c r="F1007" t="s">
        <v>75</v>
      </c>
      <c r="G1007" t="s">
        <v>56</v>
      </c>
      <c r="H1007" t="s">
        <v>19</v>
      </c>
      <c r="I1007" t="s">
        <v>36</v>
      </c>
      <c r="J1007" t="s">
        <v>21</v>
      </c>
      <c r="K1007">
        <v>24</v>
      </c>
      <c r="L1007">
        <v>15.53</v>
      </c>
      <c r="M1007">
        <v>4.9000000000000004</v>
      </c>
      <c r="N1007" t="s">
        <v>22</v>
      </c>
      <c r="O1007" t="str">
        <f t="shared" si="15"/>
        <v>No</v>
      </c>
    </row>
    <row r="1008" spans="1:15" x14ac:dyDescent="0.25">
      <c r="A1008" t="s">
        <v>1069</v>
      </c>
      <c r="B1008" s="1">
        <v>45811</v>
      </c>
      <c r="C1008" s="2">
        <v>45812.291250000002</v>
      </c>
      <c r="D1008" t="s">
        <v>24</v>
      </c>
      <c r="E1008" t="s">
        <v>16</v>
      </c>
      <c r="F1008" t="s">
        <v>60</v>
      </c>
      <c r="G1008" t="s">
        <v>41</v>
      </c>
      <c r="H1008" t="s">
        <v>35</v>
      </c>
      <c r="I1008" t="s">
        <v>36</v>
      </c>
      <c r="J1008" t="s">
        <v>46</v>
      </c>
      <c r="K1008">
        <v>24</v>
      </c>
      <c r="L1008">
        <v>30.99</v>
      </c>
      <c r="M1008">
        <v>3.4</v>
      </c>
      <c r="N1008" t="s">
        <v>22</v>
      </c>
      <c r="O1008" t="str">
        <f t="shared" si="15"/>
        <v>Yes</v>
      </c>
    </row>
    <row r="1009" spans="1:15" x14ac:dyDescent="0.25">
      <c r="A1009" t="s">
        <v>1070</v>
      </c>
      <c r="B1009" s="1">
        <v>45749</v>
      </c>
      <c r="C1009" s="2">
        <v>45749.146666666667</v>
      </c>
      <c r="D1009" t="s">
        <v>38</v>
      </c>
      <c r="E1009" t="s">
        <v>32</v>
      </c>
      <c r="F1009" t="s">
        <v>33</v>
      </c>
      <c r="G1009" t="s">
        <v>34</v>
      </c>
      <c r="H1009" t="s">
        <v>27</v>
      </c>
      <c r="I1009" t="s">
        <v>28</v>
      </c>
      <c r="J1009" t="s">
        <v>21</v>
      </c>
      <c r="K1009">
        <v>8</v>
      </c>
      <c r="L1009">
        <v>3.52</v>
      </c>
      <c r="M1009">
        <v>4.5999999999999996</v>
      </c>
      <c r="N1009" t="s">
        <v>22</v>
      </c>
      <c r="O1009" t="str">
        <f t="shared" si="15"/>
        <v>No</v>
      </c>
    </row>
    <row r="1010" spans="1:15" x14ac:dyDescent="0.25">
      <c r="A1010" t="s">
        <v>1071</v>
      </c>
      <c r="B1010" s="1">
        <v>45790</v>
      </c>
      <c r="C1010" s="2">
        <v>45790.948333333334</v>
      </c>
      <c r="D1010" t="s">
        <v>24</v>
      </c>
      <c r="E1010" t="s">
        <v>45</v>
      </c>
      <c r="F1010" t="s">
        <v>100</v>
      </c>
      <c r="G1010" t="s">
        <v>34</v>
      </c>
      <c r="H1010" t="s">
        <v>35</v>
      </c>
      <c r="I1010" t="s">
        <v>45</v>
      </c>
      <c r="J1010" t="s">
        <v>21</v>
      </c>
      <c r="K1010">
        <v>24</v>
      </c>
      <c r="L1010">
        <v>22.76</v>
      </c>
      <c r="M1010">
        <v>3.7</v>
      </c>
      <c r="N1010" t="s">
        <v>22</v>
      </c>
      <c r="O1010" t="str">
        <f t="shared" si="15"/>
        <v>No</v>
      </c>
    </row>
    <row r="1011" spans="1:15" x14ac:dyDescent="0.25">
      <c r="A1011" t="s">
        <v>1072</v>
      </c>
      <c r="B1011" s="1">
        <v>45752</v>
      </c>
      <c r="C1011" s="2">
        <v>45753.942083333335</v>
      </c>
      <c r="D1011" t="s">
        <v>15</v>
      </c>
      <c r="E1011" t="s">
        <v>25</v>
      </c>
      <c r="F1011" t="s">
        <v>70</v>
      </c>
      <c r="G1011" t="s">
        <v>41</v>
      </c>
      <c r="H1011" t="s">
        <v>19</v>
      </c>
      <c r="I1011" t="s">
        <v>20</v>
      </c>
      <c r="J1011" t="s">
        <v>85</v>
      </c>
      <c r="K1011">
        <v>48</v>
      </c>
      <c r="L1011">
        <v>46.61</v>
      </c>
      <c r="M1011">
        <v>3.8</v>
      </c>
      <c r="N1011" t="s">
        <v>22</v>
      </c>
      <c r="O1011" t="str">
        <f t="shared" si="15"/>
        <v>No</v>
      </c>
    </row>
    <row r="1012" spans="1:15" x14ac:dyDescent="0.25">
      <c r="A1012" t="s">
        <v>1073</v>
      </c>
      <c r="B1012" s="1">
        <v>45706</v>
      </c>
      <c r="C1012" s="2">
        <v>45706.05</v>
      </c>
      <c r="D1012" t="s">
        <v>31</v>
      </c>
      <c r="E1012" t="s">
        <v>39</v>
      </c>
      <c r="F1012" t="s">
        <v>78</v>
      </c>
      <c r="G1012" t="s">
        <v>34</v>
      </c>
      <c r="H1012" t="s">
        <v>54</v>
      </c>
      <c r="I1012" t="s">
        <v>45</v>
      </c>
      <c r="J1012" t="s">
        <v>46</v>
      </c>
      <c r="K1012">
        <v>4</v>
      </c>
      <c r="L1012">
        <v>1.2</v>
      </c>
      <c r="M1012">
        <v>4.2</v>
      </c>
      <c r="N1012" t="s">
        <v>22</v>
      </c>
      <c r="O1012" t="str">
        <f t="shared" si="15"/>
        <v>No</v>
      </c>
    </row>
    <row r="1013" spans="1:15" x14ac:dyDescent="0.25">
      <c r="A1013" t="s">
        <v>1074</v>
      </c>
      <c r="B1013" s="1">
        <v>45802</v>
      </c>
      <c r="C1013" s="2">
        <v>45802.708749999998</v>
      </c>
      <c r="D1013" t="s">
        <v>24</v>
      </c>
      <c r="E1013" t="s">
        <v>16</v>
      </c>
      <c r="F1013" t="s">
        <v>58</v>
      </c>
      <c r="G1013" t="s">
        <v>51</v>
      </c>
      <c r="H1013" t="s">
        <v>35</v>
      </c>
      <c r="I1013" t="s">
        <v>28</v>
      </c>
      <c r="J1013" t="s">
        <v>21</v>
      </c>
      <c r="K1013">
        <v>24</v>
      </c>
      <c r="L1013">
        <v>17.010000000000002</v>
      </c>
      <c r="M1013">
        <v>4.0999999999999996</v>
      </c>
      <c r="N1013" t="s">
        <v>22</v>
      </c>
      <c r="O1013" t="str">
        <f t="shared" si="15"/>
        <v>No</v>
      </c>
    </row>
    <row r="1014" spans="1:15" x14ac:dyDescent="0.25">
      <c r="A1014" t="s">
        <v>1075</v>
      </c>
      <c r="B1014" s="1">
        <v>45702</v>
      </c>
      <c r="C1014" s="2">
        <v>45702.093333333331</v>
      </c>
      <c r="D1014" t="s">
        <v>31</v>
      </c>
      <c r="E1014" t="s">
        <v>16</v>
      </c>
      <c r="F1014" t="s">
        <v>60</v>
      </c>
      <c r="G1014" t="s">
        <v>56</v>
      </c>
      <c r="H1014" t="s">
        <v>54</v>
      </c>
      <c r="I1014" t="s">
        <v>20</v>
      </c>
      <c r="J1014" t="s">
        <v>85</v>
      </c>
      <c r="K1014">
        <v>4</v>
      </c>
      <c r="L1014">
        <v>2.2400000000000002</v>
      </c>
      <c r="M1014">
        <v>4.2</v>
      </c>
      <c r="N1014" t="s">
        <v>22</v>
      </c>
      <c r="O1014" t="str">
        <f t="shared" si="15"/>
        <v>No</v>
      </c>
    </row>
    <row r="1015" spans="1:15" x14ac:dyDescent="0.25">
      <c r="A1015" t="s">
        <v>1076</v>
      </c>
      <c r="B1015" s="1">
        <v>45714</v>
      </c>
      <c r="C1015" s="2">
        <v>45714.020833333336</v>
      </c>
      <c r="D1015" t="s">
        <v>31</v>
      </c>
      <c r="E1015" t="s">
        <v>45</v>
      </c>
      <c r="F1015" t="s">
        <v>104</v>
      </c>
      <c r="G1015" t="s">
        <v>34</v>
      </c>
      <c r="H1015" t="s">
        <v>19</v>
      </c>
      <c r="I1015" t="s">
        <v>36</v>
      </c>
      <c r="J1015" t="s">
        <v>21</v>
      </c>
      <c r="K1015">
        <v>4</v>
      </c>
      <c r="L1015">
        <v>0.5</v>
      </c>
      <c r="M1015">
        <v>4.5999999999999996</v>
      </c>
      <c r="N1015" t="s">
        <v>22</v>
      </c>
      <c r="O1015" t="str">
        <f t="shared" si="15"/>
        <v>No</v>
      </c>
    </row>
    <row r="1016" spans="1:15" x14ac:dyDescent="0.25">
      <c r="A1016" t="s">
        <v>1077</v>
      </c>
      <c r="B1016" s="1">
        <v>45751</v>
      </c>
      <c r="C1016" s="2">
        <v>45751.05</v>
      </c>
      <c r="D1016" t="s">
        <v>38</v>
      </c>
      <c r="E1016" t="s">
        <v>39</v>
      </c>
      <c r="F1016" t="s">
        <v>40</v>
      </c>
      <c r="G1016" t="s">
        <v>56</v>
      </c>
      <c r="H1016" t="s">
        <v>65</v>
      </c>
      <c r="I1016" t="s">
        <v>20</v>
      </c>
      <c r="J1016" t="s">
        <v>21</v>
      </c>
      <c r="K1016">
        <v>8</v>
      </c>
      <c r="L1016">
        <v>1.2</v>
      </c>
      <c r="M1016">
        <v>5</v>
      </c>
      <c r="N1016" t="s">
        <v>22</v>
      </c>
      <c r="O1016" t="str">
        <f t="shared" si="15"/>
        <v>No</v>
      </c>
    </row>
    <row r="1017" spans="1:15" x14ac:dyDescent="0.25">
      <c r="A1017" t="s">
        <v>1078</v>
      </c>
      <c r="B1017" s="1">
        <v>45809</v>
      </c>
      <c r="C1017" s="2">
        <v>45809.20208333333</v>
      </c>
      <c r="D1017" t="s">
        <v>38</v>
      </c>
      <c r="E1017" t="s">
        <v>16</v>
      </c>
      <c r="F1017" t="s">
        <v>60</v>
      </c>
      <c r="G1017" t="s">
        <v>51</v>
      </c>
      <c r="H1017" t="s">
        <v>27</v>
      </c>
      <c r="I1017" t="s">
        <v>36</v>
      </c>
      <c r="J1017" t="s">
        <v>29</v>
      </c>
      <c r="K1017">
        <v>8</v>
      </c>
      <c r="L1017">
        <v>4.8499999999999996</v>
      </c>
      <c r="M1017">
        <v>3.4</v>
      </c>
      <c r="N1017" t="s">
        <v>22</v>
      </c>
      <c r="O1017" t="str">
        <f t="shared" si="15"/>
        <v>No</v>
      </c>
    </row>
    <row r="1018" spans="1:15" x14ac:dyDescent="0.25">
      <c r="A1018" t="s">
        <v>1079</v>
      </c>
      <c r="B1018" s="1">
        <v>45727</v>
      </c>
      <c r="C1018" s="2">
        <v>45727.110833333332</v>
      </c>
      <c r="D1018" t="s">
        <v>24</v>
      </c>
      <c r="E1018" t="s">
        <v>45</v>
      </c>
      <c r="F1018" t="s">
        <v>50</v>
      </c>
      <c r="G1018" t="s">
        <v>41</v>
      </c>
      <c r="H1018" t="s">
        <v>65</v>
      </c>
      <c r="I1018" t="s">
        <v>36</v>
      </c>
      <c r="J1018" t="s">
        <v>21</v>
      </c>
      <c r="K1018">
        <v>24</v>
      </c>
      <c r="L1018">
        <v>2.66</v>
      </c>
      <c r="M1018">
        <v>5</v>
      </c>
      <c r="N1018" t="s">
        <v>22</v>
      </c>
      <c r="O1018" t="str">
        <f t="shared" si="15"/>
        <v>No</v>
      </c>
    </row>
    <row r="1019" spans="1:15" x14ac:dyDescent="0.25">
      <c r="A1019" t="s">
        <v>1080</v>
      </c>
      <c r="B1019" s="1">
        <v>45747</v>
      </c>
      <c r="C1019" s="2">
        <v>45747.171666666669</v>
      </c>
      <c r="D1019" t="s">
        <v>15</v>
      </c>
      <c r="E1019" t="s">
        <v>32</v>
      </c>
      <c r="F1019" t="s">
        <v>75</v>
      </c>
      <c r="G1019" t="s">
        <v>41</v>
      </c>
      <c r="H1019" t="s">
        <v>44</v>
      </c>
      <c r="I1019" t="s">
        <v>20</v>
      </c>
      <c r="J1019" t="s">
        <v>21</v>
      </c>
      <c r="K1019">
        <v>48</v>
      </c>
      <c r="L1019">
        <v>4.12</v>
      </c>
      <c r="M1019">
        <v>4.3</v>
      </c>
      <c r="N1019" t="s">
        <v>22</v>
      </c>
      <c r="O1019" t="str">
        <f t="shared" si="15"/>
        <v>No</v>
      </c>
    </row>
    <row r="1020" spans="1:15" x14ac:dyDescent="0.25">
      <c r="A1020" t="s">
        <v>1081</v>
      </c>
      <c r="B1020" s="1">
        <v>45665</v>
      </c>
      <c r="C1020" s="2">
        <v>45665.550416666665</v>
      </c>
      <c r="D1020" t="s">
        <v>24</v>
      </c>
      <c r="E1020" t="s">
        <v>16</v>
      </c>
      <c r="F1020" t="s">
        <v>58</v>
      </c>
      <c r="G1020" t="s">
        <v>56</v>
      </c>
      <c r="H1020" t="s">
        <v>54</v>
      </c>
      <c r="I1020" t="s">
        <v>36</v>
      </c>
      <c r="J1020" t="s">
        <v>46</v>
      </c>
      <c r="K1020">
        <v>24</v>
      </c>
      <c r="L1020">
        <v>13.21</v>
      </c>
      <c r="M1020">
        <v>3.8</v>
      </c>
      <c r="N1020" t="s">
        <v>22</v>
      </c>
      <c r="O1020" t="str">
        <f t="shared" si="15"/>
        <v>No</v>
      </c>
    </row>
    <row r="1021" spans="1:15" x14ac:dyDescent="0.25">
      <c r="A1021" t="s">
        <v>1082</v>
      </c>
      <c r="B1021" s="1">
        <v>45678</v>
      </c>
      <c r="C1021" s="2">
        <v>45678.020833333336</v>
      </c>
      <c r="D1021" t="s">
        <v>38</v>
      </c>
      <c r="E1021" t="s">
        <v>32</v>
      </c>
      <c r="F1021" t="s">
        <v>33</v>
      </c>
      <c r="G1021" t="s">
        <v>18</v>
      </c>
      <c r="H1021" t="s">
        <v>44</v>
      </c>
      <c r="I1021" t="s">
        <v>36</v>
      </c>
      <c r="J1021" t="s">
        <v>21</v>
      </c>
      <c r="K1021">
        <v>8</v>
      </c>
      <c r="L1021">
        <v>0.5</v>
      </c>
      <c r="M1021">
        <v>4.4000000000000004</v>
      </c>
      <c r="N1021" t="s">
        <v>61</v>
      </c>
      <c r="O1021" t="str">
        <f t="shared" si="15"/>
        <v>No</v>
      </c>
    </row>
    <row r="1022" spans="1:15" x14ac:dyDescent="0.25">
      <c r="A1022" t="s">
        <v>1083</v>
      </c>
      <c r="B1022" s="1">
        <v>45668</v>
      </c>
      <c r="C1022" s="2">
        <v>45668.21875</v>
      </c>
      <c r="D1022" t="s">
        <v>24</v>
      </c>
      <c r="E1022" t="s">
        <v>16</v>
      </c>
      <c r="F1022" t="s">
        <v>17</v>
      </c>
      <c r="G1022" t="s">
        <v>34</v>
      </c>
      <c r="H1022" t="s">
        <v>65</v>
      </c>
      <c r="I1022" t="s">
        <v>45</v>
      </c>
      <c r="J1022" t="s">
        <v>21</v>
      </c>
      <c r="K1022">
        <v>24</v>
      </c>
      <c r="L1022">
        <v>5.25</v>
      </c>
      <c r="M1022">
        <v>5</v>
      </c>
      <c r="N1022" t="s">
        <v>22</v>
      </c>
      <c r="O1022" t="str">
        <f t="shared" si="15"/>
        <v>No</v>
      </c>
    </row>
    <row r="1023" spans="1:15" x14ac:dyDescent="0.25">
      <c r="A1023" t="s">
        <v>1084</v>
      </c>
      <c r="B1023" s="1">
        <v>45671</v>
      </c>
      <c r="C1023" s="2">
        <v>45671.182916666665</v>
      </c>
      <c r="D1023" t="s">
        <v>38</v>
      </c>
      <c r="E1023" t="s">
        <v>39</v>
      </c>
      <c r="F1023" t="s">
        <v>87</v>
      </c>
      <c r="G1023" t="s">
        <v>41</v>
      </c>
      <c r="H1023" t="s">
        <v>35</v>
      </c>
      <c r="I1023" t="s">
        <v>28</v>
      </c>
      <c r="J1023" t="s">
        <v>46</v>
      </c>
      <c r="K1023">
        <v>8</v>
      </c>
      <c r="L1023">
        <v>4.3899999999999997</v>
      </c>
      <c r="M1023">
        <v>2.9</v>
      </c>
      <c r="N1023" t="s">
        <v>22</v>
      </c>
      <c r="O1023" t="str">
        <f t="shared" si="15"/>
        <v>No</v>
      </c>
    </row>
    <row r="1024" spans="1:15" x14ac:dyDescent="0.25">
      <c r="A1024" t="s">
        <v>1085</v>
      </c>
      <c r="B1024" s="1">
        <v>45815</v>
      </c>
      <c r="C1024" s="2">
        <v>45815.962500000001</v>
      </c>
      <c r="D1024" t="s">
        <v>15</v>
      </c>
      <c r="E1024" t="s">
        <v>45</v>
      </c>
      <c r="F1024" t="s">
        <v>100</v>
      </c>
      <c r="G1024" t="s">
        <v>51</v>
      </c>
      <c r="H1024" t="s">
        <v>65</v>
      </c>
      <c r="I1024" t="s">
        <v>36</v>
      </c>
      <c r="J1024" t="s">
        <v>21</v>
      </c>
      <c r="K1024">
        <v>48</v>
      </c>
      <c r="L1024">
        <v>23.1</v>
      </c>
      <c r="M1024">
        <v>4.5</v>
      </c>
      <c r="N1024" t="s">
        <v>22</v>
      </c>
      <c r="O1024" t="str">
        <f t="shared" si="15"/>
        <v>No</v>
      </c>
    </row>
    <row r="1025" spans="1:15" x14ac:dyDescent="0.25">
      <c r="A1025" t="s">
        <v>1086</v>
      </c>
      <c r="B1025" s="1">
        <v>45810</v>
      </c>
      <c r="C1025" s="2">
        <v>45810.481249999997</v>
      </c>
      <c r="D1025" t="s">
        <v>24</v>
      </c>
      <c r="E1025" t="s">
        <v>39</v>
      </c>
      <c r="F1025" t="s">
        <v>119</v>
      </c>
      <c r="G1025" t="s">
        <v>51</v>
      </c>
      <c r="H1025" t="s">
        <v>19</v>
      </c>
      <c r="I1025" t="s">
        <v>20</v>
      </c>
      <c r="J1025" t="s">
        <v>21</v>
      </c>
      <c r="K1025">
        <v>24</v>
      </c>
      <c r="L1025">
        <v>11.55</v>
      </c>
      <c r="M1025">
        <v>4.5</v>
      </c>
      <c r="N1025" t="s">
        <v>22</v>
      </c>
      <c r="O1025" t="str">
        <f t="shared" si="15"/>
        <v>No</v>
      </c>
    </row>
    <row r="1026" spans="1:15" x14ac:dyDescent="0.25">
      <c r="A1026" t="s">
        <v>1087</v>
      </c>
      <c r="B1026" s="1">
        <v>45806</v>
      </c>
      <c r="C1026" s="2">
        <v>45806.804583333331</v>
      </c>
      <c r="D1026" t="s">
        <v>24</v>
      </c>
      <c r="E1026" t="s">
        <v>32</v>
      </c>
      <c r="F1026" t="s">
        <v>75</v>
      </c>
      <c r="G1026" t="s">
        <v>34</v>
      </c>
      <c r="H1026" t="s">
        <v>44</v>
      </c>
      <c r="I1026" t="s">
        <v>45</v>
      </c>
      <c r="J1026" t="s">
        <v>21</v>
      </c>
      <c r="K1026">
        <v>24</v>
      </c>
      <c r="L1026">
        <v>19.309999999999999</v>
      </c>
      <c r="M1026">
        <v>3.4</v>
      </c>
      <c r="N1026" t="s">
        <v>22</v>
      </c>
      <c r="O1026" t="str">
        <f t="shared" si="15"/>
        <v>No</v>
      </c>
    </row>
    <row r="1027" spans="1:15" x14ac:dyDescent="0.25">
      <c r="A1027" t="s">
        <v>1088</v>
      </c>
      <c r="B1027" s="1">
        <v>45668</v>
      </c>
      <c r="C1027" s="2">
        <v>45669.044583333336</v>
      </c>
      <c r="D1027" t="s">
        <v>24</v>
      </c>
      <c r="E1027" t="s">
        <v>25</v>
      </c>
      <c r="F1027" t="s">
        <v>53</v>
      </c>
      <c r="G1027" t="s">
        <v>34</v>
      </c>
      <c r="H1027" t="s">
        <v>27</v>
      </c>
      <c r="I1027" t="s">
        <v>36</v>
      </c>
      <c r="J1027" t="s">
        <v>21</v>
      </c>
      <c r="K1027">
        <v>24</v>
      </c>
      <c r="L1027">
        <v>25.07</v>
      </c>
      <c r="M1027">
        <v>3.9</v>
      </c>
      <c r="N1027" t="s">
        <v>61</v>
      </c>
      <c r="O1027" t="str">
        <f t="shared" ref="O1027:O1090" si="16">IF(L1027&gt;K1027,"Yes","No")</f>
        <v>Yes</v>
      </c>
    </row>
    <row r="1028" spans="1:15" x14ac:dyDescent="0.25">
      <c r="A1028" t="s">
        <v>1089</v>
      </c>
      <c r="B1028" s="1">
        <v>45672</v>
      </c>
      <c r="C1028" s="2">
        <v>45674.23541666667</v>
      </c>
      <c r="D1028" t="s">
        <v>15</v>
      </c>
      <c r="E1028" t="s">
        <v>25</v>
      </c>
      <c r="F1028" t="s">
        <v>70</v>
      </c>
      <c r="G1028" t="s">
        <v>34</v>
      </c>
      <c r="H1028" t="s">
        <v>44</v>
      </c>
      <c r="I1028" t="s">
        <v>20</v>
      </c>
      <c r="J1028" t="s">
        <v>21</v>
      </c>
      <c r="K1028">
        <v>48</v>
      </c>
      <c r="L1028">
        <v>53.65</v>
      </c>
      <c r="M1028">
        <v>2.9</v>
      </c>
      <c r="N1028" t="s">
        <v>22</v>
      </c>
      <c r="O1028" t="str">
        <f t="shared" si="16"/>
        <v>Yes</v>
      </c>
    </row>
    <row r="1029" spans="1:15" x14ac:dyDescent="0.25">
      <c r="A1029" t="s">
        <v>1090</v>
      </c>
      <c r="B1029" s="1">
        <v>45708</v>
      </c>
      <c r="C1029" s="2">
        <v>45711.244166666664</v>
      </c>
      <c r="D1029" t="s">
        <v>15</v>
      </c>
      <c r="E1029" t="s">
        <v>16</v>
      </c>
      <c r="F1029" t="s">
        <v>60</v>
      </c>
      <c r="G1029" t="s">
        <v>18</v>
      </c>
      <c r="H1029" t="s">
        <v>44</v>
      </c>
      <c r="I1029" t="s">
        <v>45</v>
      </c>
      <c r="J1029" t="s">
        <v>46</v>
      </c>
      <c r="K1029">
        <v>48</v>
      </c>
      <c r="L1029">
        <v>77.86</v>
      </c>
      <c r="M1029">
        <v>3</v>
      </c>
      <c r="N1029" t="s">
        <v>22</v>
      </c>
      <c r="O1029" t="str">
        <f t="shared" si="16"/>
        <v>Yes</v>
      </c>
    </row>
    <row r="1030" spans="1:15" x14ac:dyDescent="0.25">
      <c r="A1030" t="s">
        <v>1091</v>
      </c>
      <c r="B1030" s="1">
        <v>45760</v>
      </c>
      <c r="C1030" s="2">
        <v>45760.020833333336</v>
      </c>
      <c r="D1030" t="s">
        <v>38</v>
      </c>
      <c r="E1030" t="s">
        <v>25</v>
      </c>
      <c r="F1030" t="s">
        <v>53</v>
      </c>
      <c r="G1030" t="s">
        <v>51</v>
      </c>
      <c r="H1030" t="s">
        <v>35</v>
      </c>
      <c r="I1030" t="s">
        <v>20</v>
      </c>
      <c r="J1030" t="s">
        <v>21</v>
      </c>
      <c r="K1030">
        <v>8</v>
      </c>
      <c r="L1030">
        <v>0.5</v>
      </c>
      <c r="M1030">
        <v>4.0999999999999996</v>
      </c>
      <c r="N1030" t="s">
        <v>22</v>
      </c>
      <c r="O1030" t="str">
        <f t="shared" si="16"/>
        <v>No</v>
      </c>
    </row>
    <row r="1031" spans="1:15" x14ac:dyDescent="0.25">
      <c r="A1031" t="s">
        <v>1092</v>
      </c>
      <c r="B1031" s="1">
        <v>45718</v>
      </c>
      <c r="C1031" s="2">
        <v>45718.283750000002</v>
      </c>
      <c r="D1031" t="s">
        <v>24</v>
      </c>
      <c r="E1031" t="s">
        <v>32</v>
      </c>
      <c r="F1031" t="s">
        <v>80</v>
      </c>
      <c r="G1031" t="s">
        <v>41</v>
      </c>
      <c r="H1031" t="s">
        <v>44</v>
      </c>
      <c r="I1031" t="s">
        <v>20</v>
      </c>
      <c r="J1031" t="s">
        <v>46</v>
      </c>
      <c r="K1031">
        <v>24</v>
      </c>
      <c r="L1031">
        <v>6.81</v>
      </c>
      <c r="M1031">
        <v>5</v>
      </c>
      <c r="N1031" t="s">
        <v>61</v>
      </c>
      <c r="O1031" t="str">
        <f t="shared" si="16"/>
        <v>No</v>
      </c>
    </row>
    <row r="1032" spans="1:15" x14ac:dyDescent="0.25">
      <c r="A1032" t="s">
        <v>1093</v>
      </c>
      <c r="B1032" s="1">
        <v>45746</v>
      </c>
      <c r="C1032" s="2">
        <v>45746.411666666667</v>
      </c>
      <c r="D1032" t="s">
        <v>15</v>
      </c>
      <c r="E1032" t="s">
        <v>16</v>
      </c>
      <c r="F1032" t="s">
        <v>17</v>
      </c>
      <c r="G1032" t="s">
        <v>56</v>
      </c>
      <c r="H1032" t="s">
        <v>19</v>
      </c>
      <c r="I1032" t="s">
        <v>28</v>
      </c>
      <c r="J1032" t="s">
        <v>21</v>
      </c>
      <c r="K1032">
        <v>48</v>
      </c>
      <c r="L1032">
        <v>9.8800000000000008</v>
      </c>
      <c r="M1032">
        <v>5</v>
      </c>
      <c r="N1032" t="s">
        <v>22</v>
      </c>
      <c r="O1032" t="str">
        <f t="shared" si="16"/>
        <v>No</v>
      </c>
    </row>
    <row r="1033" spans="1:15" x14ac:dyDescent="0.25">
      <c r="A1033" t="s">
        <v>1094</v>
      </c>
      <c r="B1033" s="1">
        <v>45689</v>
      </c>
      <c r="C1033" s="2">
        <v>45692.311666666668</v>
      </c>
      <c r="D1033" t="s">
        <v>15</v>
      </c>
      <c r="E1033" t="s">
        <v>32</v>
      </c>
      <c r="F1033" t="s">
        <v>80</v>
      </c>
      <c r="G1033" t="s">
        <v>18</v>
      </c>
      <c r="H1033" t="s">
        <v>54</v>
      </c>
      <c r="I1033" t="s">
        <v>20</v>
      </c>
      <c r="J1033" t="s">
        <v>21</v>
      </c>
      <c r="K1033">
        <v>48</v>
      </c>
      <c r="L1033">
        <v>79.48</v>
      </c>
      <c r="M1033">
        <v>3.2</v>
      </c>
      <c r="N1033" t="s">
        <v>22</v>
      </c>
      <c r="O1033" t="str">
        <f t="shared" si="16"/>
        <v>Yes</v>
      </c>
    </row>
    <row r="1034" spans="1:15" x14ac:dyDescent="0.25">
      <c r="A1034" t="s">
        <v>1095</v>
      </c>
      <c r="B1034" s="1">
        <v>45790</v>
      </c>
      <c r="C1034" s="2">
        <v>45790.557500000003</v>
      </c>
      <c r="D1034" t="s">
        <v>24</v>
      </c>
      <c r="E1034" t="s">
        <v>32</v>
      </c>
      <c r="F1034" t="s">
        <v>75</v>
      </c>
      <c r="G1034" t="s">
        <v>18</v>
      </c>
      <c r="H1034" t="s">
        <v>27</v>
      </c>
      <c r="I1034" t="s">
        <v>36</v>
      </c>
      <c r="J1034" t="s">
        <v>85</v>
      </c>
      <c r="K1034">
        <v>24</v>
      </c>
      <c r="L1034">
        <v>13.38</v>
      </c>
      <c r="M1034">
        <v>3.7</v>
      </c>
      <c r="N1034" t="s">
        <v>61</v>
      </c>
      <c r="O1034" t="str">
        <f t="shared" si="16"/>
        <v>No</v>
      </c>
    </row>
    <row r="1035" spans="1:15" x14ac:dyDescent="0.25">
      <c r="A1035" t="s">
        <v>1096</v>
      </c>
      <c r="B1035" s="1">
        <v>45714</v>
      </c>
      <c r="C1035" s="2">
        <v>45714.999583333331</v>
      </c>
      <c r="D1035" t="s">
        <v>15</v>
      </c>
      <c r="E1035" t="s">
        <v>45</v>
      </c>
      <c r="F1035" t="s">
        <v>104</v>
      </c>
      <c r="G1035" t="s">
        <v>56</v>
      </c>
      <c r="H1035" t="s">
        <v>19</v>
      </c>
      <c r="I1035" t="s">
        <v>20</v>
      </c>
      <c r="J1035" t="s">
        <v>21</v>
      </c>
      <c r="K1035">
        <v>48</v>
      </c>
      <c r="L1035">
        <v>23.99</v>
      </c>
      <c r="M1035">
        <v>4.2</v>
      </c>
      <c r="N1035" t="s">
        <v>22</v>
      </c>
      <c r="O1035" t="str">
        <f t="shared" si="16"/>
        <v>No</v>
      </c>
    </row>
    <row r="1036" spans="1:15" x14ac:dyDescent="0.25">
      <c r="A1036" t="s">
        <v>1097</v>
      </c>
      <c r="B1036" s="1">
        <v>45670</v>
      </c>
      <c r="C1036" s="2">
        <v>45670.372083333335</v>
      </c>
      <c r="D1036" t="s">
        <v>24</v>
      </c>
      <c r="E1036" t="s">
        <v>25</v>
      </c>
      <c r="F1036" t="s">
        <v>26</v>
      </c>
      <c r="G1036" t="s">
        <v>41</v>
      </c>
      <c r="H1036" t="s">
        <v>27</v>
      </c>
      <c r="I1036" t="s">
        <v>45</v>
      </c>
      <c r="J1036" t="s">
        <v>21</v>
      </c>
      <c r="K1036">
        <v>24</v>
      </c>
      <c r="L1036">
        <v>8.93</v>
      </c>
      <c r="M1036">
        <v>4.4000000000000004</v>
      </c>
      <c r="N1036" t="s">
        <v>22</v>
      </c>
      <c r="O1036" t="str">
        <f t="shared" si="16"/>
        <v>No</v>
      </c>
    </row>
    <row r="1037" spans="1:15" x14ac:dyDescent="0.25">
      <c r="A1037" t="s">
        <v>1098</v>
      </c>
      <c r="B1037" s="1">
        <v>45792</v>
      </c>
      <c r="C1037" s="2">
        <v>45792.118750000001</v>
      </c>
      <c r="D1037" t="s">
        <v>38</v>
      </c>
      <c r="E1037" t="s">
        <v>32</v>
      </c>
      <c r="F1037" t="s">
        <v>33</v>
      </c>
      <c r="G1037" t="s">
        <v>56</v>
      </c>
      <c r="H1037" t="s">
        <v>27</v>
      </c>
      <c r="I1037" t="s">
        <v>36</v>
      </c>
      <c r="J1037" t="s">
        <v>85</v>
      </c>
      <c r="K1037">
        <v>8</v>
      </c>
      <c r="L1037">
        <v>2.85</v>
      </c>
      <c r="M1037">
        <v>4.7</v>
      </c>
      <c r="N1037" t="s">
        <v>61</v>
      </c>
      <c r="O1037" t="str">
        <f t="shared" si="16"/>
        <v>No</v>
      </c>
    </row>
    <row r="1038" spans="1:15" x14ac:dyDescent="0.25">
      <c r="A1038" t="s">
        <v>1099</v>
      </c>
      <c r="B1038" s="1">
        <v>45821</v>
      </c>
      <c r="C1038" s="2">
        <v>45821.708749999998</v>
      </c>
      <c r="D1038" t="s">
        <v>15</v>
      </c>
      <c r="E1038" t="s">
        <v>32</v>
      </c>
      <c r="F1038" t="s">
        <v>64</v>
      </c>
      <c r="G1038" t="s">
        <v>56</v>
      </c>
      <c r="H1038" t="s">
        <v>27</v>
      </c>
      <c r="I1038" t="s">
        <v>45</v>
      </c>
      <c r="J1038" t="s">
        <v>21</v>
      </c>
      <c r="K1038">
        <v>48</v>
      </c>
      <c r="L1038">
        <v>17.010000000000002</v>
      </c>
      <c r="M1038">
        <v>4.8</v>
      </c>
      <c r="N1038" t="s">
        <v>22</v>
      </c>
      <c r="O1038" t="str">
        <f t="shared" si="16"/>
        <v>No</v>
      </c>
    </row>
    <row r="1039" spans="1:15" x14ac:dyDescent="0.25">
      <c r="A1039" t="s">
        <v>1100</v>
      </c>
      <c r="B1039" s="1">
        <v>45660</v>
      </c>
      <c r="C1039" s="2">
        <v>45660.379583333335</v>
      </c>
      <c r="D1039" t="s">
        <v>24</v>
      </c>
      <c r="E1039" t="s">
        <v>45</v>
      </c>
      <c r="F1039" t="s">
        <v>50</v>
      </c>
      <c r="G1039" t="s">
        <v>18</v>
      </c>
      <c r="H1039" t="s">
        <v>54</v>
      </c>
      <c r="I1039" t="s">
        <v>20</v>
      </c>
      <c r="J1039" t="s">
        <v>21</v>
      </c>
      <c r="K1039">
        <v>24</v>
      </c>
      <c r="L1039">
        <v>9.11</v>
      </c>
      <c r="M1039">
        <v>4.7</v>
      </c>
      <c r="N1039" t="s">
        <v>22</v>
      </c>
      <c r="O1039" t="str">
        <f t="shared" si="16"/>
        <v>No</v>
      </c>
    </row>
    <row r="1040" spans="1:15" x14ac:dyDescent="0.25">
      <c r="A1040" t="s">
        <v>1101</v>
      </c>
      <c r="B1040" s="1">
        <v>45737</v>
      </c>
      <c r="C1040" s="2">
        <v>45737.699583333335</v>
      </c>
      <c r="D1040" t="s">
        <v>15</v>
      </c>
      <c r="E1040" t="s">
        <v>32</v>
      </c>
      <c r="F1040" t="s">
        <v>33</v>
      </c>
      <c r="G1040" t="s">
        <v>56</v>
      </c>
      <c r="H1040" t="s">
        <v>19</v>
      </c>
      <c r="I1040" t="s">
        <v>36</v>
      </c>
      <c r="J1040" t="s">
        <v>21</v>
      </c>
      <c r="K1040">
        <v>48</v>
      </c>
      <c r="L1040">
        <v>16.79</v>
      </c>
      <c r="M1040">
        <v>4.8</v>
      </c>
      <c r="N1040" t="s">
        <v>22</v>
      </c>
      <c r="O1040" t="str">
        <f t="shared" si="16"/>
        <v>No</v>
      </c>
    </row>
    <row r="1041" spans="1:15" x14ac:dyDescent="0.25">
      <c r="A1041" t="s">
        <v>1102</v>
      </c>
      <c r="B1041" s="1">
        <v>45807</v>
      </c>
      <c r="C1041" s="2">
        <v>45808.404999999999</v>
      </c>
      <c r="D1041" t="s">
        <v>24</v>
      </c>
      <c r="E1041" t="s">
        <v>32</v>
      </c>
      <c r="F1041" t="s">
        <v>80</v>
      </c>
      <c r="G1041" t="s">
        <v>51</v>
      </c>
      <c r="H1041" t="s">
        <v>54</v>
      </c>
      <c r="I1041" t="s">
        <v>36</v>
      </c>
      <c r="J1041" t="s">
        <v>46</v>
      </c>
      <c r="K1041">
        <v>24</v>
      </c>
      <c r="L1041">
        <v>33.72</v>
      </c>
      <c r="M1041">
        <v>3.2</v>
      </c>
      <c r="N1041" t="s">
        <v>22</v>
      </c>
      <c r="O1041" t="str">
        <f t="shared" si="16"/>
        <v>Yes</v>
      </c>
    </row>
    <row r="1042" spans="1:15" x14ac:dyDescent="0.25">
      <c r="A1042" t="s">
        <v>1103</v>
      </c>
      <c r="B1042" s="1">
        <v>45785</v>
      </c>
      <c r="C1042" s="2">
        <v>45785.675416666665</v>
      </c>
      <c r="D1042" t="s">
        <v>38</v>
      </c>
      <c r="E1042" t="s">
        <v>32</v>
      </c>
      <c r="F1042" t="s">
        <v>80</v>
      </c>
      <c r="G1042" t="s">
        <v>51</v>
      </c>
      <c r="H1042" t="s">
        <v>65</v>
      </c>
      <c r="I1042" t="s">
        <v>45</v>
      </c>
      <c r="J1042" t="s">
        <v>21</v>
      </c>
      <c r="K1042">
        <v>8</v>
      </c>
      <c r="L1042">
        <v>16.21</v>
      </c>
      <c r="M1042">
        <v>2.8</v>
      </c>
      <c r="N1042" t="s">
        <v>61</v>
      </c>
      <c r="O1042" t="str">
        <f t="shared" si="16"/>
        <v>Yes</v>
      </c>
    </row>
    <row r="1043" spans="1:15" x14ac:dyDescent="0.25">
      <c r="A1043" t="s">
        <v>1104</v>
      </c>
      <c r="B1043" s="1">
        <v>45813</v>
      </c>
      <c r="C1043" s="2">
        <v>45814.947500000002</v>
      </c>
      <c r="D1043" t="s">
        <v>24</v>
      </c>
      <c r="E1043" t="s">
        <v>32</v>
      </c>
      <c r="F1043" t="s">
        <v>75</v>
      </c>
      <c r="G1043" t="s">
        <v>41</v>
      </c>
      <c r="H1043" t="s">
        <v>19</v>
      </c>
      <c r="I1043" t="s">
        <v>36</v>
      </c>
      <c r="J1043" t="s">
        <v>46</v>
      </c>
      <c r="K1043">
        <v>24</v>
      </c>
      <c r="L1043">
        <v>46.74</v>
      </c>
      <c r="M1043">
        <v>2.2000000000000002</v>
      </c>
      <c r="N1043" t="s">
        <v>22</v>
      </c>
      <c r="O1043" t="str">
        <f t="shared" si="16"/>
        <v>Yes</v>
      </c>
    </row>
    <row r="1044" spans="1:15" x14ac:dyDescent="0.25">
      <c r="A1044" t="s">
        <v>1105</v>
      </c>
      <c r="B1044" s="1">
        <v>45733</v>
      </c>
      <c r="C1044" s="2">
        <v>45733.032500000001</v>
      </c>
      <c r="D1044" t="s">
        <v>38</v>
      </c>
      <c r="E1044" t="s">
        <v>39</v>
      </c>
      <c r="F1044" t="s">
        <v>119</v>
      </c>
      <c r="G1044" t="s">
        <v>56</v>
      </c>
      <c r="H1044" t="s">
        <v>54</v>
      </c>
      <c r="I1044" t="s">
        <v>20</v>
      </c>
      <c r="J1044" t="s">
        <v>46</v>
      </c>
      <c r="K1044">
        <v>8</v>
      </c>
      <c r="L1044">
        <v>0.78</v>
      </c>
      <c r="M1044">
        <v>4.2</v>
      </c>
      <c r="N1044" t="s">
        <v>22</v>
      </c>
      <c r="O1044" t="str">
        <f t="shared" si="16"/>
        <v>No</v>
      </c>
    </row>
    <row r="1045" spans="1:15" x14ac:dyDescent="0.25">
      <c r="A1045" t="s">
        <v>1106</v>
      </c>
      <c r="B1045" s="1">
        <v>45725</v>
      </c>
      <c r="C1045" s="2">
        <v>45725.626250000001</v>
      </c>
      <c r="D1045" t="s">
        <v>15</v>
      </c>
      <c r="E1045" t="s">
        <v>45</v>
      </c>
      <c r="F1045" t="s">
        <v>50</v>
      </c>
      <c r="G1045" t="s">
        <v>51</v>
      </c>
      <c r="H1045" t="s">
        <v>35</v>
      </c>
      <c r="I1045" t="s">
        <v>36</v>
      </c>
      <c r="J1045" t="s">
        <v>46</v>
      </c>
      <c r="K1045">
        <v>48</v>
      </c>
      <c r="L1045">
        <v>15.03</v>
      </c>
      <c r="M1045">
        <v>5</v>
      </c>
      <c r="N1045" t="s">
        <v>22</v>
      </c>
      <c r="O1045" t="str">
        <f t="shared" si="16"/>
        <v>No</v>
      </c>
    </row>
    <row r="1046" spans="1:15" x14ac:dyDescent="0.25">
      <c r="A1046" t="s">
        <v>1107</v>
      </c>
      <c r="B1046" s="1">
        <v>45786</v>
      </c>
      <c r="C1046" s="2">
        <v>45786.073333333334</v>
      </c>
      <c r="D1046" t="s">
        <v>24</v>
      </c>
      <c r="E1046" t="s">
        <v>39</v>
      </c>
      <c r="F1046" t="s">
        <v>78</v>
      </c>
      <c r="G1046" t="s">
        <v>51</v>
      </c>
      <c r="H1046" t="s">
        <v>27</v>
      </c>
      <c r="I1046" t="s">
        <v>20</v>
      </c>
      <c r="J1046" t="s">
        <v>21</v>
      </c>
      <c r="K1046">
        <v>24</v>
      </c>
      <c r="L1046">
        <v>1.76</v>
      </c>
      <c r="M1046">
        <v>5</v>
      </c>
      <c r="N1046" t="s">
        <v>22</v>
      </c>
      <c r="O1046" t="str">
        <f t="shared" si="16"/>
        <v>No</v>
      </c>
    </row>
    <row r="1047" spans="1:15" x14ac:dyDescent="0.25">
      <c r="A1047" t="s">
        <v>1108</v>
      </c>
      <c r="B1047" s="1">
        <v>45685</v>
      </c>
      <c r="C1047" s="2">
        <v>45686.993750000001</v>
      </c>
      <c r="D1047" t="s">
        <v>24</v>
      </c>
      <c r="E1047" t="s">
        <v>16</v>
      </c>
      <c r="F1047" t="s">
        <v>58</v>
      </c>
      <c r="G1047" t="s">
        <v>56</v>
      </c>
      <c r="H1047" t="s">
        <v>65</v>
      </c>
      <c r="I1047" t="s">
        <v>20</v>
      </c>
      <c r="J1047" t="s">
        <v>21</v>
      </c>
      <c r="K1047">
        <v>24</v>
      </c>
      <c r="L1047">
        <v>47.85</v>
      </c>
      <c r="M1047">
        <v>3.8</v>
      </c>
      <c r="N1047" t="s">
        <v>22</v>
      </c>
      <c r="O1047" t="str">
        <f t="shared" si="16"/>
        <v>Yes</v>
      </c>
    </row>
    <row r="1048" spans="1:15" x14ac:dyDescent="0.25">
      <c r="A1048" t="s">
        <v>1109</v>
      </c>
      <c r="B1048" s="1">
        <v>45701</v>
      </c>
      <c r="C1048" s="2">
        <v>45701.693333333336</v>
      </c>
      <c r="D1048" t="s">
        <v>24</v>
      </c>
      <c r="E1048" t="s">
        <v>25</v>
      </c>
      <c r="F1048" t="s">
        <v>26</v>
      </c>
      <c r="G1048" t="s">
        <v>41</v>
      </c>
      <c r="H1048" t="s">
        <v>19</v>
      </c>
      <c r="I1048" t="s">
        <v>36</v>
      </c>
      <c r="J1048" t="s">
        <v>46</v>
      </c>
      <c r="K1048">
        <v>24</v>
      </c>
      <c r="L1048">
        <v>16.64</v>
      </c>
      <c r="M1048">
        <v>4</v>
      </c>
      <c r="N1048" t="s">
        <v>22</v>
      </c>
      <c r="O1048" t="str">
        <f t="shared" si="16"/>
        <v>No</v>
      </c>
    </row>
    <row r="1049" spans="1:15" x14ac:dyDescent="0.25">
      <c r="A1049" t="s">
        <v>1110</v>
      </c>
      <c r="B1049" s="1">
        <v>45766</v>
      </c>
      <c r="C1049" s="2">
        <v>45766.154999999999</v>
      </c>
      <c r="D1049" t="s">
        <v>31</v>
      </c>
      <c r="E1049" t="s">
        <v>16</v>
      </c>
      <c r="F1049" t="s">
        <v>43</v>
      </c>
      <c r="G1049" t="s">
        <v>41</v>
      </c>
      <c r="H1049" t="s">
        <v>35</v>
      </c>
      <c r="I1049" t="s">
        <v>45</v>
      </c>
      <c r="J1049" t="s">
        <v>29</v>
      </c>
      <c r="K1049">
        <v>4</v>
      </c>
      <c r="L1049">
        <v>3.72</v>
      </c>
      <c r="M1049">
        <v>5</v>
      </c>
      <c r="N1049" t="s">
        <v>61</v>
      </c>
      <c r="O1049" t="str">
        <f t="shared" si="16"/>
        <v>No</v>
      </c>
    </row>
    <row r="1050" spans="1:15" x14ac:dyDescent="0.25">
      <c r="A1050" t="s">
        <v>1111</v>
      </c>
      <c r="B1050" s="1">
        <v>45778</v>
      </c>
      <c r="C1050" s="2">
        <v>45778.938750000001</v>
      </c>
      <c r="D1050" t="s">
        <v>15</v>
      </c>
      <c r="E1050" t="s">
        <v>25</v>
      </c>
      <c r="F1050" t="s">
        <v>26</v>
      </c>
      <c r="G1050" t="s">
        <v>18</v>
      </c>
      <c r="H1050" t="s">
        <v>65</v>
      </c>
      <c r="I1050" t="s">
        <v>36</v>
      </c>
      <c r="J1050" t="s">
        <v>21</v>
      </c>
      <c r="K1050">
        <v>48</v>
      </c>
      <c r="L1050">
        <v>22.53</v>
      </c>
      <c r="M1050">
        <v>4.5</v>
      </c>
      <c r="N1050" t="s">
        <v>22</v>
      </c>
      <c r="O1050" t="str">
        <f t="shared" si="16"/>
        <v>No</v>
      </c>
    </row>
    <row r="1051" spans="1:15" x14ac:dyDescent="0.25">
      <c r="A1051" t="s">
        <v>1112</v>
      </c>
      <c r="B1051" s="1">
        <v>45679</v>
      </c>
      <c r="C1051" s="2">
        <v>45679.167083333334</v>
      </c>
      <c r="D1051" t="s">
        <v>38</v>
      </c>
      <c r="E1051" t="s">
        <v>16</v>
      </c>
      <c r="F1051" t="s">
        <v>43</v>
      </c>
      <c r="G1051" t="s">
        <v>51</v>
      </c>
      <c r="H1051" t="s">
        <v>19</v>
      </c>
      <c r="I1051" t="s">
        <v>36</v>
      </c>
      <c r="J1051" t="s">
        <v>21</v>
      </c>
      <c r="K1051">
        <v>8</v>
      </c>
      <c r="L1051">
        <v>4.01</v>
      </c>
      <c r="M1051">
        <v>5</v>
      </c>
      <c r="N1051" t="s">
        <v>22</v>
      </c>
      <c r="O1051" t="str">
        <f t="shared" si="16"/>
        <v>No</v>
      </c>
    </row>
    <row r="1052" spans="1:15" x14ac:dyDescent="0.25">
      <c r="A1052" t="s">
        <v>1113</v>
      </c>
      <c r="B1052" s="1">
        <v>45750</v>
      </c>
      <c r="C1052" s="2">
        <v>45750.400000000001</v>
      </c>
      <c r="D1052" t="s">
        <v>38</v>
      </c>
      <c r="E1052" t="s">
        <v>16</v>
      </c>
      <c r="F1052" t="s">
        <v>58</v>
      </c>
      <c r="G1052" t="s">
        <v>51</v>
      </c>
      <c r="H1052" t="s">
        <v>44</v>
      </c>
      <c r="I1052" t="s">
        <v>45</v>
      </c>
      <c r="J1052" t="s">
        <v>46</v>
      </c>
      <c r="K1052">
        <v>8</v>
      </c>
      <c r="L1052">
        <v>9.6</v>
      </c>
      <c r="M1052">
        <v>3.6</v>
      </c>
      <c r="N1052" t="s">
        <v>22</v>
      </c>
      <c r="O1052" t="str">
        <f t="shared" si="16"/>
        <v>Yes</v>
      </c>
    </row>
    <row r="1053" spans="1:15" x14ac:dyDescent="0.25">
      <c r="A1053" t="s">
        <v>1114</v>
      </c>
      <c r="B1053" s="1">
        <v>45724</v>
      </c>
      <c r="C1053" s="2">
        <v>45724.553333333337</v>
      </c>
      <c r="D1053" t="s">
        <v>24</v>
      </c>
      <c r="E1053" t="s">
        <v>16</v>
      </c>
      <c r="F1053" t="s">
        <v>43</v>
      </c>
      <c r="G1053" t="s">
        <v>51</v>
      </c>
      <c r="H1053" t="s">
        <v>19</v>
      </c>
      <c r="I1053" t="s">
        <v>36</v>
      </c>
      <c r="J1053" t="s">
        <v>46</v>
      </c>
      <c r="K1053">
        <v>24</v>
      </c>
      <c r="L1053">
        <v>13.28</v>
      </c>
      <c r="M1053">
        <v>4.4000000000000004</v>
      </c>
      <c r="N1053" t="s">
        <v>22</v>
      </c>
      <c r="O1053" t="str">
        <f t="shared" si="16"/>
        <v>No</v>
      </c>
    </row>
    <row r="1054" spans="1:15" x14ac:dyDescent="0.25">
      <c r="A1054" t="s">
        <v>1115</v>
      </c>
      <c r="B1054" s="1">
        <v>45748</v>
      </c>
      <c r="C1054" s="2">
        <v>45748.570833333331</v>
      </c>
      <c r="D1054" t="s">
        <v>24</v>
      </c>
      <c r="E1054" t="s">
        <v>25</v>
      </c>
      <c r="F1054" t="s">
        <v>26</v>
      </c>
      <c r="G1054" t="s">
        <v>18</v>
      </c>
      <c r="H1054" t="s">
        <v>54</v>
      </c>
      <c r="I1054" t="s">
        <v>20</v>
      </c>
      <c r="J1054" t="s">
        <v>29</v>
      </c>
      <c r="K1054">
        <v>24</v>
      </c>
      <c r="L1054">
        <v>13.7</v>
      </c>
      <c r="M1054">
        <v>4.2</v>
      </c>
      <c r="N1054" t="s">
        <v>22</v>
      </c>
      <c r="O1054" t="str">
        <f t="shared" si="16"/>
        <v>No</v>
      </c>
    </row>
    <row r="1055" spans="1:15" x14ac:dyDescent="0.25">
      <c r="A1055" t="s">
        <v>1116</v>
      </c>
      <c r="B1055" s="1">
        <v>45831</v>
      </c>
      <c r="C1055" s="2">
        <v>45831.876666666663</v>
      </c>
      <c r="D1055" t="s">
        <v>24</v>
      </c>
      <c r="E1055" t="s">
        <v>16</v>
      </c>
      <c r="F1055" t="s">
        <v>60</v>
      </c>
      <c r="G1055" t="s">
        <v>56</v>
      </c>
      <c r="H1055" t="s">
        <v>54</v>
      </c>
      <c r="I1055" t="s">
        <v>45</v>
      </c>
      <c r="J1055" t="s">
        <v>46</v>
      </c>
      <c r="K1055">
        <v>24</v>
      </c>
      <c r="L1055">
        <v>21.04</v>
      </c>
      <c r="M1055">
        <v>3.6</v>
      </c>
      <c r="N1055" t="s">
        <v>22</v>
      </c>
      <c r="O1055" t="str">
        <f t="shared" si="16"/>
        <v>No</v>
      </c>
    </row>
    <row r="1056" spans="1:15" x14ac:dyDescent="0.25">
      <c r="A1056" t="s">
        <v>1117</v>
      </c>
      <c r="B1056" s="1">
        <v>45671</v>
      </c>
      <c r="C1056" s="2">
        <v>45672.607488425929</v>
      </c>
      <c r="D1056" t="s">
        <v>15</v>
      </c>
      <c r="E1056" t="s">
        <v>25</v>
      </c>
      <c r="F1056" t="s">
        <v>48</v>
      </c>
      <c r="G1056" t="s">
        <v>41</v>
      </c>
      <c r="H1056" t="s">
        <v>44</v>
      </c>
      <c r="I1056" t="s">
        <v>36</v>
      </c>
      <c r="J1056" t="s">
        <v>21</v>
      </c>
      <c r="K1056">
        <v>48</v>
      </c>
      <c r="L1056">
        <v>38.58</v>
      </c>
      <c r="M1056">
        <v>4.7</v>
      </c>
      <c r="N1056" t="s">
        <v>22</v>
      </c>
      <c r="O1056" t="str">
        <f t="shared" si="16"/>
        <v>No</v>
      </c>
    </row>
    <row r="1057" spans="1:15" x14ac:dyDescent="0.25">
      <c r="A1057" t="s">
        <v>1118</v>
      </c>
      <c r="B1057" s="1">
        <v>45838</v>
      </c>
      <c r="C1057" s="2">
        <v>45838.179583333331</v>
      </c>
      <c r="D1057" t="s">
        <v>38</v>
      </c>
      <c r="E1057" t="s">
        <v>32</v>
      </c>
      <c r="F1057" t="s">
        <v>33</v>
      </c>
      <c r="G1057" t="s">
        <v>51</v>
      </c>
      <c r="H1057" t="s">
        <v>65</v>
      </c>
      <c r="I1057" t="s">
        <v>36</v>
      </c>
      <c r="J1057" t="s">
        <v>46</v>
      </c>
      <c r="K1057">
        <v>8</v>
      </c>
      <c r="L1057">
        <v>4.3099999999999996</v>
      </c>
      <c r="M1057">
        <v>4.3</v>
      </c>
      <c r="N1057" t="s">
        <v>22</v>
      </c>
      <c r="O1057" t="str">
        <f t="shared" si="16"/>
        <v>No</v>
      </c>
    </row>
    <row r="1058" spans="1:15" x14ac:dyDescent="0.25">
      <c r="A1058" t="s">
        <v>1119</v>
      </c>
      <c r="B1058" s="1">
        <v>45739</v>
      </c>
      <c r="C1058" s="2">
        <v>45739.364583333336</v>
      </c>
      <c r="D1058" t="s">
        <v>24</v>
      </c>
      <c r="E1058" t="s">
        <v>16</v>
      </c>
      <c r="F1058" t="s">
        <v>43</v>
      </c>
      <c r="G1058" t="s">
        <v>18</v>
      </c>
      <c r="H1058" t="s">
        <v>35</v>
      </c>
      <c r="I1058" t="s">
        <v>20</v>
      </c>
      <c r="J1058" t="s">
        <v>29</v>
      </c>
      <c r="K1058">
        <v>24</v>
      </c>
      <c r="L1058">
        <v>8.75</v>
      </c>
      <c r="M1058">
        <v>5</v>
      </c>
      <c r="N1058" t="s">
        <v>22</v>
      </c>
      <c r="O1058" t="str">
        <f t="shared" si="16"/>
        <v>No</v>
      </c>
    </row>
    <row r="1059" spans="1:15" x14ac:dyDescent="0.25">
      <c r="A1059" t="s">
        <v>1120</v>
      </c>
      <c r="B1059" s="1">
        <v>45797</v>
      </c>
      <c r="C1059" s="2">
        <v>45797.114166666666</v>
      </c>
      <c r="D1059" t="s">
        <v>38</v>
      </c>
      <c r="E1059" t="s">
        <v>25</v>
      </c>
      <c r="F1059" t="s">
        <v>48</v>
      </c>
      <c r="G1059" t="s">
        <v>56</v>
      </c>
      <c r="H1059" t="s">
        <v>54</v>
      </c>
      <c r="I1059" t="s">
        <v>36</v>
      </c>
      <c r="J1059" t="s">
        <v>21</v>
      </c>
      <c r="K1059">
        <v>8</v>
      </c>
      <c r="L1059">
        <v>2.74</v>
      </c>
      <c r="M1059">
        <v>5</v>
      </c>
      <c r="N1059" t="s">
        <v>22</v>
      </c>
      <c r="O1059" t="str">
        <f t="shared" si="16"/>
        <v>No</v>
      </c>
    </row>
    <row r="1060" spans="1:15" x14ac:dyDescent="0.25">
      <c r="A1060" t="s">
        <v>1121</v>
      </c>
      <c r="B1060" s="1">
        <v>45734</v>
      </c>
      <c r="C1060" s="2">
        <v>45735.129583333335</v>
      </c>
      <c r="D1060" t="s">
        <v>24</v>
      </c>
      <c r="E1060" t="s">
        <v>39</v>
      </c>
      <c r="F1060" t="s">
        <v>78</v>
      </c>
      <c r="G1060" t="s">
        <v>56</v>
      </c>
      <c r="H1060" t="s">
        <v>44</v>
      </c>
      <c r="I1060" t="s">
        <v>20</v>
      </c>
      <c r="J1060" t="s">
        <v>21</v>
      </c>
      <c r="K1060">
        <v>24</v>
      </c>
      <c r="L1060">
        <v>27.11</v>
      </c>
      <c r="M1060">
        <v>4.5999999999999996</v>
      </c>
      <c r="N1060" t="s">
        <v>22</v>
      </c>
      <c r="O1060" t="str">
        <f t="shared" si="16"/>
        <v>Yes</v>
      </c>
    </row>
    <row r="1061" spans="1:15" x14ac:dyDescent="0.25">
      <c r="A1061" t="s">
        <v>1122</v>
      </c>
      <c r="B1061" s="1">
        <v>45714</v>
      </c>
      <c r="C1061" s="2">
        <v>45714.58</v>
      </c>
      <c r="D1061" t="s">
        <v>24</v>
      </c>
      <c r="E1061" t="s">
        <v>25</v>
      </c>
      <c r="F1061" t="s">
        <v>70</v>
      </c>
      <c r="G1061" t="s">
        <v>18</v>
      </c>
      <c r="H1061" t="s">
        <v>54</v>
      </c>
      <c r="I1061" t="s">
        <v>36</v>
      </c>
      <c r="J1061" t="s">
        <v>21</v>
      </c>
      <c r="K1061">
        <v>24</v>
      </c>
      <c r="L1061">
        <v>13.92</v>
      </c>
      <c r="M1061">
        <v>4.5999999999999996</v>
      </c>
      <c r="N1061" t="s">
        <v>61</v>
      </c>
      <c r="O1061" t="str">
        <f t="shared" si="16"/>
        <v>No</v>
      </c>
    </row>
    <row r="1062" spans="1:15" x14ac:dyDescent="0.25">
      <c r="A1062" t="s">
        <v>1123</v>
      </c>
      <c r="B1062" s="1">
        <v>45797</v>
      </c>
      <c r="C1062" s="2">
        <v>45797.278333333335</v>
      </c>
      <c r="D1062" t="s">
        <v>24</v>
      </c>
      <c r="E1062" t="s">
        <v>39</v>
      </c>
      <c r="F1062" t="s">
        <v>87</v>
      </c>
      <c r="G1062" t="s">
        <v>41</v>
      </c>
      <c r="H1062" t="s">
        <v>35</v>
      </c>
      <c r="I1062" t="s">
        <v>28</v>
      </c>
      <c r="J1062" t="s">
        <v>21</v>
      </c>
      <c r="K1062">
        <v>24</v>
      </c>
      <c r="L1062">
        <v>6.68</v>
      </c>
      <c r="M1062">
        <v>3.7</v>
      </c>
      <c r="N1062" t="s">
        <v>22</v>
      </c>
      <c r="O1062" t="str">
        <f t="shared" si="16"/>
        <v>No</v>
      </c>
    </row>
    <row r="1063" spans="1:15" x14ac:dyDescent="0.25">
      <c r="A1063" t="s">
        <v>1124</v>
      </c>
      <c r="B1063" s="1">
        <v>45782</v>
      </c>
      <c r="C1063" s="2">
        <v>45783.004583333335</v>
      </c>
      <c r="D1063" t="s">
        <v>24</v>
      </c>
      <c r="E1063" t="s">
        <v>32</v>
      </c>
      <c r="F1063" t="s">
        <v>80</v>
      </c>
      <c r="G1063" t="s">
        <v>34</v>
      </c>
      <c r="H1063" t="s">
        <v>65</v>
      </c>
      <c r="I1063" t="s">
        <v>36</v>
      </c>
      <c r="J1063" t="s">
        <v>29</v>
      </c>
      <c r="K1063">
        <v>24</v>
      </c>
      <c r="L1063">
        <v>24.11</v>
      </c>
      <c r="M1063">
        <v>3.6</v>
      </c>
      <c r="N1063" t="s">
        <v>22</v>
      </c>
      <c r="O1063" t="str">
        <f t="shared" si="16"/>
        <v>Yes</v>
      </c>
    </row>
    <row r="1064" spans="1:15" x14ac:dyDescent="0.25">
      <c r="A1064" t="s">
        <v>1125</v>
      </c>
      <c r="B1064" s="1">
        <v>45684</v>
      </c>
      <c r="C1064" s="2">
        <v>45684.177083333336</v>
      </c>
      <c r="D1064" t="s">
        <v>38</v>
      </c>
      <c r="E1064" t="s">
        <v>25</v>
      </c>
      <c r="F1064" t="s">
        <v>70</v>
      </c>
      <c r="G1064" t="s">
        <v>41</v>
      </c>
      <c r="H1064" t="s">
        <v>35</v>
      </c>
      <c r="I1064" t="s">
        <v>45</v>
      </c>
      <c r="J1064" t="s">
        <v>21</v>
      </c>
      <c r="K1064">
        <v>8</v>
      </c>
      <c r="L1064">
        <v>4.25</v>
      </c>
      <c r="M1064">
        <v>4.3</v>
      </c>
      <c r="N1064" t="s">
        <v>22</v>
      </c>
      <c r="O1064" t="str">
        <f t="shared" si="16"/>
        <v>No</v>
      </c>
    </row>
    <row r="1065" spans="1:15" x14ac:dyDescent="0.25">
      <c r="A1065" t="s">
        <v>1126</v>
      </c>
      <c r="B1065" s="1">
        <v>45785</v>
      </c>
      <c r="C1065" s="2">
        <v>45785.185833333337</v>
      </c>
      <c r="D1065" t="s">
        <v>15</v>
      </c>
      <c r="E1065" t="s">
        <v>32</v>
      </c>
      <c r="F1065" t="s">
        <v>33</v>
      </c>
      <c r="G1065" t="s">
        <v>34</v>
      </c>
      <c r="H1065" t="s">
        <v>19</v>
      </c>
      <c r="I1065" t="s">
        <v>45</v>
      </c>
      <c r="J1065" t="s">
        <v>46</v>
      </c>
      <c r="K1065">
        <v>48</v>
      </c>
      <c r="L1065">
        <v>4.46</v>
      </c>
      <c r="M1065">
        <v>4.9000000000000004</v>
      </c>
      <c r="N1065" t="s">
        <v>22</v>
      </c>
      <c r="O1065" t="str">
        <f t="shared" si="16"/>
        <v>No</v>
      </c>
    </row>
    <row r="1066" spans="1:15" x14ac:dyDescent="0.25">
      <c r="A1066" t="s">
        <v>1127</v>
      </c>
      <c r="B1066" s="1">
        <v>45794</v>
      </c>
      <c r="C1066" s="2">
        <v>45794.048750000002</v>
      </c>
      <c r="D1066" t="s">
        <v>31</v>
      </c>
      <c r="E1066" t="s">
        <v>39</v>
      </c>
      <c r="F1066" t="s">
        <v>119</v>
      </c>
      <c r="G1066" t="s">
        <v>41</v>
      </c>
      <c r="H1066" t="s">
        <v>27</v>
      </c>
      <c r="I1066" t="s">
        <v>36</v>
      </c>
      <c r="J1066" t="s">
        <v>21</v>
      </c>
      <c r="K1066">
        <v>4</v>
      </c>
      <c r="L1066">
        <v>1.17</v>
      </c>
      <c r="M1066">
        <v>5</v>
      </c>
      <c r="N1066" t="s">
        <v>22</v>
      </c>
      <c r="O1066" t="str">
        <f t="shared" si="16"/>
        <v>No</v>
      </c>
    </row>
    <row r="1067" spans="1:15" x14ac:dyDescent="0.25">
      <c r="A1067" t="s">
        <v>1128</v>
      </c>
      <c r="B1067" s="1">
        <v>45728</v>
      </c>
      <c r="C1067" s="2">
        <v>45728.177499999998</v>
      </c>
      <c r="D1067" t="s">
        <v>38</v>
      </c>
      <c r="E1067" t="s">
        <v>39</v>
      </c>
      <c r="F1067" t="s">
        <v>40</v>
      </c>
      <c r="G1067" t="s">
        <v>41</v>
      </c>
      <c r="H1067" t="s">
        <v>65</v>
      </c>
      <c r="I1067" t="s">
        <v>20</v>
      </c>
      <c r="J1067" t="s">
        <v>21</v>
      </c>
      <c r="K1067">
        <v>8</v>
      </c>
      <c r="L1067">
        <v>4.26</v>
      </c>
      <c r="M1067">
        <v>5</v>
      </c>
      <c r="N1067" t="s">
        <v>22</v>
      </c>
      <c r="O1067" t="str">
        <f t="shared" si="16"/>
        <v>No</v>
      </c>
    </row>
    <row r="1068" spans="1:15" x14ac:dyDescent="0.25">
      <c r="A1068" t="s">
        <v>1129</v>
      </c>
      <c r="B1068" s="1">
        <v>45825</v>
      </c>
      <c r="C1068" s="2">
        <v>45825.039166666669</v>
      </c>
      <c r="D1068" t="s">
        <v>38</v>
      </c>
      <c r="E1068" t="s">
        <v>45</v>
      </c>
      <c r="F1068" t="s">
        <v>100</v>
      </c>
      <c r="G1068" t="s">
        <v>34</v>
      </c>
      <c r="H1068" t="s">
        <v>19</v>
      </c>
      <c r="I1068" t="s">
        <v>36</v>
      </c>
      <c r="J1068" t="s">
        <v>21</v>
      </c>
      <c r="K1068">
        <v>8</v>
      </c>
      <c r="L1068">
        <v>0.94</v>
      </c>
      <c r="M1068">
        <v>4.8</v>
      </c>
      <c r="N1068" t="s">
        <v>22</v>
      </c>
      <c r="O1068" t="str">
        <f t="shared" si="16"/>
        <v>No</v>
      </c>
    </row>
    <row r="1069" spans="1:15" x14ac:dyDescent="0.25">
      <c r="A1069" t="s">
        <v>1130</v>
      </c>
      <c r="B1069" s="1">
        <v>45774</v>
      </c>
      <c r="C1069" s="2">
        <v>45774.668749999997</v>
      </c>
      <c r="D1069" t="s">
        <v>24</v>
      </c>
      <c r="E1069" t="s">
        <v>39</v>
      </c>
      <c r="F1069" t="s">
        <v>40</v>
      </c>
      <c r="G1069" t="s">
        <v>34</v>
      </c>
      <c r="H1069" t="s">
        <v>19</v>
      </c>
      <c r="I1069" t="s">
        <v>36</v>
      </c>
      <c r="J1069" t="s">
        <v>21</v>
      </c>
      <c r="K1069">
        <v>24</v>
      </c>
      <c r="L1069">
        <v>16.05</v>
      </c>
      <c r="M1069">
        <v>5</v>
      </c>
      <c r="N1069" t="s">
        <v>22</v>
      </c>
      <c r="O1069" t="str">
        <f t="shared" si="16"/>
        <v>No</v>
      </c>
    </row>
    <row r="1070" spans="1:15" x14ac:dyDescent="0.25">
      <c r="A1070" t="s">
        <v>1131</v>
      </c>
      <c r="B1070" s="1">
        <v>45718</v>
      </c>
      <c r="C1070" s="2">
        <v>45718.251666666663</v>
      </c>
      <c r="D1070" t="s">
        <v>38</v>
      </c>
      <c r="E1070" t="s">
        <v>16</v>
      </c>
      <c r="F1070" t="s">
        <v>58</v>
      </c>
      <c r="G1070" t="s">
        <v>34</v>
      </c>
      <c r="H1070" t="s">
        <v>27</v>
      </c>
      <c r="I1070" t="s">
        <v>36</v>
      </c>
      <c r="J1070" t="s">
        <v>46</v>
      </c>
      <c r="K1070">
        <v>8</v>
      </c>
      <c r="L1070">
        <v>6.04</v>
      </c>
      <c r="M1070">
        <v>3.9</v>
      </c>
      <c r="N1070" t="s">
        <v>22</v>
      </c>
      <c r="O1070" t="str">
        <f t="shared" si="16"/>
        <v>No</v>
      </c>
    </row>
    <row r="1071" spans="1:15" x14ac:dyDescent="0.25">
      <c r="A1071" t="s">
        <v>1132</v>
      </c>
      <c r="B1071" s="1">
        <v>45659</v>
      </c>
      <c r="C1071" s="2">
        <v>45660.067916666667</v>
      </c>
      <c r="D1071" t="s">
        <v>24</v>
      </c>
      <c r="E1071" t="s">
        <v>25</v>
      </c>
      <c r="F1071" t="s">
        <v>48</v>
      </c>
      <c r="G1071" t="s">
        <v>51</v>
      </c>
      <c r="H1071" t="s">
        <v>27</v>
      </c>
      <c r="I1071" t="s">
        <v>45</v>
      </c>
      <c r="J1071" t="s">
        <v>21</v>
      </c>
      <c r="K1071">
        <v>24</v>
      </c>
      <c r="L1071">
        <v>25.63</v>
      </c>
      <c r="M1071">
        <v>3.5</v>
      </c>
      <c r="N1071" t="s">
        <v>22</v>
      </c>
      <c r="O1071" t="str">
        <f t="shared" si="16"/>
        <v>Yes</v>
      </c>
    </row>
    <row r="1072" spans="1:15" x14ac:dyDescent="0.25">
      <c r="A1072" t="s">
        <v>1133</v>
      </c>
      <c r="B1072" s="1">
        <v>45780</v>
      </c>
      <c r="C1072" s="2">
        <v>45780.206666666665</v>
      </c>
      <c r="D1072" t="s">
        <v>38</v>
      </c>
      <c r="E1072" t="s">
        <v>16</v>
      </c>
      <c r="F1072" t="s">
        <v>17</v>
      </c>
      <c r="G1072" t="s">
        <v>56</v>
      </c>
      <c r="H1072" t="s">
        <v>19</v>
      </c>
      <c r="I1072" t="s">
        <v>20</v>
      </c>
      <c r="J1072" t="s">
        <v>46</v>
      </c>
      <c r="K1072">
        <v>8</v>
      </c>
      <c r="L1072">
        <v>4.96</v>
      </c>
      <c r="M1072">
        <v>3.5</v>
      </c>
      <c r="N1072" t="s">
        <v>22</v>
      </c>
      <c r="O1072" t="str">
        <f t="shared" si="16"/>
        <v>No</v>
      </c>
    </row>
    <row r="1073" spans="1:15" x14ac:dyDescent="0.25">
      <c r="A1073" t="s">
        <v>1134</v>
      </c>
      <c r="B1073" s="1">
        <v>45695</v>
      </c>
      <c r="C1073" s="2">
        <v>45695.613749999997</v>
      </c>
      <c r="D1073" t="s">
        <v>15</v>
      </c>
      <c r="E1073" t="s">
        <v>45</v>
      </c>
      <c r="F1073" t="s">
        <v>104</v>
      </c>
      <c r="G1073" t="s">
        <v>41</v>
      </c>
      <c r="H1073" t="s">
        <v>44</v>
      </c>
      <c r="I1073" t="s">
        <v>36</v>
      </c>
      <c r="J1073" t="s">
        <v>85</v>
      </c>
      <c r="K1073">
        <v>48</v>
      </c>
      <c r="L1073">
        <v>14.73</v>
      </c>
      <c r="M1073">
        <v>3.6</v>
      </c>
      <c r="N1073" t="s">
        <v>22</v>
      </c>
      <c r="O1073" t="str">
        <f t="shared" si="16"/>
        <v>No</v>
      </c>
    </row>
    <row r="1074" spans="1:15" x14ac:dyDescent="0.25">
      <c r="A1074" t="s">
        <v>1135</v>
      </c>
      <c r="B1074" s="1">
        <v>45794</v>
      </c>
      <c r="C1074" s="2">
        <v>45794.096250000002</v>
      </c>
      <c r="D1074" t="s">
        <v>24</v>
      </c>
      <c r="E1074" t="s">
        <v>25</v>
      </c>
      <c r="F1074" t="s">
        <v>53</v>
      </c>
      <c r="G1074" t="s">
        <v>56</v>
      </c>
      <c r="H1074" t="s">
        <v>65</v>
      </c>
      <c r="I1074" t="s">
        <v>20</v>
      </c>
      <c r="J1074" t="s">
        <v>21</v>
      </c>
      <c r="K1074">
        <v>24</v>
      </c>
      <c r="L1074">
        <v>2.31</v>
      </c>
      <c r="M1074">
        <v>4.0999999999999996</v>
      </c>
      <c r="N1074" t="s">
        <v>22</v>
      </c>
      <c r="O1074" t="str">
        <f t="shared" si="16"/>
        <v>No</v>
      </c>
    </row>
    <row r="1075" spans="1:15" x14ac:dyDescent="0.25">
      <c r="A1075" t="s">
        <v>1136</v>
      </c>
      <c r="B1075" s="1">
        <v>45753</v>
      </c>
      <c r="C1075" s="2">
        <v>45753.091666666667</v>
      </c>
      <c r="D1075" t="s">
        <v>24</v>
      </c>
      <c r="E1075" t="s">
        <v>39</v>
      </c>
      <c r="F1075" t="s">
        <v>78</v>
      </c>
      <c r="G1075" t="s">
        <v>56</v>
      </c>
      <c r="H1075" t="s">
        <v>54</v>
      </c>
      <c r="I1075" t="s">
        <v>20</v>
      </c>
      <c r="J1075" t="s">
        <v>21</v>
      </c>
      <c r="K1075">
        <v>24</v>
      </c>
      <c r="L1075">
        <v>2.2000000000000002</v>
      </c>
      <c r="M1075">
        <v>5</v>
      </c>
      <c r="N1075" t="s">
        <v>22</v>
      </c>
      <c r="O1075" t="str">
        <f t="shared" si="16"/>
        <v>No</v>
      </c>
    </row>
    <row r="1076" spans="1:15" x14ac:dyDescent="0.25">
      <c r="A1076" t="s">
        <v>1137</v>
      </c>
      <c r="B1076" s="1">
        <v>45742</v>
      </c>
      <c r="C1076" s="2">
        <v>45742.460833333331</v>
      </c>
      <c r="D1076" t="s">
        <v>24</v>
      </c>
      <c r="E1076" t="s">
        <v>45</v>
      </c>
      <c r="F1076" t="s">
        <v>100</v>
      </c>
      <c r="G1076" t="s">
        <v>51</v>
      </c>
      <c r="H1076" t="s">
        <v>54</v>
      </c>
      <c r="I1076" t="s">
        <v>36</v>
      </c>
      <c r="J1076" t="s">
        <v>46</v>
      </c>
      <c r="K1076">
        <v>24</v>
      </c>
      <c r="L1076">
        <v>11.06</v>
      </c>
      <c r="M1076">
        <v>4.9000000000000004</v>
      </c>
      <c r="N1076" t="s">
        <v>22</v>
      </c>
      <c r="O1076" t="str">
        <f t="shared" si="16"/>
        <v>No</v>
      </c>
    </row>
    <row r="1077" spans="1:15" x14ac:dyDescent="0.25">
      <c r="A1077" t="s">
        <v>1138</v>
      </c>
      <c r="B1077" s="1">
        <v>45687</v>
      </c>
      <c r="C1077" s="2">
        <v>45687.460833333331</v>
      </c>
      <c r="D1077" t="s">
        <v>24</v>
      </c>
      <c r="E1077" t="s">
        <v>16</v>
      </c>
      <c r="F1077" t="s">
        <v>58</v>
      </c>
      <c r="G1077" t="s">
        <v>41</v>
      </c>
      <c r="H1077" t="s">
        <v>54</v>
      </c>
      <c r="I1077" t="s">
        <v>36</v>
      </c>
      <c r="J1077" t="s">
        <v>21</v>
      </c>
      <c r="K1077">
        <v>24</v>
      </c>
      <c r="L1077">
        <v>11.06</v>
      </c>
      <c r="M1077">
        <v>3.9</v>
      </c>
      <c r="N1077" t="s">
        <v>22</v>
      </c>
      <c r="O1077" t="str">
        <f t="shared" si="16"/>
        <v>No</v>
      </c>
    </row>
    <row r="1078" spans="1:15" x14ac:dyDescent="0.25">
      <c r="A1078" t="s">
        <v>1139</v>
      </c>
      <c r="B1078" s="1">
        <v>45786</v>
      </c>
      <c r="C1078" s="2">
        <v>45786.037499999999</v>
      </c>
      <c r="D1078" t="s">
        <v>38</v>
      </c>
      <c r="E1078" t="s">
        <v>32</v>
      </c>
      <c r="F1078" t="s">
        <v>75</v>
      </c>
      <c r="G1078" t="s">
        <v>41</v>
      </c>
      <c r="H1078" t="s">
        <v>27</v>
      </c>
      <c r="I1078" t="s">
        <v>36</v>
      </c>
      <c r="J1078" t="s">
        <v>21</v>
      </c>
      <c r="K1078">
        <v>8</v>
      </c>
      <c r="L1078">
        <v>0.9</v>
      </c>
      <c r="M1078">
        <v>4.9000000000000004</v>
      </c>
      <c r="N1078" t="s">
        <v>22</v>
      </c>
      <c r="O1078" t="str">
        <f t="shared" si="16"/>
        <v>No</v>
      </c>
    </row>
    <row r="1079" spans="1:15" x14ac:dyDescent="0.25">
      <c r="A1079" t="s">
        <v>1140</v>
      </c>
      <c r="B1079" s="1">
        <v>45688</v>
      </c>
      <c r="C1079" s="2">
        <v>45689.3125</v>
      </c>
      <c r="D1079" t="s">
        <v>15</v>
      </c>
      <c r="E1079" t="s">
        <v>32</v>
      </c>
      <c r="F1079" t="s">
        <v>80</v>
      </c>
      <c r="G1079" t="s">
        <v>56</v>
      </c>
      <c r="H1079" t="s">
        <v>19</v>
      </c>
      <c r="I1079" t="s">
        <v>36</v>
      </c>
      <c r="J1079" t="s">
        <v>29</v>
      </c>
      <c r="K1079">
        <v>48</v>
      </c>
      <c r="L1079">
        <v>31.5</v>
      </c>
      <c r="M1079">
        <v>4.7</v>
      </c>
      <c r="N1079" t="s">
        <v>22</v>
      </c>
      <c r="O1079" t="str">
        <f t="shared" si="16"/>
        <v>No</v>
      </c>
    </row>
    <row r="1080" spans="1:15" x14ac:dyDescent="0.25">
      <c r="A1080" t="s">
        <v>1141</v>
      </c>
      <c r="B1080" s="1">
        <v>45733</v>
      </c>
      <c r="C1080" s="2">
        <v>45733.122916666667</v>
      </c>
      <c r="D1080" t="s">
        <v>38</v>
      </c>
      <c r="E1080" t="s">
        <v>16</v>
      </c>
      <c r="F1080" t="s">
        <v>58</v>
      </c>
      <c r="G1080" t="s">
        <v>34</v>
      </c>
      <c r="H1080" t="s">
        <v>54</v>
      </c>
      <c r="I1080" t="s">
        <v>20</v>
      </c>
      <c r="J1080" t="s">
        <v>21</v>
      </c>
      <c r="K1080">
        <v>8</v>
      </c>
      <c r="L1080">
        <v>2.95</v>
      </c>
      <c r="M1080">
        <v>3.2</v>
      </c>
      <c r="N1080" t="s">
        <v>22</v>
      </c>
      <c r="O1080" t="str">
        <f t="shared" si="16"/>
        <v>No</v>
      </c>
    </row>
    <row r="1081" spans="1:15" x14ac:dyDescent="0.25">
      <c r="A1081" t="s">
        <v>1142</v>
      </c>
      <c r="B1081" s="1">
        <v>45809</v>
      </c>
      <c r="C1081" s="2">
        <v>45809.447916666664</v>
      </c>
      <c r="D1081" t="s">
        <v>15</v>
      </c>
      <c r="E1081" t="s">
        <v>32</v>
      </c>
      <c r="F1081" t="s">
        <v>75</v>
      </c>
      <c r="G1081" t="s">
        <v>34</v>
      </c>
      <c r="H1081" t="s">
        <v>54</v>
      </c>
      <c r="I1081" t="s">
        <v>45</v>
      </c>
      <c r="J1081" t="s">
        <v>46</v>
      </c>
      <c r="K1081">
        <v>48</v>
      </c>
      <c r="L1081">
        <v>10.75</v>
      </c>
      <c r="M1081">
        <v>5</v>
      </c>
      <c r="N1081" t="s">
        <v>22</v>
      </c>
      <c r="O1081" t="str">
        <f t="shared" si="16"/>
        <v>No</v>
      </c>
    </row>
    <row r="1082" spans="1:15" x14ac:dyDescent="0.25">
      <c r="A1082" t="s">
        <v>1143</v>
      </c>
      <c r="B1082" s="1">
        <v>45824</v>
      </c>
      <c r="C1082" s="2">
        <v>45824.057083333333</v>
      </c>
      <c r="D1082" t="s">
        <v>38</v>
      </c>
      <c r="E1082" t="s">
        <v>16</v>
      </c>
      <c r="F1082" t="s">
        <v>60</v>
      </c>
      <c r="G1082" t="s">
        <v>56</v>
      </c>
      <c r="H1082" t="s">
        <v>19</v>
      </c>
      <c r="I1082" t="s">
        <v>36</v>
      </c>
      <c r="J1082" t="s">
        <v>21</v>
      </c>
      <c r="K1082">
        <v>8</v>
      </c>
      <c r="L1082">
        <v>1.37</v>
      </c>
      <c r="M1082">
        <v>5</v>
      </c>
      <c r="N1082" t="s">
        <v>61</v>
      </c>
      <c r="O1082" t="str">
        <f t="shared" si="16"/>
        <v>No</v>
      </c>
    </row>
    <row r="1083" spans="1:15" x14ac:dyDescent="0.25">
      <c r="A1083" t="s">
        <v>1144</v>
      </c>
      <c r="B1083" s="1">
        <v>45837</v>
      </c>
      <c r="C1083" s="2">
        <v>45837.471250000002</v>
      </c>
      <c r="D1083" t="s">
        <v>38</v>
      </c>
      <c r="E1083" t="s">
        <v>39</v>
      </c>
      <c r="F1083" t="s">
        <v>78</v>
      </c>
      <c r="G1083" t="s">
        <v>18</v>
      </c>
      <c r="H1083" t="s">
        <v>44</v>
      </c>
      <c r="I1083" t="s">
        <v>20</v>
      </c>
      <c r="J1083" t="s">
        <v>46</v>
      </c>
      <c r="K1083">
        <v>8</v>
      </c>
      <c r="L1083">
        <v>11.31</v>
      </c>
      <c r="M1083">
        <v>3.8</v>
      </c>
      <c r="N1083" t="s">
        <v>22</v>
      </c>
      <c r="O1083" t="str">
        <f t="shared" si="16"/>
        <v>Yes</v>
      </c>
    </row>
    <row r="1084" spans="1:15" x14ac:dyDescent="0.25">
      <c r="A1084" t="s">
        <v>1145</v>
      </c>
      <c r="B1084" s="1">
        <v>45831</v>
      </c>
      <c r="C1084" s="2">
        <v>45831.08</v>
      </c>
      <c r="D1084" t="s">
        <v>24</v>
      </c>
      <c r="E1084" t="s">
        <v>16</v>
      </c>
      <c r="F1084" t="s">
        <v>58</v>
      </c>
      <c r="G1084" t="s">
        <v>56</v>
      </c>
      <c r="H1084" t="s">
        <v>35</v>
      </c>
      <c r="I1084" t="s">
        <v>36</v>
      </c>
      <c r="J1084" t="s">
        <v>46</v>
      </c>
      <c r="K1084">
        <v>24</v>
      </c>
      <c r="L1084">
        <v>1.92</v>
      </c>
      <c r="M1084">
        <v>5</v>
      </c>
      <c r="N1084" t="s">
        <v>22</v>
      </c>
      <c r="O1084" t="str">
        <f t="shared" si="16"/>
        <v>No</v>
      </c>
    </row>
    <row r="1085" spans="1:15" x14ac:dyDescent="0.25">
      <c r="A1085" t="s">
        <v>1146</v>
      </c>
      <c r="B1085" s="1">
        <v>45758</v>
      </c>
      <c r="C1085" s="2">
        <v>45758.559166666666</v>
      </c>
      <c r="D1085" t="s">
        <v>38</v>
      </c>
      <c r="E1085" t="s">
        <v>32</v>
      </c>
      <c r="F1085" t="s">
        <v>33</v>
      </c>
      <c r="G1085" t="s">
        <v>56</v>
      </c>
      <c r="H1085" t="s">
        <v>19</v>
      </c>
      <c r="I1085" t="s">
        <v>20</v>
      </c>
      <c r="J1085" t="s">
        <v>21</v>
      </c>
      <c r="K1085">
        <v>8</v>
      </c>
      <c r="L1085">
        <v>13.42</v>
      </c>
      <c r="M1085">
        <v>1.7</v>
      </c>
      <c r="N1085" t="s">
        <v>22</v>
      </c>
      <c r="O1085" t="str">
        <f t="shared" si="16"/>
        <v>Yes</v>
      </c>
    </row>
    <row r="1086" spans="1:15" x14ac:dyDescent="0.25">
      <c r="A1086" t="s">
        <v>1147</v>
      </c>
      <c r="B1086" s="1">
        <v>45694</v>
      </c>
      <c r="C1086" s="2">
        <v>45694.078750000001</v>
      </c>
      <c r="D1086" t="s">
        <v>38</v>
      </c>
      <c r="E1086" t="s">
        <v>25</v>
      </c>
      <c r="F1086" t="s">
        <v>70</v>
      </c>
      <c r="G1086" t="s">
        <v>51</v>
      </c>
      <c r="H1086" t="s">
        <v>54</v>
      </c>
      <c r="I1086" t="s">
        <v>45</v>
      </c>
      <c r="J1086" t="s">
        <v>21</v>
      </c>
      <c r="K1086">
        <v>8</v>
      </c>
      <c r="L1086">
        <v>1.89</v>
      </c>
      <c r="M1086">
        <v>4.5999999999999996</v>
      </c>
      <c r="N1086" t="s">
        <v>22</v>
      </c>
      <c r="O1086" t="str">
        <f t="shared" si="16"/>
        <v>No</v>
      </c>
    </row>
    <row r="1087" spans="1:15" x14ac:dyDescent="0.25">
      <c r="A1087" t="s">
        <v>1148</v>
      </c>
      <c r="B1087" s="1">
        <v>45809</v>
      </c>
      <c r="C1087" s="2">
        <v>45809.594583333332</v>
      </c>
      <c r="D1087" t="s">
        <v>38</v>
      </c>
      <c r="E1087" t="s">
        <v>39</v>
      </c>
      <c r="F1087" t="s">
        <v>40</v>
      </c>
      <c r="G1087" t="s">
        <v>18</v>
      </c>
      <c r="H1087" t="s">
        <v>54</v>
      </c>
      <c r="I1087" t="s">
        <v>36</v>
      </c>
      <c r="J1087" t="s">
        <v>21</v>
      </c>
      <c r="K1087">
        <v>8</v>
      </c>
      <c r="L1087">
        <v>14.27</v>
      </c>
      <c r="M1087">
        <v>3.7</v>
      </c>
      <c r="N1087" t="s">
        <v>61</v>
      </c>
      <c r="O1087" t="str">
        <f t="shared" si="16"/>
        <v>Yes</v>
      </c>
    </row>
    <row r="1088" spans="1:15" x14ac:dyDescent="0.25">
      <c r="A1088" t="s">
        <v>1149</v>
      </c>
      <c r="B1088" s="1">
        <v>45803</v>
      </c>
      <c r="C1088" s="2">
        <v>45803.102083333331</v>
      </c>
      <c r="D1088" t="s">
        <v>24</v>
      </c>
      <c r="E1088" t="s">
        <v>32</v>
      </c>
      <c r="F1088" t="s">
        <v>75</v>
      </c>
      <c r="G1088" t="s">
        <v>18</v>
      </c>
      <c r="H1088" t="s">
        <v>27</v>
      </c>
      <c r="I1088" t="s">
        <v>45</v>
      </c>
      <c r="J1088" t="s">
        <v>21</v>
      </c>
      <c r="K1088">
        <v>24</v>
      </c>
      <c r="L1088">
        <v>2.4500000000000002</v>
      </c>
      <c r="M1088">
        <v>4.9000000000000004</v>
      </c>
      <c r="N1088" t="s">
        <v>22</v>
      </c>
      <c r="O1088" t="str">
        <f t="shared" si="16"/>
        <v>No</v>
      </c>
    </row>
    <row r="1089" spans="1:15" x14ac:dyDescent="0.25">
      <c r="A1089" t="s">
        <v>1150</v>
      </c>
      <c r="B1089" s="1">
        <v>45837</v>
      </c>
      <c r="C1089" s="2">
        <v>45837.701666666668</v>
      </c>
      <c r="D1089" t="s">
        <v>24</v>
      </c>
      <c r="E1089" t="s">
        <v>39</v>
      </c>
      <c r="F1089" t="s">
        <v>119</v>
      </c>
      <c r="G1089" t="s">
        <v>56</v>
      </c>
      <c r="H1089" t="s">
        <v>65</v>
      </c>
      <c r="I1089" t="s">
        <v>36</v>
      </c>
      <c r="J1089" t="s">
        <v>46</v>
      </c>
      <c r="K1089">
        <v>24</v>
      </c>
      <c r="L1089">
        <v>16.84</v>
      </c>
      <c r="M1089">
        <v>4.5999999999999996</v>
      </c>
      <c r="N1089" t="s">
        <v>22</v>
      </c>
      <c r="O1089" t="str">
        <f t="shared" si="16"/>
        <v>No</v>
      </c>
    </row>
    <row r="1090" spans="1:15" x14ac:dyDescent="0.25">
      <c r="A1090" t="s">
        <v>1151</v>
      </c>
      <c r="B1090" s="1">
        <v>45775</v>
      </c>
      <c r="C1090" s="2">
        <v>45775.410833333335</v>
      </c>
      <c r="D1090" t="s">
        <v>38</v>
      </c>
      <c r="E1090" t="s">
        <v>16</v>
      </c>
      <c r="F1090" t="s">
        <v>60</v>
      </c>
      <c r="G1090" t="s">
        <v>34</v>
      </c>
      <c r="H1090" t="s">
        <v>54</v>
      </c>
      <c r="I1090" t="s">
        <v>28</v>
      </c>
      <c r="J1090" t="s">
        <v>29</v>
      </c>
      <c r="K1090">
        <v>8</v>
      </c>
      <c r="L1090">
        <v>9.86</v>
      </c>
      <c r="M1090">
        <v>4.5</v>
      </c>
      <c r="N1090" t="s">
        <v>61</v>
      </c>
      <c r="O1090" t="str">
        <f t="shared" si="16"/>
        <v>Yes</v>
      </c>
    </row>
    <row r="1091" spans="1:15" x14ac:dyDescent="0.25">
      <c r="A1091" t="s">
        <v>1152</v>
      </c>
      <c r="B1091" s="1">
        <v>45683</v>
      </c>
      <c r="C1091" s="2">
        <v>45685.503750000003</v>
      </c>
      <c r="D1091" t="s">
        <v>15</v>
      </c>
      <c r="E1091" t="s">
        <v>16</v>
      </c>
      <c r="F1091" t="s">
        <v>17</v>
      </c>
      <c r="G1091" t="s">
        <v>34</v>
      </c>
      <c r="H1091" t="s">
        <v>19</v>
      </c>
      <c r="I1091" t="s">
        <v>36</v>
      </c>
      <c r="J1091" t="s">
        <v>46</v>
      </c>
      <c r="K1091">
        <v>48</v>
      </c>
      <c r="L1091">
        <v>60.09</v>
      </c>
      <c r="M1091">
        <v>4</v>
      </c>
      <c r="N1091" t="s">
        <v>22</v>
      </c>
      <c r="O1091" t="str">
        <f t="shared" ref="O1091:O1154" si="17">IF(L1091&gt;K1091,"Yes","No")</f>
        <v>Yes</v>
      </c>
    </row>
    <row r="1092" spans="1:15" x14ac:dyDescent="0.25">
      <c r="A1092" t="s">
        <v>1153</v>
      </c>
      <c r="B1092" s="1">
        <v>45749</v>
      </c>
      <c r="C1092" s="2">
        <v>45749.232916666668</v>
      </c>
      <c r="D1092" t="s">
        <v>38</v>
      </c>
      <c r="E1092" t="s">
        <v>16</v>
      </c>
      <c r="F1092" t="s">
        <v>43</v>
      </c>
      <c r="G1092" t="s">
        <v>51</v>
      </c>
      <c r="H1092" t="s">
        <v>27</v>
      </c>
      <c r="I1092" t="s">
        <v>20</v>
      </c>
      <c r="J1092" t="s">
        <v>46</v>
      </c>
      <c r="K1092">
        <v>8</v>
      </c>
      <c r="L1092">
        <v>5.59</v>
      </c>
      <c r="M1092">
        <v>4</v>
      </c>
      <c r="N1092" t="s">
        <v>22</v>
      </c>
      <c r="O1092" t="str">
        <f t="shared" si="17"/>
        <v>No</v>
      </c>
    </row>
    <row r="1093" spans="1:15" x14ac:dyDescent="0.25">
      <c r="A1093" t="s">
        <v>1154</v>
      </c>
      <c r="B1093" s="1">
        <v>45739</v>
      </c>
      <c r="C1093" s="2">
        <v>45739.627083333333</v>
      </c>
      <c r="D1093" t="s">
        <v>24</v>
      </c>
      <c r="E1093" t="s">
        <v>32</v>
      </c>
      <c r="F1093" t="s">
        <v>75</v>
      </c>
      <c r="G1093" t="s">
        <v>18</v>
      </c>
      <c r="H1093" t="s">
        <v>44</v>
      </c>
      <c r="I1093" t="s">
        <v>28</v>
      </c>
      <c r="J1093" t="s">
        <v>21</v>
      </c>
      <c r="K1093">
        <v>24</v>
      </c>
      <c r="L1093">
        <v>15.05</v>
      </c>
      <c r="M1093">
        <v>4.5999999999999996</v>
      </c>
      <c r="N1093" t="s">
        <v>22</v>
      </c>
      <c r="O1093" t="str">
        <f t="shared" si="17"/>
        <v>No</v>
      </c>
    </row>
    <row r="1094" spans="1:15" x14ac:dyDescent="0.25">
      <c r="A1094" t="s">
        <v>1155</v>
      </c>
      <c r="B1094" s="1">
        <v>45810</v>
      </c>
      <c r="C1094" s="2">
        <v>45810.043749999997</v>
      </c>
      <c r="D1094" t="s">
        <v>38</v>
      </c>
      <c r="E1094" t="s">
        <v>25</v>
      </c>
      <c r="F1094" t="s">
        <v>70</v>
      </c>
      <c r="G1094" t="s">
        <v>56</v>
      </c>
      <c r="H1094" t="s">
        <v>27</v>
      </c>
      <c r="I1094" t="s">
        <v>45</v>
      </c>
      <c r="J1094" t="s">
        <v>21</v>
      </c>
      <c r="K1094">
        <v>8</v>
      </c>
      <c r="L1094">
        <v>1.05</v>
      </c>
      <c r="M1094">
        <v>3.8</v>
      </c>
      <c r="N1094" t="s">
        <v>22</v>
      </c>
      <c r="O1094" t="str">
        <f t="shared" si="17"/>
        <v>No</v>
      </c>
    </row>
    <row r="1095" spans="1:15" x14ac:dyDescent="0.25">
      <c r="A1095" t="s">
        <v>1156</v>
      </c>
      <c r="B1095" s="1">
        <v>45729</v>
      </c>
      <c r="C1095" s="2">
        <v>45731.018333333333</v>
      </c>
      <c r="D1095" t="s">
        <v>15</v>
      </c>
      <c r="E1095" t="s">
        <v>39</v>
      </c>
      <c r="F1095" t="s">
        <v>119</v>
      </c>
      <c r="G1095" t="s">
        <v>56</v>
      </c>
      <c r="H1095" t="s">
        <v>44</v>
      </c>
      <c r="I1095" t="s">
        <v>20</v>
      </c>
      <c r="J1095" t="s">
        <v>46</v>
      </c>
      <c r="K1095">
        <v>48</v>
      </c>
      <c r="L1095">
        <v>48.44</v>
      </c>
      <c r="M1095">
        <v>4.0999999999999996</v>
      </c>
      <c r="N1095" t="s">
        <v>22</v>
      </c>
      <c r="O1095" t="str">
        <f t="shared" si="17"/>
        <v>Yes</v>
      </c>
    </row>
    <row r="1096" spans="1:15" x14ac:dyDescent="0.25">
      <c r="A1096" t="s">
        <v>1157</v>
      </c>
      <c r="B1096" s="1">
        <v>45717</v>
      </c>
      <c r="C1096" s="2">
        <v>45719.301249999997</v>
      </c>
      <c r="D1096" t="s">
        <v>15</v>
      </c>
      <c r="E1096" t="s">
        <v>32</v>
      </c>
      <c r="F1096" t="s">
        <v>80</v>
      </c>
      <c r="G1096" t="s">
        <v>34</v>
      </c>
      <c r="H1096" t="s">
        <v>19</v>
      </c>
      <c r="I1096" t="s">
        <v>45</v>
      </c>
      <c r="J1096" t="s">
        <v>21</v>
      </c>
      <c r="K1096">
        <v>48</v>
      </c>
      <c r="L1096">
        <v>55.23</v>
      </c>
      <c r="M1096">
        <v>4.0999999999999996</v>
      </c>
      <c r="N1096" t="s">
        <v>22</v>
      </c>
      <c r="O1096" t="str">
        <f t="shared" si="17"/>
        <v>Yes</v>
      </c>
    </row>
    <row r="1097" spans="1:15" x14ac:dyDescent="0.25">
      <c r="A1097" t="s">
        <v>1158</v>
      </c>
      <c r="B1097" s="1">
        <v>45672</v>
      </c>
      <c r="C1097" s="2">
        <v>45672.090416666666</v>
      </c>
      <c r="D1097" t="s">
        <v>31</v>
      </c>
      <c r="E1097" t="s">
        <v>25</v>
      </c>
      <c r="F1097" t="s">
        <v>26</v>
      </c>
      <c r="G1097" t="s">
        <v>18</v>
      </c>
      <c r="H1097" t="s">
        <v>54</v>
      </c>
      <c r="I1097" t="s">
        <v>36</v>
      </c>
      <c r="J1097" t="s">
        <v>21</v>
      </c>
      <c r="K1097">
        <v>4</v>
      </c>
      <c r="L1097">
        <v>2.17</v>
      </c>
      <c r="M1097">
        <v>4.4000000000000004</v>
      </c>
      <c r="N1097" t="s">
        <v>22</v>
      </c>
      <c r="O1097" t="str">
        <f t="shared" si="17"/>
        <v>No</v>
      </c>
    </row>
    <row r="1098" spans="1:15" x14ac:dyDescent="0.25">
      <c r="A1098" t="s">
        <v>1159</v>
      </c>
      <c r="B1098" s="1">
        <v>45809</v>
      </c>
      <c r="C1098" s="2">
        <v>45809.203333333331</v>
      </c>
      <c r="D1098" t="s">
        <v>38</v>
      </c>
      <c r="E1098" t="s">
        <v>16</v>
      </c>
      <c r="F1098" t="s">
        <v>58</v>
      </c>
      <c r="G1098" t="s">
        <v>34</v>
      </c>
      <c r="H1098" t="s">
        <v>65</v>
      </c>
      <c r="I1098" t="s">
        <v>28</v>
      </c>
      <c r="J1098" t="s">
        <v>21</v>
      </c>
      <c r="K1098">
        <v>8</v>
      </c>
      <c r="L1098">
        <v>4.88</v>
      </c>
      <c r="M1098">
        <v>5</v>
      </c>
      <c r="N1098" t="s">
        <v>22</v>
      </c>
      <c r="O1098" t="str">
        <f t="shared" si="17"/>
        <v>No</v>
      </c>
    </row>
    <row r="1099" spans="1:15" x14ac:dyDescent="0.25">
      <c r="A1099" t="s">
        <v>1160</v>
      </c>
      <c r="B1099" s="1">
        <v>45794</v>
      </c>
      <c r="C1099" s="2">
        <v>45794.897083333337</v>
      </c>
      <c r="D1099" t="s">
        <v>38</v>
      </c>
      <c r="E1099" t="s">
        <v>16</v>
      </c>
      <c r="F1099" t="s">
        <v>17</v>
      </c>
      <c r="G1099" t="s">
        <v>51</v>
      </c>
      <c r="H1099" t="s">
        <v>54</v>
      </c>
      <c r="I1099" t="s">
        <v>45</v>
      </c>
      <c r="J1099" t="s">
        <v>21</v>
      </c>
      <c r="K1099">
        <v>8</v>
      </c>
      <c r="L1099">
        <v>21.53</v>
      </c>
      <c r="M1099">
        <v>2</v>
      </c>
      <c r="N1099" t="s">
        <v>22</v>
      </c>
      <c r="O1099" t="str">
        <f t="shared" si="17"/>
        <v>Yes</v>
      </c>
    </row>
    <row r="1100" spans="1:15" x14ac:dyDescent="0.25">
      <c r="A1100" t="s">
        <v>1161</v>
      </c>
      <c r="B1100" s="1">
        <v>45665</v>
      </c>
      <c r="C1100" s="2">
        <v>45665.024155092593</v>
      </c>
      <c r="D1100" t="s">
        <v>31</v>
      </c>
      <c r="E1100" t="s">
        <v>39</v>
      </c>
      <c r="F1100" t="s">
        <v>87</v>
      </c>
      <c r="G1100" t="s">
        <v>51</v>
      </c>
      <c r="H1100" t="s">
        <v>54</v>
      </c>
      <c r="I1100" t="s">
        <v>20</v>
      </c>
      <c r="J1100" t="s">
        <v>46</v>
      </c>
      <c r="K1100">
        <v>4</v>
      </c>
      <c r="L1100">
        <v>0.57999999999999996</v>
      </c>
      <c r="M1100">
        <v>4.9000000000000004</v>
      </c>
      <c r="N1100" t="s">
        <v>22</v>
      </c>
      <c r="O1100" t="str">
        <f t="shared" si="17"/>
        <v>No</v>
      </c>
    </row>
    <row r="1101" spans="1:15" x14ac:dyDescent="0.25">
      <c r="A1101" t="s">
        <v>1162</v>
      </c>
      <c r="B1101" s="1">
        <v>45736</v>
      </c>
      <c r="C1101" s="2">
        <v>45736.713750000003</v>
      </c>
      <c r="D1101" t="s">
        <v>24</v>
      </c>
      <c r="E1101" t="s">
        <v>39</v>
      </c>
      <c r="F1101" t="s">
        <v>40</v>
      </c>
      <c r="G1101" t="s">
        <v>51</v>
      </c>
      <c r="H1101" t="s">
        <v>54</v>
      </c>
      <c r="I1101" t="s">
        <v>45</v>
      </c>
      <c r="J1101" t="s">
        <v>21</v>
      </c>
      <c r="K1101">
        <v>24</v>
      </c>
      <c r="L1101">
        <v>17.13</v>
      </c>
      <c r="M1101">
        <v>5</v>
      </c>
      <c r="N1101" t="s">
        <v>22</v>
      </c>
      <c r="O1101" t="str">
        <f t="shared" si="17"/>
        <v>No</v>
      </c>
    </row>
    <row r="1102" spans="1:15" x14ac:dyDescent="0.25">
      <c r="A1102" t="s">
        <v>1163</v>
      </c>
      <c r="B1102" s="1">
        <v>45744</v>
      </c>
      <c r="C1102" s="2">
        <v>45745.98333333333</v>
      </c>
      <c r="D1102" t="s">
        <v>15</v>
      </c>
      <c r="E1102" t="s">
        <v>16</v>
      </c>
      <c r="F1102" t="s">
        <v>43</v>
      </c>
      <c r="G1102" t="s">
        <v>51</v>
      </c>
      <c r="H1102" t="s">
        <v>54</v>
      </c>
      <c r="I1102" t="s">
        <v>36</v>
      </c>
      <c r="J1102" t="s">
        <v>46</v>
      </c>
      <c r="K1102">
        <v>48</v>
      </c>
      <c r="L1102">
        <v>47.6</v>
      </c>
      <c r="M1102">
        <v>3.2</v>
      </c>
      <c r="N1102" t="s">
        <v>22</v>
      </c>
      <c r="O1102" t="str">
        <f t="shared" si="17"/>
        <v>No</v>
      </c>
    </row>
    <row r="1103" spans="1:15" x14ac:dyDescent="0.25">
      <c r="A1103" t="s">
        <v>1164</v>
      </c>
      <c r="B1103" s="1">
        <v>45742</v>
      </c>
      <c r="C1103" s="2">
        <v>45742.178333333337</v>
      </c>
      <c r="D1103" t="s">
        <v>15</v>
      </c>
      <c r="E1103" t="s">
        <v>32</v>
      </c>
      <c r="F1103" t="s">
        <v>80</v>
      </c>
      <c r="G1103" t="s">
        <v>51</v>
      </c>
      <c r="H1103" t="s">
        <v>19</v>
      </c>
      <c r="I1103" t="s">
        <v>36</v>
      </c>
      <c r="J1103" t="s">
        <v>85</v>
      </c>
      <c r="K1103">
        <v>48</v>
      </c>
      <c r="L1103">
        <v>4.28</v>
      </c>
      <c r="M1103">
        <v>5</v>
      </c>
      <c r="N1103" t="s">
        <v>22</v>
      </c>
      <c r="O1103" t="str">
        <f t="shared" si="17"/>
        <v>No</v>
      </c>
    </row>
    <row r="1104" spans="1:15" x14ac:dyDescent="0.25">
      <c r="A1104" t="s">
        <v>1165</v>
      </c>
      <c r="B1104" s="1">
        <v>45824</v>
      </c>
      <c r="C1104" s="2">
        <v>45824.099583333336</v>
      </c>
      <c r="D1104" t="s">
        <v>24</v>
      </c>
      <c r="E1104" t="s">
        <v>39</v>
      </c>
      <c r="F1104" t="s">
        <v>87</v>
      </c>
      <c r="G1104" t="s">
        <v>51</v>
      </c>
      <c r="H1104" t="s">
        <v>19</v>
      </c>
      <c r="I1104" t="s">
        <v>36</v>
      </c>
      <c r="J1104" t="s">
        <v>29</v>
      </c>
      <c r="K1104">
        <v>24</v>
      </c>
      <c r="L1104">
        <v>2.39</v>
      </c>
      <c r="M1104">
        <v>5</v>
      </c>
      <c r="N1104" t="s">
        <v>22</v>
      </c>
      <c r="O1104" t="str">
        <f t="shared" si="17"/>
        <v>No</v>
      </c>
    </row>
    <row r="1105" spans="1:15" x14ac:dyDescent="0.25">
      <c r="A1105" t="s">
        <v>1166</v>
      </c>
      <c r="B1105" s="1">
        <v>45685</v>
      </c>
      <c r="C1105" s="2">
        <v>45685.55541666667</v>
      </c>
      <c r="D1105" t="s">
        <v>15</v>
      </c>
      <c r="E1105" t="s">
        <v>45</v>
      </c>
      <c r="F1105" t="s">
        <v>100</v>
      </c>
      <c r="G1105" t="s">
        <v>18</v>
      </c>
      <c r="H1105" t="s">
        <v>65</v>
      </c>
      <c r="I1105" t="s">
        <v>36</v>
      </c>
      <c r="J1105" t="s">
        <v>46</v>
      </c>
      <c r="K1105">
        <v>48</v>
      </c>
      <c r="L1105">
        <v>13.33</v>
      </c>
      <c r="M1105">
        <v>5</v>
      </c>
      <c r="N1105" t="s">
        <v>22</v>
      </c>
      <c r="O1105" t="str">
        <f t="shared" si="17"/>
        <v>No</v>
      </c>
    </row>
    <row r="1106" spans="1:15" x14ac:dyDescent="0.25">
      <c r="A1106" t="s">
        <v>1167</v>
      </c>
      <c r="B1106" s="1">
        <v>45713</v>
      </c>
      <c r="C1106" s="2">
        <v>45713.099583333336</v>
      </c>
      <c r="D1106" t="s">
        <v>38</v>
      </c>
      <c r="E1106" t="s">
        <v>16</v>
      </c>
      <c r="F1106" t="s">
        <v>43</v>
      </c>
      <c r="G1106" t="s">
        <v>56</v>
      </c>
      <c r="H1106" t="s">
        <v>65</v>
      </c>
      <c r="I1106" t="s">
        <v>20</v>
      </c>
      <c r="J1106" t="s">
        <v>29</v>
      </c>
      <c r="K1106">
        <v>8</v>
      </c>
      <c r="L1106">
        <v>2.39</v>
      </c>
      <c r="M1106">
        <v>4.4000000000000004</v>
      </c>
      <c r="N1106" t="s">
        <v>22</v>
      </c>
      <c r="O1106" t="str">
        <f t="shared" si="17"/>
        <v>No</v>
      </c>
    </row>
    <row r="1107" spans="1:15" x14ac:dyDescent="0.25">
      <c r="A1107" t="s">
        <v>1168</v>
      </c>
      <c r="B1107" s="1">
        <v>45690</v>
      </c>
      <c r="C1107" s="2">
        <v>45690.52</v>
      </c>
      <c r="D1107" t="s">
        <v>15</v>
      </c>
      <c r="E1107" t="s">
        <v>39</v>
      </c>
      <c r="F1107" t="s">
        <v>40</v>
      </c>
      <c r="G1107" t="s">
        <v>56</v>
      </c>
      <c r="H1107" t="s">
        <v>19</v>
      </c>
      <c r="I1107" t="s">
        <v>36</v>
      </c>
      <c r="J1107" t="s">
        <v>21</v>
      </c>
      <c r="K1107">
        <v>48</v>
      </c>
      <c r="L1107">
        <v>12.48</v>
      </c>
      <c r="M1107">
        <v>4.9000000000000004</v>
      </c>
      <c r="N1107" t="s">
        <v>22</v>
      </c>
      <c r="O1107" t="str">
        <f t="shared" si="17"/>
        <v>No</v>
      </c>
    </row>
    <row r="1108" spans="1:15" x14ac:dyDescent="0.25">
      <c r="A1108" t="s">
        <v>1169</v>
      </c>
      <c r="B1108" s="1">
        <v>45702</v>
      </c>
      <c r="C1108" s="2">
        <v>45702.616249999999</v>
      </c>
      <c r="D1108" t="s">
        <v>15</v>
      </c>
      <c r="E1108" t="s">
        <v>32</v>
      </c>
      <c r="F1108" t="s">
        <v>80</v>
      </c>
      <c r="G1108" t="s">
        <v>34</v>
      </c>
      <c r="H1108" t="s">
        <v>54</v>
      </c>
      <c r="I1108" t="s">
        <v>28</v>
      </c>
      <c r="J1108" t="s">
        <v>46</v>
      </c>
      <c r="K1108">
        <v>48</v>
      </c>
      <c r="L1108">
        <v>14.79</v>
      </c>
      <c r="M1108">
        <v>4.0999999999999996</v>
      </c>
      <c r="N1108" t="s">
        <v>22</v>
      </c>
      <c r="O1108" t="str">
        <f t="shared" si="17"/>
        <v>No</v>
      </c>
    </row>
    <row r="1109" spans="1:15" x14ac:dyDescent="0.25">
      <c r="A1109" t="s">
        <v>1170</v>
      </c>
      <c r="B1109" s="1">
        <v>45822</v>
      </c>
      <c r="C1109" s="2">
        <v>45822.631249999999</v>
      </c>
      <c r="D1109" t="s">
        <v>15</v>
      </c>
      <c r="E1109" t="s">
        <v>25</v>
      </c>
      <c r="F1109" t="s">
        <v>70</v>
      </c>
      <c r="G1109" t="s">
        <v>51</v>
      </c>
      <c r="H1109" t="s">
        <v>44</v>
      </c>
      <c r="I1109" t="s">
        <v>36</v>
      </c>
      <c r="J1109" t="s">
        <v>46</v>
      </c>
      <c r="K1109">
        <v>48</v>
      </c>
      <c r="L1109">
        <v>15.15</v>
      </c>
      <c r="M1109">
        <v>4.3</v>
      </c>
      <c r="N1109" t="s">
        <v>22</v>
      </c>
      <c r="O1109" t="str">
        <f t="shared" si="17"/>
        <v>No</v>
      </c>
    </row>
    <row r="1110" spans="1:15" x14ac:dyDescent="0.25">
      <c r="A1110" t="s">
        <v>1171</v>
      </c>
      <c r="B1110" s="1">
        <v>45828</v>
      </c>
      <c r="C1110" s="2">
        <v>45829.070833333331</v>
      </c>
      <c r="D1110" t="s">
        <v>15</v>
      </c>
      <c r="E1110" t="s">
        <v>32</v>
      </c>
      <c r="F1110" t="s">
        <v>64</v>
      </c>
      <c r="G1110" t="s">
        <v>34</v>
      </c>
      <c r="H1110" t="s">
        <v>54</v>
      </c>
      <c r="I1110" t="s">
        <v>45</v>
      </c>
      <c r="J1110" t="s">
        <v>85</v>
      </c>
      <c r="K1110">
        <v>48</v>
      </c>
      <c r="L1110">
        <v>25.7</v>
      </c>
      <c r="M1110">
        <v>4.4000000000000004</v>
      </c>
      <c r="N1110" t="s">
        <v>22</v>
      </c>
      <c r="O1110" t="str">
        <f t="shared" si="17"/>
        <v>No</v>
      </c>
    </row>
    <row r="1111" spans="1:15" x14ac:dyDescent="0.25">
      <c r="A1111" t="s">
        <v>1172</v>
      </c>
      <c r="B1111" s="1">
        <v>45666</v>
      </c>
      <c r="C1111" s="2">
        <v>45666.459583333337</v>
      </c>
      <c r="D1111" t="s">
        <v>15</v>
      </c>
      <c r="E1111" t="s">
        <v>32</v>
      </c>
      <c r="F1111" t="s">
        <v>33</v>
      </c>
      <c r="G1111" t="s">
        <v>51</v>
      </c>
      <c r="H1111" t="s">
        <v>44</v>
      </c>
      <c r="I1111" t="s">
        <v>36</v>
      </c>
      <c r="J1111" t="s">
        <v>21</v>
      </c>
      <c r="K1111">
        <v>48</v>
      </c>
      <c r="L1111">
        <v>11.03</v>
      </c>
      <c r="M1111">
        <v>4.0999999999999996</v>
      </c>
      <c r="N1111" t="s">
        <v>22</v>
      </c>
      <c r="O1111" t="str">
        <f t="shared" si="17"/>
        <v>No</v>
      </c>
    </row>
    <row r="1112" spans="1:15" x14ac:dyDescent="0.25">
      <c r="A1112" t="s">
        <v>1173</v>
      </c>
      <c r="B1112" s="1">
        <v>45772</v>
      </c>
      <c r="C1112" s="2">
        <v>45772.418749999997</v>
      </c>
      <c r="D1112" t="s">
        <v>24</v>
      </c>
      <c r="E1112" t="s">
        <v>32</v>
      </c>
      <c r="F1112" t="s">
        <v>33</v>
      </c>
      <c r="G1112" t="s">
        <v>56</v>
      </c>
      <c r="H1112" t="s">
        <v>44</v>
      </c>
      <c r="I1112" t="s">
        <v>36</v>
      </c>
      <c r="J1112" t="s">
        <v>21</v>
      </c>
      <c r="K1112">
        <v>24</v>
      </c>
      <c r="L1112">
        <v>10.050000000000001</v>
      </c>
      <c r="M1112">
        <v>4.3</v>
      </c>
      <c r="N1112" t="s">
        <v>22</v>
      </c>
      <c r="O1112" t="str">
        <f t="shared" si="17"/>
        <v>No</v>
      </c>
    </row>
    <row r="1113" spans="1:15" x14ac:dyDescent="0.25">
      <c r="A1113" t="s">
        <v>1174</v>
      </c>
      <c r="B1113" s="1">
        <v>45700</v>
      </c>
      <c r="C1113" s="2">
        <v>45700.514166666668</v>
      </c>
      <c r="D1113" t="s">
        <v>24</v>
      </c>
      <c r="E1113" t="s">
        <v>25</v>
      </c>
      <c r="F1113" t="s">
        <v>48</v>
      </c>
      <c r="G1113" t="s">
        <v>56</v>
      </c>
      <c r="H1113" t="s">
        <v>65</v>
      </c>
      <c r="I1113" t="s">
        <v>45</v>
      </c>
      <c r="J1113" t="s">
        <v>46</v>
      </c>
      <c r="K1113">
        <v>24</v>
      </c>
      <c r="L1113">
        <v>12.34</v>
      </c>
      <c r="M1113">
        <v>3.7</v>
      </c>
      <c r="N1113" t="s">
        <v>22</v>
      </c>
      <c r="O1113" t="str">
        <f t="shared" si="17"/>
        <v>No</v>
      </c>
    </row>
    <row r="1114" spans="1:15" x14ac:dyDescent="0.25">
      <c r="A1114" t="s">
        <v>1175</v>
      </c>
      <c r="B1114" s="1">
        <v>45692</v>
      </c>
      <c r="C1114" s="2">
        <v>45692.372083333335</v>
      </c>
      <c r="D1114" t="s">
        <v>24</v>
      </c>
      <c r="E1114" t="s">
        <v>16</v>
      </c>
      <c r="F1114" t="s">
        <v>17</v>
      </c>
      <c r="G1114" t="s">
        <v>51</v>
      </c>
      <c r="H1114" t="s">
        <v>65</v>
      </c>
      <c r="I1114" t="s">
        <v>36</v>
      </c>
      <c r="J1114" t="s">
        <v>46</v>
      </c>
      <c r="K1114">
        <v>24</v>
      </c>
      <c r="L1114">
        <v>8.93</v>
      </c>
      <c r="M1114">
        <v>5</v>
      </c>
      <c r="N1114" t="s">
        <v>22</v>
      </c>
      <c r="O1114" t="str">
        <f t="shared" si="17"/>
        <v>No</v>
      </c>
    </row>
    <row r="1115" spans="1:15" x14ac:dyDescent="0.25">
      <c r="A1115" t="s">
        <v>1176</v>
      </c>
      <c r="B1115" s="1">
        <v>45710</v>
      </c>
      <c r="C1115" s="2">
        <v>45710.237500000003</v>
      </c>
      <c r="D1115" t="s">
        <v>38</v>
      </c>
      <c r="E1115" t="s">
        <v>32</v>
      </c>
      <c r="F1115" t="s">
        <v>80</v>
      </c>
      <c r="G1115" t="s">
        <v>34</v>
      </c>
      <c r="H1115" t="s">
        <v>44</v>
      </c>
      <c r="I1115" t="s">
        <v>45</v>
      </c>
      <c r="J1115" t="s">
        <v>21</v>
      </c>
      <c r="K1115">
        <v>8</v>
      </c>
      <c r="L1115">
        <v>5.7</v>
      </c>
      <c r="M1115">
        <v>5</v>
      </c>
      <c r="N1115" t="s">
        <v>22</v>
      </c>
      <c r="O1115" t="str">
        <f t="shared" si="17"/>
        <v>No</v>
      </c>
    </row>
    <row r="1116" spans="1:15" x14ac:dyDescent="0.25">
      <c r="A1116" t="s">
        <v>1177</v>
      </c>
      <c r="B1116" s="1">
        <v>45693</v>
      </c>
      <c r="C1116" s="2">
        <v>45694.358749999999</v>
      </c>
      <c r="D1116" t="s">
        <v>24</v>
      </c>
      <c r="E1116" t="s">
        <v>32</v>
      </c>
      <c r="F1116" t="s">
        <v>80</v>
      </c>
      <c r="G1116" t="s">
        <v>18</v>
      </c>
      <c r="H1116" t="s">
        <v>19</v>
      </c>
      <c r="I1116" t="s">
        <v>45</v>
      </c>
      <c r="J1116" t="s">
        <v>21</v>
      </c>
      <c r="K1116">
        <v>24</v>
      </c>
      <c r="L1116">
        <v>32.61</v>
      </c>
      <c r="M1116">
        <v>4.8</v>
      </c>
      <c r="N1116" t="s">
        <v>22</v>
      </c>
      <c r="O1116" t="str">
        <f t="shared" si="17"/>
        <v>Yes</v>
      </c>
    </row>
    <row r="1117" spans="1:15" x14ac:dyDescent="0.25">
      <c r="A1117" t="s">
        <v>1178</v>
      </c>
      <c r="B1117" s="1">
        <v>45746</v>
      </c>
      <c r="C1117" s="2">
        <v>45746.14</v>
      </c>
      <c r="D1117" t="s">
        <v>24</v>
      </c>
      <c r="E1117" t="s">
        <v>16</v>
      </c>
      <c r="F1117" t="s">
        <v>58</v>
      </c>
      <c r="G1117" t="s">
        <v>18</v>
      </c>
      <c r="H1117" t="s">
        <v>27</v>
      </c>
      <c r="I1117" t="s">
        <v>36</v>
      </c>
      <c r="J1117" t="s">
        <v>21</v>
      </c>
      <c r="K1117">
        <v>24</v>
      </c>
      <c r="L1117">
        <v>3.36</v>
      </c>
      <c r="M1117">
        <v>4.2</v>
      </c>
      <c r="N1117" t="s">
        <v>22</v>
      </c>
      <c r="O1117" t="str">
        <f t="shared" si="17"/>
        <v>No</v>
      </c>
    </row>
    <row r="1118" spans="1:15" x14ac:dyDescent="0.25">
      <c r="A1118" t="s">
        <v>1179</v>
      </c>
      <c r="B1118" s="1">
        <v>45838</v>
      </c>
      <c r="C1118" s="2">
        <v>45838.212916666664</v>
      </c>
      <c r="D1118" t="s">
        <v>24</v>
      </c>
      <c r="E1118" t="s">
        <v>16</v>
      </c>
      <c r="F1118" t="s">
        <v>17</v>
      </c>
      <c r="G1118" t="s">
        <v>18</v>
      </c>
      <c r="H1118" t="s">
        <v>54</v>
      </c>
      <c r="I1118" t="s">
        <v>45</v>
      </c>
      <c r="J1118" t="s">
        <v>46</v>
      </c>
      <c r="K1118">
        <v>24</v>
      </c>
      <c r="L1118">
        <v>5.1100000000000003</v>
      </c>
      <c r="M1118">
        <v>4.2</v>
      </c>
      <c r="N1118" t="s">
        <v>61</v>
      </c>
      <c r="O1118" t="str">
        <f t="shared" si="17"/>
        <v>No</v>
      </c>
    </row>
    <row r="1119" spans="1:15" x14ac:dyDescent="0.25">
      <c r="A1119" t="s">
        <v>1180</v>
      </c>
      <c r="B1119" s="1">
        <v>45764</v>
      </c>
      <c r="C1119" s="2">
        <v>45765.798750000002</v>
      </c>
      <c r="D1119" t="s">
        <v>15</v>
      </c>
      <c r="E1119" t="s">
        <v>16</v>
      </c>
      <c r="F1119" t="s">
        <v>60</v>
      </c>
      <c r="G1119" t="s">
        <v>41</v>
      </c>
      <c r="H1119" t="s">
        <v>19</v>
      </c>
      <c r="I1119" t="s">
        <v>36</v>
      </c>
      <c r="J1119" t="s">
        <v>85</v>
      </c>
      <c r="K1119">
        <v>48</v>
      </c>
      <c r="L1119">
        <v>43.17</v>
      </c>
      <c r="M1119">
        <v>3.9</v>
      </c>
      <c r="N1119" t="s">
        <v>61</v>
      </c>
      <c r="O1119" t="str">
        <f t="shared" si="17"/>
        <v>No</v>
      </c>
    </row>
    <row r="1120" spans="1:15" x14ac:dyDescent="0.25">
      <c r="A1120" t="s">
        <v>1181</v>
      </c>
      <c r="B1120" s="1">
        <v>45788</v>
      </c>
      <c r="C1120" s="2">
        <v>45788.646666666667</v>
      </c>
      <c r="D1120" t="s">
        <v>24</v>
      </c>
      <c r="E1120" t="s">
        <v>32</v>
      </c>
      <c r="F1120" t="s">
        <v>80</v>
      </c>
      <c r="G1120" t="s">
        <v>51</v>
      </c>
      <c r="H1120" t="s">
        <v>19</v>
      </c>
      <c r="I1120" t="s">
        <v>36</v>
      </c>
      <c r="J1120" t="s">
        <v>46</v>
      </c>
      <c r="K1120">
        <v>24</v>
      </c>
      <c r="L1120">
        <v>15.52</v>
      </c>
      <c r="M1120">
        <v>4.8</v>
      </c>
      <c r="N1120" t="s">
        <v>22</v>
      </c>
      <c r="O1120" t="str">
        <f t="shared" si="17"/>
        <v>No</v>
      </c>
    </row>
    <row r="1121" spans="1:15" x14ac:dyDescent="0.25">
      <c r="A1121" t="s">
        <v>1182</v>
      </c>
      <c r="B1121" s="1">
        <v>45747</v>
      </c>
      <c r="C1121" s="2">
        <v>45747.158333333333</v>
      </c>
      <c r="D1121" t="s">
        <v>31</v>
      </c>
      <c r="E1121" t="s">
        <v>25</v>
      </c>
      <c r="F1121" t="s">
        <v>26</v>
      </c>
      <c r="G1121" t="s">
        <v>34</v>
      </c>
      <c r="H1121" t="s">
        <v>35</v>
      </c>
      <c r="I1121" t="s">
        <v>20</v>
      </c>
      <c r="J1121" t="s">
        <v>29</v>
      </c>
      <c r="K1121">
        <v>4</v>
      </c>
      <c r="L1121">
        <v>3.8</v>
      </c>
      <c r="M1121">
        <v>3.8</v>
      </c>
      <c r="N1121" t="s">
        <v>22</v>
      </c>
      <c r="O1121" t="str">
        <f t="shared" si="17"/>
        <v>No</v>
      </c>
    </row>
    <row r="1122" spans="1:15" x14ac:dyDescent="0.25">
      <c r="A1122" t="s">
        <v>1183</v>
      </c>
      <c r="B1122" s="1">
        <v>45660</v>
      </c>
      <c r="C1122" s="2">
        <v>45660.857488425929</v>
      </c>
      <c r="D1122" t="s">
        <v>24</v>
      </c>
      <c r="E1122" t="s">
        <v>45</v>
      </c>
      <c r="F1122" t="s">
        <v>50</v>
      </c>
      <c r="G1122" t="s">
        <v>51</v>
      </c>
      <c r="H1122" t="s">
        <v>65</v>
      </c>
      <c r="I1122" t="s">
        <v>36</v>
      </c>
      <c r="J1122" t="s">
        <v>21</v>
      </c>
      <c r="K1122">
        <v>24</v>
      </c>
      <c r="L1122">
        <v>20.58</v>
      </c>
      <c r="M1122">
        <v>4.7</v>
      </c>
      <c r="N1122" t="s">
        <v>22</v>
      </c>
      <c r="O1122" t="str">
        <f t="shared" si="17"/>
        <v>No</v>
      </c>
    </row>
    <row r="1123" spans="1:15" x14ac:dyDescent="0.25">
      <c r="A1123" t="s">
        <v>1184</v>
      </c>
      <c r="B1123" s="1">
        <v>45673</v>
      </c>
      <c r="C1123" s="2">
        <v>45673.610833333332</v>
      </c>
      <c r="D1123" t="s">
        <v>15</v>
      </c>
      <c r="E1123" t="s">
        <v>16</v>
      </c>
      <c r="F1123" t="s">
        <v>60</v>
      </c>
      <c r="G1123" t="s">
        <v>41</v>
      </c>
      <c r="H1123" t="s">
        <v>35</v>
      </c>
      <c r="I1123" t="s">
        <v>36</v>
      </c>
      <c r="J1123" t="s">
        <v>21</v>
      </c>
      <c r="K1123">
        <v>48</v>
      </c>
      <c r="L1123">
        <v>14.66</v>
      </c>
      <c r="M1123">
        <v>5</v>
      </c>
      <c r="N1123" t="s">
        <v>22</v>
      </c>
      <c r="O1123" t="str">
        <f t="shared" si="17"/>
        <v>No</v>
      </c>
    </row>
    <row r="1124" spans="1:15" x14ac:dyDescent="0.25">
      <c r="A1124" t="s">
        <v>1185</v>
      </c>
      <c r="B1124" s="1">
        <v>45706</v>
      </c>
      <c r="C1124" s="2">
        <v>45707.430833333332</v>
      </c>
      <c r="D1124" t="s">
        <v>24</v>
      </c>
      <c r="E1124" t="s">
        <v>32</v>
      </c>
      <c r="F1124" t="s">
        <v>75</v>
      </c>
      <c r="G1124" t="s">
        <v>18</v>
      </c>
      <c r="H1124" t="s">
        <v>19</v>
      </c>
      <c r="I1124" t="s">
        <v>45</v>
      </c>
      <c r="J1124" t="s">
        <v>21</v>
      </c>
      <c r="K1124">
        <v>24</v>
      </c>
      <c r="L1124">
        <v>34.340000000000003</v>
      </c>
      <c r="M1124">
        <v>2.2000000000000002</v>
      </c>
      <c r="N1124" t="s">
        <v>22</v>
      </c>
      <c r="O1124" t="str">
        <f t="shared" si="17"/>
        <v>Yes</v>
      </c>
    </row>
    <row r="1125" spans="1:15" x14ac:dyDescent="0.25">
      <c r="A1125" t="s">
        <v>1186</v>
      </c>
      <c r="B1125" s="1">
        <v>45702</v>
      </c>
      <c r="C1125" s="2">
        <v>45702.485000000001</v>
      </c>
      <c r="D1125" t="s">
        <v>38</v>
      </c>
      <c r="E1125" t="s">
        <v>16</v>
      </c>
      <c r="F1125" t="s">
        <v>17</v>
      </c>
      <c r="G1125" t="s">
        <v>34</v>
      </c>
      <c r="H1125" t="s">
        <v>44</v>
      </c>
      <c r="I1125" t="s">
        <v>45</v>
      </c>
      <c r="J1125" t="s">
        <v>21</v>
      </c>
      <c r="K1125">
        <v>8</v>
      </c>
      <c r="L1125">
        <v>11.64</v>
      </c>
      <c r="M1125">
        <v>3.4</v>
      </c>
      <c r="N1125" t="s">
        <v>22</v>
      </c>
      <c r="O1125" t="str">
        <f t="shared" si="17"/>
        <v>Yes</v>
      </c>
    </row>
    <row r="1126" spans="1:15" x14ac:dyDescent="0.25">
      <c r="A1126" t="s">
        <v>1187</v>
      </c>
      <c r="B1126" s="1">
        <v>45810</v>
      </c>
      <c r="C1126" s="2">
        <v>45810.219166666669</v>
      </c>
      <c r="D1126" t="s">
        <v>24</v>
      </c>
      <c r="E1126" t="s">
        <v>39</v>
      </c>
      <c r="F1126" t="s">
        <v>87</v>
      </c>
      <c r="G1126" t="s">
        <v>41</v>
      </c>
      <c r="H1126" t="s">
        <v>19</v>
      </c>
      <c r="I1126" t="s">
        <v>28</v>
      </c>
      <c r="J1126" t="s">
        <v>46</v>
      </c>
      <c r="K1126">
        <v>24</v>
      </c>
      <c r="L1126">
        <v>5.26</v>
      </c>
      <c r="M1126">
        <v>4</v>
      </c>
      <c r="N1126" t="s">
        <v>22</v>
      </c>
      <c r="O1126" t="str">
        <f t="shared" si="17"/>
        <v>No</v>
      </c>
    </row>
    <row r="1127" spans="1:15" x14ac:dyDescent="0.25">
      <c r="A1127" t="s">
        <v>1188</v>
      </c>
      <c r="B1127" s="1">
        <v>45810</v>
      </c>
      <c r="C1127" s="2">
        <v>45811.299166666664</v>
      </c>
      <c r="D1127" t="s">
        <v>24</v>
      </c>
      <c r="E1127" t="s">
        <v>32</v>
      </c>
      <c r="F1127" t="s">
        <v>64</v>
      </c>
      <c r="G1127" t="s">
        <v>51</v>
      </c>
      <c r="H1127" t="s">
        <v>19</v>
      </c>
      <c r="I1127" t="s">
        <v>20</v>
      </c>
      <c r="J1127" t="s">
        <v>46</v>
      </c>
      <c r="K1127">
        <v>24</v>
      </c>
      <c r="L1127">
        <v>31.18</v>
      </c>
      <c r="M1127">
        <v>3.1</v>
      </c>
      <c r="N1127" t="s">
        <v>22</v>
      </c>
      <c r="O1127" t="str">
        <f t="shared" si="17"/>
        <v>Yes</v>
      </c>
    </row>
    <row r="1128" spans="1:15" x14ac:dyDescent="0.25">
      <c r="A1128" t="s">
        <v>1189</v>
      </c>
      <c r="B1128" s="1">
        <v>45812</v>
      </c>
      <c r="C1128" s="2">
        <v>45812.464583333334</v>
      </c>
      <c r="D1128" t="s">
        <v>38</v>
      </c>
      <c r="E1128" t="s">
        <v>39</v>
      </c>
      <c r="F1128" t="s">
        <v>119</v>
      </c>
      <c r="G1128" t="s">
        <v>56</v>
      </c>
      <c r="H1128" t="s">
        <v>19</v>
      </c>
      <c r="I1128" t="s">
        <v>20</v>
      </c>
      <c r="J1128" t="s">
        <v>21</v>
      </c>
      <c r="K1128">
        <v>8</v>
      </c>
      <c r="L1128">
        <v>11.15</v>
      </c>
      <c r="M1128">
        <v>3.1</v>
      </c>
      <c r="N1128" t="s">
        <v>22</v>
      </c>
      <c r="O1128" t="str">
        <f t="shared" si="17"/>
        <v>Yes</v>
      </c>
    </row>
    <row r="1129" spans="1:15" x14ac:dyDescent="0.25">
      <c r="A1129" t="s">
        <v>1190</v>
      </c>
      <c r="B1129" s="1">
        <v>45773</v>
      </c>
      <c r="C1129" s="2">
        <v>45774.745833333334</v>
      </c>
      <c r="D1129" t="s">
        <v>24</v>
      </c>
      <c r="E1129" t="s">
        <v>45</v>
      </c>
      <c r="F1129" t="s">
        <v>100</v>
      </c>
      <c r="G1129" t="s">
        <v>34</v>
      </c>
      <c r="H1129" t="s">
        <v>27</v>
      </c>
      <c r="I1129" t="s">
        <v>45</v>
      </c>
      <c r="J1129" t="s">
        <v>21</v>
      </c>
      <c r="K1129">
        <v>24</v>
      </c>
      <c r="L1129">
        <v>41.9</v>
      </c>
      <c r="M1129">
        <v>3.5</v>
      </c>
      <c r="N1129" t="s">
        <v>22</v>
      </c>
      <c r="O1129" t="str">
        <f t="shared" si="17"/>
        <v>Yes</v>
      </c>
    </row>
    <row r="1130" spans="1:15" x14ac:dyDescent="0.25">
      <c r="A1130" t="s">
        <v>1191</v>
      </c>
      <c r="B1130" s="1">
        <v>45758</v>
      </c>
      <c r="C1130" s="2">
        <v>45758.87</v>
      </c>
      <c r="D1130" t="s">
        <v>24</v>
      </c>
      <c r="E1130" t="s">
        <v>39</v>
      </c>
      <c r="F1130" t="s">
        <v>78</v>
      </c>
      <c r="G1130" t="s">
        <v>56</v>
      </c>
      <c r="H1130" t="s">
        <v>65</v>
      </c>
      <c r="I1130" t="s">
        <v>36</v>
      </c>
      <c r="J1130" t="s">
        <v>85</v>
      </c>
      <c r="K1130">
        <v>24</v>
      </c>
      <c r="L1130">
        <v>20.88</v>
      </c>
      <c r="M1130">
        <v>4</v>
      </c>
      <c r="N1130" t="s">
        <v>22</v>
      </c>
      <c r="O1130" t="str">
        <f t="shared" si="17"/>
        <v>No</v>
      </c>
    </row>
    <row r="1131" spans="1:15" x14ac:dyDescent="0.25">
      <c r="A1131" t="s">
        <v>1192</v>
      </c>
      <c r="B1131" s="1">
        <v>45775</v>
      </c>
      <c r="C1131" s="2">
        <v>45775.797500000001</v>
      </c>
      <c r="D1131" t="s">
        <v>15</v>
      </c>
      <c r="E1131" t="s">
        <v>25</v>
      </c>
      <c r="F1131" t="s">
        <v>70</v>
      </c>
      <c r="G1131" t="s">
        <v>56</v>
      </c>
      <c r="H1131" t="s">
        <v>35</v>
      </c>
      <c r="I1131" t="s">
        <v>36</v>
      </c>
      <c r="J1131" t="s">
        <v>21</v>
      </c>
      <c r="K1131">
        <v>48</v>
      </c>
      <c r="L1131">
        <v>19.14</v>
      </c>
      <c r="M1131">
        <v>4.3</v>
      </c>
      <c r="N1131" t="s">
        <v>22</v>
      </c>
      <c r="O1131" t="str">
        <f t="shared" si="17"/>
        <v>No</v>
      </c>
    </row>
    <row r="1132" spans="1:15" x14ac:dyDescent="0.25">
      <c r="A1132" t="s">
        <v>1193</v>
      </c>
      <c r="B1132" s="1">
        <v>45731</v>
      </c>
      <c r="C1132" s="2">
        <v>45731.575416666667</v>
      </c>
      <c r="D1132" t="s">
        <v>15</v>
      </c>
      <c r="E1132" t="s">
        <v>16</v>
      </c>
      <c r="F1132" t="s">
        <v>43</v>
      </c>
      <c r="G1132" t="s">
        <v>51</v>
      </c>
      <c r="H1132" t="s">
        <v>54</v>
      </c>
      <c r="I1132" t="s">
        <v>20</v>
      </c>
      <c r="J1132" t="s">
        <v>21</v>
      </c>
      <c r="K1132">
        <v>48</v>
      </c>
      <c r="L1132">
        <v>13.81</v>
      </c>
      <c r="M1132">
        <v>5</v>
      </c>
      <c r="N1132" t="s">
        <v>22</v>
      </c>
      <c r="O1132" t="str">
        <f t="shared" si="17"/>
        <v>No</v>
      </c>
    </row>
    <row r="1133" spans="1:15" x14ac:dyDescent="0.25">
      <c r="A1133" t="s">
        <v>1194</v>
      </c>
      <c r="B1133" s="1">
        <v>45779</v>
      </c>
      <c r="C1133" s="2">
        <v>45779.066666666666</v>
      </c>
      <c r="D1133" t="s">
        <v>31</v>
      </c>
      <c r="E1133" t="s">
        <v>16</v>
      </c>
      <c r="F1133" t="s">
        <v>43</v>
      </c>
      <c r="G1133" t="s">
        <v>34</v>
      </c>
      <c r="H1133" t="s">
        <v>35</v>
      </c>
      <c r="I1133" t="s">
        <v>36</v>
      </c>
      <c r="J1133" t="s">
        <v>46</v>
      </c>
      <c r="K1133">
        <v>4</v>
      </c>
      <c r="L1133">
        <v>1.6</v>
      </c>
      <c r="M1133">
        <v>4</v>
      </c>
      <c r="N1133" t="s">
        <v>22</v>
      </c>
      <c r="O1133" t="str">
        <f t="shared" si="17"/>
        <v>No</v>
      </c>
    </row>
    <row r="1134" spans="1:15" x14ac:dyDescent="0.25">
      <c r="A1134" t="s">
        <v>1195</v>
      </c>
      <c r="B1134" s="1">
        <v>45801</v>
      </c>
      <c r="C1134" s="2">
        <v>45801.161666666667</v>
      </c>
      <c r="D1134" t="s">
        <v>24</v>
      </c>
      <c r="E1134" t="s">
        <v>32</v>
      </c>
      <c r="F1134" t="s">
        <v>80</v>
      </c>
      <c r="G1134" t="s">
        <v>56</v>
      </c>
      <c r="H1134" t="s">
        <v>65</v>
      </c>
      <c r="I1134" t="s">
        <v>36</v>
      </c>
      <c r="J1134" t="s">
        <v>46</v>
      </c>
      <c r="K1134">
        <v>24</v>
      </c>
      <c r="L1134">
        <v>3.88</v>
      </c>
      <c r="M1134">
        <v>5</v>
      </c>
      <c r="N1134" t="s">
        <v>22</v>
      </c>
      <c r="O1134" t="str">
        <f t="shared" si="17"/>
        <v>No</v>
      </c>
    </row>
    <row r="1135" spans="1:15" x14ac:dyDescent="0.25">
      <c r="A1135" t="s">
        <v>1196</v>
      </c>
      <c r="B1135" s="1">
        <v>45796</v>
      </c>
      <c r="C1135" s="2">
        <v>45796.724166666667</v>
      </c>
      <c r="D1135" t="s">
        <v>24</v>
      </c>
      <c r="E1135" t="s">
        <v>16</v>
      </c>
      <c r="F1135" t="s">
        <v>17</v>
      </c>
      <c r="G1135" t="s">
        <v>51</v>
      </c>
      <c r="H1135" t="s">
        <v>65</v>
      </c>
      <c r="I1135" t="s">
        <v>45</v>
      </c>
      <c r="J1135" t="s">
        <v>21</v>
      </c>
      <c r="K1135">
        <v>24</v>
      </c>
      <c r="L1135">
        <v>17.38</v>
      </c>
      <c r="M1135">
        <v>4.5999999999999996</v>
      </c>
      <c r="N1135" t="s">
        <v>22</v>
      </c>
      <c r="O1135" t="str">
        <f t="shared" si="17"/>
        <v>No</v>
      </c>
    </row>
    <row r="1136" spans="1:15" x14ac:dyDescent="0.25">
      <c r="A1136" t="s">
        <v>1197</v>
      </c>
      <c r="B1136" s="1">
        <v>45769</v>
      </c>
      <c r="C1136" s="2">
        <v>45769.457916666666</v>
      </c>
      <c r="D1136" t="s">
        <v>24</v>
      </c>
      <c r="E1136" t="s">
        <v>32</v>
      </c>
      <c r="F1136" t="s">
        <v>64</v>
      </c>
      <c r="G1136" t="s">
        <v>34</v>
      </c>
      <c r="H1136" t="s">
        <v>19</v>
      </c>
      <c r="I1136" t="s">
        <v>20</v>
      </c>
      <c r="J1136" t="s">
        <v>21</v>
      </c>
      <c r="K1136">
        <v>24</v>
      </c>
      <c r="L1136">
        <v>10.99</v>
      </c>
      <c r="M1136">
        <v>4.5999999999999996</v>
      </c>
      <c r="N1136" t="s">
        <v>22</v>
      </c>
      <c r="O1136" t="str">
        <f t="shared" si="17"/>
        <v>No</v>
      </c>
    </row>
    <row r="1137" spans="1:15" x14ac:dyDescent="0.25">
      <c r="A1137" t="s">
        <v>1198</v>
      </c>
      <c r="B1137" s="1">
        <v>45668</v>
      </c>
      <c r="C1137" s="2">
        <v>45668.264999999999</v>
      </c>
      <c r="D1137" t="s">
        <v>15</v>
      </c>
      <c r="E1137" t="s">
        <v>39</v>
      </c>
      <c r="F1137" t="s">
        <v>78</v>
      </c>
      <c r="G1137" t="s">
        <v>56</v>
      </c>
      <c r="H1137" t="s">
        <v>54</v>
      </c>
      <c r="I1137" t="s">
        <v>45</v>
      </c>
      <c r="J1137" t="s">
        <v>21</v>
      </c>
      <c r="K1137">
        <v>48</v>
      </c>
      <c r="L1137">
        <v>6.36</v>
      </c>
      <c r="M1137">
        <v>4.3</v>
      </c>
      <c r="N1137" t="s">
        <v>22</v>
      </c>
      <c r="O1137" t="str">
        <f t="shared" si="17"/>
        <v>No</v>
      </c>
    </row>
    <row r="1138" spans="1:15" x14ac:dyDescent="0.25">
      <c r="A1138" t="s">
        <v>1199</v>
      </c>
      <c r="B1138" s="1">
        <v>45789</v>
      </c>
      <c r="C1138" s="2">
        <v>45789.097916666666</v>
      </c>
      <c r="D1138" t="s">
        <v>38</v>
      </c>
      <c r="E1138" t="s">
        <v>32</v>
      </c>
      <c r="F1138" t="s">
        <v>80</v>
      </c>
      <c r="G1138" t="s">
        <v>51</v>
      </c>
      <c r="H1138" t="s">
        <v>19</v>
      </c>
      <c r="I1138" t="s">
        <v>36</v>
      </c>
      <c r="J1138" t="s">
        <v>21</v>
      </c>
      <c r="K1138">
        <v>8</v>
      </c>
      <c r="L1138">
        <v>2.35</v>
      </c>
      <c r="M1138">
        <v>4.0999999999999996</v>
      </c>
      <c r="N1138" t="s">
        <v>22</v>
      </c>
      <c r="O1138" t="str">
        <f t="shared" si="17"/>
        <v>No</v>
      </c>
    </row>
    <row r="1139" spans="1:15" x14ac:dyDescent="0.25">
      <c r="A1139" t="s">
        <v>1200</v>
      </c>
      <c r="B1139" s="1">
        <v>45724</v>
      </c>
      <c r="C1139" s="2">
        <v>45726.45208333333</v>
      </c>
      <c r="D1139" t="s">
        <v>15</v>
      </c>
      <c r="E1139" t="s">
        <v>39</v>
      </c>
      <c r="F1139" t="s">
        <v>40</v>
      </c>
      <c r="G1139" t="s">
        <v>18</v>
      </c>
      <c r="H1139" t="s">
        <v>19</v>
      </c>
      <c r="I1139" t="s">
        <v>28</v>
      </c>
      <c r="J1139" t="s">
        <v>21</v>
      </c>
      <c r="K1139">
        <v>48</v>
      </c>
      <c r="L1139">
        <v>58.85</v>
      </c>
      <c r="M1139">
        <v>4</v>
      </c>
      <c r="N1139" t="s">
        <v>22</v>
      </c>
      <c r="O1139" t="str">
        <f t="shared" si="17"/>
        <v>Yes</v>
      </c>
    </row>
    <row r="1140" spans="1:15" x14ac:dyDescent="0.25">
      <c r="A1140" t="s">
        <v>1201</v>
      </c>
      <c r="B1140" s="1">
        <v>45792</v>
      </c>
      <c r="C1140" s="2">
        <v>45792.244583333333</v>
      </c>
      <c r="D1140" t="s">
        <v>38</v>
      </c>
      <c r="E1140" t="s">
        <v>16</v>
      </c>
      <c r="F1140" t="s">
        <v>43</v>
      </c>
      <c r="G1140" t="s">
        <v>18</v>
      </c>
      <c r="H1140" t="s">
        <v>27</v>
      </c>
      <c r="I1140" t="s">
        <v>36</v>
      </c>
      <c r="J1140" t="s">
        <v>21</v>
      </c>
      <c r="K1140">
        <v>8</v>
      </c>
      <c r="L1140">
        <v>5.87</v>
      </c>
      <c r="M1140">
        <v>4.9000000000000004</v>
      </c>
      <c r="N1140" t="s">
        <v>22</v>
      </c>
      <c r="O1140" t="str">
        <f t="shared" si="17"/>
        <v>No</v>
      </c>
    </row>
    <row r="1141" spans="1:15" x14ac:dyDescent="0.25">
      <c r="A1141" t="s">
        <v>1202</v>
      </c>
      <c r="B1141" s="1">
        <v>45755</v>
      </c>
      <c r="C1141" s="2">
        <v>45755.26458333333</v>
      </c>
      <c r="D1141" t="s">
        <v>24</v>
      </c>
      <c r="E1141" t="s">
        <v>32</v>
      </c>
      <c r="F1141" t="s">
        <v>64</v>
      </c>
      <c r="G1141" t="s">
        <v>41</v>
      </c>
      <c r="H1141" t="s">
        <v>65</v>
      </c>
      <c r="I1141" t="s">
        <v>28</v>
      </c>
      <c r="J1141" t="s">
        <v>21</v>
      </c>
      <c r="K1141">
        <v>24</v>
      </c>
      <c r="L1141">
        <v>6.35</v>
      </c>
      <c r="M1141">
        <v>4.7</v>
      </c>
      <c r="N1141" t="s">
        <v>22</v>
      </c>
      <c r="O1141" t="str">
        <f t="shared" si="17"/>
        <v>No</v>
      </c>
    </row>
    <row r="1142" spans="1:15" x14ac:dyDescent="0.25">
      <c r="A1142" t="s">
        <v>1203</v>
      </c>
      <c r="B1142" s="1">
        <v>45817</v>
      </c>
      <c r="C1142" s="2">
        <v>45820.43041666667</v>
      </c>
      <c r="D1142" t="s">
        <v>15</v>
      </c>
      <c r="E1142" t="s">
        <v>39</v>
      </c>
      <c r="F1142" t="s">
        <v>40</v>
      </c>
      <c r="G1142" t="s">
        <v>51</v>
      </c>
      <c r="H1142" t="s">
        <v>19</v>
      </c>
      <c r="I1142" t="s">
        <v>36</v>
      </c>
      <c r="J1142" t="s">
        <v>21</v>
      </c>
      <c r="K1142">
        <v>48</v>
      </c>
      <c r="L1142">
        <v>82.33</v>
      </c>
      <c r="M1142">
        <v>2.2000000000000002</v>
      </c>
      <c r="N1142" t="s">
        <v>22</v>
      </c>
      <c r="O1142" t="str">
        <f t="shared" si="17"/>
        <v>Yes</v>
      </c>
    </row>
    <row r="1143" spans="1:15" x14ac:dyDescent="0.25">
      <c r="A1143" t="s">
        <v>1204</v>
      </c>
      <c r="B1143" s="1">
        <v>45719</v>
      </c>
      <c r="C1143" s="2">
        <v>45720.325416666667</v>
      </c>
      <c r="D1143" t="s">
        <v>15</v>
      </c>
      <c r="E1143" t="s">
        <v>45</v>
      </c>
      <c r="F1143" t="s">
        <v>104</v>
      </c>
      <c r="G1143" t="s">
        <v>18</v>
      </c>
      <c r="H1143" t="s">
        <v>35</v>
      </c>
      <c r="I1143" t="s">
        <v>28</v>
      </c>
      <c r="J1143" t="s">
        <v>46</v>
      </c>
      <c r="K1143">
        <v>48</v>
      </c>
      <c r="L1143">
        <v>31.81</v>
      </c>
      <c r="M1143">
        <v>4.3</v>
      </c>
      <c r="N1143" t="s">
        <v>61</v>
      </c>
      <c r="O1143" t="str">
        <f t="shared" si="17"/>
        <v>No</v>
      </c>
    </row>
    <row r="1144" spans="1:15" x14ac:dyDescent="0.25">
      <c r="A1144" t="s">
        <v>1205</v>
      </c>
      <c r="B1144" s="1">
        <v>45826</v>
      </c>
      <c r="C1144" s="2">
        <v>45826.06</v>
      </c>
      <c r="D1144" t="s">
        <v>38</v>
      </c>
      <c r="E1144" t="s">
        <v>32</v>
      </c>
      <c r="F1144" t="s">
        <v>75</v>
      </c>
      <c r="G1144" t="s">
        <v>34</v>
      </c>
      <c r="H1144" t="s">
        <v>54</v>
      </c>
      <c r="I1144" t="s">
        <v>28</v>
      </c>
      <c r="J1144" t="s">
        <v>21</v>
      </c>
      <c r="K1144">
        <v>8</v>
      </c>
      <c r="L1144">
        <v>1.44</v>
      </c>
      <c r="M1144">
        <v>5</v>
      </c>
      <c r="N1144" t="s">
        <v>22</v>
      </c>
      <c r="O1144" t="str">
        <f t="shared" si="17"/>
        <v>No</v>
      </c>
    </row>
    <row r="1145" spans="1:15" x14ac:dyDescent="0.25">
      <c r="A1145" t="s">
        <v>1206</v>
      </c>
      <c r="B1145" s="1">
        <v>45810</v>
      </c>
      <c r="C1145" s="2">
        <v>45810.800833333335</v>
      </c>
      <c r="D1145" t="s">
        <v>15</v>
      </c>
      <c r="E1145" t="s">
        <v>39</v>
      </c>
      <c r="F1145" t="s">
        <v>40</v>
      </c>
      <c r="G1145" t="s">
        <v>34</v>
      </c>
      <c r="H1145" t="s">
        <v>19</v>
      </c>
      <c r="I1145" t="s">
        <v>36</v>
      </c>
      <c r="J1145" t="s">
        <v>21</v>
      </c>
      <c r="K1145">
        <v>48</v>
      </c>
      <c r="L1145">
        <v>19.22</v>
      </c>
      <c r="M1145">
        <v>3.9</v>
      </c>
      <c r="N1145" t="s">
        <v>22</v>
      </c>
      <c r="O1145" t="str">
        <f t="shared" si="17"/>
        <v>No</v>
      </c>
    </row>
    <row r="1146" spans="1:15" x14ac:dyDescent="0.25">
      <c r="A1146" t="s">
        <v>1207</v>
      </c>
      <c r="B1146" s="1">
        <v>45717</v>
      </c>
      <c r="C1146" s="2">
        <v>45717.245833333334</v>
      </c>
      <c r="D1146" t="s">
        <v>15</v>
      </c>
      <c r="E1146" t="s">
        <v>39</v>
      </c>
      <c r="F1146" t="s">
        <v>119</v>
      </c>
      <c r="G1146" t="s">
        <v>34</v>
      </c>
      <c r="H1146" t="s">
        <v>65</v>
      </c>
      <c r="I1146" t="s">
        <v>20</v>
      </c>
      <c r="J1146" t="s">
        <v>21</v>
      </c>
      <c r="K1146">
        <v>48</v>
      </c>
      <c r="L1146">
        <v>5.9</v>
      </c>
      <c r="M1146">
        <v>4.7</v>
      </c>
      <c r="N1146" t="s">
        <v>22</v>
      </c>
      <c r="O1146" t="str">
        <f t="shared" si="17"/>
        <v>No</v>
      </c>
    </row>
    <row r="1147" spans="1:15" x14ac:dyDescent="0.25">
      <c r="A1147" t="s">
        <v>1208</v>
      </c>
      <c r="B1147" s="1">
        <v>45745</v>
      </c>
      <c r="C1147" s="2">
        <v>45745.47625</v>
      </c>
      <c r="D1147" t="s">
        <v>38</v>
      </c>
      <c r="E1147" t="s">
        <v>39</v>
      </c>
      <c r="F1147" t="s">
        <v>119</v>
      </c>
      <c r="G1147" t="s">
        <v>18</v>
      </c>
      <c r="H1147" t="s">
        <v>27</v>
      </c>
      <c r="I1147" t="s">
        <v>36</v>
      </c>
      <c r="J1147" t="s">
        <v>21</v>
      </c>
      <c r="K1147">
        <v>8</v>
      </c>
      <c r="L1147">
        <v>11.43</v>
      </c>
      <c r="M1147">
        <v>3.4</v>
      </c>
      <c r="N1147" t="s">
        <v>61</v>
      </c>
      <c r="O1147" t="str">
        <f t="shared" si="17"/>
        <v>Yes</v>
      </c>
    </row>
    <row r="1148" spans="1:15" x14ac:dyDescent="0.25">
      <c r="A1148" t="s">
        <v>1209</v>
      </c>
      <c r="B1148" s="1">
        <v>45754</v>
      </c>
      <c r="C1148" s="2">
        <v>45754.973333333335</v>
      </c>
      <c r="D1148" t="s">
        <v>24</v>
      </c>
      <c r="E1148" t="s">
        <v>16</v>
      </c>
      <c r="F1148" t="s">
        <v>17</v>
      </c>
      <c r="G1148" t="s">
        <v>51</v>
      </c>
      <c r="H1148" t="s">
        <v>44</v>
      </c>
      <c r="I1148" t="s">
        <v>36</v>
      </c>
      <c r="J1148" t="s">
        <v>46</v>
      </c>
      <c r="K1148">
        <v>24</v>
      </c>
      <c r="L1148">
        <v>23.36</v>
      </c>
      <c r="M1148">
        <v>4.5999999999999996</v>
      </c>
      <c r="N1148" t="s">
        <v>22</v>
      </c>
      <c r="O1148" t="str">
        <f t="shared" si="17"/>
        <v>No</v>
      </c>
    </row>
    <row r="1149" spans="1:15" x14ac:dyDescent="0.25">
      <c r="A1149" t="s">
        <v>1210</v>
      </c>
      <c r="B1149" s="1">
        <v>45797</v>
      </c>
      <c r="C1149" s="2">
        <v>45797.275000000001</v>
      </c>
      <c r="D1149" t="s">
        <v>24</v>
      </c>
      <c r="E1149" t="s">
        <v>32</v>
      </c>
      <c r="F1149" t="s">
        <v>80</v>
      </c>
      <c r="G1149" t="s">
        <v>51</v>
      </c>
      <c r="H1149" t="s">
        <v>27</v>
      </c>
      <c r="I1149" t="s">
        <v>36</v>
      </c>
      <c r="J1149" t="s">
        <v>21</v>
      </c>
      <c r="K1149">
        <v>24</v>
      </c>
      <c r="L1149">
        <v>6.6</v>
      </c>
      <c r="M1149">
        <v>4.4000000000000004</v>
      </c>
      <c r="N1149" t="s">
        <v>22</v>
      </c>
      <c r="O1149" t="str">
        <f t="shared" si="17"/>
        <v>No</v>
      </c>
    </row>
    <row r="1150" spans="1:15" x14ac:dyDescent="0.25">
      <c r="A1150" t="s">
        <v>1211</v>
      </c>
      <c r="B1150" s="1">
        <v>45782</v>
      </c>
      <c r="C1150" s="2">
        <v>45782.135416666664</v>
      </c>
      <c r="D1150" t="s">
        <v>15</v>
      </c>
      <c r="E1150" t="s">
        <v>39</v>
      </c>
      <c r="F1150" t="s">
        <v>40</v>
      </c>
      <c r="G1150" t="s">
        <v>56</v>
      </c>
      <c r="H1150" t="s">
        <v>27</v>
      </c>
      <c r="I1150" t="s">
        <v>45</v>
      </c>
      <c r="J1150" t="s">
        <v>85</v>
      </c>
      <c r="K1150">
        <v>48</v>
      </c>
      <c r="L1150">
        <v>3.25</v>
      </c>
      <c r="M1150">
        <v>5</v>
      </c>
      <c r="N1150" t="s">
        <v>22</v>
      </c>
      <c r="O1150" t="str">
        <f t="shared" si="17"/>
        <v>No</v>
      </c>
    </row>
    <row r="1151" spans="1:15" x14ac:dyDescent="0.25">
      <c r="A1151" t="s">
        <v>1212</v>
      </c>
      <c r="B1151" s="1">
        <v>45812</v>
      </c>
      <c r="C1151" s="2">
        <v>45812.320833333331</v>
      </c>
      <c r="D1151" t="s">
        <v>38</v>
      </c>
      <c r="E1151" t="s">
        <v>16</v>
      </c>
      <c r="F1151" t="s">
        <v>43</v>
      </c>
      <c r="G1151" t="s">
        <v>56</v>
      </c>
      <c r="H1151" t="s">
        <v>27</v>
      </c>
      <c r="I1151" t="s">
        <v>36</v>
      </c>
      <c r="J1151" t="s">
        <v>46</v>
      </c>
      <c r="K1151">
        <v>8</v>
      </c>
      <c r="L1151">
        <v>7.7</v>
      </c>
      <c r="M1151">
        <v>4.8</v>
      </c>
      <c r="N1151" t="s">
        <v>22</v>
      </c>
      <c r="O1151" t="str">
        <f t="shared" si="17"/>
        <v>No</v>
      </c>
    </row>
    <row r="1152" spans="1:15" x14ac:dyDescent="0.25">
      <c r="A1152" t="s">
        <v>1213</v>
      </c>
      <c r="B1152" s="1">
        <v>45724</v>
      </c>
      <c r="C1152" s="2">
        <v>45725.292916666665</v>
      </c>
      <c r="D1152" t="s">
        <v>15</v>
      </c>
      <c r="E1152" t="s">
        <v>39</v>
      </c>
      <c r="F1152" t="s">
        <v>119</v>
      </c>
      <c r="G1152" t="s">
        <v>56</v>
      </c>
      <c r="H1152" t="s">
        <v>44</v>
      </c>
      <c r="I1152" t="s">
        <v>45</v>
      </c>
      <c r="J1152" t="s">
        <v>21</v>
      </c>
      <c r="K1152">
        <v>48</v>
      </c>
      <c r="L1152">
        <v>31.03</v>
      </c>
      <c r="M1152">
        <v>3.3</v>
      </c>
      <c r="N1152" t="s">
        <v>22</v>
      </c>
      <c r="O1152" t="str">
        <f t="shared" si="17"/>
        <v>No</v>
      </c>
    </row>
    <row r="1153" spans="1:15" x14ac:dyDescent="0.25">
      <c r="A1153" t="s">
        <v>1214</v>
      </c>
      <c r="B1153" s="1">
        <v>45749</v>
      </c>
      <c r="C1153" s="2">
        <v>45751.565405092595</v>
      </c>
      <c r="D1153" t="s">
        <v>15</v>
      </c>
      <c r="E1153" t="s">
        <v>45</v>
      </c>
      <c r="F1153" t="s">
        <v>100</v>
      </c>
      <c r="G1153" t="s">
        <v>18</v>
      </c>
      <c r="H1153" t="s">
        <v>35</v>
      </c>
      <c r="I1153" t="s">
        <v>28</v>
      </c>
      <c r="J1153" t="s">
        <v>29</v>
      </c>
      <c r="K1153">
        <v>48</v>
      </c>
      <c r="L1153">
        <v>61.57</v>
      </c>
      <c r="M1153">
        <v>2.7</v>
      </c>
      <c r="N1153" t="s">
        <v>61</v>
      </c>
      <c r="O1153" t="str">
        <f t="shared" si="17"/>
        <v>Yes</v>
      </c>
    </row>
    <row r="1154" spans="1:15" x14ac:dyDescent="0.25">
      <c r="A1154" t="s">
        <v>1215</v>
      </c>
      <c r="B1154" s="1">
        <v>45735</v>
      </c>
      <c r="C1154" s="2">
        <v>45735.041250000002</v>
      </c>
      <c r="D1154" t="s">
        <v>24</v>
      </c>
      <c r="E1154" t="s">
        <v>45</v>
      </c>
      <c r="F1154" t="s">
        <v>112</v>
      </c>
      <c r="G1154" t="s">
        <v>56</v>
      </c>
      <c r="H1154" t="s">
        <v>27</v>
      </c>
      <c r="I1154" t="s">
        <v>20</v>
      </c>
      <c r="J1154" t="s">
        <v>21</v>
      </c>
      <c r="K1154">
        <v>24</v>
      </c>
      <c r="L1154">
        <v>0.99</v>
      </c>
      <c r="M1154">
        <v>5</v>
      </c>
      <c r="N1154" t="s">
        <v>22</v>
      </c>
      <c r="O1154" t="str">
        <f t="shared" si="17"/>
        <v>No</v>
      </c>
    </row>
    <row r="1155" spans="1:15" x14ac:dyDescent="0.25">
      <c r="A1155" t="s">
        <v>1216</v>
      </c>
      <c r="B1155" s="1">
        <v>45822</v>
      </c>
      <c r="C1155" s="2">
        <v>45823.79</v>
      </c>
      <c r="D1155" t="s">
        <v>15</v>
      </c>
      <c r="E1155" t="s">
        <v>32</v>
      </c>
      <c r="F1155" t="s">
        <v>33</v>
      </c>
      <c r="G1155" t="s">
        <v>34</v>
      </c>
      <c r="H1155" t="s">
        <v>27</v>
      </c>
      <c r="I1155" t="s">
        <v>36</v>
      </c>
      <c r="J1155" t="s">
        <v>21</v>
      </c>
      <c r="K1155">
        <v>48</v>
      </c>
      <c r="L1155">
        <v>42.96</v>
      </c>
      <c r="M1155">
        <v>4.5999999999999996</v>
      </c>
      <c r="N1155" t="s">
        <v>22</v>
      </c>
      <c r="O1155" t="str">
        <f t="shared" ref="O1155:O1218" si="18">IF(L1155&gt;K1155,"Yes","No")</f>
        <v>No</v>
      </c>
    </row>
    <row r="1156" spans="1:15" x14ac:dyDescent="0.25">
      <c r="A1156" t="s">
        <v>1217</v>
      </c>
      <c r="B1156" s="1">
        <v>45713</v>
      </c>
      <c r="C1156" s="2">
        <v>45713.499166666668</v>
      </c>
      <c r="D1156" t="s">
        <v>24</v>
      </c>
      <c r="E1156" t="s">
        <v>39</v>
      </c>
      <c r="F1156" t="s">
        <v>119</v>
      </c>
      <c r="G1156" t="s">
        <v>18</v>
      </c>
      <c r="H1156" t="s">
        <v>19</v>
      </c>
      <c r="I1156" t="s">
        <v>45</v>
      </c>
      <c r="J1156" t="s">
        <v>21</v>
      </c>
      <c r="K1156">
        <v>24</v>
      </c>
      <c r="L1156">
        <v>11.98</v>
      </c>
      <c r="M1156">
        <v>4.7</v>
      </c>
      <c r="N1156" t="s">
        <v>22</v>
      </c>
      <c r="O1156" t="str">
        <f t="shared" si="18"/>
        <v>No</v>
      </c>
    </row>
    <row r="1157" spans="1:15" x14ac:dyDescent="0.25">
      <c r="A1157" t="s">
        <v>1218</v>
      </c>
      <c r="B1157" s="1">
        <v>45764</v>
      </c>
      <c r="C1157" s="2">
        <v>45768.424583333333</v>
      </c>
      <c r="D1157" t="s">
        <v>15</v>
      </c>
      <c r="E1157" t="s">
        <v>32</v>
      </c>
      <c r="F1157" t="s">
        <v>75</v>
      </c>
      <c r="G1157" t="s">
        <v>41</v>
      </c>
      <c r="H1157" t="s">
        <v>27</v>
      </c>
      <c r="I1157" t="s">
        <v>36</v>
      </c>
      <c r="J1157" t="s">
        <v>46</v>
      </c>
      <c r="K1157">
        <v>48</v>
      </c>
      <c r="L1157">
        <v>106.19</v>
      </c>
      <c r="M1157">
        <v>3.1</v>
      </c>
      <c r="N1157" t="s">
        <v>22</v>
      </c>
      <c r="O1157" t="str">
        <f t="shared" si="18"/>
        <v>Yes</v>
      </c>
    </row>
    <row r="1158" spans="1:15" x14ac:dyDescent="0.25">
      <c r="A1158" t="s">
        <v>1219</v>
      </c>
      <c r="B1158" s="1">
        <v>45679</v>
      </c>
      <c r="C1158" s="2">
        <v>45679.332083333335</v>
      </c>
      <c r="D1158" t="s">
        <v>15</v>
      </c>
      <c r="E1158" t="s">
        <v>32</v>
      </c>
      <c r="F1158" t="s">
        <v>75</v>
      </c>
      <c r="G1158" t="s">
        <v>41</v>
      </c>
      <c r="H1158" t="s">
        <v>19</v>
      </c>
      <c r="I1158" t="s">
        <v>36</v>
      </c>
      <c r="J1158" t="s">
        <v>46</v>
      </c>
      <c r="K1158">
        <v>48</v>
      </c>
      <c r="L1158">
        <v>7.97</v>
      </c>
      <c r="M1158">
        <v>3.8</v>
      </c>
      <c r="N1158" t="s">
        <v>22</v>
      </c>
      <c r="O1158" t="str">
        <f t="shared" si="18"/>
        <v>No</v>
      </c>
    </row>
    <row r="1159" spans="1:15" x14ac:dyDescent="0.25">
      <c r="A1159" t="s">
        <v>1220</v>
      </c>
      <c r="B1159" s="1">
        <v>45811</v>
      </c>
      <c r="C1159" s="2">
        <v>45812.037499999999</v>
      </c>
      <c r="D1159" t="s">
        <v>24</v>
      </c>
      <c r="E1159" t="s">
        <v>16</v>
      </c>
      <c r="F1159" t="s">
        <v>58</v>
      </c>
      <c r="G1159" t="s">
        <v>56</v>
      </c>
      <c r="H1159" t="s">
        <v>65</v>
      </c>
      <c r="I1159" t="s">
        <v>28</v>
      </c>
      <c r="J1159" t="s">
        <v>46</v>
      </c>
      <c r="K1159">
        <v>24</v>
      </c>
      <c r="L1159">
        <v>24.9</v>
      </c>
      <c r="M1159">
        <v>4.0999999999999996</v>
      </c>
      <c r="N1159" t="s">
        <v>22</v>
      </c>
      <c r="O1159" t="str">
        <f t="shared" si="18"/>
        <v>Yes</v>
      </c>
    </row>
    <row r="1160" spans="1:15" x14ac:dyDescent="0.25">
      <c r="A1160" t="s">
        <v>1221</v>
      </c>
      <c r="B1160" s="1">
        <v>45727</v>
      </c>
      <c r="C1160" s="2">
        <v>45727.303738425922</v>
      </c>
      <c r="D1160" t="s">
        <v>38</v>
      </c>
      <c r="E1160" t="s">
        <v>16</v>
      </c>
      <c r="F1160" t="s">
        <v>17</v>
      </c>
      <c r="G1160" t="s">
        <v>18</v>
      </c>
      <c r="H1160" t="s">
        <v>19</v>
      </c>
      <c r="I1160" t="s">
        <v>28</v>
      </c>
      <c r="J1160" t="s">
        <v>29</v>
      </c>
      <c r="K1160">
        <v>8</v>
      </c>
      <c r="L1160">
        <v>7.29</v>
      </c>
      <c r="M1160">
        <v>2.1</v>
      </c>
      <c r="N1160" t="s">
        <v>22</v>
      </c>
      <c r="O1160" t="str">
        <f t="shared" si="18"/>
        <v>No</v>
      </c>
    </row>
    <row r="1161" spans="1:15" x14ac:dyDescent="0.25">
      <c r="A1161" t="s">
        <v>1222</v>
      </c>
      <c r="B1161" s="1">
        <v>45719</v>
      </c>
      <c r="C1161" s="2">
        <v>45719.26</v>
      </c>
      <c r="D1161" t="s">
        <v>15</v>
      </c>
      <c r="E1161" t="s">
        <v>39</v>
      </c>
      <c r="F1161" t="s">
        <v>78</v>
      </c>
      <c r="G1161" t="s">
        <v>56</v>
      </c>
      <c r="H1161" t="s">
        <v>19</v>
      </c>
      <c r="I1161" t="s">
        <v>36</v>
      </c>
      <c r="J1161" t="s">
        <v>85</v>
      </c>
      <c r="K1161">
        <v>48</v>
      </c>
      <c r="L1161">
        <v>6.24</v>
      </c>
      <c r="M1161">
        <v>5</v>
      </c>
      <c r="N1161" t="s">
        <v>22</v>
      </c>
      <c r="O1161" t="str">
        <f t="shared" si="18"/>
        <v>No</v>
      </c>
    </row>
    <row r="1162" spans="1:15" x14ac:dyDescent="0.25">
      <c r="A1162" t="s">
        <v>1223</v>
      </c>
      <c r="B1162" s="1">
        <v>45763</v>
      </c>
      <c r="C1162" s="2">
        <v>45763.83</v>
      </c>
      <c r="D1162" t="s">
        <v>15</v>
      </c>
      <c r="E1162" t="s">
        <v>32</v>
      </c>
      <c r="F1162" t="s">
        <v>75</v>
      </c>
      <c r="G1162" t="s">
        <v>34</v>
      </c>
      <c r="H1162" t="s">
        <v>35</v>
      </c>
      <c r="I1162" t="s">
        <v>36</v>
      </c>
      <c r="J1162" t="s">
        <v>21</v>
      </c>
      <c r="K1162">
        <v>48</v>
      </c>
      <c r="L1162">
        <v>19.920000000000002</v>
      </c>
      <c r="M1162">
        <v>5</v>
      </c>
      <c r="N1162" t="s">
        <v>22</v>
      </c>
      <c r="O1162" t="str">
        <f t="shared" si="18"/>
        <v>No</v>
      </c>
    </row>
    <row r="1163" spans="1:15" x14ac:dyDescent="0.25">
      <c r="A1163" t="s">
        <v>1224</v>
      </c>
      <c r="B1163" s="1">
        <v>45748</v>
      </c>
      <c r="C1163" s="2">
        <v>45748.274155092593</v>
      </c>
      <c r="D1163" t="s">
        <v>38</v>
      </c>
      <c r="E1163" t="s">
        <v>32</v>
      </c>
      <c r="F1163" t="s">
        <v>33</v>
      </c>
      <c r="G1163" t="s">
        <v>41</v>
      </c>
      <c r="H1163" t="s">
        <v>19</v>
      </c>
      <c r="I1163" t="s">
        <v>36</v>
      </c>
      <c r="J1163" t="s">
        <v>29</v>
      </c>
      <c r="K1163">
        <v>8</v>
      </c>
      <c r="L1163">
        <v>6.58</v>
      </c>
      <c r="M1163">
        <v>3.9</v>
      </c>
      <c r="N1163" t="s">
        <v>22</v>
      </c>
      <c r="O1163" t="str">
        <f t="shared" si="18"/>
        <v>No</v>
      </c>
    </row>
    <row r="1164" spans="1:15" x14ac:dyDescent="0.25">
      <c r="A1164" t="s">
        <v>1225</v>
      </c>
      <c r="B1164" s="1">
        <v>45811</v>
      </c>
      <c r="C1164" s="2">
        <v>45811.092083333337</v>
      </c>
      <c r="D1164" t="s">
        <v>38</v>
      </c>
      <c r="E1164" t="s">
        <v>45</v>
      </c>
      <c r="F1164" t="s">
        <v>50</v>
      </c>
      <c r="G1164" t="s">
        <v>41</v>
      </c>
      <c r="H1164" t="s">
        <v>35</v>
      </c>
      <c r="I1164" t="s">
        <v>36</v>
      </c>
      <c r="J1164" t="s">
        <v>21</v>
      </c>
      <c r="K1164">
        <v>8</v>
      </c>
      <c r="L1164">
        <v>2.21</v>
      </c>
      <c r="M1164">
        <v>3.2</v>
      </c>
      <c r="N1164" t="s">
        <v>22</v>
      </c>
      <c r="O1164" t="str">
        <f t="shared" si="18"/>
        <v>No</v>
      </c>
    </row>
    <row r="1165" spans="1:15" x14ac:dyDescent="0.25">
      <c r="A1165" t="s">
        <v>1226</v>
      </c>
      <c r="B1165" s="1">
        <v>45754</v>
      </c>
      <c r="C1165" s="2">
        <v>45754.283333333333</v>
      </c>
      <c r="D1165" t="s">
        <v>24</v>
      </c>
      <c r="E1165" t="s">
        <v>45</v>
      </c>
      <c r="F1165" t="s">
        <v>50</v>
      </c>
      <c r="G1165" t="s">
        <v>18</v>
      </c>
      <c r="H1165" t="s">
        <v>54</v>
      </c>
      <c r="I1165" t="s">
        <v>36</v>
      </c>
      <c r="J1165" t="s">
        <v>85</v>
      </c>
      <c r="K1165">
        <v>24</v>
      </c>
      <c r="L1165">
        <v>6.8</v>
      </c>
      <c r="M1165">
        <v>4.5999999999999996</v>
      </c>
      <c r="N1165" t="s">
        <v>22</v>
      </c>
      <c r="O1165" t="str">
        <f t="shared" si="18"/>
        <v>No</v>
      </c>
    </row>
    <row r="1166" spans="1:15" x14ac:dyDescent="0.25">
      <c r="A1166" t="s">
        <v>1227</v>
      </c>
      <c r="B1166" s="1">
        <v>45751</v>
      </c>
      <c r="C1166" s="2">
        <v>45753.250833333332</v>
      </c>
      <c r="D1166" t="s">
        <v>15</v>
      </c>
      <c r="E1166" t="s">
        <v>32</v>
      </c>
      <c r="F1166" t="s">
        <v>75</v>
      </c>
      <c r="G1166" t="s">
        <v>56</v>
      </c>
      <c r="H1166" t="s">
        <v>35</v>
      </c>
      <c r="I1166" t="s">
        <v>36</v>
      </c>
      <c r="J1166" t="s">
        <v>21</v>
      </c>
      <c r="K1166">
        <v>48</v>
      </c>
      <c r="L1166">
        <v>54.02</v>
      </c>
      <c r="M1166">
        <v>4.4000000000000004</v>
      </c>
      <c r="N1166" t="s">
        <v>22</v>
      </c>
      <c r="O1166" t="str">
        <f t="shared" si="18"/>
        <v>Yes</v>
      </c>
    </row>
    <row r="1167" spans="1:15" x14ac:dyDescent="0.25">
      <c r="A1167" t="s">
        <v>1228</v>
      </c>
      <c r="B1167" s="1">
        <v>45677</v>
      </c>
      <c r="C1167" s="2">
        <v>45678.877916666665</v>
      </c>
      <c r="D1167" t="s">
        <v>24</v>
      </c>
      <c r="E1167" t="s">
        <v>16</v>
      </c>
      <c r="F1167" t="s">
        <v>60</v>
      </c>
      <c r="G1167" t="s">
        <v>51</v>
      </c>
      <c r="H1167" t="s">
        <v>19</v>
      </c>
      <c r="I1167" t="s">
        <v>36</v>
      </c>
      <c r="J1167" t="s">
        <v>21</v>
      </c>
      <c r="K1167">
        <v>24</v>
      </c>
      <c r="L1167">
        <v>45.07</v>
      </c>
      <c r="M1167">
        <v>3.1</v>
      </c>
      <c r="N1167" t="s">
        <v>22</v>
      </c>
      <c r="O1167" t="str">
        <f t="shared" si="18"/>
        <v>Yes</v>
      </c>
    </row>
    <row r="1168" spans="1:15" x14ac:dyDescent="0.25">
      <c r="A1168" t="s">
        <v>1229</v>
      </c>
      <c r="B1168" s="1">
        <v>45661</v>
      </c>
      <c r="C1168" s="2">
        <v>45663.113333333335</v>
      </c>
      <c r="D1168" t="s">
        <v>15</v>
      </c>
      <c r="E1168" t="s">
        <v>39</v>
      </c>
      <c r="F1168" t="s">
        <v>78</v>
      </c>
      <c r="G1168" t="s">
        <v>41</v>
      </c>
      <c r="H1168" t="s">
        <v>54</v>
      </c>
      <c r="I1168" t="s">
        <v>36</v>
      </c>
      <c r="J1168" t="s">
        <v>21</v>
      </c>
      <c r="K1168">
        <v>48</v>
      </c>
      <c r="L1168">
        <v>50.72</v>
      </c>
      <c r="M1168">
        <v>5</v>
      </c>
      <c r="N1168" t="s">
        <v>22</v>
      </c>
      <c r="O1168" t="str">
        <f t="shared" si="18"/>
        <v>Yes</v>
      </c>
    </row>
    <row r="1169" spans="1:15" x14ac:dyDescent="0.25">
      <c r="A1169" t="s">
        <v>1230</v>
      </c>
      <c r="B1169" s="1">
        <v>45730</v>
      </c>
      <c r="C1169" s="2">
        <v>45730.284166666665</v>
      </c>
      <c r="D1169" t="s">
        <v>15</v>
      </c>
      <c r="E1169" t="s">
        <v>16</v>
      </c>
      <c r="F1169" t="s">
        <v>58</v>
      </c>
      <c r="G1169" t="s">
        <v>41</v>
      </c>
      <c r="H1169" t="s">
        <v>35</v>
      </c>
      <c r="I1169" t="s">
        <v>20</v>
      </c>
      <c r="J1169" t="s">
        <v>21</v>
      </c>
      <c r="K1169">
        <v>48</v>
      </c>
      <c r="L1169">
        <v>6.82</v>
      </c>
      <c r="M1169">
        <v>4.7</v>
      </c>
      <c r="N1169" t="s">
        <v>22</v>
      </c>
      <c r="O1169" t="str">
        <f t="shared" si="18"/>
        <v>No</v>
      </c>
    </row>
    <row r="1170" spans="1:15" x14ac:dyDescent="0.25">
      <c r="A1170" t="s">
        <v>1231</v>
      </c>
      <c r="B1170" s="1">
        <v>45838</v>
      </c>
      <c r="C1170" s="2">
        <v>45838.020833333336</v>
      </c>
      <c r="D1170" t="s">
        <v>24</v>
      </c>
      <c r="E1170" t="s">
        <v>16</v>
      </c>
      <c r="F1170" t="s">
        <v>43</v>
      </c>
      <c r="G1170" t="s">
        <v>41</v>
      </c>
      <c r="H1170" t="s">
        <v>44</v>
      </c>
      <c r="I1170" t="s">
        <v>20</v>
      </c>
      <c r="J1170" t="s">
        <v>46</v>
      </c>
      <c r="K1170">
        <v>24</v>
      </c>
      <c r="L1170">
        <v>0.5</v>
      </c>
      <c r="M1170">
        <v>5</v>
      </c>
      <c r="N1170" t="s">
        <v>22</v>
      </c>
      <c r="O1170" t="str">
        <f t="shared" si="18"/>
        <v>No</v>
      </c>
    </row>
    <row r="1171" spans="1:15" x14ac:dyDescent="0.25">
      <c r="A1171" t="s">
        <v>1232</v>
      </c>
      <c r="B1171" s="1">
        <v>45824</v>
      </c>
      <c r="C1171" s="2">
        <v>45824.190821759257</v>
      </c>
      <c r="D1171" t="s">
        <v>24</v>
      </c>
      <c r="E1171" t="s">
        <v>45</v>
      </c>
      <c r="F1171" t="s">
        <v>50</v>
      </c>
      <c r="G1171" t="s">
        <v>34</v>
      </c>
      <c r="H1171" t="s">
        <v>19</v>
      </c>
      <c r="I1171" t="s">
        <v>45</v>
      </c>
      <c r="J1171" t="s">
        <v>21</v>
      </c>
      <c r="K1171">
        <v>24</v>
      </c>
      <c r="L1171">
        <v>4.58</v>
      </c>
      <c r="M1171">
        <v>3.5</v>
      </c>
      <c r="N1171" t="s">
        <v>22</v>
      </c>
      <c r="O1171" t="str">
        <f t="shared" si="18"/>
        <v>No</v>
      </c>
    </row>
    <row r="1172" spans="1:15" x14ac:dyDescent="0.25">
      <c r="A1172" t="s">
        <v>1233</v>
      </c>
      <c r="B1172" s="1">
        <v>45771</v>
      </c>
      <c r="C1172" s="2">
        <v>45771.888749999998</v>
      </c>
      <c r="D1172" t="s">
        <v>24</v>
      </c>
      <c r="E1172" t="s">
        <v>32</v>
      </c>
      <c r="F1172" t="s">
        <v>80</v>
      </c>
      <c r="G1172" t="s">
        <v>41</v>
      </c>
      <c r="H1172" t="s">
        <v>35</v>
      </c>
      <c r="I1172" t="s">
        <v>36</v>
      </c>
      <c r="J1172" t="s">
        <v>21</v>
      </c>
      <c r="K1172">
        <v>24</v>
      </c>
      <c r="L1172">
        <v>21.33</v>
      </c>
      <c r="M1172">
        <v>3.5</v>
      </c>
      <c r="N1172" t="s">
        <v>22</v>
      </c>
      <c r="O1172" t="str">
        <f t="shared" si="18"/>
        <v>No</v>
      </c>
    </row>
    <row r="1173" spans="1:15" x14ac:dyDescent="0.25">
      <c r="A1173" t="s">
        <v>1234</v>
      </c>
      <c r="B1173" s="1">
        <v>45772</v>
      </c>
      <c r="C1173" s="2">
        <v>45772.96875</v>
      </c>
      <c r="D1173" t="s">
        <v>24</v>
      </c>
      <c r="E1173" t="s">
        <v>39</v>
      </c>
      <c r="F1173" t="s">
        <v>119</v>
      </c>
      <c r="G1173" t="s">
        <v>51</v>
      </c>
      <c r="H1173" t="s">
        <v>44</v>
      </c>
      <c r="I1173" t="s">
        <v>20</v>
      </c>
      <c r="J1173" t="s">
        <v>29</v>
      </c>
      <c r="K1173">
        <v>24</v>
      </c>
      <c r="L1173">
        <v>23.25</v>
      </c>
      <c r="M1173">
        <v>3.1</v>
      </c>
      <c r="N1173" t="s">
        <v>22</v>
      </c>
      <c r="O1173" t="str">
        <f t="shared" si="18"/>
        <v>No</v>
      </c>
    </row>
    <row r="1174" spans="1:15" x14ac:dyDescent="0.25">
      <c r="A1174" t="s">
        <v>1235</v>
      </c>
      <c r="B1174" s="1">
        <v>45728</v>
      </c>
      <c r="C1174" s="2">
        <v>45728.763749999998</v>
      </c>
      <c r="D1174" t="s">
        <v>15</v>
      </c>
      <c r="E1174" t="s">
        <v>45</v>
      </c>
      <c r="F1174" t="s">
        <v>50</v>
      </c>
      <c r="G1174" t="s">
        <v>56</v>
      </c>
      <c r="H1174" t="s">
        <v>65</v>
      </c>
      <c r="I1174" t="s">
        <v>36</v>
      </c>
      <c r="J1174" t="s">
        <v>46</v>
      </c>
      <c r="K1174">
        <v>48</v>
      </c>
      <c r="L1174">
        <v>18.329999999999998</v>
      </c>
      <c r="M1174">
        <v>5</v>
      </c>
      <c r="N1174" t="s">
        <v>22</v>
      </c>
      <c r="O1174" t="str">
        <f t="shared" si="18"/>
        <v>No</v>
      </c>
    </row>
    <row r="1175" spans="1:15" x14ac:dyDescent="0.25">
      <c r="A1175" t="s">
        <v>1236</v>
      </c>
      <c r="B1175" s="1">
        <v>45690</v>
      </c>
      <c r="C1175" s="2">
        <v>45690.187916666669</v>
      </c>
      <c r="D1175" t="s">
        <v>24</v>
      </c>
      <c r="E1175" t="s">
        <v>32</v>
      </c>
      <c r="F1175" t="s">
        <v>33</v>
      </c>
      <c r="G1175" t="s">
        <v>41</v>
      </c>
      <c r="H1175" t="s">
        <v>65</v>
      </c>
      <c r="I1175" t="s">
        <v>20</v>
      </c>
      <c r="J1175" t="s">
        <v>46</v>
      </c>
      <c r="K1175">
        <v>24</v>
      </c>
      <c r="L1175">
        <v>4.51</v>
      </c>
      <c r="M1175">
        <v>4.0999999999999996</v>
      </c>
      <c r="N1175" t="s">
        <v>22</v>
      </c>
      <c r="O1175" t="str">
        <f t="shared" si="18"/>
        <v>No</v>
      </c>
    </row>
    <row r="1176" spans="1:15" x14ac:dyDescent="0.25">
      <c r="A1176" t="s">
        <v>1237</v>
      </c>
      <c r="B1176" s="1">
        <v>45659</v>
      </c>
      <c r="C1176" s="2">
        <v>45659.137499999997</v>
      </c>
      <c r="D1176" t="s">
        <v>38</v>
      </c>
      <c r="E1176" t="s">
        <v>32</v>
      </c>
      <c r="F1176" t="s">
        <v>80</v>
      </c>
      <c r="G1176" t="s">
        <v>56</v>
      </c>
      <c r="H1176" t="s">
        <v>65</v>
      </c>
      <c r="I1176" t="s">
        <v>36</v>
      </c>
      <c r="J1176" t="s">
        <v>85</v>
      </c>
      <c r="K1176">
        <v>8</v>
      </c>
      <c r="L1176">
        <v>3.3</v>
      </c>
      <c r="M1176">
        <v>5</v>
      </c>
      <c r="N1176" t="s">
        <v>22</v>
      </c>
      <c r="O1176" t="str">
        <f t="shared" si="18"/>
        <v>No</v>
      </c>
    </row>
    <row r="1177" spans="1:15" x14ac:dyDescent="0.25">
      <c r="A1177" t="s">
        <v>1238</v>
      </c>
      <c r="B1177" s="1">
        <v>45719</v>
      </c>
      <c r="C1177" s="2">
        <v>45719.028749999998</v>
      </c>
      <c r="D1177" t="s">
        <v>38</v>
      </c>
      <c r="E1177" t="s">
        <v>25</v>
      </c>
      <c r="F1177" t="s">
        <v>48</v>
      </c>
      <c r="G1177" t="s">
        <v>18</v>
      </c>
      <c r="H1177" t="s">
        <v>19</v>
      </c>
      <c r="I1177" t="s">
        <v>28</v>
      </c>
      <c r="J1177" t="s">
        <v>21</v>
      </c>
      <c r="K1177">
        <v>8</v>
      </c>
      <c r="L1177">
        <v>0.69</v>
      </c>
      <c r="M1177">
        <v>5</v>
      </c>
      <c r="N1177" t="s">
        <v>22</v>
      </c>
      <c r="O1177" t="str">
        <f t="shared" si="18"/>
        <v>No</v>
      </c>
    </row>
    <row r="1178" spans="1:15" x14ac:dyDescent="0.25">
      <c r="A1178" t="s">
        <v>1239</v>
      </c>
      <c r="B1178" s="1">
        <v>45715</v>
      </c>
      <c r="C1178" s="2">
        <v>45715.68041666667</v>
      </c>
      <c r="D1178" t="s">
        <v>24</v>
      </c>
      <c r="E1178" t="s">
        <v>25</v>
      </c>
      <c r="F1178" t="s">
        <v>53</v>
      </c>
      <c r="G1178" t="s">
        <v>56</v>
      </c>
      <c r="H1178" t="s">
        <v>27</v>
      </c>
      <c r="I1178" t="s">
        <v>36</v>
      </c>
      <c r="J1178" t="s">
        <v>21</v>
      </c>
      <c r="K1178">
        <v>24</v>
      </c>
      <c r="L1178">
        <v>16.329999999999998</v>
      </c>
      <c r="M1178">
        <v>4.4000000000000004</v>
      </c>
      <c r="N1178" t="s">
        <v>22</v>
      </c>
      <c r="O1178" t="str">
        <f t="shared" si="18"/>
        <v>No</v>
      </c>
    </row>
    <row r="1179" spans="1:15" x14ac:dyDescent="0.25">
      <c r="A1179" t="s">
        <v>1240</v>
      </c>
      <c r="B1179" s="1">
        <v>45692</v>
      </c>
      <c r="C1179" s="2">
        <v>45692.622083333335</v>
      </c>
      <c r="D1179" t="s">
        <v>24</v>
      </c>
      <c r="E1179" t="s">
        <v>16</v>
      </c>
      <c r="F1179" t="s">
        <v>17</v>
      </c>
      <c r="G1179" t="s">
        <v>41</v>
      </c>
      <c r="H1179" t="s">
        <v>27</v>
      </c>
      <c r="I1179" t="s">
        <v>20</v>
      </c>
      <c r="J1179" t="s">
        <v>21</v>
      </c>
      <c r="K1179">
        <v>24</v>
      </c>
      <c r="L1179">
        <v>14.93</v>
      </c>
      <c r="M1179">
        <v>4.3</v>
      </c>
      <c r="N1179" t="s">
        <v>22</v>
      </c>
      <c r="O1179" t="str">
        <f t="shared" si="18"/>
        <v>No</v>
      </c>
    </row>
    <row r="1180" spans="1:15" x14ac:dyDescent="0.25">
      <c r="A1180" t="s">
        <v>1241</v>
      </c>
      <c r="B1180" s="1">
        <v>45704</v>
      </c>
      <c r="C1180" s="2">
        <v>45704.35125</v>
      </c>
      <c r="D1180" t="s">
        <v>15</v>
      </c>
      <c r="E1180" t="s">
        <v>25</v>
      </c>
      <c r="F1180" t="s">
        <v>70</v>
      </c>
      <c r="G1180" t="s">
        <v>51</v>
      </c>
      <c r="H1180" t="s">
        <v>35</v>
      </c>
      <c r="I1180" t="s">
        <v>36</v>
      </c>
      <c r="J1180" t="s">
        <v>21</v>
      </c>
      <c r="K1180">
        <v>48</v>
      </c>
      <c r="L1180">
        <v>8.43</v>
      </c>
      <c r="M1180">
        <v>4.2</v>
      </c>
      <c r="N1180" t="s">
        <v>22</v>
      </c>
      <c r="O1180" t="str">
        <f t="shared" si="18"/>
        <v>No</v>
      </c>
    </row>
    <row r="1181" spans="1:15" x14ac:dyDescent="0.25">
      <c r="A1181" t="s">
        <v>1242</v>
      </c>
      <c r="B1181" s="1">
        <v>45662</v>
      </c>
      <c r="C1181" s="2">
        <v>45664.140416666669</v>
      </c>
      <c r="D1181" t="s">
        <v>15</v>
      </c>
      <c r="E1181" t="s">
        <v>16</v>
      </c>
      <c r="F1181" t="s">
        <v>17</v>
      </c>
      <c r="G1181" t="s">
        <v>51</v>
      </c>
      <c r="H1181" t="s">
        <v>27</v>
      </c>
      <c r="I1181" t="s">
        <v>20</v>
      </c>
      <c r="J1181" t="s">
        <v>21</v>
      </c>
      <c r="K1181">
        <v>48</v>
      </c>
      <c r="L1181">
        <v>51.37</v>
      </c>
      <c r="M1181">
        <v>4.2</v>
      </c>
      <c r="N1181" t="s">
        <v>22</v>
      </c>
      <c r="O1181" t="str">
        <f t="shared" si="18"/>
        <v>Yes</v>
      </c>
    </row>
    <row r="1182" spans="1:15" x14ac:dyDescent="0.25">
      <c r="A1182" t="s">
        <v>1243</v>
      </c>
      <c r="B1182" s="1">
        <v>45768</v>
      </c>
      <c r="C1182" s="2">
        <v>45768.184583333335</v>
      </c>
      <c r="D1182" t="s">
        <v>38</v>
      </c>
      <c r="E1182" t="s">
        <v>32</v>
      </c>
      <c r="F1182" t="s">
        <v>64</v>
      </c>
      <c r="G1182" t="s">
        <v>41</v>
      </c>
      <c r="H1182" t="s">
        <v>19</v>
      </c>
      <c r="I1182" t="s">
        <v>45</v>
      </c>
      <c r="J1182" t="s">
        <v>46</v>
      </c>
      <c r="K1182">
        <v>8</v>
      </c>
      <c r="L1182">
        <v>4.43</v>
      </c>
      <c r="M1182">
        <v>4.0999999999999996</v>
      </c>
      <c r="N1182" t="s">
        <v>22</v>
      </c>
      <c r="O1182" t="str">
        <f t="shared" si="18"/>
        <v>No</v>
      </c>
    </row>
    <row r="1183" spans="1:15" x14ac:dyDescent="0.25">
      <c r="A1183" t="s">
        <v>1244</v>
      </c>
      <c r="B1183" s="1">
        <v>45825</v>
      </c>
      <c r="C1183" s="2">
        <v>45825.509166666663</v>
      </c>
      <c r="D1183" t="s">
        <v>15</v>
      </c>
      <c r="E1183" t="s">
        <v>16</v>
      </c>
      <c r="F1183" t="s">
        <v>60</v>
      </c>
      <c r="G1183" t="s">
        <v>56</v>
      </c>
      <c r="H1183" t="s">
        <v>35</v>
      </c>
      <c r="I1183" t="s">
        <v>36</v>
      </c>
      <c r="J1183" t="s">
        <v>21</v>
      </c>
      <c r="K1183">
        <v>48</v>
      </c>
      <c r="L1183">
        <v>12.22</v>
      </c>
      <c r="M1183">
        <v>5</v>
      </c>
      <c r="N1183" t="s">
        <v>22</v>
      </c>
      <c r="O1183" t="str">
        <f t="shared" si="18"/>
        <v>No</v>
      </c>
    </row>
    <row r="1184" spans="1:15" x14ac:dyDescent="0.25">
      <c r="A1184" t="s">
        <v>1245</v>
      </c>
      <c r="B1184" s="1">
        <v>45783</v>
      </c>
      <c r="C1184" s="2">
        <v>45783.701249999998</v>
      </c>
      <c r="D1184" t="s">
        <v>24</v>
      </c>
      <c r="E1184" t="s">
        <v>25</v>
      </c>
      <c r="F1184" t="s">
        <v>70</v>
      </c>
      <c r="G1184" t="s">
        <v>51</v>
      </c>
      <c r="H1184" t="s">
        <v>65</v>
      </c>
      <c r="I1184" t="s">
        <v>20</v>
      </c>
      <c r="J1184" t="s">
        <v>46</v>
      </c>
      <c r="K1184">
        <v>24</v>
      </c>
      <c r="L1184">
        <v>16.829999999999998</v>
      </c>
      <c r="M1184">
        <v>5</v>
      </c>
      <c r="N1184" t="s">
        <v>22</v>
      </c>
      <c r="O1184" t="str">
        <f t="shared" si="18"/>
        <v>No</v>
      </c>
    </row>
    <row r="1185" spans="1:15" x14ac:dyDescent="0.25">
      <c r="A1185" t="s">
        <v>1246</v>
      </c>
      <c r="B1185" s="1">
        <v>45739</v>
      </c>
      <c r="C1185" s="2">
        <v>45741.174166666664</v>
      </c>
      <c r="D1185" t="s">
        <v>24</v>
      </c>
      <c r="E1185" t="s">
        <v>25</v>
      </c>
      <c r="F1185" t="s">
        <v>26</v>
      </c>
      <c r="G1185" t="s">
        <v>41</v>
      </c>
      <c r="H1185" t="s">
        <v>54</v>
      </c>
      <c r="I1185" t="s">
        <v>36</v>
      </c>
      <c r="J1185" t="s">
        <v>46</v>
      </c>
      <c r="K1185">
        <v>24</v>
      </c>
      <c r="L1185">
        <v>52.18</v>
      </c>
      <c r="M1185">
        <v>2.2999999999999998</v>
      </c>
      <c r="N1185" t="s">
        <v>22</v>
      </c>
      <c r="O1185" t="str">
        <f t="shared" si="18"/>
        <v>Yes</v>
      </c>
    </row>
    <row r="1186" spans="1:15" x14ac:dyDescent="0.25">
      <c r="A1186" t="s">
        <v>1247</v>
      </c>
      <c r="B1186" s="1">
        <v>45734</v>
      </c>
      <c r="C1186" s="2">
        <v>45734.1875</v>
      </c>
      <c r="D1186" t="s">
        <v>15</v>
      </c>
      <c r="E1186" t="s">
        <v>32</v>
      </c>
      <c r="F1186" t="s">
        <v>75</v>
      </c>
      <c r="G1186" t="s">
        <v>51</v>
      </c>
      <c r="H1186" t="s">
        <v>27</v>
      </c>
      <c r="I1186" t="s">
        <v>45</v>
      </c>
      <c r="J1186" t="s">
        <v>21</v>
      </c>
      <c r="K1186">
        <v>48</v>
      </c>
      <c r="L1186">
        <v>4.5</v>
      </c>
      <c r="M1186">
        <v>5</v>
      </c>
      <c r="N1186" t="s">
        <v>22</v>
      </c>
      <c r="O1186" t="str">
        <f t="shared" si="18"/>
        <v>No</v>
      </c>
    </row>
    <row r="1187" spans="1:15" x14ac:dyDescent="0.25">
      <c r="A1187" t="s">
        <v>1248</v>
      </c>
      <c r="B1187" s="1">
        <v>45713</v>
      </c>
      <c r="C1187" s="2">
        <v>45717.568749999999</v>
      </c>
      <c r="D1187" t="s">
        <v>15</v>
      </c>
      <c r="E1187" t="s">
        <v>32</v>
      </c>
      <c r="F1187" t="s">
        <v>33</v>
      </c>
      <c r="G1187" t="s">
        <v>56</v>
      </c>
      <c r="H1187" t="s">
        <v>27</v>
      </c>
      <c r="I1187" t="s">
        <v>36</v>
      </c>
      <c r="J1187" t="s">
        <v>21</v>
      </c>
      <c r="K1187">
        <v>48</v>
      </c>
      <c r="L1187">
        <v>109.65</v>
      </c>
      <c r="M1187">
        <v>2.4</v>
      </c>
      <c r="N1187" t="s">
        <v>22</v>
      </c>
      <c r="O1187" t="str">
        <f t="shared" si="18"/>
        <v>Yes</v>
      </c>
    </row>
    <row r="1188" spans="1:15" x14ac:dyDescent="0.25">
      <c r="A1188" t="s">
        <v>1249</v>
      </c>
      <c r="B1188" s="1">
        <v>45683</v>
      </c>
      <c r="C1188" s="2">
        <v>45683.54791666667</v>
      </c>
      <c r="D1188" t="s">
        <v>24</v>
      </c>
      <c r="E1188" t="s">
        <v>25</v>
      </c>
      <c r="F1188" t="s">
        <v>70</v>
      </c>
      <c r="G1188" t="s">
        <v>18</v>
      </c>
      <c r="H1188" t="s">
        <v>19</v>
      </c>
      <c r="I1188" t="s">
        <v>20</v>
      </c>
      <c r="J1188" t="s">
        <v>21</v>
      </c>
      <c r="K1188">
        <v>24</v>
      </c>
      <c r="L1188">
        <v>13.15</v>
      </c>
      <c r="M1188">
        <v>4.8</v>
      </c>
      <c r="N1188" t="s">
        <v>22</v>
      </c>
      <c r="O1188" t="str">
        <f t="shared" si="18"/>
        <v>No</v>
      </c>
    </row>
    <row r="1189" spans="1:15" x14ac:dyDescent="0.25">
      <c r="A1189" t="s">
        <v>1250</v>
      </c>
      <c r="B1189" s="1">
        <v>45766</v>
      </c>
      <c r="C1189" s="2">
        <v>45766.138333333336</v>
      </c>
      <c r="D1189" t="s">
        <v>31</v>
      </c>
      <c r="E1189" t="s">
        <v>32</v>
      </c>
      <c r="F1189" t="s">
        <v>75</v>
      </c>
      <c r="G1189" t="s">
        <v>56</v>
      </c>
      <c r="H1189" t="s">
        <v>27</v>
      </c>
      <c r="I1189" t="s">
        <v>20</v>
      </c>
      <c r="J1189" t="s">
        <v>46</v>
      </c>
      <c r="K1189">
        <v>4</v>
      </c>
      <c r="L1189">
        <v>3.32</v>
      </c>
      <c r="M1189">
        <v>3.2</v>
      </c>
      <c r="N1189" t="s">
        <v>22</v>
      </c>
      <c r="O1189" t="str">
        <f t="shared" si="18"/>
        <v>No</v>
      </c>
    </row>
    <row r="1190" spans="1:15" x14ac:dyDescent="0.25">
      <c r="A1190" t="s">
        <v>1251</v>
      </c>
      <c r="B1190" s="1">
        <v>45760</v>
      </c>
      <c r="C1190" s="2">
        <v>45760.878750000003</v>
      </c>
      <c r="D1190" t="s">
        <v>24</v>
      </c>
      <c r="E1190" t="s">
        <v>32</v>
      </c>
      <c r="F1190" t="s">
        <v>64</v>
      </c>
      <c r="G1190" t="s">
        <v>51</v>
      </c>
      <c r="H1190" t="s">
        <v>44</v>
      </c>
      <c r="I1190" t="s">
        <v>45</v>
      </c>
      <c r="J1190" t="s">
        <v>21</v>
      </c>
      <c r="K1190">
        <v>24</v>
      </c>
      <c r="L1190">
        <v>21.09</v>
      </c>
      <c r="M1190">
        <v>3.6</v>
      </c>
      <c r="N1190" t="s">
        <v>22</v>
      </c>
      <c r="O1190" t="str">
        <f t="shared" si="18"/>
        <v>No</v>
      </c>
    </row>
    <row r="1191" spans="1:15" x14ac:dyDescent="0.25">
      <c r="A1191" t="s">
        <v>1252</v>
      </c>
      <c r="B1191" s="1">
        <v>45659</v>
      </c>
      <c r="C1191" s="2">
        <v>45659.262071759258</v>
      </c>
      <c r="D1191" t="s">
        <v>24</v>
      </c>
      <c r="E1191" t="s">
        <v>25</v>
      </c>
      <c r="F1191" t="s">
        <v>70</v>
      </c>
      <c r="G1191" t="s">
        <v>51</v>
      </c>
      <c r="H1191" t="s">
        <v>27</v>
      </c>
      <c r="I1191" t="s">
        <v>20</v>
      </c>
      <c r="J1191" t="s">
        <v>46</v>
      </c>
      <c r="K1191">
        <v>24</v>
      </c>
      <c r="L1191">
        <v>6.29</v>
      </c>
      <c r="M1191">
        <v>4.3</v>
      </c>
      <c r="N1191" t="s">
        <v>22</v>
      </c>
      <c r="O1191" t="str">
        <f t="shared" si="18"/>
        <v>No</v>
      </c>
    </row>
    <row r="1192" spans="1:15" x14ac:dyDescent="0.25">
      <c r="A1192" t="s">
        <v>1253</v>
      </c>
      <c r="B1192" s="1">
        <v>45733</v>
      </c>
      <c r="C1192" s="2">
        <v>45733.749166666668</v>
      </c>
      <c r="D1192" t="s">
        <v>15</v>
      </c>
      <c r="E1192" t="s">
        <v>16</v>
      </c>
      <c r="F1192" t="s">
        <v>60</v>
      </c>
      <c r="G1192" t="s">
        <v>51</v>
      </c>
      <c r="H1192" t="s">
        <v>54</v>
      </c>
      <c r="I1192" t="s">
        <v>28</v>
      </c>
      <c r="J1192" t="s">
        <v>21</v>
      </c>
      <c r="K1192">
        <v>48</v>
      </c>
      <c r="L1192">
        <v>17.98</v>
      </c>
      <c r="M1192">
        <v>5</v>
      </c>
      <c r="N1192" t="s">
        <v>22</v>
      </c>
      <c r="O1192" t="str">
        <f t="shared" si="18"/>
        <v>No</v>
      </c>
    </row>
    <row r="1193" spans="1:15" x14ac:dyDescent="0.25">
      <c r="A1193" t="s">
        <v>1254</v>
      </c>
      <c r="B1193" s="1">
        <v>45708</v>
      </c>
      <c r="C1193" s="2">
        <v>45709.377083333333</v>
      </c>
      <c r="D1193" t="s">
        <v>24</v>
      </c>
      <c r="E1193" t="s">
        <v>39</v>
      </c>
      <c r="F1193" t="s">
        <v>119</v>
      </c>
      <c r="G1193" t="s">
        <v>41</v>
      </c>
      <c r="H1193" t="s">
        <v>44</v>
      </c>
      <c r="I1193" t="s">
        <v>45</v>
      </c>
      <c r="J1193" t="s">
        <v>46</v>
      </c>
      <c r="K1193">
        <v>24</v>
      </c>
      <c r="L1193">
        <v>33.049999999999997</v>
      </c>
      <c r="M1193">
        <v>3.2</v>
      </c>
      <c r="N1193" t="s">
        <v>22</v>
      </c>
      <c r="O1193" t="str">
        <f t="shared" si="18"/>
        <v>Yes</v>
      </c>
    </row>
    <row r="1194" spans="1:15" x14ac:dyDescent="0.25">
      <c r="A1194" t="s">
        <v>1255</v>
      </c>
      <c r="B1194" s="1">
        <v>45688</v>
      </c>
      <c r="C1194" s="2">
        <v>45691.113749999997</v>
      </c>
      <c r="D1194" t="s">
        <v>15</v>
      </c>
      <c r="E1194" t="s">
        <v>32</v>
      </c>
      <c r="F1194" t="s">
        <v>80</v>
      </c>
      <c r="G1194" t="s">
        <v>51</v>
      </c>
      <c r="H1194" t="s">
        <v>35</v>
      </c>
      <c r="I1194" t="s">
        <v>36</v>
      </c>
      <c r="J1194" t="s">
        <v>21</v>
      </c>
      <c r="K1194">
        <v>48</v>
      </c>
      <c r="L1194">
        <v>74.73</v>
      </c>
      <c r="M1194">
        <v>3.6</v>
      </c>
      <c r="N1194" t="s">
        <v>22</v>
      </c>
      <c r="O1194" t="str">
        <f t="shared" si="18"/>
        <v>Yes</v>
      </c>
    </row>
    <row r="1195" spans="1:15" x14ac:dyDescent="0.25">
      <c r="A1195" t="s">
        <v>1256</v>
      </c>
      <c r="B1195" s="1">
        <v>45785</v>
      </c>
      <c r="C1195" s="2">
        <v>45785.459166666667</v>
      </c>
      <c r="D1195" t="s">
        <v>24</v>
      </c>
      <c r="E1195" t="s">
        <v>32</v>
      </c>
      <c r="F1195" t="s">
        <v>80</v>
      </c>
      <c r="G1195" t="s">
        <v>41</v>
      </c>
      <c r="H1195" t="s">
        <v>65</v>
      </c>
      <c r="I1195" t="s">
        <v>45</v>
      </c>
      <c r="J1195" t="s">
        <v>21</v>
      </c>
      <c r="K1195">
        <v>24</v>
      </c>
      <c r="L1195">
        <v>11.02</v>
      </c>
      <c r="M1195">
        <v>4.5</v>
      </c>
      <c r="N1195" t="s">
        <v>22</v>
      </c>
      <c r="O1195" t="str">
        <f t="shared" si="18"/>
        <v>No</v>
      </c>
    </row>
    <row r="1196" spans="1:15" x14ac:dyDescent="0.25">
      <c r="A1196" t="s">
        <v>1257</v>
      </c>
      <c r="B1196" s="1">
        <v>45753</v>
      </c>
      <c r="C1196" s="2">
        <v>45753.643333333333</v>
      </c>
      <c r="D1196" t="s">
        <v>38</v>
      </c>
      <c r="E1196" t="s">
        <v>25</v>
      </c>
      <c r="F1196" t="s">
        <v>26</v>
      </c>
      <c r="G1196" t="s">
        <v>51</v>
      </c>
      <c r="H1196" t="s">
        <v>44</v>
      </c>
      <c r="I1196" t="s">
        <v>36</v>
      </c>
      <c r="J1196" t="s">
        <v>21</v>
      </c>
      <c r="K1196">
        <v>8</v>
      </c>
      <c r="L1196">
        <v>15.44</v>
      </c>
      <c r="M1196">
        <v>2.5</v>
      </c>
      <c r="N1196" t="s">
        <v>22</v>
      </c>
      <c r="O1196" t="str">
        <f t="shared" si="18"/>
        <v>Yes</v>
      </c>
    </row>
    <row r="1197" spans="1:15" x14ac:dyDescent="0.25">
      <c r="A1197" t="s">
        <v>1258</v>
      </c>
      <c r="B1197" s="1">
        <v>45772</v>
      </c>
      <c r="C1197" s="2">
        <v>45772.500833333332</v>
      </c>
      <c r="D1197" t="s">
        <v>24</v>
      </c>
      <c r="E1197" t="s">
        <v>16</v>
      </c>
      <c r="F1197" t="s">
        <v>43</v>
      </c>
      <c r="G1197" t="s">
        <v>18</v>
      </c>
      <c r="H1197" t="s">
        <v>54</v>
      </c>
      <c r="I1197" t="s">
        <v>45</v>
      </c>
      <c r="J1197" t="s">
        <v>46</v>
      </c>
      <c r="K1197">
        <v>24</v>
      </c>
      <c r="L1197">
        <v>12.02</v>
      </c>
      <c r="M1197">
        <v>3.5</v>
      </c>
      <c r="N1197" t="s">
        <v>22</v>
      </c>
      <c r="O1197" t="str">
        <f t="shared" si="18"/>
        <v>No</v>
      </c>
    </row>
    <row r="1198" spans="1:15" x14ac:dyDescent="0.25">
      <c r="A1198" t="s">
        <v>1259</v>
      </c>
      <c r="B1198" s="1">
        <v>45787</v>
      </c>
      <c r="C1198" s="2">
        <v>45788.988333333335</v>
      </c>
      <c r="D1198" t="s">
        <v>15</v>
      </c>
      <c r="E1198" t="s">
        <v>32</v>
      </c>
      <c r="F1198" t="s">
        <v>64</v>
      </c>
      <c r="G1198" t="s">
        <v>41</v>
      </c>
      <c r="H1198" t="s">
        <v>44</v>
      </c>
      <c r="I1198" t="s">
        <v>36</v>
      </c>
      <c r="J1198" t="s">
        <v>21</v>
      </c>
      <c r="K1198">
        <v>48</v>
      </c>
      <c r="L1198">
        <v>47.72</v>
      </c>
      <c r="M1198">
        <v>2.6</v>
      </c>
      <c r="N1198" t="s">
        <v>22</v>
      </c>
      <c r="O1198" t="str">
        <f t="shared" si="18"/>
        <v>No</v>
      </c>
    </row>
    <row r="1199" spans="1:15" x14ac:dyDescent="0.25">
      <c r="A1199" t="s">
        <v>1260</v>
      </c>
      <c r="B1199" s="1">
        <v>45835</v>
      </c>
      <c r="C1199" s="2">
        <v>45835.565000000002</v>
      </c>
      <c r="D1199" t="s">
        <v>15</v>
      </c>
      <c r="E1199" t="s">
        <v>39</v>
      </c>
      <c r="F1199" t="s">
        <v>78</v>
      </c>
      <c r="G1199" t="s">
        <v>51</v>
      </c>
      <c r="H1199" t="s">
        <v>35</v>
      </c>
      <c r="I1199" t="s">
        <v>20</v>
      </c>
      <c r="J1199" t="s">
        <v>46</v>
      </c>
      <c r="K1199">
        <v>48</v>
      </c>
      <c r="L1199">
        <v>13.56</v>
      </c>
      <c r="M1199">
        <v>4.5</v>
      </c>
      <c r="N1199" t="s">
        <v>22</v>
      </c>
      <c r="O1199" t="str">
        <f t="shared" si="18"/>
        <v>No</v>
      </c>
    </row>
    <row r="1200" spans="1:15" x14ac:dyDescent="0.25">
      <c r="A1200" t="s">
        <v>1261</v>
      </c>
      <c r="B1200" s="1">
        <v>45803</v>
      </c>
      <c r="C1200" s="2">
        <v>45804.89166666667</v>
      </c>
      <c r="D1200" t="s">
        <v>15</v>
      </c>
      <c r="E1200" t="s">
        <v>32</v>
      </c>
      <c r="F1200" t="s">
        <v>80</v>
      </c>
      <c r="G1200" t="s">
        <v>56</v>
      </c>
      <c r="H1200" t="s">
        <v>44</v>
      </c>
      <c r="I1200" t="s">
        <v>45</v>
      </c>
      <c r="J1200" t="s">
        <v>21</v>
      </c>
      <c r="K1200">
        <v>48</v>
      </c>
      <c r="L1200">
        <v>45.4</v>
      </c>
      <c r="M1200">
        <v>3.7</v>
      </c>
      <c r="N1200" t="s">
        <v>22</v>
      </c>
      <c r="O1200" t="str">
        <f t="shared" si="18"/>
        <v>No</v>
      </c>
    </row>
    <row r="1201" spans="1:15" x14ac:dyDescent="0.25">
      <c r="A1201" t="s">
        <v>1262</v>
      </c>
      <c r="B1201" s="1">
        <v>45770</v>
      </c>
      <c r="C1201" s="2">
        <v>45770.428333333337</v>
      </c>
      <c r="D1201" t="s">
        <v>24</v>
      </c>
      <c r="E1201" t="s">
        <v>32</v>
      </c>
      <c r="F1201" t="s">
        <v>33</v>
      </c>
      <c r="G1201" t="s">
        <v>51</v>
      </c>
      <c r="H1201" t="s">
        <v>27</v>
      </c>
      <c r="I1201" t="s">
        <v>45</v>
      </c>
      <c r="J1201" t="s">
        <v>29</v>
      </c>
      <c r="K1201">
        <v>24</v>
      </c>
      <c r="L1201">
        <v>10.28</v>
      </c>
      <c r="M1201">
        <v>4</v>
      </c>
      <c r="N1201" t="s">
        <v>22</v>
      </c>
      <c r="O1201" t="str">
        <f t="shared" si="18"/>
        <v>No</v>
      </c>
    </row>
    <row r="1202" spans="1:15" x14ac:dyDescent="0.25">
      <c r="A1202" t="s">
        <v>1263</v>
      </c>
      <c r="B1202" s="1">
        <v>45817</v>
      </c>
      <c r="C1202" s="2">
        <v>45817.8675</v>
      </c>
      <c r="D1202" t="s">
        <v>38</v>
      </c>
      <c r="E1202" t="s">
        <v>32</v>
      </c>
      <c r="F1202" t="s">
        <v>75</v>
      </c>
      <c r="G1202" t="s">
        <v>18</v>
      </c>
      <c r="H1202" t="s">
        <v>44</v>
      </c>
      <c r="I1202" t="s">
        <v>36</v>
      </c>
      <c r="J1202" t="s">
        <v>29</v>
      </c>
      <c r="K1202">
        <v>8</v>
      </c>
      <c r="L1202">
        <v>20.82</v>
      </c>
      <c r="M1202">
        <v>2</v>
      </c>
      <c r="N1202" t="s">
        <v>22</v>
      </c>
      <c r="O1202" t="str">
        <f t="shared" si="18"/>
        <v>Yes</v>
      </c>
    </row>
    <row r="1203" spans="1:15" x14ac:dyDescent="0.25">
      <c r="A1203" t="s">
        <v>1264</v>
      </c>
      <c r="B1203" s="1">
        <v>45744</v>
      </c>
      <c r="C1203" s="2">
        <v>45745.467083333337</v>
      </c>
      <c r="D1203" t="s">
        <v>15</v>
      </c>
      <c r="E1203" t="s">
        <v>16</v>
      </c>
      <c r="F1203" t="s">
        <v>43</v>
      </c>
      <c r="G1203" t="s">
        <v>18</v>
      </c>
      <c r="H1203" t="s">
        <v>27</v>
      </c>
      <c r="I1203" t="s">
        <v>36</v>
      </c>
      <c r="J1203" t="s">
        <v>21</v>
      </c>
      <c r="K1203">
        <v>48</v>
      </c>
      <c r="L1203">
        <v>35.21</v>
      </c>
      <c r="M1203">
        <v>5</v>
      </c>
      <c r="N1203" t="s">
        <v>22</v>
      </c>
      <c r="O1203" t="str">
        <f t="shared" si="18"/>
        <v>No</v>
      </c>
    </row>
    <row r="1204" spans="1:15" x14ac:dyDescent="0.25">
      <c r="A1204" t="s">
        <v>1265</v>
      </c>
      <c r="B1204" s="1">
        <v>45836</v>
      </c>
      <c r="C1204" s="2">
        <v>45837.778333333335</v>
      </c>
      <c r="D1204" t="s">
        <v>24</v>
      </c>
      <c r="E1204" t="s">
        <v>32</v>
      </c>
      <c r="F1204" t="s">
        <v>75</v>
      </c>
      <c r="G1204" t="s">
        <v>51</v>
      </c>
      <c r="H1204" t="s">
        <v>19</v>
      </c>
      <c r="I1204" t="s">
        <v>20</v>
      </c>
      <c r="J1204" t="s">
        <v>21</v>
      </c>
      <c r="K1204">
        <v>24</v>
      </c>
      <c r="L1204">
        <v>42.68</v>
      </c>
      <c r="M1204">
        <v>3.9</v>
      </c>
      <c r="N1204" t="s">
        <v>22</v>
      </c>
      <c r="O1204" t="str">
        <f t="shared" si="18"/>
        <v>Yes</v>
      </c>
    </row>
    <row r="1205" spans="1:15" x14ac:dyDescent="0.25">
      <c r="A1205" t="s">
        <v>1266</v>
      </c>
      <c r="B1205" s="1">
        <v>45795</v>
      </c>
      <c r="C1205" s="2">
        <v>45795.636666666665</v>
      </c>
      <c r="D1205" t="s">
        <v>24</v>
      </c>
      <c r="E1205" t="s">
        <v>39</v>
      </c>
      <c r="F1205" t="s">
        <v>40</v>
      </c>
      <c r="G1205" t="s">
        <v>18</v>
      </c>
      <c r="H1205" t="s">
        <v>54</v>
      </c>
      <c r="I1205" t="s">
        <v>45</v>
      </c>
      <c r="J1205" t="s">
        <v>21</v>
      </c>
      <c r="K1205">
        <v>24</v>
      </c>
      <c r="L1205">
        <v>15.28</v>
      </c>
      <c r="M1205">
        <v>4.3</v>
      </c>
      <c r="N1205" t="s">
        <v>22</v>
      </c>
      <c r="O1205" t="str">
        <f t="shared" si="18"/>
        <v>No</v>
      </c>
    </row>
    <row r="1206" spans="1:15" x14ac:dyDescent="0.25">
      <c r="A1206" t="s">
        <v>1267</v>
      </c>
      <c r="B1206" s="1">
        <v>45775</v>
      </c>
      <c r="C1206" s="2">
        <v>45776.112083333333</v>
      </c>
      <c r="D1206" t="s">
        <v>15</v>
      </c>
      <c r="E1206" t="s">
        <v>39</v>
      </c>
      <c r="F1206" t="s">
        <v>78</v>
      </c>
      <c r="G1206" t="s">
        <v>34</v>
      </c>
      <c r="H1206" t="s">
        <v>54</v>
      </c>
      <c r="I1206" t="s">
        <v>28</v>
      </c>
      <c r="J1206" t="s">
        <v>21</v>
      </c>
      <c r="K1206">
        <v>48</v>
      </c>
      <c r="L1206">
        <v>26.69</v>
      </c>
      <c r="M1206">
        <v>4.4000000000000004</v>
      </c>
      <c r="N1206" t="s">
        <v>22</v>
      </c>
      <c r="O1206" t="str">
        <f t="shared" si="18"/>
        <v>No</v>
      </c>
    </row>
    <row r="1207" spans="1:15" x14ac:dyDescent="0.25">
      <c r="A1207" t="s">
        <v>1268</v>
      </c>
      <c r="B1207" s="1">
        <v>45821</v>
      </c>
      <c r="C1207" s="2">
        <v>45822.248749999999</v>
      </c>
      <c r="D1207" t="s">
        <v>15</v>
      </c>
      <c r="E1207" t="s">
        <v>39</v>
      </c>
      <c r="F1207" t="s">
        <v>87</v>
      </c>
      <c r="G1207" t="s">
        <v>51</v>
      </c>
      <c r="H1207" t="s">
        <v>44</v>
      </c>
      <c r="I1207" t="s">
        <v>45</v>
      </c>
      <c r="J1207" t="s">
        <v>21</v>
      </c>
      <c r="K1207">
        <v>48</v>
      </c>
      <c r="L1207">
        <v>29.97</v>
      </c>
      <c r="M1207">
        <v>4.7</v>
      </c>
      <c r="N1207" t="s">
        <v>22</v>
      </c>
      <c r="O1207" t="str">
        <f t="shared" si="18"/>
        <v>No</v>
      </c>
    </row>
    <row r="1208" spans="1:15" x14ac:dyDescent="0.25">
      <c r="A1208" t="s">
        <v>1269</v>
      </c>
      <c r="B1208" s="1">
        <v>45751</v>
      </c>
      <c r="C1208" s="2">
        <v>45753.089583333334</v>
      </c>
      <c r="D1208" t="s">
        <v>24</v>
      </c>
      <c r="E1208" t="s">
        <v>32</v>
      </c>
      <c r="F1208" t="s">
        <v>80</v>
      </c>
      <c r="G1208" t="s">
        <v>34</v>
      </c>
      <c r="H1208" t="s">
        <v>65</v>
      </c>
      <c r="I1208" t="s">
        <v>36</v>
      </c>
      <c r="J1208" t="s">
        <v>21</v>
      </c>
      <c r="K1208">
        <v>24</v>
      </c>
      <c r="L1208">
        <v>50.15</v>
      </c>
      <c r="M1208">
        <v>2.7</v>
      </c>
      <c r="N1208" t="s">
        <v>22</v>
      </c>
      <c r="O1208" t="str">
        <f t="shared" si="18"/>
        <v>Yes</v>
      </c>
    </row>
    <row r="1209" spans="1:15" x14ac:dyDescent="0.25">
      <c r="A1209" t="s">
        <v>1270</v>
      </c>
      <c r="B1209" s="1">
        <v>45788</v>
      </c>
      <c r="C1209" s="2">
        <v>45788.359583333331</v>
      </c>
      <c r="D1209" t="s">
        <v>24</v>
      </c>
      <c r="E1209" t="s">
        <v>32</v>
      </c>
      <c r="F1209" t="s">
        <v>64</v>
      </c>
      <c r="G1209" t="s">
        <v>41</v>
      </c>
      <c r="H1209" t="s">
        <v>27</v>
      </c>
      <c r="I1209" t="s">
        <v>45</v>
      </c>
      <c r="J1209" t="s">
        <v>46</v>
      </c>
      <c r="K1209">
        <v>24</v>
      </c>
      <c r="L1209">
        <v>8.6300000000000008</v>
      </c>
      <c r="M1209">
        <v>5</v>
      </c>
      <c r="N1209" t="s">
        <v>22</v>
      </c>
      <c r="O1209" t="str">
        <f t="shared" si="18"/>
        <v>No</v>
      </c>
    </row>
    <row r="1210" spans="1:15" x14ac:dyDescent="0.25">
      <c r="A1210" t="s">
        <v>1271</v>
      </c>
      <c r="B1210" s="1">
        <v>45709</v>
      </c>
      <c r="C1210" s="2">
        <v>45711.53</v>
      </c>
      <c r="D1210" t="s">
        <v>24</v>
      </c>
      <c r="E1210" t="s">
        <v>32</v>
      </c>
      <c r="F1210" t="s">
        <v>80</v>
      </c>
      <c r="G1210" t="s">
        <v>56</v>
      </c>
      <c r="H1210" t="s">
        <v>54</v>
      </c>
      <c r="I1210" t="s">
        <v>20</v>
      </c>
      <c r="J1210" t="s">
        <v>21</v>
      </c>
      <c r="K1210">
        <v>24</v>
      </c>
      <c r="L1210">
        <v>60.72</v>
      </c>
      <c r="M1210">
        <v>2.2000000000000002</v>
      </c>
      <c r="N1210" t="s">
        <v>61</v>
      </c>
      <c r="O1210" t="str">
        <f t="shared" si="18"/>
        <v>Yes</v>
      </c>
    </row>
    <row r="1211" spans="1:15" x14ac:dyDescent="0.25">
      <c r="A1211" t="s">
        <v>1272</v>
      </c>
      <c r="B1211" s="1">
        <v>45832</v>
      </c>
      <c r="C1211" s="2">
        <v>45832.370833333334</v>
      </c>
      <c r="D1211" t="s">
        <v>38</v>
      </c>
      <c r="E1211" t="s">
        <v>39</v>
      </c>
      <c r="F1211" t="s">
        <v>87</v>
      </c>
      <c r="G1211" t="s">
        <v>56</v>
      </c>
      <c r="H1211" t="s">
        <v>65</v>
      </c>
      <c r="I1211" t="s">
        <v>36</v>
      </c>
      <c r="J1211" t="s">
        <v>85</v>
      </c>
      <c r="K1211">
        <v>8</v>
      </c>
      <c r="L1211">
        <v>8.9</v>
      </c>
      <c r="M1211">
        <v>3.8</v>
      </c>
      <c r="N1211" t="s">
        <v>22</v>
      </c>
      <c r="O1211" t="str">
        <f t="shared" si="18"/>
        <v>Yes</v>
      </c>
    </row>
    <row r="1212" spans="1:15" x14ac:dyDescent="0.25">
      <c r="A1212" t="s">
        <v>1273</v>
      </c>
      <c r="B1212" s="1">
        <v>45770</v>
      </c>
      <c r="C1212" s="2">
        <v>45770.672083333331</v>
      </c>
      <c r="D1212" t="s">
        <v>38</v>
      </c>
      <c r="E1212" t="s">
        <v>16</v>
      </c>
      <c r="F1212" t="s">
        <v>58</v>
      </c>
      <c r="G1212" t="s">
        <v>34</v>
      </c>
      <c r="H1212" t="s">
        <v>19</v>
      </c>
      <c r="I1212" t="s">
        <v>45</v>
      </c>
      <c r="J1212" t="s">
        <v>21</v>
      </c>
      <c r="K1212">
        <v>8</v>
      </c>
      <c r="L1212">
        <v>16.13</v>
      </c>
      <c r="M1212">
        <v>2.2000000000000002</v>
      </c>
      <c r="N1212" t="s">
        <v>22</v>
      </c>
      <c r="O1212" t="str">
        <f t="shared" si="18"/>
        <v>Yes</v>
      </c>
    </row>
    <row r="1213" spans="1:15" x14ac:dyDescent="0.25">
      <c r="A1213" t="s">
        <v>1274</v>
      </c>
      <c r="B1213" s="1">
        <v>45799</v>
      </c>
      <c r="C1213" s="2">
        <v>45799.063333333332</v>
      </c>
      <c r="D1213" t="s">
        <v>38</v>
      </c>
      <c r="E1213" t="s">
        <v>32</v>
      </c>
      <c r="F1213" t="s">
        <v>64</v>
      </c>
      <c r="G1213" t="s">
        <v>56</v>
      </c>
      <c r="H1213" t="s">
        <v>54</v>
      </c>
      <c r="I1213" t="s">
        <v>36</v>
      </c>
      <c r="J1213" t="s">
        <v>21</v>
      </c>
      <c r="K1213">
        <v>8</v>
      </c>
      <c r="L1213">
        <v>1.52</v>
      </c>
      <c r="M1213">
        <v>5</v>
      </c>
      <c r="N1213" t="s">
        <v>22</v>
      </c>
      <c r="O1213" t="str">
        <f t="shared" si="18"/>
        <v>No</v>
      </c>
    </row>
    <row r="1214" spans="1:15" x14ac:dyDescent="0.25">
      <c r="A1214" t="s">
        <v>1275</v>
      </c>
      <c r="B1214" s="1">
        <v>45741</v>
      </c>
      <c r="C1214" s="2">
        <v>45741.162916666668</v>
      </c>
      <c r="D1214" t="s">
        <v>31</v>
      </c>
      <c r="E1214" t="s">
        <v>25</v>
      </c>
      <c r="F1214" t="s">
        <v>70</v>
      </c>
      <c r="G1214" t="s">
        <v>34</v>
      </c>
      <c r="H1214" t="s">
        <v>65</v>
      </c>
      <c r="I1214" t="s">
        <v>36</v>
      </c>
      <c r="J1214" t="s">
        <v>21</v>
      </c>
      <c r="K1214">
        <v>4</v>
      </c>
      <c r="L1214">
        <v>3.91</v>
      </c>
      <c r="M1214">
        <v>2.4</v>
      </c>
      <c r="N1214" t="s">
        <v>22</v>
      </c>
      <c r="O1214" t="str">
        <f t="shared" si="18"/>
        <v>No</v>
      </c>
    </row>
    <row r="1215" spans="1:15" x14ac:dyDescent="0.25">
      <c r="A1215" t="s">
        <v>1276</v>
      </c>
      <c r="B1215" s="1">
        <v>45814</v>
      </c>
      <c r="C1215" s="2">
        <v>45814.472500000003</v>
      </c>
      <c r="D1215" t="s">
        <v>38</v>
      </c>
      <c r="E1215" t="s">
        <v>16</v>
      </c>
      <c r="F1215" t="s">
        <v>17</v>
      </c>
      <c r="G1215" t="s">
        <v>18</v>
      </c>
      <c r="H1215" t="s">
        <v>44</v>
      </c>
      <c r="I1215" t="s">
        <v>36</v>
      </c>
      <c r="J1215" t="s">
        <v>29</v>
      </c>
      <c r="K1215">
        <v>8</v>
      </c>
      <c r="L1215">
        <v>11.34</v>
      </c>
      <c r="M1215">
        <v>3.5</v>
      </c>
      <c r="N1215" t="s">
        <v>22</v>
      </c>
      <c r="O1215" t="str">
        <f t="shared" si="18"/>
        <v>Yes</v>
      </c>
    </row>
    <row r="1216" spans="1:15" x14ac:dyDescent="0.25">
      <c r="A1216" t="s">
        <v>1277</v>
      </c>
      <c r="B1216" s="1">
        <v>45671</v>
      </c>
      <c r="C1216" s="2">
        <v>45671.481666666667</v>
      </c>
      <c r="D1216" t="s">
        <v>38</v>
      </c>
      <c r="E1216" t="s">
        <v>32</v>
      </c>
      <c r="F1216" t="s">
        <v>33</v>
      </c>
      <c r="G1216" t="s">
        <v>34</v>
      </c>
      <c r="H1216" t="s">
        <v>54</v>
      </c>
      <c r="I1216" t="s">
        <v>45</v>
      </c>
      <c r="J1216" t="s">
        <v>29</v>
      </c>
      <c r="K1216">
        <v>8</v>
      </c>
      <c r="L1216">
        <v>11.56</v>
      </c>
      <c r="M1216">
        <v>2</v>
      </c>
      <c r="N1216" t="s">
        <v>22</v>
      </c>
      <c r="O1216" t="str">
        <f t="shared" si="18"/>
        <v>Yes</v>
      </c>
    </row>
    <row r="1217" spans="1:15" x14ac:dyDescent="0.25">
      <c r="A1217" t="s">
        <v>1278</v>
      </c>
      <c r="B1217" s="1">
        <v>45678</v>
      </c>
      <c r="C1217" s="2">
        <v>45678.325416666667</v>
      </c>
      <c r="D1217" t="s">
        <v>38</v>
      </c>
      <c r="E1217" t="s">
        <v>32</v>
      </c>
      <c r="F1217" t="s">
        <v>33</v>
      </c>
      <c r="G1217" t="s">
        <v>56</v>
      </c>
      <c r="H1217" t="s">
        <v>27</v>
      </c>
      <c r="I1217" t="s">
        <v>20</v>
      </c>
      <c r="J1217" t="s">
        <v>21</v>
      </c>
      <c r="K1217">
        <v>8</v>
      </c>
      <c r="L1217">
        <v>7.81</v>
      </c>
      <c r="M1217">
        <v>4</v>
      </c>
      <c r="N1217" t="s">
        <v>22</v>
      </c>
      <c r="O1217" t="str">
        <f t="shared" si="18"/>
        <v>No</v>
      </c>
    </row>
    <row r="1218" spans="1:15" x14ac:dyDescent="0.25">
      <c r="A1218" t="s">
        <v>1279</v>
      </c>
      <c r="B1218" s="1">
        <v>45749</v>
      </c>
      <c r="C1218" s="2">
        <v>45749.133333333331</v>
      </c>
      <c r="D1218" t="s">
        <v>38</v>
      </c>
      <c r="E1218" t="s">
        <v>32</v>
      </c>
      <c r="F1218" t="s">
        <v>33</v>
      </c>
      <c r="G1218" t="s">
        <v>34</v>
      </c>
      <c r="H1218" t="s">
        <v>35</v>
      </c>
      <c r="I1218" t="s">
        <v>36</v>
      </c>
      <c r="J1218" t="s">
        <v>46</v>
      </c>
      <c r="K1218">
        <v>8</v>
      </c>
      <c r="L1218">
        <v>3.2</v>
      </c>
      <c r="M1218">
        <v>3.9</v>
      </c>
      <c r="N1218" t="s">
        <v>22</v>
      </c>
      <c r="O1218" t="str">
        <f t="shared" si="18"/>
        <v>No</v>
      </c>
    </row>
    <row r="1219" spans="1:15" x14ac:dyDescent="0.25">
      <c r="A1219" t="s">
        <v>1280</v>
      </c>
      <c r="B1219" s="1">
        <v>45790</v>
      </c>
      <c r="C1219" s="2">
        <v>45790.125833333332</v>
      </c>
      <c r="D1219" t="s">
        <v>38</v>
      </c>
      <c r="E1219" t="s">
        <v>32</v>
      </c>
      <c r="F1219" t="s">
        <v>75</v>
      </c>
      <c r="G1219" t="s">
        <v>18</v>
      </c>
      <c r="H1219" t="s">
        <v>54</v>
      </c>
      <c r="I1219" t="s">
        <v>20</v>
      </c>
      <c r="J1219" t="s">
        <v>21</v>
      </c>
      <c r="K1219">
        <v>8</v>
      </c>
      <c r="L1219">
        <v>3.02</v>
      </c>
      <c r="M1219">
        <v>5</v>
      </c>
      <c r="N1219" t="s">
        <v>61</v>
      </c>
      <c r="O1219" t="str">
        <f t="shared" ref="O1219:O1282" si="19">IF(L1219&gt;K1219,"Yes","No")</f>
        <v>No</v>
      </c>
    </row>
    <row r="1220" spans="1:15" x14ac:dyDescent="0.25">
      <c r="A1220" t="s">
        <v>1281</v>
      </c>
      <c r="B1220" s="1">
        <v>45804</v>
      </c>
      <c r="C1220" s="2">
        <v>45804.119166666664</v>
      </c>
      <c r="D1220" t="s">
        <v>38</v>
      </c>
      <c r="E1220" t="s">
        <v>16</v>
      </c>
      <c r="F1220" t="s">
        <v>58</v>
      </c>
      <c r="G1220" t="s">
        <v>18</v>
      </c>
      <c r="H1220" t="s">
        <v>54</v>
      </c>
      <c r="I1220" t="s">
        <v>20</v>
      </c>
      <c r="J1220" t="s">
        <v>21</v>
      </c>
      <c r="K1220">
        <v>8</v>
      </c>
      <c r="L1220">
        <v>2.86</v>
      </c>
      <c r="M1220">
        <v>4.7</v>
      </c>
      <c r="N1220" t="s">
        <v>22</v>
      </c>
      <c r="O1220" t="str">
        <f t="shared" si="19"/>
        <v>No</v>
      </c>
    </row>
    <row r="1221" spans="1:15" x14ac:dyDescent="0.25">
      <c r="A1221" t="s">
        <v>1282</v>
      </c>
      <c r="B1221" s="1">
        <v>45737</v>
      </c>
      <c r="C1221" s="2">
        <v>45737.700416666667</v>
      </c>
      <c r="D1221" t="s">
        <v>24</v>
      </c>
      <c r="E1221" t="s">
        <v>32</v>
      </c>
      <c r="F1221" t="s">
        <v>80</v>
      </c>
      <c r="G1221" t="s">
        <v>56</v>
      </c>
      <c r="H1221" t="s">
        <v>19</v>
      </c>
      <c r="I1221" t="s">
        <v>36</v>
      </c>
      <c r="J1221" t="s">
        <v>21</v>
      </c>
      <c r="K1221">
        <v>24</v>
      </c>
      <c r="L1221">
        <v>16.809999999999999</v>
      </c>
      <c r="M1221">
        <v>4.2</v>
      </c>
      <c r="N1221" t="s">
        <v>22</v>
      </c>
      <c r="O1221" t="str">
        <f t="shared" si="19"/>
        <v>No</v>
      </c>
    </row>
    <row r="1222" spans="1:15" x14ac:dyDescent="0.25">
      <c r="A1222" t="s">
        <v>1283</v>
      </c>
      <c r="B1222" s="1">
        <v>45775</v>
      </c>
      <c r="C1222" s="2">
        <v>45775.615833333337</v>
      </c>
      <c r="D1222" t="s">
        <v>24</v>
      </c>
      <c r="E1222" t="s">
        <v>25</v>
      </c>
      <c r="F1222" t="s">
        <v>53</v>
      </c>
      <c r="G1222" t="s">
        <v>56</v>
      </c>
      <c r="H1222" t="s">
        <v>54</v>
      </c>
      <c r="I1222" t="s">
        <v>36</v>
      </c>
      <c r="J1222" t="s">
        <v>46</v>
      </c>
      <c r="K1222">
        <v>24</v>
      </c>
      <c r="L1222">
        <v>14.78</v>
      </c>
      <c r="M1222">
        <v>4.5999999999999996</v>
      </c>
      <c r="N1222" t="s">
        <v>22</v>
      </c>
      <c r="O1222" t="str">
        <f t="shared" si="19"/>
        <v>No</v>
      </c>
    </row>
    <row r="1223" spans="1:15" x14ac:dyDescent="0.25">
      <c r="A1223" t="s">
        <v>1284</v>
      </c>
      <c r="B1223" s="1">
        <v>45758</v>
      </c>
      <c r="C1223" s="2">
        <v>45758.415000000001</v>
      </c>
      <c r="D1223" t="s">
        <v>24</v>
      </c>
      <c r="E1223" t="s">
        <v>16</v>
      </c>
      <c r="F1223" t="s">
        <v>60</v>
      </c>
      <c r="G1223" t="s">
        <v>41</v>
      </c>
      <c r="H1223" t="s">
        <v>35</v>
      </c>
      <c r="I1223" t="s">
        <v>36</v>
      </c>
      <c r="J1223" t="s">
        <v>21</v>
      </c>
      <c r="K1223">
        <v>24</v>
      </c>
      <c r="L1223">
        <v>9.9600000000000009</v>
      </c>
      <c r="M1223">
        <v>4</v>
      </c>
      <c r="N1223" t="s">
        <v>61</v>
      </c>
      <c r="O1223" t="str">
        <f t="shared" si="19"/>
        <v>No</v>
      </c>
    </row>
    <row r="1224" spans="1:15" x14ac:dyDescent="0.25">
      <c r="A1224" t="s">
        <v>1285</v>
      </c>
      <c r="B1224" s="1">
        <v>45832</v>
      </c>
      <c r="C1224" s="2">
        <v>45832.157916666663</v>
      </c>
      <c r="D1224" t="s">
        <v>38</v>
      </c>
      <c r="E1224" t="s">
        <v>25</v>
      </c>
      <c r="F1224" t="s">
        <v>70</v>
      </c>
      <c r="G1224" t="s">
        <v>51</v>
      </c>
      <c r="H1224" t="s">
        <v>27</v>
      </c>
      <c r="I1224" t="s">
        <v>36</v>
      </c>
      <c r="J1224" t="s">
        <v>21</v>
      </c>
      <c r="K1224">
        <v>8</v>
      </c>
      <c r="L1224">
        <v>3.79</v>
      </c>
      <c r="M1224">
        <v>5</v>
      </c>
      <c r="N1224" t="s">
        <v>22</v>
      </c>
      <c r="O1224" t="str">
        <f t="shared" si="19"/>
        <v>No</v>
      </c>
    </row>
    <row r="1225" spans="1:15" x14ac:dyDescent="0.25">
      <c r="A1225" t="s">
        <v>1286</v>
      </c>
      <c r="B1225" s="1">
        <v>45776</v>
      </c>
      <c r="C1225" s="2">
        <v>45776.562083333331</v>
      </c>
      <c r="D1225" t="s">
        <v>24</v>
      </c>
      <c r="E1225" t="s">
        <v>25</v>
      </c>
      <c r="F1225" t="s">
        <v>48</v>
      </c>
      <c r="G1225" t="s">
        <v>56</v>
      </c>
      <c r="H1225" t="s">
        <v>19</v>
      </c>
      <c r="I1225" t="s">
        <v>28</v>
      </c>
      <c r="J1225" t="s">
        <v>21</v>
      </c>
      <c r="K1225">
        <v>24</v>
      </c>
      <c r="L1225">
        <v>13.49</v>
      </c>
      <c r="M1225">
        <v>4.8</v>
      </c>
      <c r="N1225" t="s">
        <v>22</v>
      </c>
      <c r="O1225" t="str">
        <f t="shared" si="19"/>
        <v>No</v>
      </c>
    </row>
    <row r="1226" spans="1:15" x14ac:dyDescent="0.25">
      <c r="A1226" t="s">
        <v>1287</v>
      </c>
      <c r="B1226" s="1">
        <v>45733</v>
      </c>
      <c r="C1226" s="2">
        <v>45733.020833333336</v>
      </c>
      <c r="D1226" t="s">
        <v>38</v>
      </c>
      <c r="E1226" t="s">
        <v>16</v>
      </c>
      <c r="F1226" t="s">
        <v>17</v>
      </c>
      <c r="G1226" t="s">
        <v>41</v>
      </c>
      <c r="H1226" t="s">
        <v>27</v>
      </c>
      <c r="I1226" t="s">
        <v>20</v>
      </c>
      <c r="J1226" t="s">
        <v>29</v>
      </c>
      <c r="K1226">
        <v>8</v>
      </c>
      <c r="L1226">
        <v>0.5</v>
      </c>
      <c r="M1226">
        <v>4.5999999999999996</v>
      </c>
      <c r="N1226" t="s">
        <v>22</v>
      </c>
      <c r="O1226" t="str">
        <f t="shared" si="19"/>
        <v>No</v>
      </c>
    </row>
    <row r="1227" spans="1:15" x14ac:dyDescent="0.25">
      <c r="A1227" t="s">
        <v>1288</v>
      </c>
      <c r="B1227" s="1">
        <v>45833</v>
      </c>
      <c r="C1227" s="2">
        <v>45833.144166666665</v>
      </c>
      <c r="D1227" t="s">
        <v>38</v>
      </c>
      <c r="E1227" t="s">
        <v>45</v>
      </c>
      <c r="F1227" t="s">
        <v>112</v>
      </c>
      <c r="G1227" t="s">
        <v>56</v>
      </c>
      <c r="H1227" t="s">
        <v>35</v>
      </c>
      <c r="I1227" t="s">
        <v>36</v>
      </c>
      <c r="J1227" t="s">
        <v>85</v>
      </c>
      <c r="K1227">
        <v>8</v>
      </c>
      <c r="L1227">
        <v>3.46</v>
      </c>
      <c r="M1227">
        <v>3.8</v>
      </c>
      <c r="N1227" t="s">
        <v>22</v>
      </c>
      <c r="O1227" t="str">
        <f t="shared" si="19"/>
        <v>No</v>
      </c>
    </row>
    <row r="1228" spans="1:15" x14ac:dyDescent="0.25">
      <c r="A1228" t="s">
        <v>1289</v>
      </c>
      <c r="B1228" s="1">
        <v>45677</v>
      </c>
      <c r="C1228" s="2">
        <v>45677.055833333332</v>
      </c>
      <c r="D1228" t="s">
        <v>31</v>
      </c>
      <c r="E1228" t="s">
        <v>45</v>
      </c>
      <c r="F1228" t="s">
        <v>100</v>
      </c>
      <c r="G1228" t="s">
        <v>51</v>
      </c>
      <c r="H1228" t="s">
        <v>19</v>
      </c>
      <c r="I1228" t="s">
        <v>45</v>
      </c>
      <c r="J1228" t="s">
        <v>21</v>
      </c>
      <c r="K1228">
        <v>4</v>
      </c>
      <c r="L1228">
        <v>1.34</v>
      </c>
      <c r="M1228">
        <v>4.4000000000000004</v>
      </c>
      <c r="N1228" t="s">
        <v>61</v>
      </c>
      <c r="O1228" t="str">
        <f t="shared" si="19"/>
        <v>No</v>
      </c>
    </row>
    <row r="1229" spans="1:15" x14ac:dyDescent="0.25">
      <c r="A1229" t="s">
        <v>1290</v>
      </c>
      <c r="B1229" s="1">
        <v>45836</v>
      </c>
      <c r="C1229" s="2">
        <v>45836.361250000002</v>
      </c>
      <c r="D1229" t="s">
        <v>15</v>
      </c>
      <c r="E1229" t="s">
        <v>39</v>
      </c>
      <c r="F1229" t="s">
        <v>40</v>
      </c>
      <c r="G1229" t="s">
        <v>41</v>
      </c>
      <c r="H1229" t="s">
        <v>27</v>
      </c>
      <c r="I1229" t="s">
        <v>36</v>
      </c>
      <c r="J1229" t="s">
        <v>46</v>
      </c>
      <c r="K1229">
        <v>48</v>
      </c>
      <c r="L1229">
        <v>8.67</v>
      </c>
      <c r="M1229">
        <v>4.7</v>
      </c>
      <c r="N1229" t="s">
        <v>22</v>
      </c>
      <c r="O1229" t="str">
        <f t="shared" si="19"/>
        <v>No</v>
      </c>
    </row>
    <row r="1230" spans="1:15" x14ac:dyDescent="0.25">
      <c r="A1230" t="s">
        <v>1291</v>
      </c>
      <c r="B1230" s="1">
        <v>45685</v>
      </c>
      <c r="C1230" s="2">
        <v>45685.192916666667</v>
      </c>
      <c r="D1230" t="s">
        <v>24</v>
      </c>
      <c r="E1230" t="s">
        <v>32</v>
      </c>
      <c r="F1230" t="s">
        <v>64</v>
      </c>
      <c r="G1230" t="s">
        <v>34</v>
      </c>
      <c r="H1230" t="s">
        <v>44</v>
      </c>
      <c r="I1230" t="s">
        <v>36</v>
      </c>
      <c r="J1230" t="s">
        <v>46</v>
      </c>
      <c r="K1230">
        <v>24</v>
      </c>
      <c r="L1230">
        <v>4.63</v>
      </c>
      <c r="M1230">
        <v>4.0999999999999996</v>
      </c>
      <c r="N1230" t="s">
        <v>22</v>
      </c>
      <c r="O1230" t="str">
        <f t="shared" si="19"/>
        <v>No</v>
      </c>
    </row>
    <row r="1231" spans="1:15" x14ac:dyDescent="0.25">
      <c r="A1231" t="s">
        <v>1292</v>
      </c>
      <c r="B1231" s="1">
        <v>45710</v>
      </c>
      <c r="C1231" s="2">
        <v>45710.142083333332</v>
      </c>
      <c r="D1231" t="s">
        <v>38</v>
      </c>
      <c r="E1231" t="s">
        <v>39</v>
      </c>
      <c r="F1231" t="s">
        <v>40</v>
      </c>
      <c r="G1231" t="s">
        <v>51</v>
      </c>
      <c r="H1231" t="s">
        <v>65</v>
      </c>
      <c r="I1231" t="s">
        <v>36</v>
      </c>
      <c r="J1231" t="s">
        <v>85</v>
      </c>
      <c r="K1231">
        <v>8</v>
      </c>
      <c r="L1231">
        <v>3.41</v>
      </c>
      <c r="M1231">
        <v>4.2</v>
      </c>
      <c r="N1231" t="s">
        <v>22</v>
      </c>
      <c r="O1231" t="str">
        <f t="shared" si="19"/>
        <v>No</v>
      </c>
    </row>
    <row r="1232" spans="1:15" x14ac:dyDescent="0.25">
      <c r="A1232" t="s">
        <v>1293</v>
      </c>
      <c r="B1232" s="1">
        <v>45806</v>
      </c>
      <c r="C1232" s="2">
        <v>45806.241666666669</v>
      </c>
      <c r="D1232" t="s">
        <v>38</v>
      </c>
      <c r="E1232" t="s">
        <v>32</v>
      </c>
      <c r="F1232" t="s">
        <v>33</v>
      </c>
      <c r="G1232" t="s">
        <v>18</v>
      </c>
      <c r="H1232" t="s">
        <v>65</v>
      </c>
      <c r="I1232" t="s">
        <v>36</v>
      </c>
      <c r="J1232" t="s">
        <v>21</v>
      </c>
      <c r="K1232">
        <v>8</v>
      </c>
      <c r="L1232">
        <v>5.8</v>
      </c>
      <c r="M1232">
        <v>3.7</v>
      </c>
      <c r="N1232" t="s">
        <v>22</v>
      </c>
      <c r="O1232" t="str">
        <f t="shared" si="19"/>
        <v>No</v>
      </c>
    </row>
    <row r="1233" spans="1:15" x14ac:dyDescent="0.25">
      <c r="A1233" t="s">
        <v>1294</v>
      </c>
      <c r="B1233" s="1">
        <v>45790</v>
      </c>
      <c r="C1233" s="2">
        <v>45790.252916666665</v>
      </c>
      <c r="D1233" t="s">
        <v>38</v>
      </c>
      <c r="E1233" t="s">
        <v>16</v>
      </c>
      <c r="F1233" t="s">
        <v>17</v>
      </c>
      <c r="G1233" t="s">
        <v>51</v>
      </c>
      <c r="H1233" t="s">
        <v>44</v>
      </c>
      <c r="I1233" t="s">
        <v>36</v>
      </c>
      <c r="J1233" t="s">
        <v>21</v>
      </c>
      <c r="K1233">
        <v>8</v>
      </c>
      <c r="L1233">
        <v>6.07</v>
      </c>
      <c r="M1233">
        <v>4</v>
      </c>
      <c r="N1233" t="s">
        <v>22</v>
      </c>
      <c r="O1233" t="str">
        <f t="shared" si="19"/>
        <v>No</v>
      </c>
    </row>
    <row r="1234" spans="1:15" x14ac:dyDescent="0.25">
      <c r="A1234" t="s">
        <v>1295</v>
      </c>
      <c r="B1234" s="1">
        <v>45833</v>
      </c>
      <c r="C1234" s="2">
        <v>45833.839583333334</v>
      </c>
      <c r="D1234" t="s">
        <v>24</v>
      </c>
      <c r="E1234" t="s">
        <v>39</v>
      </c>
      <c r="F1234" t="s">
        <v>119</v>
      </c>
      <c r="G1234" t="s">
        <v>34</v>
      </c>
      <c r="H1234" t="s">
        <v>54</v>
      </c>
      <c r="I1234" t="s">
        <v>36</v>
      </c>
      <c r="J1234" t="s">
        <v>21</v>
      </c>
      <c r="K1234">
        <v>24</v>
      </c>
      <c r="L1234">
        <v>20.149999999999999</v>
      </c>
      <c r="M1234">
        <v>3.9</v>
      </c>
      <c r="N1234" t="s">
        <v>22</v>
      </c>
      <c r="O1234" t="str">
        <f t="shared" si="19"/>
        <v>No</v>
      </c>
    </row>
    <row r="1235" spans="1:15" x14ac:dyDescent="0.25">
      <c r="A1235" t="s">
        <v>1296</v>
      </c>
      <c r="B1235" s="1">
        <v>45793</v>
      </c>
      <c r="C1235" s="2">
        <v>45793.759583333333</v>
      </c>
      <c r="D1235" t="s">
        <v>24</v>
      </c>
      <c r="E1235" t="s">
        <v>16</v>
      </c>
      <c r="F1235" t="s">
        <v>58</v>
      </c>
      <c r="G1235" t="s">
        <v>34</v>
      </c>
      <c r="H1235" t="s">
        <v>65</v>
      </c>
      <c r="I1235" t="s">
        <v>36</v>
      </c>
      <c r="J1235" t="s">
        <v>46</v>
      </c>
      <c r="K1235">
        <v>24</v>
      </c>
      <c r="L1235">
        <v>18.23</v>
      </c>
      <c r="M1235">
        <v>4.4000000000000004</v>
      </c>
      <c r="N1235" t="s">
        <v>61</v>
      </c>
      <c r="O1235" t="str">
        <f t="shared" si="19"/>
        <v>No</v>
      </c>
    </row>
    <row r="1236" spans="1:15" x14ac:dyDescent="0.25">
      <c r="A1236" t="s">
        <v>1297</v>
      </c>
      <c r="B1236" s="1">
        <v>45773</v>
      </c>
      <c r="C1236" s="2">
        <v>45773.740416666667</v>
      </c>
      <c r="D1236" t="s">
        <v>15</v>
      </c>
      <c r="E1236" t="s">
        <v>25</v>
      </c>
      <c r="F1236" t="s">
        <v>48</v>
      </c>
      <c r="G1236" t="s">
        <v>51</v>
      </c>
      <c r="H1236" t="s">
        <v>44</v>
      </c>
      <c r="I1236" t="s">
        <v>45</v>
      </c>
      <c r="J1236" t="s">
        <v>21</v>
      </c>
      <c r="K1236">
        <v>48</v>
      </c>
      <c r="L1236">
        <v>17.77</v>
      </c>
      <c r="M1236">
        <v>4.5999999999999996</v>
      </c>
      <c r="N1236" t="s">
        <v>22</v>
      </c>
      <c r="O1236" t="str">
        <f t="shared" si="19"/>
        <v>No</v>
      </c>
    </row>
    <row r="1237" spans="1:15" x14ac:dyDescent="0.25">
      <c r="A1237" t="s">
        <v>1298</v>
      </c>
      <c r="B1237" s="1">
        <v>45720</v>
      </c>
      <c r="C1237" s="2">
        <v>45720.032083333332</v>
      </c>
      <c r="D1237" t="s">
        <v>31</v>
      </c>
      <c r="E1237" t="s">
        <v>32</v>
      </c>
      <c r="F1237" t="s">
        <v>75</v>
      </c>
      <c r="G1237" t="s">
        <v>18</v>
      </c>
      <c r="H1237" t="s">
        <v>44</v>
      </c>
      <c r="I1237" t="s">
        <v>45</v>
      </c>
      <c r="J1237" t="s">
        <v>21</v>
      </c>
      <c r="K1237">
        <v>4</v>
      </c>
      <c r="L1237">
        <v>0.77</v>
      </c>
      <c r="M1237">
        <v>5</v>
      </c>
      <c r="N1237" t="s">
        <v>22</v>
      </c>
      <c r="O1237" t="str">
        <f t="shared" si="19"/>
        <v>No</v>
      </c>
    </row>
    <row r="1238" spans="1:15" x14ac:dyDescent="0.25">
      <c r="A1238" t="s">
        <v>1299</v>
      </c>
      <c r="B1238" s="1">
        <v>45658</v>
      </c>
      <c r="C1238" s="2">
        <v>45658.48</v>
      </c>
      <c r="D1238" t="s">
        <v>15</v>
      </c>
      <c r="E1238" t="s">
        <v>16</v>
      </c>
      <c r="F1238" t="s">
        <v>60</v>
      </c>
      <c r="G1238" t="s">
        <v>41</v>
      </c>
      <c r="H1238" t="s">
        <v>65</v>
      </c>
      <c r="I1238" t="s">
        <v>36</v>
      </c>
      <c r="J1238" t="s">
        <v>46</v>
      </c>
      <c r="K1238">
        <v>48</v>
      </c>
      <c r="L1238">
        <v>11.52</v>
      </c>
      <c r="M1238">
        <v>4.9000000000000004</v>
      </c>
      <c r="N1238" t="s">
        <v>22</v>
      </c>
      <c r="O1238" t="str">
        <f t="shared" si="19"/>
        <v>No</v>
      </c>
    </row>
    <row r="1239" spans="1:15" x14ac:dyDescent="0.25">
      <c r="A1239" t="s">
        <v>1300</v>
      </c>
      <c r="B1239" s="1">
        <v>45680</v>
      </c>
      <c r="C1239" s="2">
        <v>45680.170416666668</v>
      </c>
      <c r="D1239" t="s">
        <v>38</v>
      </c>
      <c r="E1239" t="s">
        <v>39</v>
      </c>
      <c r="F1239" t="s">
        <v>119</v>
      </c>
      <c r="G1239" t="s">
        <v>18</v>
      </c>
      <c r="H1239" t="s">
        <v>27</v>
      </c>
      <c r="I1239" t="s">
        <v>45</v>
      </c>
      <c r="J1239" t="s">
        <v>29</v>
      </c>
      <c r="K1239">
        <v>8</v>
      </c>
      <c r="L1239">
        <v>4.09</v>
      </c>
      <c r="M1239">
        <v>4.3</v>
      </c>
      <c r="N1239" t="s">
        <v>22</v>
      </c>
      <c r="O1239" t="str">
        <f t="shared" si="19"/>
        <v>No</v>
      </c>
    </row>
    <row r="1240" spans="1:15" x14ac:dyDescent="0.25">
      <c r="A1240" t="s">
        <v>1301</v>
      </c>
      <c r="B1240" s="1">
        <v>45711</v>
      </c>
      <c r="C1240" s="2">
        <v>45711.207499999997</v>
      </c>
      <c r="D1240" t="s">
        <v>38</v>
      </c>
      <c r="E1240" t="s">
        <v>25</v>
      </c>
      <c r="F1240" t="s">
        <v>53</v>
      </c>
      <c r="G1240" t="s">
        <v>34</v>
      </c>
      <c r="H1240" t="s">
        <v>19</v>
      </c>
      <c r="I1240" t="s">
        <v>36</v>
      </c>
      <c r="J1240" t="s">
        <v>21</v>
      </c>
      <c r="K1240">
        <v>8</v>
      </c>
      <c r="L1240">
        <v>4.9800000000000004</v>
      </c>
      <c r="M1240">
        <v>4.7</v>
      </c>
      <c r="N1240" t="s">
        <v>22</v>
      </c>
      <c r="O1240" t="str">
        <f t="shared" si="19"/>
        <v>No</v>
      </c>
    </row>
    <row r="1241" spans="1:15" x14ac:dyDescent="0.25">
      <c r="A1241" t="s">
        <v>1302</v>
      </c>
      <c r="B1241" s="1">
        <v>45665</v>
      </c>
      <c r="C1241" s="2">
        <v>45666.033333333333</v>
      </c>
      <c r="D1241" t="s">
        <v>24</v>
      </c>
      <c r="E1241" t="s">
        <v>16</v>
      </c>
      <c r="F1241" t="s">
        <v>58</v>
      </c>
      <c r="G1241" t="s">
        <v>18</v>
      </c>
      <c r="H1241" t="s">
        <v>35</v>
      </c>
      <c r="I1241" t="s">
        <v>28</v>
      </c>
      <c r="J1241" t="s">
        <v>21</v>
      </c>
      <c r="K1241">
        <v>24</v>
      </c>
      <c r="L1241">
        <v>24.8</v>
      </c>
      <c r="M1241">
        <v>2</v>
      </c>
      <c r="N1241" t="s">
        <v>22</v>
      </c>
      <c r="O1241" t="str">
        <f t="shared" si="19"/>
        <v>Yes</v>
      </c>
    </row>
    <row r="1242" spans="1:15" x14ac:dyDescent="0.25">
      <c r="A1242" t="s">
        <v>1303</v>
      </c>
      <c r="B1242" s="1">
        <v>45749</v>
      </c>
      <c r="C1242" s="2">
        <v>45751.909583333334</v>
      </c>
      <c r="D1242" t="s">
        <v>15</v>
      </c>
      <c r="E1242" t="s">
        <v>32</v>
      </c>
      <c r="F1242" t="s">
        <v>64</v>
      </c>
      <c r="G1242" t="s">
        <v>18</v>
      </c>
      <c r="H1242" t="s">
        <v>35</v>
      </c>
      <c r="I1242" t="s">
        <v>36</v>
      </c>
      <c r="J1242" t="s">
        <v>21</v>
      </c>
      <c r="K1242">
        <v>48</v>
      </c>
      <c r="L1242">
        <v>69.83</v>
      </c>
      <c r="M1242">
        <v>3</v>
      </c>
      <c r="N1242" t="s">
        <v>22</v>
      </c>
      <c r="O1242" t="str">
        <f t="shared" si="19"/>
        <v>Yes</v>
      </c>
    </row>
    <row r="1243" spans="1:15" x14ac:dyDescent="0.25">
      <c r="A1243" t="s">
        <v>1304</v>
      </c>
      <c r="B1243" s="1">
        <v>45798</v>
      </c>
      <c r="C1243" s="2">
        <v>45798.784166666665</v>
      </c>
      <c r="D1243" t="s">
        <v>15</v>
      </c>
      <c r="E1243" t="s">
        <v>16</v>
      </c>
      <c r="F1243" t="s">
        <v>43</v>
      </c>
      <c r="G1243" t="s">
        <v>34</v>
      </c>
      <c r="H1243" t="s">
        <v>35</v>
      </c>
      <c r="I1243" t="s">
        <v>45</v>
      </c>
      <c r="J1243" t="s">
        <v>21</v>
      </c>
      <c r="K1243">
        <v>48</v>
      </c>
      <c r="L1243">
        <v>18.82</v>
      </c>
      <c r="M1243">
        <v>4.2</v>
      </c>
      <c r="N1243" t="s">
        <v>22</v>
      </c>
      <c r="O1243" t="str">
        <f t="shared" si="19"/>
        <v>No</v>
      </c>
    </row>
    <row r="1244" spans="1:15" x14ac:dyDescent="0.25">
      <c r="A1244" t="s">
        <v>1305</v>
      </c>
      <c r="B1244" s="1">
        <v>45832</v>
      </c>
      <c r="C1244" s="2">
        <v>45832.212916666664</v>
      </c>
      <c r="D1244" t="s">
        <v>38</v>
      </c>
      <c r="E1244" t="s">
        <v>32</v>
      </c>
      <c r="F1244" t="s">
        <v>33</v>
      </c>
      <c r="G1244" t="s">
        <v>18</v>
      </c>
      <c r="H1244" t="s">
        <v>35</v>
      </c>
      <c r="I1244" t="s">
        <v>36</v>
      </c>
      <c r="J1244" t="s">
        <v>21</v>
      </c>
      <c r="K1244">
        <v>8</v>
      </c>
      <c r="L1244">
        <v>5.1100000000000003</v>
      </c>
      <c r="M1244">
        <v>4.3</v>
      </c>
      <c r="N1244" t="s">
        <v>22</v>
      </c>
      <c r="O1244" t="str">
        <f t="shared" si="19"/>
        <v>No</v>
      </c>
    </row>
    <row r="1245" spans="1:15" x14ac:dyDescent="0.25">
      <c r="A1245" t="s">
        <v>1306</v>
      </c>
      <c r="B1245" s="1">
        <v>45746</v>
      </c>
      <c r="C1245" s="2">
        <v>45746.868750000001</v>
      </c>
      <c r="D1245" t="s">
        <v>24</v>
      </c>
      <c r="E1245" t="s">
        <v>25</v>
      </c>
      <c r="F1245" t="s">
        <v>26</v>
      </c>
      <c r="G1245" t="s">
        <v>56</v>
      </c>
      <c r="H1245" t="s">
        <v>65</v>
      </c>
      <c r="I1245" t="s">
        <v>36</v>
      </c>
      <c r="J1245" t="s">
        <v>21</v>
      </c>
      <c r="K1245">
        <v>24</v>
      </c>
      <c r="L1245">
        <v>20.85</v>
      </c>
      <c r="M1245">
        <v>3.5</v>
      </c>
      <c r="N1245" t="s">
        <v>22</v>
      </c>
      <c r="O1245" t="str">
        <f t="shared" si="19"/>
        <v>No</v>
      </c>
    </row>
    <row r="1246" spans="1:15" x14ac:dyDescent="0.25">
      <c r="A1246" t="s">
        <v>1307</v>
      </c>
      <c r="B1246" s="1">
        <v>45816</v>
      </c>
      <c r="C1246" s="2">
        <v>45817.127083333333</v>
      </c>
      <c r="D1246" t="s">
        <v>15</v>
      </c>
      <c r="E1246" t="s">
        <v>16</v>
      </c>
      <c r="F1246" t="s">
        <v>43</v>
      </c>
      <c r="G1246" t="s">
        <v>18</v>
      </c>
      <c r="H1246" t="s">
        <v>44</v>
      </c>
      <c r="I1246" t="s">
        <v>45</v>
      </c>
      <c r="J1246" t="s">
        <v>21</v>
      </c>
      <c r="K1246">
        <v>48</v>
      </c>
      <c r="L1246">
        <v>27.05</v>
      </c>
      <c r="M1246">
        <v>4.7</v>
      </c>
      <c r="N1246" t="s">
        <v>22</v>
      </c>
      <c r="O1246" t="str">
        <f t="shared" si="19"/>
        <v>No</v>
      </c>
    </row>
    <row r="1247" spans="1:15" x14ac:dyDescent="0.25">
      <c r="A1247" t="s">
        <v>1308</v>
      </c>
      <c r="B1247" s="1">
        <v>45836</v>
      </c>
      <c r="C1247" s="2">
        <v>45836.247083333335</v>
      </c>
      <c r="D1247" t="s">
        <v>24</v>
      </c>
      <c r="E1247" t="s">
        <v>39</v>
      </c>
      <c r="F1247" t="s">
        <v>87</v>
      </c>
      <c r="G1247" t="s">
        <v>18</v>
      </c>
      <c r="H1247" t="s">
        <v>54</v>
      </c>
      <c r="I1247" t="s">
        <v>20</v>
      </c>
      <c r="J1247" t="s">
        <v>85</v>
      </c>
      <c r="K1247">
        <v>24</v>
      </c>
      <c r="L1247">
        <v>5.93</v>
      </c>
      <c r="M1247">
        <v>5</v>
      </c>
      <c r="N1247" t="s">
        <v>22</v>
      </c>
      <c r="O1247" t="str">
        <f t="shared" si="19"/>
        <v>No</v>
      </c>
    </row>
    <row r="1248" spans="1:15" x14ac:dyDescent="0.25">
      <c r="A1248" t="s">
        <v>1309</v>
      </c>
      <c r="B1248" s="1">
        <v>45813</v>
      </c>
      <c r="C1248" s="2">
        <v>45813.576249999998</v>
      </c>
      <c r="D1248" t="s">
        <v>15</v>
      </c>
      <c r="E1248" t="s">
        <v>16</v>
      </c>
      <c r="F1248" t="s">
        <v>17</v>
      </c>
      <c r="G1248" t="s">
        <v>56</v>
      </c>
      <c r="H1248" t="s">
        <v>44</v>
      </c>
      <c r="I1248" t="s">
        <v>28</v>
      </c>
      <c r="J1248" t="s">
        <v>21</v>
      </c>
      <c r="K1248">
        <v>48</v>
      </c>
      <c r="L1248">
        <v>13.83</v>
      </c>
      <c r="M1248">
        <v>3.8</v>
      </c>
      <c r="N1248" t="s">
        <v>22</v>
      </c>
      <c r="O1248" t="str">
        <f t="shared" si="19"/>
        <v>No</v>
      </c>
    </row>
    <row r="1249" spans="1:15" x14ac:dyDescent="0.25">
      <c r="A1249" t="s">
        <v>1310</v>
      </c>
      <c r="B1249" s="1">
        <v>45742</v>
      </c>
      <c r="C1249" s="2">
        <v>45742.364166666666</v>
      </c>
      <c r="D1249" t="s">
        <v>38</v>
      </c>
      <c r="E1249" t="s">
        <v>25</v>
      </c>
      <c r="F1249" t="s">
        <v>53</v>
      </c>
      <c r="G1249" t="s">
        <v>51</v>
      </c>
      <c r="H1249" t="s">
        <v>65</v>
      </c>
      <c r="I1249" t="s">
        <v>45</v>
      </c>
      <c r="J1249" t="s">
        <v>21</v>
      </c>
      <c r="K1249">
        <v>8</v>
      </c>
      <c r="L1249">
        <v>8.74</v>
      </c>
      <c r="M1249">
        <v>3.8</v>
      </c>
      <c r="N1249" t="s">
        <v>22</v>
      </c>
      <c r="O1249" t="str">
        <f t="shared" si="19"/>
        <v>Yes</v>
      </c>
    </row>
    <row r="1250" spans="1:15" x14ac:dyDescent="0.25">
      <c r="A1250" t="s">
        <v>1311</v>
      </c>
      <c r="B1250" s="1">
        <v>45716</v>
      </c>
      <c r="C1250" s="2">
        <v>45716.415833333333</v>
      </c>
      <c r="D1250" t="s">
        <v>24</v>
      </c>
      <c r="E1250" t="s">
        <v>25</v>
      </c>
      <c r="F1250" t="s">
        <v>53</v>
      </c>
      <c r="G1250" t="s">
        <v>18</v>
      </c>
      <c r="H1250" t="s">
        <v>35</v>
      </c>
      <c r="I1250" t="s">
        <v>36</v>
      </c>
      <c r="J1250" t="s">
        <v>21</v>
      </c>
      <c r="K1250">
        <v>24</v>
      </c>
      <c r="L1250">
        <v>9.98</v>
      </c>
      <c r="M1250">
        <v>3.7</v>
      </c>
      <c r="N1250" t="s">
        <v>22</v>
      </c>
      <c r="O1250" t="str">
        <f t="shared" si="19"/>
        <v>No</v>
      </c>
    </row>
    <row r="1251" spans="1:15" x14ac:dyDescent="0.25">
      <c r="A1251" t="s">
        <v>1312</v>
      </c>
      <c r="B1251" s="1">
        <v>45835</v>
      </c>
      <c r="C1251" s="2">
        <v>45835.903333333335</v>
      </c>
      <c r="D1251" t="s">
        <v>15</v>
      </c>
      <c r="E1251" t="s">
        <v>16</v>
      </c>
      <c r="F1251" t="s">
        <v>17</v>
      </c>
      <c r="G1251" t="s">
        <v>41</v>
      </c>
      <c r="H1251" t="s">
        <v>54</v>
      </c>
      <c r="I1251" t="s">
        <v>20</v>
      </c>
      <c r="J1251" t="s">
        <v>46</v>
      </c>
      <c r="K1251">
        <v>48</v>
      </c>
      <c r="L1251">
        <v>21.68</v>
      </c>
      <c r="M1251">
        <v>4.8</v>
      </c>
      <c r="N1251" t="s">
        <v>61</v>
      </c>
      <c r="O1251" t="str">
        <f t="shared" si="19"/>
        <v>No</v>
      </c>
    </row>
    <row r="1252" spans="1:15" x14ac:dyDescent="0.25">
      <c r="A1252" t="s">
        <v>1313</v>
      </c>
      <c r="B1252" s="1">
        <v>45701</v>
      </c>
      <c r="C1252" s="2">
        <v>45701.097500000003</v>
      </c>
      <c r="D1252" t="s">
        <v>15</v>
      </c>
      <c r="E1252" t="s">
        <v>25</v>
      </c>
      <c r="F1252" t="s">
        <v>53</v>
      </c>
      <c r="G1252" t="s">
        <v>51</v>
      </c>
      <c r="H1252" t="s">
        <v>35</v>
      </c>
      <c r="I1252" t="s">
        <v>36</v>
      </c>
      <c r="J1252" t="s">
        <v>21</v>
      </c>
      <c r="K1252">
        <v>48</v>
      </c>
      <c r="L1252">
        <v>2.34</v>
      </c>
      <c r="M1252">
        <v>4.5999999999999996</v>
      </c>
      <c r="N1252" t="s">
        <v>22</v>
      </c>
      <c r="O1252" t="str">
        <f t="shared" si="19"/>
        <v>No</v>
      </c>
    </row>
    <row r="1253" spans="1:15" x14ac:dyDescent="0.25">
      <c r="A1253" t="s">
        <v>1314</v>
      </c>
      <c r="B1253" s="1">
        <v>45732</v>
      </c>
      <c r="C1253" s="2">
        <v>45733.295416666668</v>
      </c>
      <c r="D1253" t="s">
        <v>24</v>
      </c>
      <c r="E1253" t="s">
        <v>39</v>
      </c>
      <c r="F1253" t="s">
        <v>40</v>
      </c>
      <c r="G1253" t="s">
        <v>56</v>
      </c>
      <c r="H1253" t="s">
        <v>54</v>
      </c>
      <c r="I1253" t="s">
        <v>45</v>
      </c>
      <c r="J1253" t="s">
        <v>21</v>
      </c>
      <c r="K1253">
        <v>24</v>
      </c>
      <c r="L1253">
        <v>31.09</v>
      </c>
      <c r="M1253">
        <v>2.9</v>
      </c>
      <c r="N1253" t="s">
        <v>22</v>
      </c>
      <c r="O1253" t="str">
        <f t="shared" si="19"/>
        <v>Yes</v>
      </c>
    </row>
    <row r="1254" spans="1:15" x14ac:dyDescent="0.25">
      <c r="A1254" t="s">
        <v>1315</v>
      </c>
      <c r="B1254" s="1">
        <v>45671</v>
      </c>
      <c r="C1254" s="2">
        <v>45671.887916666667</v>
      </c>
      <c r="D1254" t="s">
        <v>24</v>
      </c>
      <c r="E1254" t="s">
        <v>25</v>
      </c>
      <c r="F1254" t="s">
        <v>53</v>
      </c>
      <c r="G1254" t="s">
        <v>51</v>
      </c>
      <c r="H1254" t="s">
        <v>54</v>
      </c>
      <c r="I1254" t="s">
        <v>20</v>
      </c>
      <c r="J1254" t="s">
        <v>21</v>
      </c>
      <c r="K1254">
        <v>24</v>
      </c>
      <c r="L1254">
        <v>21.31</v>
      </c>
      <c r="M1254">
        <v>2.8</v>
      </c>
      <c r="N1254" t="s">
        <v>22</v>
      </c>
      <c r="O1254" t="str">
        <f t="shared" si="19"/>
        <v>No</v>
      </c>
    </row>
    <row r="1255" spans="1:15" x14ac:dyDescent="0.25">
      <c r="A1255" t="s">
        <v>1316</v>
      </c>
      <c r="B1255" s="1">
        <v>45801</v>
      </c>
      <c r="C1255" s="2">
        <v>45801.045416666668</v>
      </c>
      <c r="D1255" t="s">
        <v>38</v>
      </c>
      <c r="E1255" t="s">
        <v>25</v>
      </c>
      <c r="F1255" t="s">
        <v>26</v>
      </c>
      <c r="G1255" t="s">
        <v>56</v>
      </c>
      <c r="H1255" t="s">
        <v>65</v>
      </c>
      <c r="I1255" t="s">
        <v>36</v>
      </c>
      <c r="J1255" t="s">
        <v>21</v>
      </c>
      <c r="K1255">
        <v>8</v>
      </c>
      <c r="L1255">
        <v>1.0900000000000001</v>
      </c>
      <c r="M1255">
        <v>4.8</v>
      </c>
      <c r="N1255" t="s">
        <v>22</v>
      </c>
      <c r="O1255" t="str">
        <f t="shared" si="19"/>
        <v>No</v>
      </c>
    </row>
    <row r="1256" spans="1:15" x14ac:dyDescent="0.25">
      <c r="A1256" t="s">
        <v>1317</v>
      </c>
      <c r="B1256" s="1">
        <v>45775</v>
      </c>
      <c r="C1256" s="2">
        <v>45775.808749999997</v>
      </c>
      <c r="D1256" t="s">
        <v>24</v>
      </c>
      <c r="E1256" t="s">
        <v>32</v>
      </c>
      <c r="F1256" t="s">
        <v>75</v>
      </c>
      <c r="G1256" t="s">
        <v>51</v>
      </c>
      <c r="H1256" t="s">
        <v>65</v>
      </c>
      <c r="I1256" t="s">
        <v>45</v>
      </c>
      <c r="J1256" t="s">
        <v>21</v>
      </c>
      <c r="K1256">
        <v>24</v>
      </c>
      <c r="L1256">
        <v>19.41</v>
      </c>
      <c r="M1256">
        <v>3.3</v>
      </c>
      <c r="N1256" t="s">
        <v>22</v>
      </c>
      <c r="O1256" t="str">
        <f t="shared" si="19"/>
        <v>No</v>
      </c>
    </row>
    <row r="1257" spans="1:15" x14ac:dyDescent="0.25">
      <c r="A1257" t="s">
        <v>1318</v>
      </c>
      <c r="B1257" s="1">
        <v>45673</v>
      </c>
      <c r="C1257" s="2">
        <v>45673.85125</v>
      </c>
      <c r="D1257" t="s">
        <v>24</v>
      </c>
      <c r="E1257" t="s">
        <v>32</v>
      </c>
      <c r="F1257" t="s">
        <v>64</v>
      </c>
      <c r="G1257" t="s">
        <v>51</v>
      </c>
      <c r="H1257" t="s">
        <v>65</v>
      </c>
      <c r="I1257" t="s">
        <v>36</v>
      </c>
      <c r="J1257" t="s">
        <v>46</v>
      </c>
      <c r="K1257">
        <v>24</v>
      </c>
      <c r="L1257">
        <v>20.43</v>
      </c>
      <c r="M1257">
        <v>3</v>
      </c>
      <c r="N1257" t="s">
        <v>22</v>
      </c>
      <c r="O1257" t="str">
        <f t="shared" si="19"/>
        <v>No</v>
      </c>
    </row>
    <row r="1258" spans="1:15" x14ac:dyDescent="0.25">
      <c r="A1258" t="s">
        <v>1319</v>
      </c>
      <c r="B1258" s="1">
        <v>45698</v>
      </c>
      <c r="C1258" s="2">
        <v>45701.527499999997</v>
      </c>
      <c r="D1258" t="s">
        <v>15</v>
      </c>
      <c r="E1258" t="s">
        <v>32</v>
      </c>
      <c r="F1258" t="s">
        <v>80</v>
      </c>
      <c r="G1258" t="s">
        <v>51</v>
      </c>
      <c r="H1258" t="s">
        <v>35</v>
      </c>
      <c r="I1258" t="s">
        <v>36</v>
      </c>
      <c r="J1258" t="s">
        <v>21</v>
      </c>
      <c r="K1258">
        <v>48</v>
      </c>
      <c r="L1258">
        <v>84.66</v>
      </c>
      <c r="M1258">
        <v>3</v>
      </c>
      <c r="N1258" t="s">
        <v>22</v>
      </c>
      <c r="O1258" t="str">
        <f t="shared" si="19"/>
        <v>Yes</v>
      </c>
    </row>
    <row r="1259" spans="1:15" x14ac:dyDescent="0.25">
      <c r="A1259" t="s">
        <v>1320</v>
      </c>
      <c r="B1259" s="1">
        <v>45758</v>
      </c>
      <c r="C1259" s="2">
        <v>45758.53125</v>
      </c>
      <c r="D1259" t="s">
        <v>15</v>
      </c>
      <c r="E1259" t="s">
        <v>32</v>
      </c>
      <c r="F1259" t="s">
        <v>64</v>
      </c>
      <c r="G1259" t="s">
        <v>51</v>
      </c>
      <c r="H1259" t="s">
        <v>19</v>
      </c>
      <c r="I1259" t="s">
        <v>28</v>
      </c>
      <c r="J1259" t="s">
        <v>46</v>
      </c>
      <c r="K1259">
        <v>48</v>
      </c>
      <c r="L1259">
        <v>12.75</v>
      </c>
      <c r="M1259">
        <v>5</v>
      </c>
      <c r="N1259" t="s">
        <v>22</v>
      </c>
      <c r="O1259" t="str">
        <f t="shared" si="19"/>
        <v>No</v>
      </c>
    </row>
    <row r="1260" spans="1:15" x14ac:dyDescent="0.25">
      <c r="A1260" t="s">
        <v>1321</v>
      </c>
      <c r="B1260" s="1">
        <v>45755</v>
      </c>
      <c r="C1260" s="2">
        <v>45755.258333333331</v>
      </c>
      <c r="D1260" t="s">
        <v>38</v>
      </c>
      <c r="E1260" t="s">
        <v>39</v>
      </c>
      <c r="F1260" t="s">
        <v>78</v>
      </c>
      <c r="G1260" t="s">
        <v>56</v>
      </c>
      <c r="H1260" t="s">
        <v>44</v>
      </c>
      <c r="I1260" t="s">
        <v>36</v>
      </c>
      <c r="J1260" t="s">
        <v>21</v>
      </c>
      <c r="K1260">
        <v>8</v>
      </c>
      <c r="L1260">
        <v>6.2</v>
      </c>
      <c r="M1260">
        <v>4.3</v>
      </c>
      <c r="N1260" t="s">
        <v>61</v>
      </c>
      <c r="O1260" t="str">
        <f t="shared" si="19"/>
        <v>No</v>
      </c>
    </row>
    <row r="1261" spans="1:15" x14ac:dyDescent="0.25">
      <c r="A1261" t="s">
        <v>1322</v>
      </c>
      <c r="B1261" s="1">
        <v>45803</v>
      </c>
      <c r="C1261" s="2">
        <v>45803.690821759257</v>
      </c>
      <c r="D1261" t="s">
        <v>15</v>
      </c>
      <c r="E1261" t="s">
        <v>32</v>
      </c>
      <c r="F1261" t="s">
        <v>80</v>
      </c>
      <c r="G1261" t="s">
        <v>18</v>
      </c>
      <c r="H1261" t="s">
        <v>54</v>
      </c>
      <c r="I1261" t="s">
        <v>36</v>
      </c>
      <c r="J1261" t="s">
        <v>46</v>
      </c>
      <c r="K1261">
        <v>48</v>
      </c>
      <c r="L1261">
        <v>16.579999999999998</v>
      </c>
      <c r="M1261">
        <v>3.7</v>
      </c>
      <c r="N1261" t="s">
        <v>22</v>
      </c>
      <c r="O1261" t="str">
        <f t="shared" si="19"/>
        <v>No</v>
      </c>
    </row>
    <row r="1262" spans="1:15" x14ac:dyDescent="0.25">
      <c r="A1262" t="s">
        <v>1323</v>
      </c>
      <c r="B1262" s="1">
        <v>45706</v>
      </c>
      <c r="C1262" s="2">
        <v>45706.055</v>
      </c>
      <c r="D1262" t="s">
        <v>31</v>
      </c>
      <c r="E1262" t="s">
        <v>16</v>
      </c>
      <c r="F1262" t="s">
        <v>58</v>
      </c>
      <c r="G1262" t="s">
        <v>56</v>
      </c>
      <c r="H1262" t="s">
        <v>27</v>
      </c>
      <c r="I1262" t="s">
        <v>45</v>
      </c>
      <c r="J1262" t="s">
        <v>85</v>
      </c>
      <c r="K1262">
        <v>4</v>
      </c>
      <c r="L1262">
        <v>1.32</v>
      </c>
      <c r="M1262">
        <v>4.5</v>
      </c>
      <c r="N1262" t="s">
        <v>22</v>
      </c>
      <c r="O1262" t="str">
        <f t="shared" si="19"/>
        <v>No</v>
      </c>
    </row>
    <row r="1263" spans="1:15" x14ac:dyDescent="0.25">
      <c r="A1263" t="s">
        <v>1324</v>
      </c>
      <c r="B1263" s="1">
        <v>45825</v>
      </c>
      <c r="C1263" s="2">
        <v>45826.544166666667</v>
      </c>
      <c r="D1263" t="s">
        <v>24</v>
      </c>
      <c r="E1263" t="s">
        <v>32</v>
      </c>
      <c r="F1263" t="s">
        <v>64</v>
      </c>
      <c r="G1263" t="s">
        <v>51</v>
      </c>
      <c r="H1263" t="s">
        <v>54</v>
      </c>
      <c r="I1263" t="s">
        <v>36</v>
      </c>
      <c r="J1263" t="s">
        <v>21</v>
      </c>
      <c r="K1263">
        <v>24</v>
      </c>
      <c r="L1263">
        <v>37.06</v>
      </c>
      <c r="M1263">
        <v>3.6</v>
      </c>
      <c r="N1263" t="s">
        <v>22</v>
      </c>
      <c r="O1263" t="str">
        <f t="shared" si="19"/>
        <v>Yes</v>
      </c>
    </row>
    <row r="1264" spans="1:15" x14ac:dyDescent="0.25">
      <c r="A1264" t="s">
        <v>1325</v>
      </c>
      <c r="B1264" s="1">
        <v>45738</v>
      </c>
      <c r="C1264" s="2">
        <v>45740.198333333334</v>
      </c>
      <c r="D1264" t="s">
        <v>15</v>
      </c>
      <c r="E1264" t="s">
        <v>32</v>
      </c>
      <c r="F1264" t="s">
        <v>33</v>
      </c>
      <c r="G1264" t="s">
        <v>56</v>
      </c>
      <c r="H1264" t="s">
        <v>65</v>
      </c>
      <c r="I1264" t="s">
        <v>36</v>
      </c>
      <c r="J1264" t="s">
        <v>46</v>
      </c>
      <c r="K1264">
        <v>48</v>
      </c>
      <c r="L1264">
        <v>52.76</v>
      </c>
      <c r="M1264">
        <v>3.6</v>
      </c>
      <c r="N1264" t="s">
        <v>22</v>
      </c>
      <c r="O1264" t="str">
        <f t="shared" si="19"/>
        <v>Yes</v>
      </c>
    </row>
    <row r="1265" spans="1:15" x14ac:dyDescent="0.25">
      <c r="A1265" t="s">
        <v>1326</v>
      </c>
      <c r="B1265" s="1">
        <v>45806</v>
      </c>
      <c r="C1265" s="2">
        <v>45806.279166666667</v>
      </c>
      <c r="D1265" t="s">
        <v>15</v>
      </c>
      <c r="E1265" t="s">
        <v>16</v>
      </c>
      <c r="F1265" t="s">
        <v>17</v>
      </c>
      <c r="G1265" t="s">
        <v>56</v>
      </c>
      <c r="H1265" t="s">
        <v>44</v>
      </c>
      <c r="I1265" t="s">
        <v>36</v>
      </c>
      <c r="J1265" t="s">
        <v>21</v>
      </c>
      <c r="K1265">
        <v>48</v>
      </c>
      <c r="L1265">
        <v>6.7</v>
      </c>
      <c r="M1265">
        <v>5</v>
      </c>
      <c r="N1265" t="s">
        <v>22</v>
      </c>
      <c r="O1265" t="str">
        <f t="shared" si="19"/>
        <v>No</v>
      </c>
    </row>
    <row r="1266" spans="1:15" x14ac:dyDescent="0.25">
      <c r="A1266" t="s">
        <v>1327</v>
      </c>
      <c r="B1266" s="1">
        <v>45701</v>
      </c>
      <c r="C1266" s="2">
        <v>45701.23541666667</v>
      </c>
      <c r="D1266" t="s">
        <v>15</v>
      </c>
      <c r="E1266" t="s">
        <v>39</v>
      </c>
      <c r="F1266" t="s">
        <v>40</v>
      </c>
      <c r="G1266" t="s">
        <v>18</v>
      </c>
      <c r="H1266" t="s">
        <v>65</v>
      </c>
      <c r="I1266" t="s">
        <v>45</v>
      </c>
      <c r="J1266" t="s">
        <v>46</v>
      </c>
      <c r="K1266">
        <v>48</v>
      </c>
      <c r="L1266">
        <v>5.65</v>
      </c>
      <c r="M1266">
        <v>4.5999999999999996</v>
      </c>
      <c r="N1266" t="s">
        <v>61</v>
      </c>
      <c r="O1266" t="str">
        <f t="shared" si="19"/>
        <v>No</v>
      </c>
    </row>
    <row r="1267" spans="1:15" x14ac:dyDescent="0.25">
      <c r="A1267" t="s">
        <v>1328</v>
      </c>
      <c r="B1267" s="1">
        <v>45664</v>
      </c>
      <c r="C1267" s="2">
        <v>45664.277083333334</v>
      </c>
      <c r="D1267" t="s">
        <v>38</v>
      </c>
      <c r="E1267" t="s">
        <v>39</v>
      </c>
      <c r="F1267" t="s">
        <v>87</v>
      </c>
      <c r="G1267" t="s">
        <v>41</v>
      </c>
      <c r="H1267" t="s">
        <v>65</v>
      </c>
      <c r="I1267" t="s">
        <v>36</v>
      </c>
      <c r="J1267" t="s">
        <v>21</v>
      </c>
      <c r="K1267">
        <v>8</v>
      </c>
      <c r="L1267">
        <v>6.65</v>
      </c>
      <c r="M1267">
        <v>3.8</v>
      </c>
      <c r="N1267" t="s">
        <v>61</v>
      </c>
      <c r="O1267" t="str">
        <f t="shared" si="19"/>
        <v>No</v>
      </c>
    </row>
    <row r="1268" spans="1:15" x14ac:dyDescent="0.25">
      <c r="A1268" t="s">
        <v>1329</v>
      </c>
      <c r="B1268" s="1">
        <v>45667</v>
      </c>
      <c r="C1268" s="2">
        <v>45667.484583333331</v>
      </c>
      <c r="D1268" t="s">
        <v>24</v>
      </c>
      <c r="E1268" t="s">
        <v>25</v>
      </c>
      <c r="F1268" t="s">
        <v>53</v>
      </c>
      <c r="G1268" t="s">
        <v>56</v>
      </c>
      <c r="H1268" t="s">
        <v>44</v>
      </c>
      <c r="I1268" t="s">
        <v>20</v>
      </c>
      <c r="J1268" t="s">
        <v>85</v>
      </c>
      <c r="K1268">
        <v>24</v>
      </c>
      <c r="L1268">
        <v>11.63</v>
      </c>
      <c r="M1268">
        <v>4</v>
      </c>
      <c r="N1268" t="s">
        <v>22</v>
      </c>
      <c r="O1268" t="str">
        <f t="shared" si="19"/>
        <v>No</v>
      </c>
    </row>
    <row r="1269" spans="1:15" x14ac:dyDescent="0.25">
      <c r="A1269" t="s">
        <v>1330</v>
      </c>
      <c r="B1269" s="1">
        <v>45725</v>
      </c>
      <c r="C1269" s="2">
        <v>45725.234583333331</v>
      </c>
      <c r="D1269" t="s">
        <v>24</v>
      </c>
      <c r="E1269" t="s">
        <v>45</v>
      </c>
      <c r="F1269" t="s">
        <v>104</v>
      </c>
      <c r="G1269" t="s">
        <v>34</v>
      </c>
      <c r="H1269" t="s">
        <v>27</v>
      </c>
      <c r="I1269" t="s">
        <v>36</v>
      </c>
      <c r="J1269" t="s">
        <v>21</v>
      </c>
      <c r="K1269">
        <v>24</v>
      </c>
      <c r="L1269">
        <v>5.63</v>
      </c>
      <c r="M1269">
        <v>5</v>
      </c>
      <c r="N1269" t="s">
        <v>22</v>
      </c>
      <c r="O1269" t="str">
        <f t="shared" si="19"/>
        <v>No</v>
      </c>
    </row>
    <row r="1270" spans="1:15" x14ac:dyDescent="0.25">
      <c r="A1270" t="s">
        <v>1331</v>
      </c>
      <c r="B1270" s="1">
        <v>45830</v>
      </c>
      <c r="C1270" s="2">
        <v>45830.843333333331</v>
      </c>
      <c r="D1270" t="s">
        <v>24</v>
      </c>
      <c r="E1270" t="s">
        <v>16</v>
      </c>
      <c r="F1270" t="s">
        <v>43</v>
      </c>
      <c r="G1270" t="s">
        <v>51</v>
      </c>
      <c r="H1270" t="s">
        <v>35</v>
      </c>
      <c r="I1270" t="s">
        <v>28</v>
      </c>
      <c r="J1270" t="s">
        <v>21</v>
      </c>
      <c r="K1270">
        <v>24</v>
      </c>
      <c r="L1270">
        <v>20.239999999999998</v>
      </c>
      <c r="M1270">
        <v>4.4000000000000004</v>
      </c>
      <c r="N1270" t="s">
        <v>22</v>
      </c>
      <c r="O1270" t="str">
        <f t="shared" si="19"/>
        <v>No</v>
      </c>
    </row>
    <row r="1271" spans="1:15" x14ac:dyDescent="0.25">
      <c r="A1271" t="s">
        <v>1332</v>
      </c>
      <c r="B1271" s="1">
        <v>45666</v>
      </c>
      <c r="C1271" s="2">
        <v>45666.765416666669</v>
      </c>
      <c r="D1271" t="s">
        <v>24</v>
      </c>
      <c r="E1271" t="s">
        <v>32</v>
      </c>
      <c r="F1271" t="s">
        <v>80</v>
      </c>
      <c r="G1271" t="s">
        <v>51</v>
      </c>
      <c r="H1271" t="s">
        <v>19</v>
      </c>
      <c r="I1271" t="s">
        <v>36</v>
      </c>
      <c r="J1271" t="s">
        <v>21</v>
      </c>
      <c r="K1271">
        <v>24</v>
      </c>
      <c r="L1271">
        <v>18.37</v>
      </c>
      <c r="M1271">
        <v>3.7</v>
      </c>
      <c r="N1271" t="s">
        <v>22</v>
      </c>
      <c r="O1271" t="str">
        <f t="shared" si="19"/>
        <v>No</v>
      </c>
    </row>
    <row r="1272" spans="1:15" x14ac:dyDescent="0.25">
      <c r="A1272" t="s">
        <v>1333</v>
      </c>
      <c r="B1272" s="1">
        <v>45724</v>
      </c>
      <c r="C1272" s="2">
        <v>45724.184583333335</v>
      </c>
      <c r="D1272" t="s">
        <v>38</v>
      </c>
      <c r="E1272" t="s">
        <v>32</v>
      </c>
      <c r="F1272" t="s">
        <v>64</v>
      </c>
      <c r="G1272" t="s">
        <v>51</v>
      </c>
      <c r="H1272" t="s">
        <v>54</v>
      </c>
      <c r="I1272" t="s">
        <v>36</v>
      </c>
      <c r="J1272" t="s">
        <v>21</v>
      </c>
      <c r="K1272">
        <v>8</v>
      </c>
      <c r="L1272">
        <v>4.43</v>
      </c>
      <c r="M1272">
        <v>4.8</v>
      </c>
      <c r="N1272" t="s">
        <v>22</v>
      </c>
      <c r="O1272" t="str">
        <f t="shared" si="19"/>
        <v>No</v>
      </c>
    </row>
    <row r="1273" spans="1:15" x14ac:dyDescent="0.25">
      <c r="A1273" t="s">
        <v>1334</v>
      </c>
      <c r="B1273" s="1">
        <v>45677</v>
      </c>
      <c r="C1273" s="2">
        <v>45677.099166666667</v>
      </c>
      <c r="D1273" t="s">
        <v>31</v>
      </c>
      <c r="E1273" t="s">
        <v>45</v>
      </c>
      <c r="F1273" t="s">
        <v>100</v>
      </c>
      <c r="G1273" t="s">
        <v>34</v>
      </c>
      <c r="H1273" t="s">
        <v>65</v>
      </c>
      <c r="I1273" t="s">
        <v>28</v>
      </c>
      <c r="J1273" t="s">
        <v>46</v>
      </c>
      <c r="K1273">
        <v>4</v>
      </c>
      <c r="L1273">
        <v>2.38</v>
      </c>
      <c r="M1273">
        <v>3.4</v>
      </c>
      <c r="N1273" t="s">
        <v>22</v>
      </c>
      <c r="O1273" t="str">
        <f t="shared" si="19"/>
        <v>No</v>
      </c>
    </row>
    <row r="1274" spans="1:15" x14ac:dyDescent="0.25">
      <c r="A1274" t="s">
        <v>1335</v>
      </c>
      <c r="B1274" s="1">
        <v>45826</v>
      </c>
      <c r="C1274" s="2">
        <v>45826.252500000002</v>
      </c>
      <c r="D1274" t="s">
        <v>24</v>
      </c>
      <c r="E1274" t="s">
        <v>16</v>
      </c>
      <c r="F1274" t="s">
        <v>43</v>
      </c>
      <c r="G1274" t="s">
        <v>18</v>
      </c>
      <c r="H1274" t="s">
        <v>27</v>
      </c>
      <c r="I1274" t="s">
        <v>20</v>
      </c>
      <c r="J1274" t="s">
        <v>46</v>
      </c>
      <c r="K1274">
        <v>24</v>
      </c>
      <c r="L1274">
        <v>6.06</v>
      </c>
      <c r="M1274">
        <v>4.5999999999999996</v>
      </c>
      <c r="N1274" t="s">
        <v>61</v>
      </c>
      <c r="O1274" t="str">
        <f t="shared" si="19"/>
        <v>No</v>
      </c>
    </row>
    <row r="1275" spans="1:15" x14ac:dyDescent="0.25">
      <c r="A1275" t="s">
        <v>1336</v>
      </c>
      <c r="B1275" s="1">
        <v>45780</v>
      </c>
      <c r="C1275" s="2">
        <v>45780.253750000003</v>
      </c>
      <c r="D1275" t="s">
        <v>38</v>
      </c>
      <c r="E1275" t="s">
        <v>25</v>
      </c>
      <c r="F1275" t="s">
        <v>48</v>
      </c>
      <c r="G1275" t="s">
        <v>51</v>
      </c>
      <c r="H1275" t="s">
        <v>65</v>
      </c>
      <c r="I1275" t="s">
        <v>36</v>
      </c>
      <c r="J1275" t="s">
        <v>21</v>
      </c>
      <c r="K1275">
        <v>8</v>
      </c>
      <c r="L1275">
        <v>6.09</v>
      </c>
      <c r="M1275">
        <v>3.2</v>
      </c>
      <c r="N1275" t="s">
        <v>22</v>
      </c>
      <c r="O1275" t="str">
        <f t="shared" si="19"/>
        <v>No</v>
      </c>
    </row>
    <row r="1276" spans="1:15" x14ac:dyDescent="0.25">
      <c r="A1276" t="s">
        <v>1337</v>
      </c>
      <c r="B1276" s="1">
        <v>45796</v>
      </c>
      <c r="C1276" s="2">
        <v>45796.652916666666</v>
      </c>
      <c r="D1276" t="s">
        <v>38</v>
      </c>
      <c r="E1276" t="s">
        <v>16</v>
      </c>
      <c r="F1276" t="s">
        <v>60</v>
      </c>
      <c r="G1276" t="s">
        <v>41</v>
      </c>
      <c r="H1276" t="s">
        <v>65</v>
      </c>
      <c r="I1276" t="s">
        <v>36</v>
      </c>
      <c r="J1276" t="s">
        <v>46</v>
      </c>
      <c r="K1276">
        <v>8</v>
      </c>
      <c r="L1276">
        <v>15.67</v>
      </c>
      <c r="M1276">
        <v>1.9</v>
      </c>
      <c r="N1276" t="s">
        <v>22</v>
      </c>
      <c r="O1276" t="str">
        <f t="shared" si="19"/>
        <v>Yes</v>
      </c>
    </row>
    <row r="1277" spans="1:15" x14ac:dyDescent="0.25">
      <c r="A1277" t="s">
        <v>1338</v>
      </c>
      <c r="B1277" s="1">
        <v>45787</v>
      </c>
      <c r="C1277" s="2">
        <v>45787.169583333336</v>
      </c>
      <c r="D1277" t="s">
        <v>24</v>
      </c>
      <c r="E1277" t="s">
        <v>32</v>
      </c>
      <c r="F1277" t="s">
        <v>80</v>
      </c>
      <c r="G1277" t="s">
        <v>18</v>
      </c>
      <c r="H1277" t="s">
        <v>19</v>
      </c>
      <c r="I1277" t="s">
        <v>20</v>
      </c>
      <c r="J1277" t="s">
        <v>21</v>
      </c>
      <c r="K1277">
        <v>24</v>
      </c>
      <c r="L1277">
        <v>4.07</v>
      </c>
      <c r="M1277">
        <v>3.9</v>
      </c>
      <c r="N1277" t="s">
        <v>61</v>
      </c>
      <c r="O1277" t="str">
        <f t="shared" si="19"/>
        <v>No</v>
      </c>
    </row>
    <row r="1278" spans="1:15" x14ac:dyDescent="0.25">
      <c r="A1278" t="s">
        <v>1339</v>
      </c>
      <c r="B1278" s="1">
        <v>45776</v>
      </c>
      <c r="C1278" s="2">
        <v>45777.072916666664</v>
      </c>
      <c r="D1278" t="s">
        <v>24</v>
      </c>
      <c r="E1278" t="s">
        <v>39</v>
      </c>
      <c r="F1278" t="s">
        <v>40</v>
      </c>
      <c r="G1278" t="s">
        <v>41</v>
      </c>
      <c r="H1278" t="s">
        <v>54</v>
      </c>
      <c r="I1278" t="s">
        <v>36</v>
      </c>
      <c r="J1278" t="s">
        <v>46</v>
      </c>
      <c r="K1278">
        <v>24</v>
      </c>
      <c r="L1278">
        <v>25.75</v>
      </c>
      <c r="M1278">
        <v>3.3</v>
      </c>
      <c r="N1278" t="s">
        <v>61</v>
      </c>
      <c r="O1278" t="str">
        <f t="shared" si="19"/>
        <v>Yes</v>
      </c>
    </row>
    <row r="1279" spans="1:15" x14ac:dyDescent="0.25">
      <c r="A1279" t="s">
        <v>1340</v>
      </c>
      <c r="B1279" s="1">
        <v>45798</v>
      </c>
      <c r="C1279" s="2">
        <v>45798.412083333336</v>
      </c>
      <c r="D1279" t="s">
        <v>15</v>
      </c>
      <c r="E1279" t="s">
        <v>25</v>
      </c>
      <c r="F1279" t="s">
        <v>70</v>
      </c>
      <c r="G1279" t="s">
        <v>56</v>
      </c>
      <c r="H1279" t="s">
        <v>27</v>
      </c>
      <c r="I1279" t="s">
        <v>36</v>
      </c>
      <c r="J1279" t="s">
        <v>21</v>
      </c>
      <c r="K1279">
        <v>48</v>
      </c>
      <c r="L1279">
        <v>9.89</v>
      </c>
      <c r="M1279">
        <v>5</v>
      </c>
      <c r="N1279" t="s">
        <v>22</v>
      </c>
      <c r="O1279" t="str">
        <f t="shared" si="19"/>
        <v>No</v>
      </c>
    </row>
    <row r="1280" spans="1:15" x14ac:dyDescent="0.25">
      <c r="A1280" t="s">
        <v>1341</v>
      </c>
      <c r="B1280" s="1">
        <v>45659</v>
      </c>
      <c r="C1280" s="2">
        <v>45659.3125</v>
      </c>
      <c r="D1280" t="s">
        <v>38</v>
      </c>
      <c r="E1280" t="s">
        <v>25</v>
      </c>
      <c r="F1280" t="s">
        <v>26</v>
      </c>
      <c r="G1280" t="s">
        <v>41</v>
      </c>
      <c r="H1280" t="s">
        <v>27</v>
      </c>
      <c r="I1280" t="s">
        <v>45</v>
      </c>
      <c r="J1280" t="s">
        <v>21</v>
      </c>
      <c r="K1280">
        <v>8</v>
      </c>
      <c r="L1280">
        <v>7.5</v>
      </c>
      <c r="M1280">
        <v>3.8</v>
      </c>
      <c r="N1280" t="s">
        <v>22</v>
      </c>
      <c r="O1280" t="str">
        <f t="shared" si="19"/>
        <v>No</v>
      </c>
    </row>
    <row r="1281" spans="1:15" x14ac:dyDescent="0.25">
      <c r="A1281" t="s">
        <v>1342</v>
      </c>
      <c r="B1281" s="1">
        <v>45814</v>
      </c>
      <c r="C1281" s="2">
        <v>45814.07916666667</v>
      </c>
      <c r="D1281" t="s">
        <v>31</v>
      </c>
      <c r="E1281" t="s">
        <v>32</v>
      </c>
      <c r="F1281" t="s">
        <v>75</v>
      </c>
      <c r="G1281" t="s">
        <v>18</v>
      </c>
      <c r="H1281" t="s">
        <v>65</v>
      </c>
      <c r="I1281" t="s">
        <v>20</v>
      </c>
      <c r="J1281" t="s">
        <v>21</v>
      </c>
      <c r="K1281">
        <v>4</v>
      </c>
      <c r="L1281">
        <v>1.9</v>
      </c>
      <c r="M1281">
        <v>4.0999999999999996</v>
      </c>
      <c r="N1281" t="s">
        <v>22</v>
      </c>
      <c r="O1281" t="str">
        <f t="shared" si="19"/>
        <v>No</v>
      </c>
    </row>
    <row r="1282" spans="1:15" x14ac:dyDescent="0.25">
      <c r="A1282" t="s">
        <v>1343</v>
      </c>
      <c r="B1282" s="1">
        <v>45791</v>
      </c>
      <c r="C1282" s="2">
        <v>45792.909583333334</v>
      </c>
      <c r="D1282" t="s">
        <v>15</v>
      </c>
      <c r="E1282" t="s">
        <v>16</v>
      </c>
      <c r="F1282" t="s">
        <v>60</v>
      </c>
      <c r="G1282" t="s">
        <v>41</v>
      </c>
      <c r="H1282" t="s">
        <v>27</v>
      </c>
      <c r="I1282" t="s">
        <v>45</v>
      </c>
      <c r="J1282" t="s">
        <v>21</v>
      </c>
      <c r="K1282">
        <v>48</v>
      </c>
      <c r="L1282">
        <v>45.83</v>
      </c>
      <c r="M1282">
        <v>3.7</v>
      </c>
      <c r="N1282" t="s">
        <v>22</v>
      </c>
      <c r="O1282" t="str">
        <f t="shared" si="19"/>
        <v>No</v>
      </c>
    </row>
    <row r="1283" spans="1:15" x14ac:dyDescent="0.25">
      <c r="A1283" t="s">
        <v>1344</v>
      </c>
      <c r="B1283" s="1">
        <v>45791</v>
      </c>
      <c r="C1283" s="2">
        <v>45791.06</v>
      </c>
      <c r="D1283" t="s">
        <v>38</v>
      </c>
      <c r="E1283" t="s">
        <v>32</v>
      </c>
      <c r="F1283" t="s">
        <v>64</v>
      </c>
      <c r="G1283" t="s">
        <v>41</v>
      </c>
      <c r="H1283" t="s">
        <v>54</v>
      </c>
      <c r="I1283" t="s">
        <v>45</v>
      </c>
      <c r="J1283" t="s">
        <v>46</v>
      </c>
      <c r="K1283">
        <v>8</v>
      </c>
      <c r="L1283">
        <v>1.44</v>
      </c>
      <c r="M1283">
        <v>3.4</v>
      </c>
      <c r="N1283" t="s">
        <v>22</v>
      </c>
      <c r="O1283" t="str">
        <f t="shared" ref="O1283:O1346" si="20">IF(L1283&gt;K1283,"Yes","No")</f>
        <v>No</v>
      </c>
    </row>
    <row r="1284" spans="1:15" x14ac:dyDescent="0.25">
      <c r="A1284" t="s">
        <v>1345</v>
      </c>
      <c r="B1284" s="1">
        <v>45729</v>
      </c>
      <c r="C1284" s="2">
        <v>45729.205000000002</v>
      </c>
      <c r="D1284" t="s">
        <v>38</v>
      </c>
      <c r="E1284" t="s">
        <v>45</v>
      </c>
      <c r="F1284" t="s">
        <v>100</v>
      </c>
      <c r="G1284" t="s">
        <v>56</v>
      </c>
      <c r="H1284" t="s">
        <v>19</v>
      </c>
      <c r="I1284" t="s">
        <v>28</v>
      </c>
      <c r="J1284" t="s">
        <v>85</v>
      </c>
      <c r="K1284">
        <v>8</v>
      </c>
      <c r="L1284">
        <v>4.92</v>
      </c>
      <c r="M1284">
        <v>4.5999999999999996</v>
      </c>
      <c r="N1284" t="s">
        <v>22</v>
      </c>
      <c r="O1284" t="str">
        <f t="shared" si="20"/>
        <v>No</v>
      </c>
    </row>
    <row r="1285" spans="1:15" x14ac:dyDescent="0.25">
      <c r="A1285" t="s">
        <v>1346</v>
      </c>
      <c r="B1285" s="1">
        <v>45802</v>
      </c>
      <c r="C1285" s="2">
        <v>45804.039166666669</v>
      </c>
      <c r="D1285" t="s">
        <v>15</v>
      </c>
      <c r="E1285" t="s">
        <v>32</v>
      </c>
      <c r="F1285" t="s">
        <v>80</v>
      </c>
      <c r="G1285" t="s">
        <v>56</v>
      </c>
      <c r="H1285" t="s">
        <v>27</v>
      </c>
      <c r="I1285" t="s">
        <v>36</v>
      </c>
      <c r="J1285" t="s">
        <v>21</v>
      </c>
      <c r="K1285">
        <v>48</v>
      </c>
      <c r="L1285">
        <v>48.94</v>
      </c>
      <c r="M1285">
        <v>2.2999999999999998</v>
      </c>
      <c r="N1285" t="s">
        <v>22</v>
      </c>
      <c r="O1285" t="str">
        <f t="shared" si="20"/>
        <v>Yes</v>
      </c>
    </row>
    <row r="1286" spans="1:15" x14ac:dyDescent="0.25">
      <c r="A1286" t="s">
        <v>1347</v>
      </c>
      <c r="B1286" s="1">
        <v>45727</v>
      </c>
      <c r="C1286" s="2">
        <v>45727.632916666669</v>
      </c>
      <c r="D1286" t="s">
        <v>24</v>
      </c>
      <c r="E1286" t="s">
        <v>25</v>
      </c>
      <c r="F1286" t="s">
        <v>53</v>
      </c>
      <c r="G1286" t="s">
        <v>56</v>
      </c>
      <c r="H1286" t="s">
        <v>65</v>
      </c>
      <c r="I1286" t="s">
        <v>20</v>
      </c>
      <c r="J1286" t="s">
        <v>21</v>
      </c>
      <c r="K1286">
        <v>24</v>
      </c>
      <c r="L1286">
        <v>15.19</v>
      </c>
      <c r="M1286">
        <v>3.8</v>
      </c>
      <c r="N1286" t="s">
        <v>61</v>
      </c>
      <c r="O1286" t="str">
        <f t="shared" si="20"/>
        <v>No</v>
      </c>
    </row>
    <row r="1287" spans="1:15" x14ac:dyDescent="0.25">
      <c r="A1287" t="s">
        <v>1348</v>
      </c>
      <c r="B1287" s="1">
        <v>45666</v>
      </c>
      <c r="C1287" s="2">
        <v>45666.293749999997</v>
      </c>
      <c r="D1287" t="s">
        <v>38</v>
      </c>
      <c r="E1287" t="s">
        <v>32</v>
      </c>
      <c r="F1287" t="s">
        <v>80</v>
      </c>
      <c r="G1287" t="s">
        <v>18</v>
      </c>
      <c r="H1287" t="s">
        <v>19</v>
      </c>
      <c r="I1287" t="s">
        <v>36</v>
      </c>
      <c r="J1287" t="s">
        <v>21</v>
      </c>
      <c r="K1287">
        <v>8</v>
      </c>
      <c r="L1287">
        <v>7.05</v>
      </c>
      <c r="M1287">
        <v>3.9</v>
      </c>
      <c r="N1287" t="s">
        <v>22</v>
      </c>
      <c r="O1287" t="str">
        <f t="shared" si="20"/>
        <v>No</v>
      </c>
    </row>
    <row r="1288" spans="1:15" x14ac:dyDescent="0.25">
      <c r="A1288" t="s">
        <v>1349</v>
      </c>
      <c r="B1288" s="1">
        <v>45822</v>
      </c>
      <c r="C1288" s="2">
        <v>45822.062083333331</v>
      </c>
      <c r="D1288" t="s">
        <v>31</v>
      </c>
      <c r="E1288" t="s">
        <v>16</v>
      </c>
      <c r="F1288" t="s">
        <v>58</v>
      </c>
      <c r="G1288" t="s">
        <v>56</v>
      </c>
      <c r="H1288" t="s">
        <v>65</v>
      </c>
      <c r="I1288" t="s">
        <v>20</v>
      </c>
      <c r="J1288" t="s">
        <v>46</v>
      </c>
      <c r="K1288">
        <v>4</v>
      </c>
      <c r="L1288">
        <v>1.49</v>
      </c>
      <c r="M1288">
        <v>4.8</v>
      </c>
      <c r="N1288" t="s">
        <v>22</v>
      </c>
      <c r="O1288" t="str">
        <f t="shared" si="20"/>
        <v>No</v>
      </c>
    </row>
    <row r="1289" spans="1:15" x14ac:dyDescent="0.25">
      <c r="A1289" t="s">
        <v>1350</v>
      </c>
      <c r="B1289" s="1">
        <v>45700</v>
      </c>
      <c r="C1289" s="2">
        <v>45701.797083333331</v>
      </c>
      <c r="D1289" t="s">
        <v>15</v>
      </c>
      <c r="E1289" t="s">
        <v>16</v>
      </c>
      <c r="F1289" t="s">
        <v>17</v>
      </c>
      <c r="G1289" t="s">
        <v>41</v>
      </c>
      <c r="H1289" t="s">
        <v>44</v>
      </c>
      <c r="I1289" t="s">
        <v>45</v>
      </c>
      <c r="J1289" t="s">
        <v>21</v>
      </c>
      <c r="K1289">
        <v>48</v>
      </c>
      <c r="L1289">
        <v>43.13</v>
      </c>
      <c r="M1289">
        <v>4.0999999999999996</v>
      </c>
      <c r="N1289" t="s">
        <v>22</v>
      </c>
      <c r="O1289" t="str">
        <f t="shared" si="20"/>
        <v>No</v>
      </c>
    </row>
    <row r="1290" spans="1:15" x14ac:dyDescent="0.25">
      <c r="A1290" t="s">
        <v>1351</v>
      </c>
      <c r="B1290" s="1">
        <v>45676</v>
      </c>
      <c r="C1290" s="2">
        <v>45677.532500000001</v>
      </c>
      <c r="D1290" t="s">
        <v>24</v>
      </c>
      <c r="E1290" t="s">
        <v>39</v>
      </c>
      <c r="F1290" t="s">
        <v>78</v>
      </c>
      <c r="G1290" t="s">
        <v>56</v>
      </c>
      <c r="H1290" t="s">
        <v>54</v>
      </c>
      <c r="I1290" t="s">
        <v>36</v>
      </c>
      <c r="J1290" t="s">
        <v>46</v>
      </c>
      <c r="K1290">
        <v>24</v>
      </c>
      <c r="L1290">
        <v>36.78</v>
      </c>
      <c r="M1290">
        <v>3.1</v>
      </c>
      <c r="N1290" t="s">
        <v>61</v>
      </c>
      <c r="O1290" t="str">
        <f t="shared" si="20"/>
        <v>Yes</v>
      </c>
    </row>
    <row r="1291" spans="1:15" x14ac:dyDescent="0.25">
      <c r="A1291" t="s">
        <v>1352</v>
      </c>
      <c r="B1291" s="1">
        <v>45770</v>
      </c>
      <c r="C1291" s="2">
        <v>45770.368750000001</v>
      </c>
      <c r="D1291" t="s">
        <v>24</v>
      </c>
      <c r="E1291" t="s">
        <v>25</v>
      </c>
      <c r="F1291" t="s">
        <v>70</v>
      </c>
      <c r="G1291" t="s">
        <v>34</v>
      </c>
      <c r="H1291" t="s">
        <v>35</v>
      </c>
      <c r="I1291" t="s">
        <v>45</v>
      </c>
      <c r="J1291" t="s">
        <v>46</v>
      </c>
      <c r="K1291">
        <v>24</v>
      </c>
      <c r="L1291">
        <v>8.85</v>
      </c>
      <c r="M1291">
        <v>5</v>
      </c>
      <c r="N1291" t="s">
        <v>22</v>
      </c>
      <c r="O1291" t="str">
        <f t="shared" si="20"/>
        <v>No</v>
      </c>
    </row>
    <row r="1292" spans="1:15" x14ac:dyDescent="0.25">
      <c r="A1292" t="s">
        <v>1353</v>
      </c>
      <c r="B1292" s="1">
        <v>45700</v>
      </c>
      <c r="C1292" s="2">
        <v>45701.74291666667</v>
      </c>
      <c r="D1292" t="s">
        <v>15</v>
      </c>
      <c r="E1292" t="s">
        <v>45</v>
      </c>
      <c r="F1292" t="s">
        <v>104</v>
      </c>
      <c r="G1292" t="s">
        <v>41</v>
      </c>
      <c r="H1292" t="s">
        <v>65</v>
      </c>
      <c r="I1292" t="s">
        <v>20</v>
      </c>
      <c r="J1292" t="s">
        <v>21</v>
      </c>
      <c r="K1292">
        <v>48</v>
      </c>
      <c r="L1292">
        <v>41.83</v>
      </c>
      <c r="M1292">
        <v>5</v>
      </c>
      <c r="N1292" t="s">
        <v>22</v>
      </c>
      <c r="O1292" t="str">
        <f t="shared" si="20"/>
        <v>No</v>
      </c>
    </row>
    <row r="1293" spans="1:15" x14ac:dyDescent="0.25">
      <c r="A1293" t="s">
        <v>1354</v>
      </c>
      <c r="B1293" s="1">
        <v>45813</v>
      </c>
      <c r="C1293" s="2">
        <v>45813.287499999999</v>
      </c>
      <c r="D1293" t="s">
        <v>24</v>
      </c>
      <c r="E1293" t="s">
        <v>25</v>
      </c>
      <c r="F1293" t="s">
        <v>48</v>
      </c>
      <c r="G1293" t="s">
        <v>41</v>
      </c>
      <c r="H1293" t="s">
        <v>65</v>
      </c>
      <c r="I1293" t="s">
        <v>45</v>
      </c>
      <c r="J1293" t="s">
        <v>85</v>
      </c>
      <c r="K1293">
        <v>24</v>
      </c>
      <c r="L1293">
        <v>6.9</v>
      </c>
      <c r="M1293">
        <v>4.7</v>
      </c>
      <c r="N1293" t="s">
        <v>22</v>
      </c>
      <c r="O1293" t="str">
        <f t="shared" si="20"/>
        <v>No</v>
      </c>
    </row>
    <row r="1294" spans="1:15" x14ac:dyDescent="0.25">
      <c r="A1294" t="s">
        <v>1355</v>
      </c>
      <c r="B1294" s="1">
        <v>45738</v>
      </c>
      <c r="C1294" s="2">
        <v>45741.29</v>
      </c>
      <c r="D1294" t="s">
        <v>15</v>
      </c>
      <c r="E1294" t="s">
        <v>39</v>
      </c>
      <c r="F1294" t="s">
        <v>87</v>
      </c>
      <c r="G1294" t="s">
        <v>51</v>
      </c>
      <c r="H1294" t="s">
        <v>65</v>
      </c>
      <c r="I1294" t="s">
        <v>36</v>
      </c>
      <c r="J1294" t="s">
        <v>21</v>
      </c>
      <c r="K1294">
        <v>48</v>
      </c>
      <c r="L1294">
        <v>78.959999999999994</v>
      </c>
      <c r="M1294">
        <v>3</v>
      </c>
      <c r="N1294" t="s">
        <v>22</v>
      </c>
      <c r="O1294" t="str">
        <f t="shared" si="20"/>
        <v>Yes</v>
      </c>
    </row>
    <row r="1295" spans="1:15" x14ac:dyDescent="0.25">
      <c r="A1295" t="s">
        <v>1356</v>
      </c>
      <c r="B1295" s="1">
        <v>45658</v>
      </c>
      <c r="C1295" s="2">
        <v>45658.282083333332</v>
      </c>
      <c r="D1295" t="s">
        <v>15</v>
      </c>
      <c r="E1295" t="s">
        <v>25</v>
      </c>
      <c r="F1295" t="s">
        <v>53</v>
      </c>
      <c r="G1295" t="s">
        <v>56</v>
      </c>
      <c r="H1295" t="s">
        <v>35</v>
      </c>
      <c r="I1295" t="s">
        <v>36</v>
      </c>
      <c r="J1295" t="s">
        <v>46</v>
      </c>
      <c r="K1295">
        <v>48</v>
      </c>
      <c r="L1295">
        <v>6.77</v>
      </c>
      <c r="M1295">
        <v>4.7</v>
      </c>
      <c r="N1295" t="s">
        <v>22</v>
      </c>
      <c r="O1295" t="str">
        <f t="shared" si="20"/>
        <v>No</v>
      </c>
    </row>
    <row r="1296" spans="1:15" x14ac:dyDescent="0.25">
      <c r="A1296" t="s">
        <v>1357</v>
      </c>
      <c r="B1296" s="1">
        <v>45830</v>
      </c>
      <c r="C1296" s="2">
        <v>45830.734583333331</v>
      </c>
      <c r="D1296" t="s">
        <v>24</v>
      </c>
      <c r="E1296" t="s">
        <v>16</v>
      </c>
      <c r="F1296" t="s">
        <v>43</v>
      </c>
      <c r="G1296" t="s">
        <v>18</v>
      </c>
      <c r="H1296" t="s">
        <v>19</v>
      </c>
      <c r="I1296" t="s">
        <v>45</v>
      </c>
      <c r="J1296" t="s">
        <v>21</v>
      </c>
      <c r="K1296">
        <v>24</v>
      </c>
      <c r="L1296">
        <v>17.63</v>
      </c>
      <c r="M1296">
        <v>3.7</v>
      </c>
      <c r="N1296" t="s">
        <v>22</v>
      </c>
      <c r="O1296" t="str">
        <f t="shared" si="20"/>
        <v>No</v>
      </c>
    </row>
    <row r="1297" spans="1:15" x14ac:dyDescent="0.25">
      <c r="A1297" t="s">
        <v>1358</v>
      </c>
      <c r="B1297" s="1">
        <v>45751</v>
      </c>
      <c r="C1297" s="2">
        <v>45751.564166666663</v>
      </c>
      <c r="D1297" t="s">
        <v>24</v>
      </c>
      <c r="E1297" t="s">
        <v>16</v>
      </c>
      <c r="F1297" t="s">
        <v>43</v>
      </c>
      <c r="G1297" t="s">
        <v>51</v>
      </c>
      <c r="H1297" t="s">
        <v>19</v>
      </c>
      <c r="I1297" t="s">
        <v>45</v>
      </c>
      <c r="J1297" t="s">
        <v>21</v>
      </c>
      <c r="K1297">
        <v>24</v>
      </c>
      <c r="L1297">
        <v>13.54</v>
      </c>
      <c r="M1297">
        <v>4.5999999999999996</v>
      </c>
      <c r="N1297" t="s">
        <v>22</v>
      </c>
      <c r="O1297" t="str">
        <f t="shared" si="20"/>
        <v>No</v>
      </c>
    </row>
    <row r="1298" spans="1:15" x14ac:dyDescent="0.25">
      <c r="A1298" t="s">
        <v>1359</v>
      </c>
      <c r="B1298" s="1">
        <v>45705</v>
      </c>
      <c r="C1298" s="2">
        <v>45705.371249999997</v>
      </c>
      <c r="D1298" t="s">
        <v>24</v>
      </c>
      <c r="E1298" t="s">
        <v>39</v>
      </c>
      <c r="F1298" t="s">
        <v>119</v>
      </c>
      <c r="G1298" t="s">
        <v>18</v>
      </c>
      <c r="H1298" t="s">
        <v>65</v>
      </c>
      <c r="I1298" t="s">
        <v>36</v>
      </c>
      <c r="J1298" t="s">
        <v>21</v>
      </c>
      <c r="K1298">
        <v>24</v>
      </c>
      <c r="L1298">
        <v>8.91</v>
      </c>
      <c r="M1298">
        <v>5</v>
      </c>
      <c r="N1298" t="s">
        <v>22</v>
      </c>
      <c r="O1298" t="str">
        <f t="shared" si="20"/>
        <v>No</v>
      </c>
    </row>
    <row r="1299" spans="1:15" x14ac:dyDescent="0.25">
      <c r="A1299" t="s">
        <v>1360</v>
      </c>
      <c r="B1299" s="1">
        <v>45780</v>
      </c>
      <c r="C1299" s="2">
        <v>45780.12</v>
      </c>
      <c r="D1299" t="s">
        <v>38</v>
      </c>
      <c r="E1299" t="s">
        <v>16</v>
      </c>
      <c r="F1299" t="s">
        <v>58</v>
      </c>
      <c r="G1299" t="s">
        <v>51</v>
      </c>
      <c r="H1299" t="s">
        <v>19</v>
      </c>
      <c r="I1299" t="s">
        <v>36</v>
      </c>
      <c r="J1299" t="s">
        <v>46</v>
      </c>
      <c r="K1299">
        <v>8</v>
      </c>
      <c r="L1299">
        <v>2.88</v>
      </c>
      <c r="M1299">
        <v>2.9</v>
      </c>
      <c r="N1299" t="s">
        <v>61</v>
      </c>
      <c r="O1299" t="str">
        <f t="shared" si="20"/>
        <v>No</v>
      </c>
    </row>
    <row r="1300" spans="1:15" x14ac:dyDescent="0.25">
      <c r="A1300" t="s">
        <v>1361</v>
      </c>
      <c r="B1300" s="1">
        <v>45754</v>
      </c>
      <c r="C1300" s="2">
        <v>45754.526250000003</v>
      </c>
      <c r="D1300" t="s">
        <v>24</v>
      </c>
      <c r="E1300" t="s">
        <v>32</v>
      </c>
      <c r="F1300" t="s">
        <v>33</v>
      </c>
      <c r="G1300" t="s">
        <v>56</v>
      </c>
      <c r="H1300" t="s">
        <v>65</v>
      </c>
      <c r="I1300" t="s">
        <v>20</v>
      </c>
      <c r="J1300" t="s">
        <v>21</v>
      </c>
      <c r="K1300">
        <v>24</v>
      </c>
      <c r="L1300">
        <v>12.63</v>
      </c>
      <c r="M1300">
        <v>4.3</v>
      </c>
      <c r="N1300" t="s">
        <v>22</v>
      </c>
      <c r="O1300" t="str">
        <f t="shared" si="20"/>
        <v>No</v>
      </c>
    </row>
    <row r="1301" spans="1:15" x14ac:dyDescent="0.25">
      <c r="A1301" t="s">
        <v>1362</v>
      </c>
      <c r="B1301" s="1">
        <v>45663</v>
      </c>
      <c r="C1301" s="2">
        <v>45665.973749999997</v>
      </c>
      <c r="D1301" t="s">
        <v>15</v>
      </c>
      <c r="E1301" t="s">
        <v>39</v>
      </c>
      <c r="F1301" t="s">
        <v>40</v>
      </c>
      <c r="G1301" t="s">
        <v>41</v>
      </c>
      <c r="H1301" t="s">
        <v>19</v>
      </c>
      <c r="I1301" t="s">
        <v>36</v>
      </c>
      <c r="J1301" t="s">
        <v>29</v>
      </c>
      <c r="K1301">
        <v>48</v>
      </c>
      <c r="L1301">
        <v>71.37</v>
      </c>
      <c r="M1301">
        <v>4.2</v>
      </c>
      <c r="N1301" t="s">
        <v>22</v>
      </c>
      <c r="O1301" t="str">
        <f t="shared" si="20"/>
        <v>Yes</v>
      </c>
    </row>
    <row r="1302" spans="1:15" x14ac:dyDescent="0.25">
      <c r="A1302" t="s">
        <v>1363</v>
      </c>
      <c r="B1302" s="1">
        <v>45795</v>
      </c>
      <c r="C1302" s="2">
        <v>45796.332083333335</v>
      </c>
      <c r="D1302" t="s">
        <v>15</v>
      </c>
      <c r="E1302" t="s">
        <v>32</v>
      </c>
      <c r="F1302" t="s">
        <v>80</v>
      </c>
      <c r="G1302" t="s">
        <v>51</v>
      </c>
      <c r="H1302" t="s">
        <v>19</v>
      </c>
      <c r="I1302" t="s">
        <v>36</v>
      </c>
      <c r="J1302" t="s">
        <v>21</v>
      </c>
      <c r="K1302">
        <v>48</v>
      </c>
      <c r="L1302">
        <v>31.97</v>
      </c>
      <c r="M1302">
        <v>4.5</v>
      </c>
      <c r="N1302" t="s">
        <v>22</v>
      </c>
      <c r="O1302" t="str">
        <f t="shared" si="20"/>
        <v>No</v>
      </c>
    </row>
    <row r="1303" spans="1:15" x14ac:dyDescent="0.25">
      <c r="A1303" t="s">
        <v>1364</v>
      </c>
      <c r="B1303" s="1">
        <v>45730</v>
      </c>
      <c r="C1303" s="2">
        <v>45730.161249999997</v>
      </c>
      <c r="D1303" t="s">
        <v>15</v>
      </c>
      <c r="E1303" t="s">
        <v>39</v>
      </c>
      <c r="F1303" t="s">
        <v>119</v>
      </c>
      <c r="G1303" t="s">
        <v>51</v>
      </c>
      <c r="H1303" t="s">
        <v>35</v>
      </c>
      <c r="I1303" t="s">
        <v>36</v>
      </c>
      <c r="J1303" t="s">
        <v>21</v>
      </c>
      <c r="K1303">
        <v>48</v>
      </c>
      <c r="L1303">
        <v>3.87</v>
      </c>
      <c r="M1303">
        <v>5</v>
      </c>
      <c r="N1303" t="s">
        <v>22</v>
      </c>
      <c r="O1303" t="str">
        <f t="shared" si="20"/>
        <v>No</v>
      </c>
    </row>
    <row r="1304" spans="1:15" x14ac:dyDescent="0.25">
      <c r="A1304" t="s">
        <v>1365</v>
      </c>
      <c r="B1304" s="1">
        <v>45784</v>
      </c>
      <c r="C1304" s="2">
        <v>45784.115833333337</v>
      </c>
      <c r="D1304" t="s">
        <v>24</v>
      </c>
      <c r="E1304" t="s">
        <v>32</v>
      </c>
      <c r="F1304" t="s">
        <v>33</v>
      </c>
      <c r="G1304" t="s">
        <v>18</v>
      </c>
      <c r="H1304" t="s">
        <v>19</v>
      </c>
      <c r="I1304" t="s">
        <v>45</v>
      </c>
      <c r="J1304" t="s">
        <v>46</v>
      </c>
      <c r="K1304">
        <v>24</v>
      </c>
      <c r="L1304">
        <v>2.78</v>
      </c>
      <c r="M1304">
        <v>3.8</v>
      </c>
      <c r="N1304" t="s">
        <v>22</v>
      </c>
      <c r="O1304" t="str">
        <f t="shared" si="20"/>
        <v>No</v>
      </c>
    </row>
    <row r="1305" spans="1:15" x14ac:dyDescent="0.25">
      <c r="A1305" t="s">
        <v>1366</v>
      </c>
      <c r="B1305" s="1">
        <v>45820</v>
      </c>
      <c r="C1305" s="2">
        <v>45821.327499999999</v>
      </c>
      <c r="D1305" t="s">
        <v>15</v>
      </c>
      <c r="E1305" t="s">
        <v>32</v>
      </c>
      <c r="F1305" t="s">
        <v>75</v>
      </c>
      <c r="G1305" t="s">
        <v>51</v>
      </c>
      <c r="H1305" t="s">
        <v>44</v>
      </c>
      <c r="I1305" t="s">
        <v>28</v>
      </c>
      <c r="J1305" t="s">
        <v>21</v>
      </c>
      <c r="K1305">
        <v>48</v>
      </c>
      <c r="L1305">
        <v>31.86</v>
      </c>
      <c r="M1305">
        <v>4.7</v>
      </c>
      <c r="N1305" t="s">
        <v>22</v>
      </c>
      <c r="O1305" t="str">
        <f t="shared" si="20"/>
        <v>No</v>
      </c>
    </row>
    <row r="1306" spans="1:15" x14ac:dyDescent="0.25">
      <c r="A1306" t="s">
        <v>1367</v>
      </c>
      <c r="B1306" s="1">
        <v>45768</v>
      </c>
      <c r="C1306" s="2">
        <v>45770.311249999999</v>
      </c>
      <c r="D1306" t="s">
        <v>15</v>
      </c>
      <c r="E1306" t="s">
        <v>25</v>
      </c>
      <c r="F1306" t="s">
        <v>70</v>
      </c>
      <c r="G1306" t="s">
        <v>51</v>
      </c>
      <c r="H1306" t="s">
        <v>54</v>
      </c>
      <c r="I1306" t="s">
        <v>45</v>
      </c>
      <c r="J1306" t="s">
        <v>21</v>
      </c>
      <c r="K1306">
        <v>48</v>
      </c>
      <c r="L1306">
        <v>55.47</v>
      </c>
      <c r="M1306">
        <v>4.3</v>
      </c>
      <c r="N1306" t="s">
        <v>22</v>
      </c>
      <c r="O1306" t="str">
        <f t="shared" si="20"/>
        <v>Yes</v>
      </c>
    </row>
    <row r="1307" spans="1:15" x14ac:dyDescent="0.25">
      <c r="A1307" t="s">
        <v>1368</v>
      </c>
      <c r="B1307" s="1">
        <v>45779</v>
      </c>
      <c r="C1307" s="2">
        <v>45779.520833333336</v>
      </c>
      <c r="D1307" t="s">
        <v>15</v>
      </c>
      <c r="E1307" t="s">
        <v>16</v>
      </c>
      <c r="F1307" t="s">
        <v>60</v>
      </c>
      <c r="G1307" t="s">
        <v>34</v>
      </c>
      <c r="H1307" t="s">
        <v>44</v>
      </c>
      <c r="I1307" t="s">
        <v>36</v>
      </c>
      <c r="J1307" t="s">
        <v>21</v>
      </c>
      <c r="K1307">
        <v>48</v>
      </c>
      <c r="L1307">
        <v>12.5</v>
      </c>
      <c r="M1307">
        <v>4.8</v>
      </c>
      <c r="N1307" t="s">
        <v>22</v>
      </c>
      <c r="O1307" t="str">
        <f t="shared" si="20"/>
        <v>No</v>
      </c>
    </row>
    <row r="1308" spans="1:15" x14ac:dyDescent="0.25">
      <c r="A1308" t="s">
        <v>1369</v>
      </c>
      <c r="B1308" s="1">
        <v>45704</v>
      </c>
      <c r="C1308" s="2">
        <v>45704.634583333333</v>
      </c>
      <c r="D1308" t="s">
        <v>24</v>
      </c>
      <c r="E1308" t="s">
        <v>32</v>
      </c>
      <c r="F1308" t="s">
        <v>80</v>
      </c>
      <c r="G1308" t="s">
        <v>34</v>
      </c>
      <c r="H1308" t="s">
        <v>54</v>
      </c>
      <c r="I1308" t="s">
        <v>20</v>
      </c>
      <c r="J1308" t="s">
        <v>21</v>
      </c>
      <c r="K1308">
        <v>24</v>
      </c>
      <c r="L1308">
        <v>15.23</v>
      </c>
      <c r="M1308">
        <v>3.8</v>
      </c>
      <c r="N1308" t="s">
        <v>22</v>
      </c>
      <c r="O1308" t="str">
        <f t="shared" si="20"/>
        <v>No</v>
      </c>
    </row>
    <row r="1309" spans="1:15" x14ac:dyDescent="0.25">
      <c r="A1309" t="s">
        <v>1370</v>
      </c>
      <c r="B1309" s="1">
        <v>45701</v>
      </c>
      <c r="C1309" s="2">
        <v>45702.167916666665</v>
      </c>
      <c r="D1309" t="s">
        <v>24</v>
      </c>
      <c r="E1309" t="s">
        <v>25</v>
      </c>
      <c r="F1309" t="s">
        <v>26</v>
      </c>
      <c r="G1309" t="s">
        <v>18</v>
      </c>
      <c r="H1309" t="s">
        <v>27</v>
      </c>
      <c r="I1309" t="s">
        <v>36</v>
      </c>
      <c r="J1309" t="s">
        <v>21</v>
      </c>
      <c r="K1309">
        <v>24</v>
      </c>
      <c r="L1309">
        <v>28.03</v>
      </c>
      <c r="M1309">
        <v>3.9</v>
      </c>
      <c r="N1309" t="s">
        <v>61</v>
      </c>
      <c r="O1309" t="str">
        <f t="shared" si="20"/>
        <v>Yes</v>
      </c>
    </row>
    <row r="1310" spans="1:15" x14ac:dyDescent="0.25">
      <c r="A1310" t="s">
        <v>1371</v>
      </c>
      <c r="B1310" s="1">
        <v>45733</v>
      </c>
      <c r="C1310" s="2">
        <v>45733.237500000003</v>
      </c>
      <c r="D1310" t="s">
        <v>38</v>
      </c>
      <c r="E1310" t="s">
        <v>45</v>
      </c>
      <c r="F1310" t="s">
        <v>50</v>
      </c>
      <c r="G1310" t="s">
        <v>34</v>
      </c>
      <c r="H1310" t="s">
        <v>19</v>
      </c>
      <c r="I1310" t="s">
        <v>28</v>
      </c>
      <c r="J1310" t="s">
        <v>21</v>
      </c>
      <c r="K1310">
        <v>8</v>
      </c>
      <c r="L1310">
        <v>5.7</v>
      </c>
      <c r="M1310">
        <v>3.5</v>
      </c>
      <c r="N1310" t="s">
        <v>22</v>
      </c>
      <c r="O1310" t="str">
        <f t="shared" si="20"/>
        <v>No</v>
      </c>
    </row>
    <row r="1311" spans="1:15" x14ac:dyDescent="0.25">
      <c r="A1311" t="s">
        <v>1372</v>
      </c>
      <c r="B1311" s="1">
        <v>45812</v>
      </c>
      <c r="C1311" s="2">
        <v>45812.195833333331</v>
      </c>
      <c r="D1311" t="s">
        <v>38</v>
      </c>
      <c r="E1311" t="s">
        <v>45</v>
      </c>
      <c r="F1311" t="s">
        <v>100</v>
      </c>
      <c r="G1311" t="s">
        <v>41</v>
      </c>
      <c r="H1311" t="s">
        <v>27</v>
      </c>
      <c r="I1311" t="s">
        <v>36</v>
      </c>
      <c r="J1311" t="s">
        <v>46</v>
      </c>
      <c r="K1311">
        <v>8</v>
      </c>
      <c r="L1311">
        <v>4.7</v>
      </c>
      <c r="M1311">
        <v>3.5</v>
      </c>
      <c r="N1311" t="s">
        <v>22</v>
      </c>
      <c r="O1311" t="str">
        <f t="shared" si="20"/>
        <v>No</v>
      </c>
    </row>
    <row r="1312" spans="1:15" x14ac:dyDescent="0.25">
      <c r="A1312" t="s">
        <v>1373</v>
      </c>
      <c r="B1312" s="1">
        <v>45752</v>
      </c>
      <c r="C1312" s="2">
        <v>45752.418749999997</v>
      </c>
      <c r="D1312" t="s">
        <v>24</v>
      </c>
      <c r="E1312" t="s">
        <v>25</v>
      </c>
      <c r="F1312" t="s">
        <v>70</v>
      </c>
      <c r="G1312" t="s">
        <v>18</v>
      </c>
      <c r="H1312" t="s">
        <v>35</v>
      </c>
      <c r="I1312" t="s">
        <v>28</v>
      </c>
      <c r="J1312" t="s">
        <v>46</v>
      </c>
      <c r="K1312">
        <v>24</v>
      </c>
      <c r="L1312">
        <v>10.050000000000001</v>
      </c>
      <c r="M1312">
        <v>5</v>
      </c>
      <c r="N1312" t="s">
        <v>22</v>
      </c>
      <c r="O1312" t="str">
        <f t="shared" si="20"/>
        <v>No</v>
      </c>
    </row>
    <row r="1313" spans="1:15" x14ac:dyDescent="0.25">
      <c r="A1313" t="s">
        <v>1374</v>
      </c>
      <c r="B1313" s="1">
        <v>45720</v>
      </c>
      <c r="C1313" s="2">
        <v>45720.950833333336</v>
      </c>
      <c r="D1313" t="s">
        <v>15</v>
      </c>
      <c r="E1313" t="s">
        <v>45</v>
      </c>
      <c r="F1313" t="s">
        <v>100</v>
      </c>
      <c r="G1313" t="s">
        <v>51</v>
      </c>
      <c r="H1313" t="s">
        <v>65</v>
      </c>
      <c r="I1313" t="s">
        <v>20</v>
      </c>
      <c r="J1313" t="s">
        <v>21</v>
      </c>
      <c r="K1313">
        <v>48</v>
      </c>
      <c r="L1313">
        <v>22.82</v>
      </c>
      <c r="M1313">
        <v>5</v>
      </c>
      <c r="N1313" t="s">
        <v>22</v>
      </c>
      <c r="O1313" t="str">
        <f t="shared" si="20"/>
        <v>No</v>
      </c>
    </row>
    <row r="1314" spans="1:15" x14ac:dyDescent="0.25">
      <c r="A1314" t="s">
        <v>1375</v>
      </c>
      <c r="B1314" s="1">
        <v>45799</v>
      </c>
      <c r="C1314" s="2">
        <v>45799.904999999999</v>
      </c>
      <c r="D1314" t="s">
        <v>24</v>
      </c>
      <c r="E1314" t="s">
        <v>16</v>
      </c>
      <c r="F1314" t="s">
        <v>60</v>
      </c>
      <c r="G1314" t="s">
        <v>56</v>
      </c>
      <c r="H1314" t="s">
        <v>44</v>
      </c>
      <c r="I1314" t="s">
        <v>20</v>
      </c>
      <c r="J1314" t="s">
        <v>46</v>
      </c>
      <c r="K1314">
        <v>24</v>
      </c>
      <c r="L1314">
        <v>21.72</v>
      </c>
      <c r="M1314">
        <v>3.4</v>
      </c>
      <c r="N1314" t="s">
        <v>22</v>
      </c>
      <c r="O1314" t="str">
        <f t="shared" si="20"/>
        <v>No</v>
      </c>
    </row>
    <row r="1315" spans="1:15" x14ac:dyDescent="0.25">
      <c r="A1315" t="s">
        <v>1376</v>
      </c>
      <c r="B1315" s="1">
        <v>45812</v>
      </c>
      <c r="C1315" s="2">
        <v>45813.974999999999</v>
      </c>
      <c r="D1315" t="s">
        <v>15</v>
      </c>
      <c r="E1315" t="s">
        <v>45</v>
      </c>
      <c r="F1315" t="s">
        <v>50</v>
      </c>
      <c r="G1315" t="s">
        <v>18</v>
      </c>
      <c r="H1315" t="s">
        <v>35</v>
      </c>
      <c r="I1315" t="s">
        <v>36</v>
      </c>
      <c r="J1315" t="s">
        <v>21</v>
      </c>
      <c r="K1315">
        <v>48</v>
      </c>
      <c r="L1315">
        <v>47.4</v>
      </c>
      <c r="M1315">
        <v>3.1</v>
      </c>
      <c r="N1315" t="s">
        <v>22</v>
      </c>
      <c r="O1315" t="str">
        <f t="shared" si="20"/>
        <v>No</v>
      </c>
    </row>
    <row r="1316" spans="1:15" x14ac:dyDescent="0.25">
      <c r="A1316" t="s">
        <v>1377</v>
      </c>
      <c r="B1316" s="1">
        <v>45821</v>
      </c>
      <c r="C1316" s="2">
        <v>45821.974166666667</v>
      </c>
      <c r="D1316" t="s">
        <v>24</v>
      </c>
      <c r="E1316" t="s">
        <v>45</v>
      </c>
      <c r="F1316" t="s">
        <v>50</v>
      </c>
      <c r="G1316" t="s">
        <v>41</v>
      </c>
      <c r="H1316" t="s">
        <v>65</v>
      </c>
      <c r="I1316" t="s">
        <v>20</v>
      </c>
      <c r="J1316" t="s">
        <v>21</v>
      </c>
      <c r="K1316">
        <v>24</v>
      </c>
      <c r="L1316">
        <v>23.38</v>
      </c>
      <c r="M1316">
        <v>3.3</v>
      </c>
      <c r="N1316" t="s">
        <v>22</v>
      </c>
      <c r="O1316" t="str">
        <f t="shared" si="20"/>
        <v>No</v>
      </c>
    </row>
    <row r="1317" spans="1:15" x14ac:dyDescent="0.25">
      <c r="A1317" t="s">
        <v>1378</v>
      </c>
      <c r="B1317" s="1">
        <v>45712</v>
      </c>
      <c r="C1317" s="2">
        <v>45712.297500000001</v>
      </c>
      <c r="D1317" t="s">
        <v>24</v>
      </c>
      <c r="E1317" t="s">
        <v>39</v>
      </c>
      <c r="F1317" t="s">
        <v>87</v>
      </c>
      <c r="G1317" t="s">
        <v>51</v>
      </c>
      <c r="H1317" t="s">
        <v>35</v>
      </c>
      <c r="I1317" t="s">
        <v>20</v>
      </c>
      <c r="J1317" t="s">
        <v>21</v>
      </c>
      <c r="K1317">
        <v>24</v>
      </c>
      <c r="L1317">
        <v>7.14</v>
      </c>
      <c r="M1317">
        <v>4.8</v>
      </c>
      <c r="N1317" t="s">
        <v>22</v>
      </c>
      <c r="O1317" t="str">
        <f t="shared" si="20"/>
        <v>No</v>
      </c>
    </row>
    <row r="1318" spans="1:15" x14ac:dyDescent="0.25">
      <c r="A1318" t="s">
        <v>1379</v>
      </c>
      <c r="B1318" s="1">
        <v>45786</v>
      </c>
      <c r="C1318" s="2">
        <v>45786.026250000003</v>
      </c>
      <c r="D1318" t="s">
        <v>24</v>
      </c>
      <c r="E1318" t="s">
        <v>25</v>
      </c>
      <c r="F1318" t="s">
        <v>70</v>
      </c>
      <c r="G1318" t="s">
        <v>34</v>
      </c>
      <c r="H1318" t="s">
        <v>27</v>
      </c>
      <c r="I1318" t="s">
        <v>36</v>
      </c>
      <c r="J1318" t="s">
        <v>21</v>
      </c>
      <c r="K1318">
        <v>24</v>
      </c>
      <c r="L1318">
        <v>0.63</v>
      </c>
      <c r="M1318">
        <v>4.2</v>
      </c>
      <c r="N1318" t="s">
        <v>22</v>
      </c>
      <c r="O1318" t="str">
        <f t="shared" si="20"/>
        <v>No</v>
      </c>
    </row>
    <row r="1319" spans="1:15" x14ac:dyDescent="0.25">
      <c r="A1319" t="s">
        <v>1380</v>
      </c>
      <c r="B1319" s="1">
        <v>45764</v>
      </c>
      <c r="C1319" s="2">
        <v>45764.759166666663</v>
      </c>
      <c r="D1319" t="s">
        <v>15</v>
      </c>
      <c r="E1319" t="s">
        <v>25</v>
      </c>
      <c r="F1319" t="s">
        <v>53</v>
      </c>
      <c r="G1319" t="s">
        <v>51</v>
      </c>
      <c r="H1319" t="s">
        <v>19</v>
      </c>
      <c r="I1319" t="s">
        <v>45</v>
      </c>
      <c r="J1319" t="s">
        <v>21</v>
      </c>
      <c r="K1319">
        <v>48</v>
      </c>
      <c r="L1319">
        <v>18.22</v>
      </c>
      <c r="M1319">
        <v>5</v>
      </c>
      <c r="N1319" t="s">
        <v>22</v>
      </c>
      <c r="O1319" t="str">
        <f t="shared" si="20"/>
        <v>No</v>
      </c>
    </row>
    <row r="1320" spans="1:15" x14ac:dyDescent="0.25">
      <c r="A1320" t="s">
        <v>1381</v>
      </c>
      <c r="B1320" s="1">
        <v>45739</v>
      </c>
      <c r="C1320" s="2">
        <v>45740.055833333332</v>
      </c>
      <c r="D1320" t="s">
        <v>24</v>
      </c>
      <c r="E1320" t="s">
        <v>25</v>
      </c>
      <c r="F1320" t="s">
        <v>26</v>
      </c>
      <c r="G1320" t="s">
        <v>56</v>
      </c>
      <c r="H1320" t="s">
        <v>27</v>
      </c>
      <c r="I1320" t="s">
        <v>45</v>
      </c>
      <c r="J1320" t="s">
        <v>21</v>
      </c>
      <c r="K1320">
        <v>24</v>
      </c>
      <c r="L1320">
        <v>25.34</v>
      </c>
      <c r="M1320">
        <v>3.4</v>
      </c>
      <c r="N1320" t="s">
        <v>22</v>
      </c>
      <c r="O1320" t="str">
        <f t="shared" si="20"/>
        <v>Yes</v>
      </c>
    </row>
    <row r="1321" spans="1:15" x14ac:dyDescent="0.25">
      <c r="A1321" t="s">
        <v>1382</v>
      </c>
      <c r="B1321" s="1">
        <v>45729</v>
      </c>
      <c r="C1321" s="2">
        <v>45729.573333333334</v>
      </c>
      <c r="D1321" t="s">
        <v>38</v>
      </c>
      <c r="E1321" t="s">
        <v>45</v>
      </c>
      <c r="F1321" t="s">
        <v>112</v>
      </c>
      <c r="G1321" t="s">
        <v>51</v>
      </c>
      <c r="H1321" t="s">
        <v>27</v>
      </c>
      <c r="I1321" t="s">
        <v>28</v>
      </c>
      <c r="J1321" t="s">
        <v>21</v>
      </c>
      <c r="K1321">
        <v>8</v>
      </c>
      <c r="L1321">
        <v>13.76</v>
      </c>
      <c r="M1321">
        <v>3.2</v>
      </c>
      <c r="N1321" t="s">
        <v>22</v>
      </c>
      <c r="O1321" t="str">
        <f t="shared" si="20"/>
        <v>Yes</v>
      </c>
    </row>
    <row r="1322" spans="1:15" x14ac:dyDescent="0.25">
      <c r="A1322" t="s">
        <v>1383</v>
      </c>
      <c r="B1322" s="1">
        <v>45678</v>
      </c>
      <c r="C1322" s="2">
        <v>45678.072916666664</v>
      </c>
      <c r="D1322" t="s">
        <v>38</v>
      </c>
      <c r="E1322" t="s">
        <v>39</v>
      </c>
      <c r="F1322" t="s">
        <v>40</v>
      </c>
      <c r="G1322" t="s">
        <v>18</v>
      </c>
      <c r="H1322" t="s">
        <v>35</v>
      </c>
      <c r="I1322" t="s">
        <v>20</v>
      </c>
      <c r="J1322" t="s">
        <v>21</v>
      </c>
      <c r="K1322">
        <v>8</v>
      </c>
      <c r="L1322">
        <v>1.75</v>
      </c>
      <c r="M1322">
        <v>4.3</v>
      </c>
      <c r="N1322" t="s">
        <v>22</v>
      </c>
      <c r="O1322" t="str">
        <f t="shared" si="20"/>
        <v>No</v>
      </c>
    </row>
    <row r="1323" spans="1:15" x14ac:dyDescent="0.25">
      <c r="A1323" t="s">
        <v>1384</v>
      </c>
      <c r="B1323" s="1">
        <v>45707</v>
      </c>
      <c r="C1323" s="2">
        <v>45707.870416666665</v>
      </c>
      <c r="D1323" t="s">
        <v>24</v>
      </c>
      <c r="E1323" t="s">
        <v>39</v>
      </c>
      <c r="F1323" t="s">
        <v>40</v>
      </c>
      <c r="G1323" t="s">
        <v>34</v>
      </c>
      <c r="H1323" t="s">
        <v>35</v>
      </c>
      <c r="I1323" t="s">
        <v>36</v>
      </c>
      <c r="J1323" t="s">
        <v>21</v>
      </c>
      <c r="K1323">
        <v>24</v>
      </c>
      <c r="L1323">
        <v>20.89</v>
      </c>
      <c r="M1323">
        <v>4.3</v>
      </c>
      <c r="N1323" t="s">
        <v>22</v>
      </c>
      <c r="O1323" t="str">
        <f t="shared" si="20"/>
        <v>No</v>
      </c>
    </row>
    <row r="1324" spans="1:15" x14ac:dyDescent="0.25">
      <c r="A1324" t="s">
        <v>1385</v>
      </c>
      <c r="B1324" s="1">
        <v>45757</v>
      </c>
      <c r="C1324" s="2">
        <v>45757.315821759257</v>
      </c>
      <c r="D1324" t="s">
        <v>24</v>
      </c>
      <c r="E1324" t="s">
        <v>16</v>
      </c>
      <c r="F1324" t="s">
        <v>58</v>
      </c>
      <c r="G1324" t="s">
        <v>41</v>
      </c>
      <c r="H1324" t="s">
        <v>44</v>
      </c>
      <c r="I1324" t="s">
        <v>45</v>
      </c>
      <c r="J1324" t="s">
        <v>21</v>
      </c>
      <c r="K1324">
        <v>24</v>
      </c>
      <c r="L1324">
        <v>7.58</v>
      </c>
      <c r="M1324">
        <v>5</v>
      </c>
      <c r="N1324" t="s">
        <v>22</v>
      </c>
      <c r="O1324" t="str">
        <f t="shared" si="20"/>
        <v>No</v>
      </c>
    </row>
    <row r="1325" spans="1:15" x14ac:dyDescent="0.25">
      <c r="A1325" t="s">
        <v>1386</v>
      </c>
      <c r="B1325" s="1">
        <v>45818</v>
      </c>
      <c r="C1325" s="2">
        <v>45820.828333333331</v>
      </c>
      <c r="D1325" t="s">
        <v>15</v>
      </c>
      <c r="E1325" t="s">
        <v>25</v>
      </c>
      <c r="F1325" t="s">
        <v>48</v>
      </c>
      <c r="G1325" t="s">
        <v>56</v>
      </c>
      <c r="H1325" t="s">
        <v>35</v>
      </c>
      <c r="I1325" t="s">
        <v>36</v>
      </c>
      <c r="J1325" t="s">
        <v>21</v>
      </c>
      <c r="K1325">
        <v>48</v>
      </c>
      <c r="L1325">
        <v>67.88</v>
      </c>
      <c r="M1325">
        <v>2.2000000000000002</v>
      </c>
      <c r="N1325" t="s">
        <v>22</v>
      </c>
      <c r="O1325" t="str">
        <f t="shared" si="20"/>
        <v>Yes</v>
      </c>
    </row>
    <row r="1326" spans="1:15" x14ac:dyDescent="0.25">
      <c r="A1326" t="s">
        <v>1387</v>
      </c>
      <c r="B1326" s="1">
        <v>45814</v>
      </c>
      <c r="C1326" s="2">
        <v>45814.347916666666</v>
      </c>
      <c r="D1326" t="s">
        <v>38</v>
      </c>
      <c r="E1326" t="s">
        <v>25</v>
      </c>
      <c r="F1326" t="s">
        <v>70</v>
      </c>
      <c r="G1326" t="s">
        <v>18</v>
      </c>
      <c r="H1326" t="s">
        <v>27</v>
      </c>
      <c r="I1326" t="s">
        <v>36</v>
      </c>
      <c r="J1326" t="s">
        <v>46</v>
      </c>
      <c r="K1326">
        <v>8</v>
      </c>
      <c r="L1326">
        <v>8.35</v>
      </c>
      <c r="M1326">
        <v>3.3</v>
      </c>
      <c r="N1326" t="s">
        <v>22</v>
      </c>
      <c r="O1326" t="str">
        <f t="shared" si="20"/>
        <v>Yes</v>
      </c>
    </row>
    <row r="1327" spans="1:15" x14ac:dyDescent="0.25">
      <c r="A1327" t="s">
        <v>1388</v>
      </c>
      <c r="B1327" s="1">
        <v>45691</v>
      </c>
      <c r="C1327" s="2">
        <v>45691.697916666664</v>
      </c>
      <c r="D1327" t="s">
        <v>24</v>
      </c>
      <c r="E1327" t="s">
        <v>25</v>
      </c>
      <c r="F1327" t="s">
        <v>53</v>
      </c>
      <c r="G1327" t="s">
        <v>34</v>
      </c>
      <c r="H1327" t="s">
        <v>19</v>
      </c>
      <c r="I1327" t="s">
        <v>20</v>
      </c>
      <c r="J1327" t="s">
        <v>21</v>
      </c>
      <c r="K1327">
        <v>24</v>
      </c>
      <c r="L1327">
        <v>16.75</v>
      </c>
      <c r="M1327">
        <v>4.0999999999999996</v>
      </c>
      <c r="N1327" t="s">
        <v>22</v>
      </c>
      <c r="O1327" t="str">
        <f t="shared" si="20"/>
        <v>No</v>
      </c>
    </row>
    <row r="1328" spans="1:15" x14ac:dyDescent="0.25">
      <c r="A1328" t="s">
        <v>1389</v>
      </c>
      <c r="B1328" s="1">
        <v>45780</v>
      </c>
      <c r="C1328" s="2">
        <v>45781.474999999999</v>
      </c>
      <c r="D1328" t="s">
        <v>15</v>
      </c>
      <c r="E1328" t="s">
        <v>25</v>
      </c>
      <c r="F1328" t="s">
        <v>48</v>
      </c>
      <c r="G1328" t="s">
        <v>18</v>
      </c>
      <c r="H1328" t="s">
        <v>54</v>
      </c>
      <c r="I1328" t="s">
        <v>45</v>
      </c>
      <c r="J1328" t="s">
        <v>21</v>
      </c>
      <c r="K1328">
        <v>48</v>
      </c>
      <c r="L1328">
        <v>35.4</v>
      </c>
      <c r="M1328">
        <v>3.8</v>
      </c>
      <c r="N1328" t="s">
        <v>22</v>
      </c>
      <c r="O1328" t="str">
        <f t="shared" si="20"/>
        <v>No</v>
      </c>
    </row>
    <row r="1329" spans="1:15" x14ac:dyDescent="0.25">
      <c r="A1329" t="s">
        <v>1390</v>
      </c>
      <c r="B1329" s="1">
        <v>45673</v>
      </c>
      <c r="C1329" s="2">
        <v>45674.311666666668</v>
      </c>
      <c r="D1329" t="s">
        <v>24</v>
      </c>
      <c r="E1329" t="s">
        <v>45</v>
      </c>
      <c r="F1329" t="s">
        <v>112</v>
      </c>
      <c r="G1329" t="s">
        <v>51</v>
      </c>
      <c r="H1329" t="s">
        <v>35</v>
      </c>
      <c r="I1329" t="s">
        <v>20</v>
      </c>
      <c r="J1329" t="s">
        <v>21</v>
      </c>
      <c r="K1329">
        <v>24</v>
      </c>
      <c r="L1329">
        <v>31.48</v>
      </c>
      <c r="M1329">
        <v>4</v>
      </c>
      <c r="N1329" t="s">
        <v>22</v>
      </c>
      <c r="O1329" t="str">
        <f t="shared" si="20"/>
        <v>Yes</v>
      </c>
    </row>
    <row r="1330" spans="1:15" x14ac:dyDescent="0.25">
      <c r="A1330" t="s">
        <v>1391</v>
      </c>
      <c r="B1330" s="1">
        <v>45780</v>
      </c>
      <c r="C1330" s="2">
        <v>45780.03</v>
      </c>
      <c r="D1330" t="s">
        <v>38</v>
      </c>
      <c r="E1330" t="s">
        <v>32</v>
      </c>
      <c r="F1330" t="s">
        <v>80</v>
      </c>
      <c r="G1330" t="s">
        <v>41</v>
      </c>
      <c r="H1330" t="s">
        <v>27</v>
      </c>
      <c r="I1330" t="s">
        <v>45</v>
      </c>
      <c r="J1330" t="s">
        <v>21</v>
      </c>
      <c r="K1330">
        <v>8</v>
      </c>
      <c r="L1330">
        <v>0.72</v>
      </c>
      <c r="M1330">
        <v>4.5</v>
      </c>
      <c r="N1330" t="s">
        <v>22</v>
      </c>
      <c r="O1330" t="str">
        <f t="shared" si="20"/>
        <v>No</v>
      </c>
    </row>
    <row r="1331" spans="1:15" x14ac:dyDescent="0.25">
      <c r="A1331" t="s">
        <v>1392</v>
      </c>
      <c r="B1331" s="1">
        <v>45719</v>
      </c>
      <c r="C1331" s="2">
        <v>45719.508333333331</v>
      </c>
      <c r="D1331" t="s">
        <v>24</v>
      </c>
      <c r="E1331" t="s">
        <v>45</v>
      </c>
      <c r="F1331" t="s">
        <v>50</v>
      </c>
      <c r="G1331" t="s">
        <v>41</v>
      </c>
      <c r="H1331" t="s">
        <v>65</v>
      </c>
      <c r="I1331" t="s">
        <v>36</v>
      </c>
      <c r="J1331" t="s">
        <v>46</v>
      </c>
      <c r="K1331">
        <v>24</v>
      </c>
      <c r="L1331">
        <v>12.2</v>
      </c>
      <c r="M1331">
        <v>4.9000000000000004</v>
      </c>
      <c r="N1331" t="s">
        <v>22</v>
      </c>
      <c r="O1331" t="str">
        <f t="shared" si="20"/>
        <v>No</v>
      </c>
    </row>
    <row r="1332" spans="1:15" x14ac:dyDescent="0.25">
      <c r="A1332" t="s">
        <v>1393</v>
      </c>
      <c r="B1332" s="1">
        <v>45739</v>
      </c>
      <c r="C1332" s="2">
        <v>45739.191666666666</v>
      </c>
      <c r="D1332" t="s">
        <v>24</v>
      </c>
      <c r="E1332" t="s">
        <v>32</v>
      </c>
      <c r="F1332" t="s">
        <v>80</v>
      </c>
      <c r="G1332" t="s">
        <v>56</v>
      </c>
      <c r="H1332" t="s">
        <v>35</v>
      </c>
      <c r="I1332" t="s">
        <v>20</v>
      </c>
      <c r="J1332" t="s">
        <v>46</v>
      </c>
      <c r="K1332">
        <v>24</v>
      </c>
      <c r="L1332">
        <v>4.5999999999999996</v>
      </c>
      <c r="M1332">
        <v>5</v>
      </c>
      <c r="N1332" t="s">
        <v>22</v>
      </c>
      <c r="O1332" t="str">
        <f t="shared" si="20"/>
        <v>No</v>
      </c>
    </row>
    <row r="1333" spans="1:15" x14ac:dyDescent="0.25">
      <c r="A1333" t="s">
        <v>1394</v>
      </c>
      <c r="B1333" s="1">
        <v>45787</v>
      </c>
      <c r="C1333" s="2">
        <v>45787.727916666663</v>
      </c>
      <c r="D1333" t="s">
        <v>24</v>
      </c>
      <c r="E1333" t="s">
        <v>16</v>
      </c>
      <c r="F1333" t="s">
        <v>58</v>
      </c>
      <c r="G1333" t="s">
        <v>51</v>
      </c>
      <c r="H1333" t="s">
        <v>44</v>
      </c>
      <c r="I1333" t="s">
        <v>36</v>
      </c>
      <c r="J1333" t="s">
        <v>21</v>
      </c>
      <c r="K1333">
        <v>24</v>
      </c>
      <c r="L1333">
        <v>17.47</v>
      </c>
      <c r="M1333">
        <v>4.0999999999999996</v>
      </c>
      <c r="N1333" t="s">
        <v>22</v>
      </c>
      <c r="O1333" t="str">
        <f t="shared" si="20"/>
        <v>No</v>
      </c>
    </row>
    <row r="1334" spans="1:15" x14ac:dyDescent="0.25">
      <c r="A1334" t="s">
        <v>1395</v>
      </c>
      <c r="B1334" s="1">
        <v>45734</v>
      </c>
      <c r="C1334" s="2">
        <v>45734.62</v>
      </c>
      <c r="D1334" t="s">
        <v>24</v>
      </c>
      <c r="E1334" t="s">
        <v>32</v>
      </c>
      <c r="F1334" t="s">
        <v>64</v>
      </c>
      <c r="G1334" t="s">
        <v>18</v>
      </c>
      <c r="H1334" t="s">
        <v>54</v>
      </c>
      <c r="I1334" t="s">
        <v>28</v>
      </c>
      <c r="J1334" t="s">
        <v>21</v>
      </c>
      <c r="K1334">
        <v>24</v>
      </c>
      <c r="L1334">
        <v>14.88</v>
      </c>
      <c r="M1334">
        <v>4.7</v>
      </c>
      <c r="N1334" t="s">
        <v>22</v>
      </c>
      <c r="O1334" t="str">
        <f t="shared" si="20"/>
        <v>No</v>
      </c>
    </row>
    <row r="1335" spans="1:15" x14ac:dyDescent="0.25">
      <c r="A1335" t="s">
        <v>1396</v>
      </c>
      <c r="B1335" s="1">
        <v>45804</v>
      </c>
      <c r="C1335" s="2">
        <v>45804.697083333333</v>
      </c>
      <c r="D1335" t="s">
        <v>24</v>
      </c>
      <c r="E1335" t="s">
        <v>16</v>
      </c>
      <c r="F1335" t="s">
        <v>43</v>
      </c>
      <c r="G1335" t="s">
        <v>51</v>
      </c>
      <c r="H1335" t="s">
        <v>19</v>
      </c>
      <c r="I1335" t="s">
        <v>28</v>
      </c>
      <c r="J1335" t="s">
        <v>21</v>
      </c>
      <c r="K1335">
        <v>24</v>
      </c>
      <c r="L1335">
        <v>16.73</v>
      </c>
      <c r="M1335">
        <v>3.2</v>
      </c>
      <c r="N1335" t="s">
        <v>22</v>
      </c>
      <c r="O1335" t="str">
        <f t="shared" si="20"/>
        <v>No</v>
      </c>
    </row>
    <row r="1336" spans="1:15" x14ac:dyDescent="0.25">
      <c r="A1336" t="s">
        <v>1397</v>
      </c>
      <c r="B1336" s="1">
        <v>45754</v>
      </c>
      <c r="C1336" s="2">
        <v>45754.328333333331</v>
      </c>
      <c r="D1336" t="s">
        <v>15</v>
      </c>
      <c r="E1336" t="s">
        <v>39</v>
      </c>
      <c r="F1336" t="s">
        <v>119</v>
      </c>
      <c r="G1336" t="s">
        <v>56</v>
      </c>
      <c r="H1336" t="s">
        <v>19</v>
      </c>
      <c r="I1336" t="s">
        <v>20</v>
      </c>
      <c r="J1336" t="s">
        <v>46</v>
      </c>
      <c r="K1336">
        <v>48</v>
      </c>
      <c r="L1336">
        <v>7.88</v>
      </c>
      <c r="M1336">
        <v>4.8</v>
      </c>
      <c r="N1336" t="s">
        <v>22</v>
      </c>
      <c r="O1336" t="str">
        <f t="shared" si="20"/>
        <v>No</v>
      </c>
    </row>
    <row r="1337" spans="1:15" x14ac:dyDescent="0.25">
      <c r="A1337" t="s">
        <v>1398</v>
      </c>
      <c r="B1337" s="1">
        <v>45838</v>
      </c>
      <c r="C1337" s="2">
        <v>45839.16333333333</v>
      </c>
      <c r="D1337" t="s">
        <v>24</v>
      </c>
      <c r="E1337" t="s">
        <v>32</v>
      </c>
      <c r="F1337" t="s">
        <v>33</v>
      </c>
      <c r="G1337" t="s">
        <v>34</v>
      </c>
      <c r="H1337" t="s">
        <v>35</v>
      </c>
      <c r="I1337" t="s">
        <v>20</v>
      </c>
      <c r="J1337" t="s">
        <v>46</v>
      </c>
      <c r="K1337">
        <v>24</v>
      </c>
      <c r="L1337">
        <v>27.92</v>
      </c>
      <c r="M1337">
        <v>3.1</v>
      </c>
      <c r="N1337" t="s">
        <v>22</v>
      </c>
      <c r="O1337" t="str">
        <f t="shared" si="20"/>
        <v>Yes</v>
      </c>
    </row>
    <row r="1338" spans="1:15" x14ac:dyDescent="0.25">
      <c r="A1338" t="s">
        <v>1399</v>
      </c>
      <c r="B1338" s="1">
        <v>45773</v>
      </c>
      <c r="C1338" s="2">
        <v>45773.938750000001</v>
      </c>
      <c r="D1338" t="s">
        <v>24</v>
      </c>
      <c r="E1338" t="s">
        <v>16</v>
      </c>
      <c r="F1338" t="s">
        <v>43</v>
      </c>
      <c r="G1338" t="s">
        <v>18</v>
      </c>
      <c r="H1338" t="s">
        <v>27</v>
      </c>
      <c r="I1338" t="s">
        <v>45</v>
      </c>
      <c r="J1338" t="s">
        <v>21</v>
      </c>
      <c r="K1338">
        <v>24</v>
      </c>
      <c r="L1338">
        <v>22.53</v>
      </c>
      <c r="M1338">
        <v>3.8</v>
      </c>
      <c r="N1338" t="s">
        <v>22</v>
      </c>
      <c r="O1338" t="str">
        <f t="shared" si="20"/>
        <v>No</v>
      </c>
    </row>
    <row r="1339" spans="1:15" x14ac:dyDescent="0.25">
      <c r="A1339" t="s">
        <v>1400</v>
      </c>
      <c r="B1339" s="1">
        <v>45711</v>
      </c>
      <c r="C1339" s="2">
        <v>45711.739583333336</v>
      </c>
      <c r="D1339" t="s">
        <v>15</v>
      </c>
      <c r="E1339" t="s">
        <v>25</v>
      </c>
      <c r="F1339" t="s">
        <v>70</v>
      </c>
      <c r="G1339" t="s">
        <v>18</v>
      </c>
      <c r="H1339" t="s">
        <v>35</v>
      </c>
      <c r="I1339" t="s">
        <v>45</v>
      </c>
      <c r="J1339" t="s">
        <v>85</v>
      </c>
      <c r="K1339">
        <v>48</v>
      </c>
      <c r="L1339">
        <v>17.75</v>
      </c>
      <c r="M1339">
        <v>4.3</v>
      </c>
      <c r="N1339" t="s">
        <v>22</v>
      </c>
      <c r="O1339" t="str">
        <f t="shared" si="20"/>
        <v>No</v>
      </c>
    </row>
    <row r="1340" spans="1:15" x14ac:dyDescent="0.25">
      <c r="A1340" t="s">
        <v>1401</v>
      </c>
      <c r="B1340" s="1">
        <v>45798</v>
      </c>
      <c r="C1340" s="2">
        <v>45798.330833333333</v>
      </c>
      <c r="D1340" t="s">
        <v>38</v>
      </c>
      <c r="E1340" t="s">
        <v>32</v>
      </c>
      <c r="F1340" t="s">
        <v>64</v>
      </c>
      <c r="G1340" t="s">
        <v>34</v>
      </c>
      <c r="H1340" t="s">
        <v>44</v>
      </c>
      <c r="I1340" t="s">
        <v>20</v>
      </c>
      <c r="J1340" t="s">
        <v>21</v>
      </c>
      <c r="K1340">
        <v>8</v>
      </c>
      <c r="L1340">
        <v>7.94</v>
      </c>
      <c r="M1340">
        <v>3.8</v>
      </c>
      <c r="N1340" t="s">
        <v>22</v>
      </c>
      <c r="O1340" t="str">
        <f t="shared" si="20"/>
        <v>No</v>
      </c>
    </row>
    <row r="1341" spans="1:15" x14ac:dyDescent="0.25">
      <c r="A1341" t="s">
        <v>1402</v>
      </c>
      <c r="B1341" s="1">
        <v>45731</v>
      </c>
      <c r="C1341" s="2">
        <v>45731.091249999998</v>
      </c>
      <c r="D1341" t="s">
        <v>15</v>
      </c>
      <c r="E1341" t="s">
        <v>16</v>
      </c>
      <c r="F1341" t="s">
        <v>43</v>
      </c>
      <c r="G1341" t="s">
        <v>18</v>
      </c>
      <c r="H1341" t="s">
        <v>35</v>
      </c>
      <c r="I1341" t="s">
        <v>36</v>
      </c>
      <c r="J1341" t="s">
        <v>85</v>
      </c>
      <c r="K1341">
        <v>48</v>
      </c>
      <c r="L1341">
        <v>2.19</v>
      </c>
      <c r="M1341">
        <v>5</v>
      </c>
      <c r="N1341" t="s">
        <v>61</v>
      </c>
      <c r="O1341" t="str">
        <f t="shared" si="20"/>
        <v>No</v>
      </c>
    </row>
    <row r="1342" spans="1:15" x14ac:dyDescent="0.25">
      <c r="A1342" t="s">
        <v>1403</v>
      </c>
      <c r="B1342" s="1">
        <v>45754</v>
      </c>
      <c r="C1342" s="2">
        <v>45754.197083333333</v>
      </c>
      <c r="D1342" t="s">
        <v>24</v>
      </c>
      <c r="E1342" t="s">
        <v>32</v>
      </c>
      <c r="F1342" t="s">
        <v>75</v>
      </c>
      <c r="G1342" t="s">
        <v>18</v>
      </c>
      <c r="H1342" t="s">
        <v>65</v>
      </c>
      <c r="I1342" t="s">
        <v>20</v>
      </c>
      <c r="J1342" t="s">
        <v>21</v>
      </c>
      <c r="K1342">
        <v>24</v>
      </c>
      <c r="L1342">
        <v>4.7300000000000004</v>
      </c>
      <c r="M1342">
        <v>4.9000000000000004</v>
      </c>
      <c r="N1342" t="s">
        <v>22</v>
      </c>
      <c r="O1342" t="str">
        <f t="shared" si="20"/>
        <v>No</v>
      </c>
    </row>
    <row r="1343" spans="1:15" x14ac:dyDescent="0.25">
      <c r="A1343" t="s">
        <v>1404</v>
      </c>
      <c r="B1343" s="1">
        <v>45682</v>
      </c>
      <c r="C1343" s="2">
        <v>45682.523738425924</v>
      </c>
      <c r="D1343" t="s">
        <v>24</v>
      </c>
      <c r="E1343" t="s">
        <v>32</v>
      </c>
      <c r="F1343" t="s">
        <v>75</v>
      </c>
      <c r="G1343" t="s">
        <v>34</v>
      </c>
      <c r="H1343" t="s">
        <v>35</v>
      </c>
      <c r="I1343" t="s">
        <v>36</v>
      </c>
      <c r="J1343" t="s">
        <v>21</v>
      </c>
      <c r="K1343">
        <v>24</v>
      </c>
      <c r="L1343">
        <v>12.57</v>
      </c>
      <c r="M1343">
        <v>4.5</v>
      </c>
      <c r="N1343" t="s">
        <v>22</v>
      </c>
      <c r="O1343" t="str">
        <f t="shared" si="20"/>
        <v>No</v>
      </c>
    </row>
    <row r="1344" spans="1:15" x14ac:dyDescent="0.25">
      <c r="A1344" t="s">
        <v>1405</v>
      </c>
      <c r="B1344" s="1">
        <v>45679</v>
      </c>
      <c r="C1344" s="2">
        <v>45679.425000000003</v>
      </c>
      <c r="D1344" t="s">
        <v>24</v>
      </c>
      <c r="E1344" t="s">
        <v>32</v>
      </c>
      <c r="F1344" t="s">
        <v>80</v>
      </c>
      <c r="G1344" t="s">
        <v>34</v>
      </c>
      <c r="H1344" t="s">
        <v>27</v>
      </c>
      <c r="I1344" t="s">
        <v>20</v>
      </c>
      <c r="J1344" t="s">
        <v>21</v>
      </c>
      <c r="K1344">
        <v>24</v>
      </c>
      <c r="L1344">
        <v>10.199999999999999</v>
      </c>
      <c r="M1344">
        <v>4.9000000000000004</v>
      </c>
      <c r="N1344" t="s">
        <v>22</v>
      </c>
      <c r="O1344" t="str">
        <f t="shared" si="20"/>
        <v>No</v>
      </c>
    </row>
    <row r="1345" spans="1:15" x14ac:dyDescent="0.25">
      <c r="A1345" t="s">
        <v>1406</v>
      </c>
      <c r="B1345" s="1">
        <v>45762</v>
      </c>
      <c r="C1345" s="2">
        <v>45763.367083333331</v>
      </c>
      <c r="D1345" t="s">
        <v>24</v>
      </c>
      <c r="E1345" t="s">
        <v>16</v>
      </c>
      <c r="F1345" t="s">
        <v>43</v>
      </c>
      <c r="G1345" t="s">
        <v>41</v>
      </c>
      <c r="H1345" t="s">
        <v>35</v>
      </c>
      <c r="I1345" t="s">
        <v>45</v>
      </c>
      <c r="J1345" t="s">
        <v>21</v>
      </c>
      <c r="K1345">
        <v>24</v>
      </c>
      <c r="L1345">
        <v>32.81</v>
      </c>
      <c r="M1345">
        <v>2.5</v>
      </c>
      <c r="N1345" t="s">
        <v>22</v>
      </c>
      <c r="O1345" t="str">
        <f t="shared" si="20"/>
        <v>Yes</v>
      </c>
    </row>
    <row r="1346" spans="1:15" x14ac:dyDescent="0.25">
      <c r="A1346" t="s">
        <v>1407</v>
      </c>
      <c r="B1346" s="1">
        <v>45691</v>
      </c>
      <c r="C1346" s="2">
        <v>45691.148738425924</v>
      </c>
      <c r="D1346" t="s">
        <v>31</v>
      </c>
      <c r="E1346" t="s">
        <v>25</v>
      </c>
      <c r="F1346" t="s">
        <v>70</v>
      </c>
      <c r="G1346" t="s">
        <v>34</v>
      </c>
      <c r="H1346" t="s">
        <v>54</v>
      </c>
      <c r="I1346" t="s">
        <v>20</v>
      </c>
      <c r="J1346" t="s">
        <v>46</v>
      </c>
      <c r="K1346">
        <v>4</v>
      </c>
      <c r="L1346">
        <v>3.57</v>
      </c>
      <c r="M1346">
        <v>4.3</v>
      </c>
      <c r="N1346" t="s">
        <v>22</v>
      </c>
      <c r="O1346" t="str">
        <f t="shared" si="20"/>
        <v>No</v>
      </c>
    </row>
    <row r="1347" spans="1:15" x14ac:dyDescent="0.25">
      <c r="A1347" t="s">
        <v>1408</v>
      </c>
      <c r="B1347" s="1">
        <v>45838</v>
      </c>
      <c r="C1347" s="2">
        <v>45839.571250000001</v>
      </c>
      <c r="D1347" t="s">
        <v>24</v>
      </c>
      <c r="E1347" t="s">
        <v>16</v>
      </c>
      <c r="F1347" t="s">
        <v>17</v>
      </c>
      <c r="G1347" t="s">
        <v>51</v>
      </c>
      <c r="H1347" t="s">
        <v>19</v>
      </c>
      <c r="I1347" t="s">
        <v>45</v>
      </c>
      <c r="J1347" t="s">
        <v>21</v>
      </c>
      <c r="K1347">
        <v>24</v>
      </c>
      <c r="L1347">
        <v>37.71</v>
      </c>
      <c r="M1347">
        <v>2.1</v>
      </c>
      <c r="N1347" t="s">
        <v>22</v>
      </c>
      <c r="O1347" t="str">
        <f t="shared" ref="O1347:O1410" si="21">IF(L1347&gt;K1347,"Yes","No")</f>
        <v>Yes</v>
      </c>
    </row>
    <row r="1348" spans="1:15" x14ac:dyDescent="0.25">
      <c r="A1348" t="s">
        <v>1409</v>
      </c>
      <c r="B1348" s="1">
        <v>45812</v>
      </c>
      <c r="C1348" s="2">
        <v>45812.04583333333</v>
      </c>
      <c r="D1348" t="s">
        <v>38</v>
      </c>
      <c r="E1348" t="s">
        <v>25</v>
      </c>
      <c r="F1348" t="s">
        <v>48</v>
      </c>
      <c r="G1348" t="s">
        <v>18</v>
      </c>
      <c r="H1348" t="s">
        <v>35</v>
      </c>
      <c r="I1348" t="s">
        <v>45</v>
      </c>
      <c r="J1348" t="s">
        <v>21</v>
      </c>
      <c r="K1348">
        <v>8</v>
      </c>
      <c r="L1348">
        <v>1.1000000000000001</v>
      </c>
      <c r="M1348">
        <v>3</v>
      </c>
      <c r="N1348" t="s">
        <v>61</v>
      </c>
      <c r="O1348" t="str">
        <f t="shared" si="21"/>
        <v>No</v>
      </c>
    </row>
    <row r="1349" spans="1:15" x14ac:dyDescent="0.25">
      <c r="A1349" t="s">
        <v>1410</v>
      </c>
      <c r="B1349" s="1">
        <v>45784</v>
      </c>
      <c r="C1349" s="2">
        <v>45784.422083333331</v>
      </c>
      <c r="D1349" t="s">
        <v>24</v>
      </c>
      <c r="E1349" t="s">
        <v>16</v>
      </c>
      <c r="F1349" t="s">
        <v>60</v>
      </c>
      <c r="G1349" t="s">
        <v>56</v>
      </c>
      <c r="H1349" t="s">
        <v>19</v>
      </c>
      <c r="I1349" t="s">
        <v>28</v>
      </c>
      <c r="J1349" t="s">
        <v>21</v>
      </c>
      <c r="K1349">
        <v>24</v>
      </c>
      <c r="L1349">
        <v>10.130000000000001</v>
      </c>
      <c r="M1349">
        <v>5</v>
      </c>
      <c r="N1349" t="s">
        <v>22</v>
      </c>
      <c r="O1349" t="str">
        <f t="shared" si="21"/>
        <v>No</v>
      </c>
    </row>
    <row r="1350" spans="1:15" x14ac:dyDescent="0.25">
      <c r="A1350" t="s">
        <v>1411</v>
      </c>
      <c r="B1350" s="1">
        <v>45790</v>
      </c>
      <c r="C1350" s="2">
        <v>45790.373333333337</v>
      </c>
      <c r="D1350" t="s">
        <v>15</v>
      </c>
      <c r="E1350" t="s">
        <v>25</v>
      </c>
      <c r="F1350" t="s">
        <v>26</v>
      </c>
      <c r="G1350" t="s">
        <v>18</v>
      </c>
      <c r="H1350" t="s">
        <v>44</v>
      </c>
      <c r="I1350" t="s">
        <v>36</v>
      </c>
      <c r="J1350" t="s">
        <v>85</v>
      </c>
      <c r="K1350">
        <v>48</v>
      </c>
      <c r="L1350">
        <v>8.9600000000000009</v>
      </c>
      <c r="M1350">
        <v>4.2</v>
      </c>
      <c r="N1350" t="s">
        <v>61</v>
      </c>
      <c r="O1350" t="str">
        <f t="shared" si="21"/>
        <v>No</v>
      </c>
    </row>
    <row r="1351" spans="1:15" x14ac:dyDescent="0.25">
      <c r="A1351" t="s">
        <v>1412</v>
      </c>
      <c r="B1351" s="1">
        <v>45765</v>
      </c>
      <c r="C1351" s="2">
        <v>45766.400833333333</v>
      </c>
      <c r="D1351" t="s">
        <v>15</v>
      </c>
      <c r="E1351" t="s">
        <v>45</v>
      </c>
      <c r="F1351" t="s">
        <v>112</v>
      </c>
      <c r="G1351" t="s">
        <v>41</v>
      </c>
      <c r="H1351" t="s">
        <v>27</v>
      </c>
      <c r="I1351" t="s">
        <v>36</v>
      </c>
      <c r="J1351" t="s">
        <v>85</v>
      </c>
      <c r="K1351">
        <v>48</v>
      </c>
      <c r="L1351">
        <v>33.619999999999997</v>
      </c>
      <c r="M1351">
        <v>3.9</v>
      </c>
      <c r="N1351" t="s">
        <v>22</v>
      </c>
      <c r="O1351" t="str">
        <f t="shared" si="21"/>
        <v>No</v>
      </c>
    </row>
    <row r="1352" spans="1:15" x14ac:dyDescent="0.25">
      <c r="A1352" t="s">
        <v>1413</v>
      </c>
      <c r="B1352" s="1">
        <v>45668</v>
      </c>
      <c r="C1352" s="2">
        <v>45668.137499999997</v>
      </c>
      <c r="D1352" t="s">
        <v>24</v>
      </c>
      <c r="E1352" t="s">
        <v>39</v>
      </c>
      <c r="F1352" t="s">
        <v>40</v>
      </c>
      <c r="G1352" t="s">
        <v>41</v>
      </c>
      <c r="H1352" t="s">
        <v>27</v>
      </c>
      <c r="I1352" t="s">
        <v>36</v>
      </c>
      <c r="J1352" t="s">
        <v>21</v>
      </c>
      <c r="K1352">
        <v>24</v>
      </c>
      <c r="L1352">
        <v>3.3</v>
      </c>
      <c r="M1352">
        <v>3.6</v>
      </c>
      <c r="N1352" t="s">
        <v>22</v>
      </c>
      <c r="O1352" t="str">
        <f t="shared" si="21"/>
        <v>No</v>
      </c>
    </row>
    <row r="1353" spans="1:15" x14ac:dyDescent="0.25">
      <c r="A1353" t="s">
        <v>1414</v>
      </c>
      <c r="B1353" s="1">
        <v>45729</v>
      </c>
      <c r="C1353" s="2">
        <v>45730.262071759258</v>
      </c>
      <c r="D1353" t="s">
        <v>15</v>
      </c>
      <c r="E1353" t="s">
        <v>32</v>
      </c>
      <c r="F1353" t="s">
        <v>80</v>
      </c>
      <c r="G1353" t="s">
        <v>41</v>
      </c>
      <c r="H1353" t="s">
        <v>44</v>
      </c>
      <c r="I1353" t="s">
        <v>45</v>
      </c>
      <c r="J1353" t="s">
        <v>21</v>
      </c>
      <c r="K1353">
        <v>48</v>
      </c>
      <c r="L1353">
        <v>30.29</v>
      </c>
      <c r="M1353">
        <v>3.9</v>
      </c>
      <c r="N1353" t="s">
        <v>61</v>
      </c>
      <c r="O1353" t="str">
        <f t="shared" si="21"/>
        <v>No</v>
      </c>
    </row>
    <row r="1354" spans="1:15" x14ac:dyDescent="0.25">
      <c r="A1354" t="s">
        <v>1415</v>
      </c>
      <c r="B1354" s="1">
        <v>45747</v>
      </c>
      <c r="C1354" s="2">
        <v>45747.281666666669</v>
      </c>
      <c r="D1354" t="s">
        <v>24</v>
      </c>
      <c r="E1354" t="s">
        <v>32</v>
      </c>
      <c r="F1354" t="s">
        <v>80</v>
      </c>
      <c r="G1354" t="s">
        <v>56</v>
      </c>
      <c r="H1354" t="s">
        <v>44</v>
      </c>
      <c r="I1354" t="s">
        <v>45</v>
      </c>
      <c r="J1354" t="s">
        <v>21</v>
      </c>
      <c r="K1354">
        <v>24</v>
      </c>
      <c r="L1354">
        <v>6.76</v>
      </c>
      <c r="M1354">
        <v>4.8</v>
      </c>
      <c r="N1354" t="s">
        <v>22</v>
      </c>
      <c r="O1354" t="str">
        <f t="shared" si="21"/>
        <v>No</v>
      </c>
    </row>
    <row r="1355" spans="1:15" x14ac:dyDescent="0.25">
      <c r="A1355" t="s">
        <v>1416</v>
      </c>
      <c r="B1355" s="1">
        <v>45823</v>
      </c>
      <c r="C1355" s="2">
        <v>45824.001666666663</v>
      </c>
      <c r="D1355" t="s">
        <v>24</v>
      </c>
      <c r="E1355" t="s">
        <v>16</v>
      </c>
      <c r="F1355" t="s">
        <v>58</v>
      </c>
      <c r="G1355" t="s">
        <v>34</v>
      </c>
      <c r="H1355" t="s">
        <v>44</v>
      </c>
      <c r="I1355" t="s">
        <v>45</v>
      </c>
      <c r="J1355" t="s">
        <v>21</v>
      </c>
      <c r="K1355">
        <v>24</v>
      </c>
      <c r="L1355">
        <v>24.04</v>
      </c>
      <c r="M1355">
        <v>4</v>
      </c>
      <c r="N1355" t="s">
        <v>22</v>
      </c>
      <c r="O1355" t="str">
        <f t="shared" si="21"/>
        <v>Yes</v>
      </c>
    </row>
    <row r="1356" spans="1:15" x14ac:dyDescent="0.25">
      <c r="A1356" t="s">
        <v>1417</v>
      </c>
      <c r="B1356" s="1">
        <v>45697</v>
      </c>
      <c r="C1356" s="2">
        <v>45697.528333333335</v>
      </c>
      <c r="D1356" t="s">
        <v>24</v>
      </c>
      <c r="E1356" t="s">
        <v>16</v>
      </c>
      <c r="F1356" t="s">
        <v>17</v>
      </c>
      <c r="G1356" t="s">
        <v>56</v>
      </c>
      <c r="H1356" t="s">
        <v>35</v>
      </c>
      <c r="I1356" t="s">
        <v>36</v>
      </c>
      <c r="J1356" t="s">
        <v>85</v>
      </c>
      <c r="K1356">
        <v>24</v>
      </c>
      <c r="L1356">
        <v>12.68</v>
      </c>
      <c r="M1356">
        <v>3.6</v>
      </c>
      <c r="N1356" t="s">
        <v>22</v>
      </c>
      <c r="O1356" t="str">
        <f t="shared" si="21"/>
        <v>No</v>
      </c>
    </row>
    <row r="1357" spans="1:15" x14ac:dyDescent="0.25">
      <c r="A1357" t="s">
        <v>1418</v>
      </c>
      <c r="B1357" s="1">
        <v>45747</v>
      </c>
      <c r="C1357" s="2">
        <v>45747.222083333334</v>
      </c>
      <c r="D1357" t="s">
        <v>15</v>
      </c>
      <c r="E1357" t="s">
        <v>32</v>
      </c>
      <c r="F1357" t="s">
        <v>33</v>
      </c>
      <c r="G1357" t="s">
        <v>41</v>
      </c>
      <c r="H1357" t="s">
        <v>27</v>
      </c>
      <c r="I1357" t="s">
        <v>36</v>
      </c>
      <c r="J1357" t="s">
        <v>46</v>
      </c>
      <c r="K1357">
        <v>48</v>
      </c>
      <c r="L1357">
        <v>5.33</v>
      </c>
      <c r="M1357">
        <v>4.5999999999999996</v>
      </c>
      <c r="N1357" t="s">
        <v>22</v>
      </c>
      <c r="O1357" t="str">
        <f t="shared" si="21"/>
        <v>No</v>
      </c>
    </row>
    <row r="1358" spans="1:15" x14ac:dyDescent="0.25">
      <c r="A1358" t="s">
        <v>1419</v>
      </c>
      <c r="B1358" s="1">
        <v>45720</v>
      </c>
      <c r="C1358" s="2">
        <v>45720.372083333335</v>
      </c>
      <c r="D1358" t="s">
        <v>38</v>
      </c>
      <c r="E1358" t="s">
        <v>45</v>
      </c>
      <c r="F1358" t="s">
        <v>50</v>
      </c>
      <c r="G1358" t="s">
        <v>56</v>
      </c>
      <c r="H1358" t="s">
        <v>35</v>
      </c>
      <c r="I1358" t="s">
        <v>20</v>
      </c>
      <c r="J1358" t="s">
        <v>46</v>
      </c>
      <c r="K1358">
        <v>8</v>
      </c>
      <c r="L1358">
        <v>8.93</v>
      </c>
      <c r="M1358">
        <v>3.9</v>
      </c>
      <c r="N1358" t="s">
        <v>22</v>
      </c>
      <c r="O1358" t="str">
        <f t="shared" si="21"/>
        <v>Yes</v>
      </c>
    </row>
    <row r="1359" spans="1:15" x14ac:dyDescent="0.25">
      <c r="A1359" t="s">
        <v>1420</v>
      </c>
      <c r="B1359" s="1">
        <v>45682</v>
      </c>
      <c r="C1359" s="2">
        <v>45683.129583333335</v>
      </c>
      <c r="D1359" t="s">
        <v>24</v>
      </c>
      <c r="E1359" t="s">
        <v>45</v>
      </c>
      <c r="F1359" t="s">
        <v>112</v>
      </c>
      <c r="G1359" t="s">
        <v>51</v>
      </c>
      <c r="H1359" t="s">
        <v>19</v>
      </c>
      <c r="I1359" t="s">
        <v>45</v>
      </c>
      <c r="J1359" t="s">
        <v>21</v>
      </c>
      <c r="K1359">
        <v>24</v>
      </c>
      <c r="L1359">
        <v>27.11</v>
      </c>
      <c r="M1359">
        <v>3.8</v>
      </c>
      <c r="N1359" t="s">
        <v>22</v>
      </c>
      <c r="O1359" t="str">
        <f t="shared" si="21"/>
        <v>Yes</v>
      </c>
    </row>
    <row r="1360" spans="1:15" x14ac:dyDescent="0.25">
      <c r="A1360" t="s">
        <v>1421</v>
      </c>
      <c r="B1360" s="1">
        <v>45676</v>
      </c>
      <c r="C1360" s="2">
        <v>45676.962083333332</v>
      </c>
      <c r="D1360" t="s">
        <v>24</v>
      </c>
      <c r="E1360" t="s">
        <v>32</v>
      </c>
      <c r="F1360" t="s">
        <v>75</v>
      </c>
      <c r="G1360" t="s">
        <v>34</v>
      </c>
      <c r="H1360" t="s">
        <v>44</v>
      </c>
      <c r="I1360" t="s">
        <v>36</v>
      </c>
      <c r="J1360" t="s">
        <v>46</v>
      </c>
      <c r="K1360">
        <v>24</v>
      </c>
      <c r="L1360">
        <v>23.09</v>
      </c>
      <c r="M1360">
        <v>3.9</v>
      </c>
      <c r="N1360" t="s">
        <v>22</v>
      </c>
      <c r="O1360" t="str">
        <f t="shared" si="21"/>
        <v>No</v>
      </c>
    </row>
    <row r="1361" spans="1:15" x14ac:dyDescent="0.25">
      <c r="A1361" t="s">
        <v>1422</v>
      </c>
      <c r="B1361" s="1">
        <v>45724</v>
      </c>
      <c r="C1361" s="2">
        <v>45724.727916666663</v>
      </c>
      <c r="D1361" t="s">
        <v>15</v>
      </c>
      <c r="E1361" t="s">
        <v>32</v>
      </c>
      <c r="F1361" t="s">
        <v>75</v>
      </c>
      <c r="G1361" t="s">
        <v>51</v>
      </c>
      <c r="H1361" t="s">
        <v>19</v>
      </c>
      <c r="I1361" t="s">
        <v>36</v>
      </c>
      <c r="J1361" t="s">
        <v>85</v>
      </c>
      <c r="K1361">
        <v>48</v>
      </c>
      <c r="L1361">
        <v>17.47</v>
      </c>
      <c r="M1361">
        <v>5</v>
      </c>
      <c r="N1361" t="s">
        <v>22</v>
      </c>
      <c r="O1361" t="str">
        <f t="shared" si="21"/>
        <v>No</v>
      </c>
    </row>
    <row r="1362" spans="1:15" x14ac:dyDescent="0.25">
      <c r="A1362" t="s">
        <v>1423</v>
      </c>
      <c r="B1362" s="1">
        <v>45672</v>
      </c>
      <c r="C1362" s="2">
        <v>45672.824166666665</v>
      </c>
      <c r="D1362" t="s">
        <v>24</v>
      </c>
      <c r="E1362" t="s">
        <v>32</v>
      </c>
      <c r="F1362" t="s">
        <v>64</v>
      </c>
      <c r="G1362" t="s">
        <v>18</v>
      </c>
      <c r="H1362" t="s">
        <v>65</v>
      </c>
      <c r="I1362" t="s">
        <v>36</v>
      </c>
      <c r="J1362" t="s">
        <v>85</v>
      </c>
      <c r="K1362">
        <v>24</v>
      </c>
      <c r="L1362">
        <v>19.78</v>
      </c>
      <c r="M1362">
        <v>3.9</v>
      </c>
      <c r="N1362" t="s">
        <v>61</v>
      </c>
      <c r="O1362" t="str">
        <f t="shared" si="21"/>
        <v>No</v>
      </c>
    </row>
    <row r="1363" spans="1:15" x14ac:dyDescent="0.25">
      <c r="A1363" t="s">
        <v>1424</v>
      </c>
      <c r="B1363" s="1">
        <v>45670</v>
      </c>
      <c r="C1363" s="2">
        <v>45672.402083333334</v>
      </c>
      <c r="D1363" t="s">
        <v>15</v>
      </c>
      <c r="E1363" t="s">
        <v>39</v>
      </c>
      <c r="F1363" t="s">
        <v>87</v>
      </c>
      <c r="G1363" t="s">
        <v>51</v>
      </c>
      <c r="H1363" t="s">
        <v>27</v>
      </c>
      <c r="I1363" t="s">
        <v>20</v>
      </c>
      <c r="J1363" t="s">
        <v>21</v>
      </c>
      <c r="K1363">
        <v>48</v>
      </c>
      <c r="L1363">
        <v>57.65</v>
      </c>
      <c r="M1363">
        <v>4.5</v>
      </c>
      <c r="N1363" t="s">
        <v>22</v>
      </c>
      <c r="O1363" t="str">
        <f t="shared" si="21"/>
        <v>Yes</v>
      </c>
    </row>
    <row r="1364" spans="1:15" x14ac:dyDescent="0.25">
      <c r="A1364" t="s">
        <v>1425</v>
      </c>
      <c r="B1364" s="1">
        <v>45721</v>
      </c>
      <c r="C1364" s="2">
        <v>45721.486666666664</v>
      </c>
      <c r="D1364" t="s">
        <v>24</v>
      </c>
      <c r="E1364" t="s">
        <v>25</v>
      </c>
      <c r="F1364" t="s">
        <v>48</v>
      </c>
      <c r="G1364" t="s">
        <v>41</v>
      </c>
      <c r="H1364" t="s">
        <v>19</v>
      </c>
      <c r="I1364" t="s">
        <v>20</v>
      </c>
      <c r="J1364" t="s">
        <v>21</v>
      </c>
      <c r="K1364">
        <v>24</v>
      </c>
      <c r="L1364">
        <v>11.68</v>
      </c>
      <c r="M1364">
        <v>4.2</v>
      </c>
      <c r="N1364" t="s">
        <v>22</v>
      </c>
      <c r="O1364" t="str">
        <f t="shared" si="21"/>
        <v>No</v>
      </c>
    </row>
    <row r="1365" spans="1:15" x14ac:dyDescent="0.25">
      <c r="A1365" t="s">
        <v>1426</v>
      </c>
      <c r="B1365" s="1">
        <v>45694</v>
      </c>
      <c r="C1365" s="2">
        <v>45694.504999999997</v>
      </c>
      <c r="D1365" t="s">
        <v>24</v>
      </c>
      <c r="E1365" t="s">
        <v>16</v>
      </c>
      <c r="F1365" t="s">
        <v>17</v>
      </c>
      <c r="G1365" t="s">
        <v>56</v>
      </c>
      <c r="H1365" t="s">
        <v>65</v>
      </c>
      <c r="I1365" t="s">
        <v>45</v>
      </c>
      <c r="J1365" t="s">
        <v>85</v>
      </c>
      <c r="K1365">
        <v>24</v>
      </c>
      <c r="L1365">
        <v>12.12</v>
      </c>
      <c r="M1365">
        <v>4.8</v>
      </c>
      <c r="N1365" t="s">
        <v>22</v>
      </c>
      <c r="O1365" t="str">
        <f t="shared" si="21"/>
        <v>No</v>
      </c>
    </row>
    <row r="1366" spans="1:15" x14ac:dyDescent="0.25">
      <c r="A1366" t="s">
        <v>1427</v>
      </c>
      <c r="B1366" s="1">
        <v>45758</v>
      </c>
      <c r="C1366" s="2">
        <v>45758.195</v>
      </c>
      <c r="D1366" t="s">
        <v>38</v>
      </c>
      <c r="E1366" t="s">
        <v>32</v>
      </c>
      <c r="F1366" t="s">
        <v>80</v>
      </c>
      <c r="G1366" t="s">
        <v>56</v>
      </c>
      <c r="H1366" t="s">
        <v>19</v>
      </c>
      <c r="I1366" t="s">
        <v>45</v>
      </c>
      <c r="J1366" t="s">
        <v>21</v>
      </c>
      <c r="K1366">
        <v>8</v>
      </c>
      <c r="L1366">
        <v>4.68</v>
      </c>
      <c r="M1366">
        <v>4.8</v>
      </c>
      <c r="N1366" t="s">
        <v>22</v>
      </c>
      <c r="O1366" t="str">
        <f t="shared" si="21"/>
        <v>No</v>
      </c>
    </row>
    <row r="1367" spans="1:15" x14ac:dyDescent="0.25">
      <c r="A1367" t="s">
        <v>1428</v>
      </c>
      <c r="B1367" s="1">
        <v>45661</v>
      </c>
      <c r="C1367" s="2">
        <v>45661.972500000003</v>
      </c>
      <c r="D1367" t="s">
        <v>24</v>
      </c>
      <c r="E1367" t="s">
        <v>39</v>
      </c>
      <c r="F1367" t="s">
        <v>40</v>
      </c>
      <c r="G1367" t="s">
        <v>41</v>
      </c>
      <c r="H1367" t="s">
        <v>54</v>
      </c>
      <c r="I1367" t="s">
        <v>20</v>
      </c>
      <c r="J1367" t="s">
        <v>21</v>
      </c>
      <c r="K1367">
        <v>24</v>
      </c>
      <c r="L1367">
        <v>23.34</v>
      </c>
      <c r="M1367">
        <v>2.8</v>
      </c>
      <c r="N1367" t="s">
        <v>22</v>
      </c>
      <c r="O1367" t="str">
        <f t="shared" si="21"/>
        <v>No</v>
      </c>
    </row>
    <row r="1368" spans="1:15" x14ac:dyDescent="0.25">
      <c r="A1368" t="s">
        <v>1429</v>
      </c>
      <c r="B1368" s="1">
        <v>45712</v>
      </c>
      <c r="C1368" s="2">
        <v>45712.650833333333</v>
      </c>
      <c r="D1368" t="s">
        <v>24</v>
      </c>
      <c r="E1368" t="s">
        <v>32</v>
      </c>
      <c r="F1368" t="s">
        <v>64</v>
      </c>
      <c r="G1368" t="s">
        <v>41</v>
      </c>
      <c r="H1368" t="s">
        <v>44</v>
      </c>
      <c r="I1368" t="s">
        <v>36</v>
      </c>
      <c r="J1368" t="s">
        <v>21</v>
      </c>
      <c r="K1368">
        <v>24</v>
      </c>
      <c r="L1368">
        <v>15.62</v>
      </c>
      <c r="M1368">
        <v>4.5</v>
      </c>
      <c r="N1368" t="s">
        <v>22</v>
      </c>
      <c r="O1368" t="str">
        <f t="shared" si="21"/>
        <v>No</v>
      </c>
    </row>
    <row r="1369" spans="1:15" x14ac:dyDescent="0.25">
      <c r="A1369" t="s">
        <v>1430</v>
      </c>
      <c r="B1369" s="1">
        <v>45740</v>
      </c>
      <c r="C1369" s="2">
        <v>45741.732488425929</v>
      </c>
      <c r="D1369" t="s">
        <v>15</v>
      </c>
      <c r="E1369" t="s">
        <v>39</v>
      </c>
      <c r="F1369" t="s">
        <v>40</v>
      </c>
      <c r="G1369" t="s">
        <v>34</v>
      </c>
      <c r="H1369" t="s">
        <v>35</v>
      </c>
      <c r="I1369" t="s">
        <v>36</v>
      </c>
      <c r="J1369" t="s">
        <v>21</v>
      </c>
      <c r="K1369">
        <v>48</v>
      </c>
      <c r="L1369">
        <v>41.58</v>
      </c>
      <c r="M1369">
        <v>3.5</v>
      </c>
      <c r="N1369" t="s">
        <v>22</v>
      </c>
      <c r="O1369" t="str">
        <f t="shared" si="21"/>
        <v>No</v>
      </c>
    </row>
    <row r="1370" spans="1:15" x14ac:dyDescent="0.25">
      <c r="A1370" t="s">
        <v>1431</v>
      </c>
      <c r="B1370" s="1">
        <v>45832</v>
      </c>
      <c r="C1370" s="2">
        <v>45832.467499999999</v>
      </c>
      <c r="D1370" t="s">
        <v>24</v>
      </c>
      <c r="E1370" t="s">
        <v>39</v>
      </c>
      <c r="F1370" t="s">
        <v>40</v>
      </c>
      <c r="G1370" t="s">
        <v>18</v>
      </c>
      <c r="H1370" t="s">
        <v>44</v>
      </c>
      <c r="I1370" t="s">
        <v>36</v>
      </c>
      <c r="J1370" t="s">
        <v>46</v>
      </c>
      <c r="K1370">
        <v>24</v>
      </c>
      <c r="L1370">
        <v>11.22</v>
      </c>
      <c r="M1370">
        <v>3.8</v>
      </c>
      <c r="N1370" t="s">
        <v>22</v>
      </c>
      <c r="O1370" t="str">
        <f t="shared" si="21"/>
        <v>No</v>
      </c>
    </row>
    <row r="1371" spans="1:15" x14ac:dyDescent="0.25">
      <c r="A1371" t="s">
        <v>1432</v>
      </c>
      <c r="B1371" s="1">
        <v>45772</v>
      </c>
      <c r="C1371" s="2">
        <v>45772.458333333336</v>
      </c>
      <c r="D1371" t="s">
        <v>24</v>
      </c>
      <c r="E1371" t="s">
        <v>16</v>
      </c>
      <c r="F1371" t="s">
        <v>58</v>
      </c>
      <c r="G1371" t="s">
        <v>41</v>
      </c>
      <c r="H1371" t="s">
        <v>54</v>
      </c>
      <c r="I1371" t="s">
        <v>28</v>
      </c>
      <c r="J1371" t="s">
        <v>85</v>
      </c>
      <c r="K1371">
        <v>24</v>
      </c>
      <c r="L1371">
        <v>11</v>
      </c>
      <c r="M1371">
        <v>4.2</v>
      </c>
      <c r="N1371" t="s">
        <v>22</v>
      </c>
      <c r="O1371" t="str">
        <f t="shared" si="21"/>
        <v>No</v>
      </c>
    </row>
    <row r="1372" spans="1:15" x14ac:dyDescent="0.25">
      <c r="A1372" t="s">
        <v>1433</v>
      </c>
      <c r="B1372" s="1">
        <v>45817</v>
      </c>
      <c r="C1372" s="2">
        <v>45817.889166666668</v>
      </c>
      <c r="D1372" t="s">
        <v>24</v>
      </c>
      <c r="E1372" t="s">
        <v>16</v>
      </c>
      <c r="F1372" t="s">
        <v>43</v>
      </c>
      <c r="G1372" t="s">
        <v>56</v>
      </c>
      <c r="H1372" t="s">
        <v>27</v>
      </c>
      <c r="I1372" t="s">
        <v>45</v>
      </c>
      <c r="J1372" t="s">
        <v>85</v>
      </c>
      <c r="K1372">
        <v>24</v>
      </c>
      <c r="L1372">
        <v>21.34</v>
      </c>
      <c r="M1372">
        <v>4</v>
      </c>
      <c r="N1372" t="s">
        <v>22</v>
      </c>
      <c r="O1372" t="str">
        <f t="shared" si="21"/>
        <v>No</v>
      </c>
    </row>
    <row r="1373" spans="1:15" x14ac:dyDescent="0.25">
      <c r="A1373" t="s">
        <v>1434</v>
      </c>
      <c r="B1373" s="1">
        <v>45720</v>
      </c>
      <c r="C1373" s="2">
        <v>45720.645833333336</v>
      </c>
      <c r="D1373" t="s">
        <v>15</v>
      </c>
      <c r="E1373" t="s">
        <v>25</v>
      </c>
      <c r="F1373" t="s">
        <v>70</v>
      </c>
      <c r="G1373" t="s">
        <v>18</v>
      </c>
      <c r="H1373" t="s">
        <v>44</v>
      </c>
      <c r="I1373" t="s">
        <v>45</v>
      </c>
      <c r="J1373" t="s">
        <v>21</v>
      </c>
      <c r="K1373">
        <v>48</v>
      </c>
      <c r="L1373">
        <v>15.5</v>
      </c>
      <c r="M1373">
        <v>3.6</v>
      </c>
      <c r="N1373" t="s">
        <v>22</v>
      </c>
      <c r="O1373" t="str">
        <f t="shared" si="21"/>
        <v>No</v>
      </c>
    </row>
    <row r="1374" spans="1:15" x14ac:dyDescent="0.25">
      <c r="A1374" t="s">
        <v>1435</v>
      </c>
      <c r="B1374" s="1">
        <v>45739</v>
      </c>
      <c r="C1374" s="2">
        <v>45739.445</v>
      </c>
      <c r="D1374" t="s">
        <v>15</v>
      </c>
      <c r="E1374" t="s">
        <v>32</v>
      </c>
      <c r="F1374" t="s">
        <v>64</v>
      </c>
      <c r="G1374" t="s">
        <v>34</v>
      </c>
      <c r="H1374" t="s">
        <v>54</v>
      </c>
      <c r="I1374" t="s">
        <v>20</v>
      </c>
      <c r="J1374" t="s">
        <v>85</v>
      </c>
      <c r="K1374">
        <v>48</v>
      </c>
      <c r="L1374">
        <v>10.68</v>
      </c>
      <c r="M1374">
        <v>4.8</v>
      </c>
      <c r="N1374" t="s">
        <v>22</v>
      </c>
      <c r="O1374" t="str">
        <f t="shared" si="21"/>
        <v>No</v>
      </c>
    </row>
    <row r="1375" spans="1:15" x14ac:dyDescent="0.25">
      <c r="A1375" t="s">
        <v>1436</v>
      </c>
      <c r="B1375" s="1">
        <v>45734</v>
      </c>
      <c r="C1375" s="2">
        <v>45734.62</v>
      </c>
      <c r="D1375" t="s">
        <v>15</v>
      </c>
      <c r="E1375" t="s">
        <v>25</v>
      </c>
      <c r="F1375" t="s">
        <v>48</v>
      </c>
      <c r="G1375" t="s">
        <v>34</v>
      </c>
      <c r="H1375" t="s">
        <v>27</v>
      </c>
      <c r="I1375" t="s">
        <v>36</v>
      </c>
      <c r="J1375" t="s">
        <v>21</v>
      </c>
      <c r="K1375">
        <v>48</v>
      </c>
      <c r="L1375">
        <v>14.88</v>
      </c>
      <c r="M1375">
        <v>4.5</v>
      </c>
      <c r="N1375" t="s">
        <v>22</v>
      </c>
      <c r="O1375" t="str">
        <f t="shared" si="21"/>
        <v>No</v>
      </c>
    </row>
    <row r="1376" spans="1:15" x14ac:dyDescent="0.25">
      <c r="A1376" t="s">
        <v>1437</v>
      </c>
      <c r="B1376" s="1">
        <v>45818</v>
      </c>
      <c r="C1376" s="2">
        <v>45818.073750000003</v>
      </c>
      <c r="D1376" t="s">
        <v>31</v>
      </c>
      <c r="E1376" t="s">
        <v>32</v>
      </c>
      <c r="F1376" t="s">
        <v>75</v>
      </c>
      <c r="G1376" t="s">
        <v>34</v>
      </c>
      <c r="H1376" t="s">
        <v>44</v>
      </c>
      <c r="I1376" t="s">
        <v>36</v>
      </c>
      <c r="J1376" t="s">
        <v>21</v>
      </c>
      <c r="K1376">
        <v>4</v>
      </c>
      <c r="L1376">
        <v>1.77</v>
      </c>
      <c r="M1376">
        <v>5</v>
      </c>
      <c r="N1376" t="s">
        <v>22</v>
      </c>
      <c r="O1376" t="str">
        <f t="shared" si="21"/>
        <v>No</v>
      </c>
    </row>
    <row r="1377" spans="1:15" x14ac:dyDescent="0.25">
      <c r="A1377" t="s">
        <v>1438</v>
      </c>
      <c r="B1377" s="1">
        <v>45831</v>
      </c>
      <c r="C1377" s="2">
        <v>45831.555</v>
      </c>
      <c r="D1377" t="s">
        <v>24</v>
      </c>
      <c r="E1377" t="s">
        <v>39</v>
      </c>
      <c r="F1377" t="s">
        <v>40</v>
      </c>
      <c r="G1377" t="s">
        <v>18</v>
      </c>
      <c r="H1377" t="s">
        <v>54</v>
      </c>
      <c r="I1377" t="s">
        <v>45</v>
      </c>
      <c r="J1377" t="s">
        <v>21</v>
      </c>
      <c r="K1377">
        <v>24</v>
      </c>
      <c r="L1377">
        <v>13.32</v>
      </c>
      <c r="M1377">
        <v>3.9</v>
      </c>
      <c r="N1377" t="s">
        <v>22</v>
      </c>
      <c r="O1377" t="str">
        <f t="shared" si="21"/>
        <v>No</v>
      </c>
    </row>
    <row r="1378" spans="1:15" x14ac:dyDescent="0.25">
      <c r="A1378" t="s">
        <v>1439</v>
      </c>
      <c r="B1378" s="1">
        <v>45832</v>
      </c>
      <c r="C1378" s="2">
        <v>45832.731249999997</v>
      </c>
      <c r="D1378" t="s">
        <v>15</v>
      </c>
      <c r="E1378" t="s">
        <v>25</v>
      </c>
      <c r="F1378" t="s">
        <v>26</v>
      </c>
      <c r="G1378" t="s">
        <v>34</v>
      </c>
      <c r="H1378" t="s">
        <v>44</v>
      </c>
      <c r="I1378" t="s">
        <v>28</v>
      </c>
      <c r="J1378" t="s">
        <v>46</v>
      </c>
      <c r="K1378">
        <v>48</v>
      </c>
      <c r="L1378">
        <v>17.55</v>
      </c>
      <c r="M1378">
        <v>5</v>
      </c>
      <c r="N1378" t="s">
        <v>61</v>
      </c>
      <c r="O1378" t="str">
        <f t="shared" si="21"/>
        <v>No</v>
      </c>
    </row>
    <row r="1379" spans="1:15" x14ac:dyDescent="0.25">
      <c r="A1379" t="s">
        <v>1440</v>
      </c>
      <c r="B1379" s="1">
        <v>45794</v>
      </c>
      <c r="C1379" s="2">
        <v>45794.066666666666</v>
      </c>
      <c r="D1379" t="s">
        <v>31</v>
      </c>
      <c r="E1379" t="s">
        <v>16</v>
      </c>
      <c r="F1379" t="s">
        <v>43</v>
      </c>
      <c r="G1379" t="s">
        <v>18</v>
      </c>
      <c r="H1379" t="s">
        <v>54</v>
      </c>
      <c r="I1379" t="s">
        <v>36</v>
      </c>
      <c r="J1379" t="s">
        <v>29</v>
      </c>
      <c r="K1379">
        <v>4</v>
      </c>
      <c r="L1379">
        <v>1.6</v>
      </c>
      <c r="M1379">
        <v>4.8</v>
      </c>
      <c r="N1379" t="s">
        <v>61</v>
      </c>
      <c r="O1379" t="str">
        <f t="shared" si="21"/>
        <v>No</v>
      </c>
    </row>
    <row r="1380" spans="1:15" x14ac:dyDescent="0.25">
      <c r="A1380" t="s">
        <v>1441</v>
      </c>
      <c r="B1380" s="1">
        <v>45749</v>
      </c>
      <c r="C1380" s="2">
        <v>45750.447916666664</v>
      </c>
      <c r="D1380" t="s">
        <v>15</v>
      </c>
      <c r="E1380" t="s">
        <v>32</v>
      </c>
      <c r="F1380" t="s">
        <v>64</v>
      </c>
      <c r="G1380" t="s">
        <v>18</v>
      </c>
      <c r="H1380" t="s">
        <v>65</v>
      </c>
      <c r="I1380" t="s">
        <v>45</v>
      </c>
      <c r="J1380" t="s">
        <v>46</v>
      </c>
      <c r="K1380">
        <v>48</v>
      </c>
      <c r="L1380">
        <v>34.75</v>
      </c>
      <c r="M1380">
        <v>4.0999999999999996</v>
      </c>
      <c r="N1380" t="s">
        <v>22</v>
      </c>
      <c r="O1380" t="str">
        <f t="shared" si="21"/>
        <v>No</v>
      </c>
    </row>
    <row r="1381" spans="1:15" x14ac:dyDescent="0.25">
      <c r="A1381" t="s">
        <v>1442</v>
      </c>
      <c r="B1381" s="1">
        <v>45755</v>
      </c>
      <c r="C1381" s="2">
        <v>45755.279166666667</v>
      </c>
      <c r="D1381" t="s">
        <v>24</v>
      </c>
      <c r="E1381" t="s">
        <v>16</v>
      </c>
      <c r="F1381" t="s">
        <v>17</v>
      </c>
      <c r="G1381" t="s">
        <v>34</v>
      </c>
      <c r="H1381" t="s">
        <v>35</v>
      </c>
      <c r="I1381" t="s">
        <v>28</v>
      </c>
      <c r="J1381" t="s">
        <v>85</v>
      </c>
      <c r="K1381">
        <v>24</v>
      </c>
      <c r="L1381">
        <v>6.7</v>
      </c>
      <c r="M1381">
        <v>5</v>
      </c>
      <c r="N1381" t="s">
        <v>22</v>
      </c>
      <c r="O1381" t="str">
        <f t="shared" si="21"/>
        <v>No</v>
      </c>
    </row>
    <row r="1382" spans="1:15" x14ac:dyDescent="0.25">
      <c r="A1382" t="s">
        <v>1443</v>
      </c>
      <c r="B1382" s="1">
        <v>45835</v>
      </c>
      <c r="C1382" s="2">
        <v>45835.950416666667</v>
      </c>
      <c r="D1382" t="s">
        <v>24</v>
      </c>
      <c r="E1382" t="s">
        <v>25</v>
      </c>
      <c r="F1382" t="s">
        <v>53</v>
      </c>
      <c r="G1382" t="s">
        <v>51</v>
      </c>
      <c r="H1382" t="s">
        <v>19</v>
      </c>
      <c r="I1382" t="s">
        <v>20</v>
      </c>
      <c r="J1382" t="s">
        <v>21</v>
      </c>
      <c r="K1382">
        <v>24</v>
      </c>
      <c r="L1382">
        <v>22.81</v>
      </c>
      <c r="M1382">
        <v>5</v>
      </c>
      <c r="N1382" t="s">
        <v>22</v>
      </c>
      <c r="O1382" t="str">
        <f t="shared" si="21"/>
        <v>No</v>
      </c>
    </row>
    <row r="1383" spans="1:15" x14ac:dyDescent="0.25">
      <c r="A1383" t="s">
        <v>1444</v>
      </c>
      <c r="B1383" s="1">
        <v>45709</v>
      </c>
      <c r="C1383" s="2">
        <v>45709.082916666666</v>
      </c>
      <c r="D1383" t="s">
        <v>38</v>
      </c>
      <c r="E1383" t="s">
        <v>45</v>
      </c>
      <c r="F1383" t="s">
        <v>50</v>
      </c>
      <c r="G1383" t="s">
        <v>41</v>
      </c>
      <c r="H1383" t="s">
        <v>19</v>
      </c>
      <c r="I1383" t="s">
        <v>45</v>
      </c>
      <c r="J1383" t="s">
        <v>46</v>
      </c>
      <c r="K1383">
        <v>8</v>
      </c>
      <c r="L1383">
        <v>1.99</v>
      </c>
      <c r="M1383">
        <v>4.5999999999999996</v>
      </c>
      <c r="N1383" t="s">
        <v>61</v>
      </c>
      <c r="O1383" t="str">
        <f t="shared" si="21"/>
        <v>No</v>
      </c>
    </row>
    <row r="1384" spans="1:15" x14ac:dyDescent="0.25">
      <c r="A1384" t="s">
        <v>1445</v>
      </c>
      <c r="B1384" s="1">
        <v>45720</v>
      </c>
      <c r="C1384" s="2">
        <v>45720.544166666667</v>
      </c>
      <c r="D1384" t="s">
        <v>24</v>
      </c>
      <c r="E1384" t="s">
        <v>16</v>
      </c>
      <c r="F1384" t="s">
        <v>43</v>
      </c>
      <c r="G1384" t="s">
        <v>34</v>
      </c>
      <c r="H1384" t="s">
        <v>19</v>
      </c>
      <c r="I1384" t="s">
        <v>36</v>
      </c>
      <c r="J1384" t="s">
        <v>21</v>
      </c>
      <c r="K1384">
        <v>24</v>
      </c>
      <c r="L1384">
        <v>13.06</v>
      </c>
      <c r="M1384">
        <v>3.9</v>
      </c>
      <c r="N1384" t="s">
        <v>22</v>
      </c>
      <c r="O1384" t="str">
        <f t="shared" si="21"/>
        <v>No</v>
      </c>
    </row>
    <row r="1385" spans="1:15" x14ac:dyDescent="0.25">
      <c r="A1385" t="s">
        <v>1446</v>
      </c>
      <c r="B1385" s="1">
        <v>45820</v>
      </c>
      <c r="C1385" s="2">
        <v>45820.517083333332</v>
      </c>
      <c r="D1385" t="s">
        <v>24</v>
      </c>
      <c r="E1385" t="s">
        <v>32</v>
      </c>
      <c r="F1385" t="s">
        <v>75</v>
      </c>
      <c r="G1385" t="s">
        <v>41</v>
      </c>
      <c r="H1385" t="s">
        <v>44</v>
      </c>
      <c r="I1385" t="s">
        <v>36</v>
      </c>
      <c r="J1385" t="s">
        <v>46</v>
      </c>
      <c r="K1385">
        <v>24</v>
      </c>
      <c r="L1385">
        <v>12.41</v>
      </c>
      <c r="M1385">
        <v>4.7</v>
      </c>
      <c r="N1385" t="s">
        <v>22</v>
      </c>
      <c r="O1385" t="str">
        <f t="shared" si="21"/>
        <v>No</v>
      </c>
    </row>
    <row r="1386" spans="1:15" x14ac:dyDescent="0.25">
      <c r="A1386" t="s">
        <v>1447</v>
      </c>
      <c r="B1386" s="1">
        <v>45727</v>
      </c>
      <c r="C1386" s="2">
        <v>45727.226666666669</v>
      </c>
      <c r="D1386" t="s">
        <v>31</v>
      </c>
      <c r="E1386" t="s">
        <v>16</v>
      </c>
      <c r="F1386" t="s">
        <v>58</v>
      </c>
      <c r="G1386" t="s">
        <v>51</v>
      </c>
      <c r="H1386" t="s">
        <v>54</v>
      </c>
      <c r="I1386" t="s">
        <v>36</v>
      </c>
      <c r="J1386" t="s">
        <v>46</v>
      </c>
      <c r="K1386">
        <v>4</v>
      </c>
      <c r="L1386">
        <v>5.44</v>
      </c>
      <c r="M1386">
        <v>2.4</v>
      </c>
      <c r="N1386" t="s">
        <v>22</v>
      </c>
      <c r="O1386" t="str">
        <f t="shared" si="21"/>
        <v>Yes</v>
      </c>
    </row>
    <row r="1387" spans="1:15" x14ac:dyDescent="0.25">
      <c r="A1387" t="s">
        <v>1448</v>
      </c>
      <c r="B1387" s="1">
        <v>45700</v>
      </c>
      <c r="C1387" s="2">
        <v>45700.946250000001</v>
      </c>
      <c r="D1387" t="s">
        <v>15</v>
      </c>
      <c r="E1387" t="s">
        <v>32</v>
      </c>
      <c r="F1387" t="s">
        <v>80</v>
      </c>
      <c r="G1387" t="s">
        <v>56</v>
      </c>
      <c r="H1387" t="s">
        <v>65</v>
      </c>
      <c r="I1387" t="s">
        <v>36</v>
      </c>
      <c r="J1387" t="s">
        <v>21</v>
      </c>
      <c r="K1387">
        <v>48</v>
      </c>
      <c r="L1387">
        <v>22.71</v>
      </c>
      <c r="M1387">
        <v>3.6</v>
      </c>
      <c r="N1387" t="s">
        <v>22</v>
      </c>
      <c r="O1387" t="str">
        <f t="shared" si="21"/>
        <v>No</v>
      </c>
    </row>
    <row r="1388" spans="1:15" x14ac:dyDescent="0.25">
      <c r="A1388" t="s">
        <v>1449</v>
      </c>
      <c r="B1388" s="1">
        <v>45759</v>
      </c>
      <c r="C1388" s="2">
        <v>45759.174166666664</v>
      </c>
      <c r="D1388" t="s">
        <v>31</v>
      </c>
      <c r="E1388" t="s">
        <v>32</v>
      </c>
      <c r="F1388" t="s">
        <v>80</v>
      </c>
      <c r="G1388" t="s">
        <v>41</v>
      </c>
      <c r="H1388" t="s">
        <v>44</v>
      </c>
      <c r="I1388" t="s">
        <v>20</v>
      </c>
      <c r="J1388" t="s">
        <v>21</v>
      </c>
      <c r="K1388">
        <v>4</v>
      </c>
      <c r="L1388">
        <v>4.18</v>
      </c>
      <c r="M1388">
        <v>4.5999999999999996</v>
      </c>
      <c r="N1388" t="s">
        <v>22</v>
      </c>
      <c r="O1388" t="str">
        <f t="shared" si="21"/>
        <v>Yes</v>
      </c>
    </row>
    <row r="1389" spans="1:15" x14ac:dyDescent="0.25">
      <c r="A1389" t="s">
        <v>1450</v>
      </c>
      <c r="B1389" s="1">
        <v>45716</v>
      </c>
      <c r="C1389" s="2">
        <v>45716.296666666669</v>
      </c>
      <c r="D1389" t="s">
        <v>38</v>
      </c>
      <c r="E1389" t="s">
        <v>16</v>
      </c>
      <c r="F1389" t="s">
        <v>60</v>
      </c>
      <c r="G1389" t="s">
        <v>51</v>
      </c>
      <c r="H1389" t="s">
        <v>27</v>
      </c>
      <c r="I1389" t="s">
        <v>20</v>
      </c>
      <c r="J1389" t="s">
        <v>21</v>
      </c>
      <c r="K1389">
        <v>8</v>
      </c>
      <c r="L1389">
        <v>7.12</v>
      </c>
      <c r="M1389">
        <v>4.3</v>
      </c>
      <c r="N1389" t="s">
        <v>22</v>
      </c>
      <c r="O1389" t="str">
        <f t="shared" si="21"/>
        <v>No</v>
      </c>
    </row>
    <row r="1390" spans="1:15" x14ac:dyDescent="0.25">
      <c r="A1390" t="s">
        <v>1451</v>
      </c>
      <c r="B1390" s="1">
        <v>45819</v>
      </c>
      <c r="C1390" s="2">
        <v>45819.115416666667</v>
      </c>
      <c r="D1390" t="s">
        <v>38</v>
      </c>
      <c r="E1390" t="s">
        <v>25</v>
      </c>
      <c r="F1390" t="s">
        <v>26</v>
      </c>
      <c r="G1390" t="s">
        <v>51</v>
      </c>
      <c r="H1390" t="s">
        <v>27</v>
      </c>
      <c r="I1390" t="s">
        <v>20</v>
      </c>
      <c r="J1390" t="s">
        <v>29</v>
      </c>
      <c r="K1390">
        <v>8</v>
      </c>
      <c r="L1390">
        <v>2.77</v>
      </c>
      <c r="M1390">
        <v>4</v>
      </c>
      <c r="N1390" t="s">
        <v>22</v>
      </c>
      <c r="O1390" t="str">
        <f t="shared" si="21"/>
        <v>No</v>
      </c>
    </row>
    <row r="1391" spans="1:15" x14ac:dyDescent="0.25">
      <c r="A1391" t="s">
        <v>1452</v>
      </c>
      <c r="B1391" s="1">
        <v>45822</v>
      </c>
      <c r="C1391" s="2">
        <v>45824.562083333331</v>
      </c>
      <c r="D1391" t="s">
        <v>15</v>
      </c>
      <c r="E1391" t="s">
        <v>32</v>
      </c>
      <c r="F1391" t="s">
        <v>33</v>
      </c>
      <c r="G1391" t="s">
        <v>34</v>
      </c>
      <c r="H1391" t="s">
        <v>65</v>
      </c>
      <c r="I1391" t="s">
        <v>36</v>
      </c>
      <c r="J1391" t="s">
        <v>21</v>
      </c>
      <c r="K1391">
        <v>48</v>
      </c>
      <c r="L1391">
        <v>61.49</v>
      </c>
      <c r="M1391">
        <v>5</v>
      </c>
      <c r="N1391" t="s">
        <v>22</v>
      </c>
      <c r="O1391" t="str">
        <f t="shared" si="21"/>
        <v>Yes</v>
      </c>
    </row>
    <row r="1392" spans="1:15" x14ac:dyDescent="0.25">
      <c r="A1392" t="s">
        <v>1453</v>
      </c>
      <c r="B1392" s="1">
        <v>45713</v>
      </c>
      <c r="C1392" s="2">
        <v>45713.722916666666</v>
      </c>
      <c r="D1392" t="s">
        <v>15</v>
      </c>
      <c r="E1392" t="s">
        <v>25</v>
      </c>
      <c r="F1392" t="s">
        <v>53</v>
      </c>
      <c r="G1392" t="s">
        <v>51</v>
      </c>
      <c r="H1392" t="s">
        <v>44</v>
      </c>
      <c r="I1392" t="s">
        <v>36</v>
      </c>
      <c r="J1392" t="s">
        <v>21</v>
      </c>
      <c r="K1392">
        <v>48</v>
      </c>
      <c r="L1392">
        <v>17.350000000000001</v>
      </c>
      <c r="M1392">
        <v>3.7</v>
      </c>
      <c r="N1392" t="s">
        <v>22</v>
      </c>
      <c r="O1392" t="str">
        <f t="shared" si="21"/>
        <v>No</v>
      </c>
    </row>
    <row r="1393" spans="1:15" x14ac:dyDescent="0.25">
      <c r="A1393" t="s">
        <v>1454</v>
      </c>
      <c r="B1393" s="1">
        <v>45753</v>
      </c>
      <c r="C1393" s="2">
        <v>45753.428333333337</v>
      </c>
      <c r="D1393" t="s">
        <v>24</v>
      </c>
      <c r="E1393" t="s">
        <v>16</v>
      </c>
      <c r="F1393" t="s">
        <v>58</v>
      </c>
      <c r="G1393" t="s">
        <v>51</v>
      </c>
      <c r="H1393" t="s">
        <v>27</v>
      </c>
      <c r="I1393" t="s">
        <v>20</v>
      </c>
      <c r="J1393" t="s">
        <v>85</v>
      </c>
      <c r="K1393">
        <v>24</v>
      </c>
      <c r="L1393">
        <v>10.28</v>
      </c>
      <c r="M1393">
        <v>4.9000000000000004</v>
      </c>
      <c r="N1393" t="s">
        <v>22</v>
      </c>
      <c r="O1393" t="str">
        <f t="shared" si="21"/>
        <v>No</v>
      </c>
    </row>
    <row r="1394" spans="1:15" x14ac:dyDescent="0.25">
      <c r="A1394" t="s">
        <v>1455</v>
      </c>
      <c r="B1394" s="1">
        <v>45836</v>
      </c>
      <c r="C1394" s="2">
        <v>45836.766250000001</v>
      </c>
      <c r="D1394" t="s">
        <v>24</v>
      </c>
      <c r="E1394" t="s">
        <v>25</v>
      </c>
      <c r="F1394" t="s">
        <v>53</v>
      </c>
      <c r="G1394" t="s">
        <v>34</v>
      </c>
      <c r="H1394" t="s">
        <v>44</v>
      </c>
      <c r="I1394" t="s">
        <v>36</v>
      </c>
      <c r="J1394" t="s">
        <v>21</v>
      </c>
      <c r="K1394">
        <v>24</v>
      </c>
      <c r="L1394">
        <v>18.39</v>
      </c>
      <c r="M1394">
        <v>3.6</v>
      </c>
      <c r="N1394" t="s">
        <v>22</v>
      </c>
      <c r="O1394" t="str">
        <f t="shared" si="21"/>
        <v>No</v>
      </c>
    </row>
    <row r="1395" spans="1:15" x14ac:dyDescent="0.25">
      <c r="A1395" t="s">
        <v>1456</v>
      </c>
      <c r="B1395" s="1">
        <v>45792</v>
      </c>
      <c r="C1395" s="2">
        <v>45792.395833333336</v>
      </c>
      <c r="D1395" t="s">
        <v>24</v>
      </c>
      <c r="E1395" t="s">
        <v>32</v>
      </c>
      <c r="F1395" t="s">
        <v>75</v>
      </c>
      <c r="G1395" t="s">
        <v>34</v>
      </c>
      <c r="H1395" t="s">
        <v>44</v>
      </c>
      <c r="I1395" t="s">
        <v>36</v>
      </c>
      <c r="J1395" t="s">
        <v>21</v>
      </c>
      <c r="K1395">
        <v>24</v>
      </c>
      <c r="L1395">
        <v>9.5</v>
      </c>
      <c r="M1395">
        <v>5</v>
      </c>
      <c r="N1395" t="s">
        <v>22</v>
      </c>
      <c r="O1395" t="str">
        <f t="shared" si="21"/>
        <v>No</v>
      </c>
    </row>
    <row r="1396" spans="1:15" x14ac:dyDescent="0.25">
      <c r="A1396" t="s">
        <v>1457</v>
      </c>
      <c r="B1396" s="1">
        <v>45697</v>
      </c>
      <c r="C1396" s="2">
        <v>45697.047083333331</v>
      </c>
      <c r="D1396" t="s">
        <v>38</v>
      </c>
      <c r="E1396" t="s">
        <v>39</v>
      </c>
      <c r="F1396" t="s">
        <v>87</v>
      </c>
      <c r="G1396" t="s">
        <v>56</v>
      </c>
      <c r="H1396" t="s">
        <v>27</v>
      </c>
      <c r="I1396" t="s">
        <v>36</v>
      </c>
      <c r="J1396" t="s">
        <v>46</v>
      </c>
      <c r="K1396">
        <v>8</v>
      </c>
      <c r="L1396">
        <v>1.1299999999999999</v>
      </c>
      <c r="M1396">
        <v>4.5</v>
      </c>
      <c r="N1396" t="s">
        <v>22</v>
      </c>
      <c r="O1396" t="str">
        <f t="shared" si="21"/>
        <v>No</v>
      </c>
    </row>
    <row r="1397" spans="1:15" x14ac:dyDescent="0.25">
      <c r="A1397" t="s">
        <v>1458</v>
      </c>
      <c r="B1397" s="1">
        <v>45764</v>
      </c>
      <c r="C1397" s="2">
        <v>45764.434166666666</v>
      </c>
      <c r="D1397" t="s">
        <v>24</v>
      </c>
      <c r="E1397" t="s">
        <v>32</v>
      </c>
      <c r="F1397" t="s">
        <v>75</v>
      </c>
      <c r="G1397" t="s">
        <v>41</v>
      </c>
      <c r="H1397" t="s">
        <v>44</v>
      </c>
      <c r="I1397" t="s">
        <v>36</v>
      </c>
      <c r="J1397" t="s">
        <v>21</v>
      </c>
      <c r="K1397">
        <v>24</v>
      </c>
      <c r="L1397">
        <v>10.42</v>
      </c>
      <c r="M1397">
        <v>4.3</v>
      </c>
      <c r="N1397" t="s">
        <v>22</v>
      </c>
      <c r="O1397" t="str">
        <f t="shared" si="21"/>
        <v>No</v>
      </c>
    </row>
    <row r="1398" spans="1:15" x14ac:dyDescent="0.25">
      <c r="A1398" t="s">
        <v>1459</v>
      </c>
      <c r="B1398" s="1">
        <v>45770</v>
      </c>
      <c r="C1398" s="2">
        <v>45770.428333333337</v>
      </c>
      <c r="D1398" t="s">
        <v>24</v>
      </c>
      <c r="E1398" t="s">
        <v>32</v>
      </c>
      <c r="F1398" t="s">
        <v>33</v>
      </c>
      <c r="G1398" t="s">
        <v>18</v>
      </c>
      <c r="H1398" t="s">
        <v>19</v>
      </c>
      <c r="I1398" t="s">
        <v>36</v>
      </c>
      <c r="J1398" t="s">
        <v>21</v>
      </c>
      <c r="K1398">
        <v>24</v>
      </c>
      <c r="L1398">
        <v>10.28</v>
      </c>
      <c r="M1398">
        <v>3.3</v>
      </c>
      <c r="N1398" t="s">
        <v>22</v>
      </c>
      <c r="O1398" t="str">
        <f t="shared" si="21"/>
        <v>No</v>
      </c>
    </row>
    <row r="1399" spans="1:15" x14ac:dyDescent="0.25">
      <c r="A1399" t="s">
        <v>1460</v>
      </c>
      <c r="B1399" s="1">
        <v>45776</v>
      </c>
      <c r="C1399" s="2">
        <v>45776.234583333331</v>
      </c>
      <c r="D1399" t="s">
        <v>24</v>
      </c>
      <c r="E1399" t="s">
        <v>39</v>
      </c>
      <c r="F1399" t="s">
        <v>40</v>
      </c>
      <c r="G1399" t="s">
        <v>51</v>
      </c>
      <c r="H1399" t="s">
        <v>19</v>
      </c>
      <c r="I1399" t="s">
        <v>36</v>
      </c>
      <c r="J1399" t="s">
        <v>46</v>
      </c>
      <c r="K1399">
        <v>24</v>
      </c>
      <c r="L1399">
        <v>5.63</v>
      </c>
      <c r="M1399">
        <v>5</v>
      </c>
      <c r="N1399" t="s">
        <v>61</v>
      </c>
      <c r="O1399" t="str">
        <f t="shared" si="21"/>
        <v>No</v>
      </c>
    </row>
    <row r="1400" spans="1:15" x14ac:dyDescent="0.25">
      <c r="A1400" t="s">
        <v>1461</v>
      </c>
      <c r="B1400" s="1">
        <v>45662</v>
      </c>
      <c r="C1400" s="2">
        <v>45663.078333333331</v>
      </c>
      <c r="D1400" t="s">
        <v>15</v>
      </c>
      <c r="E1400" t="s">
        <v>39</v>
      </c>
      <c r="F1400" t="s">
        <v>87</v>
      </c>
      <c r="G1400" t="s">
        <v>41</v>
      </c>
      <c r="H1400" t="s">
        <v>19</v>
      </c>
      <c r="I1400" t="s">
        <v>20</v>
      </c>
      <c r="J1400" t="s">
        <v>21</v>
      </c>
      <c r="K1400">
        <v>48</v>
      </c>
      <c r="L1400">
        <v>25.88</v>
      </c>
      <c r="M1400">
        <v>4</v>
      </c>
      <c r="N1400" t="s">
        <v>22</v>
      </c>
      <c r="O1400" t="str">
        <f t="shared" si="21"/>
        <v>No</v>
      </c>
    </row>
    <row r="1401" spans="1:15" x14ac:dyDescent="0.25">
      <c r="A1401" t="s">
        <v>1462</v>
      </c>
      <c r="B1401" s="1">
        <v>45712</v>
      </c>
      <c r="C1401" s="2">
        <v>45713.096666666665</v>
      </c>
      <c r="D1401" t="s">
        <v>15</v>
      </c>
      <c r="E1401" t="s">
        <v>32</v>
      </c>
      <c r="F1401" t="s">
        <v>33</v>
      </c>
      <c r="G1401" t="s">
        <v>41</v>
      </c>
      <c r="H1401" t="s">
        <v>44</v>
      </c>
      <c r="I1401" t="s">
        <v>36</v>
      </c>
      <c r="J1401" t="s">
        <v>21</v>
      </c>
      <c r="K1401">
        <v>48</v>
      </c>
      <c r="L1401">
        <v>26.32</v>
      </c>
      <c r="M1401">
        <v>4.7</v>
      </c>
      <c r="N1401" t="s">
        <v>22</v>
      </c>
      <c r="O1401" t="str">
        <f t="shared" si="21"/>
        <v>No</v>
      </c>
    </row>
    <row r="1402" spans="1:15" x14ac:dyDescent="0.25">
      <c r="A1402" t="s">
        <v>1463</v>
      </c>
      <c r="B1402" s="1">
        <v>45812</v>
      </c>
      <c r="C1402" s="2">
        <v>45813.455000000002</v>
      </c>
      <c r="D1402" t="s">
        <v>15</v>
      </c>
      <c r="E1402" t="s">
        <v>32</v>
      </c>
      <c r="F1402" t="s">
        <v>75</v>
      </c>
      <c r="G1402" t="s">
        <v>18</v>
      </c>
      <c r="H1402" t="s">
        <v>27</v>
      </c>
      <c r="I1402" t="s">
        <v>45</v>
      </c>
      <c r="J1402" t="s">
        <v>21</v>
      </c>
      <c r="K1402">
        <v>48</v>
      </c>
      <c r="L1402">
        <v>34.92</v>
      </c>
      <c r="M1402">
        <v>4.0999999999999996</v>
      </c>
      <c r="N1402" t="s">
        <v>22</v>
      </c>
      <c r="O1402" t="str">
        <f t="shared" si="21"/>
        <v>No</v>
      </c>
    </row>
    <row r="1403" spans="1:15" x14ac:dyDescent="0.25">
      <c r="A1403" t="s">
        <v>1464</v>
      </c>
      <c r="B1403" s="1">
        <v>45701</v>
      </c>
      <c r="C1403" s="2">
        <v>45701.065821759257</v>
      </c>
      <c r="D1403" t="s">
        <v>38</v>
      </c>
      <c r="E1403" t="s">
        <v>45</v>
      </c>
      <c r="F1403" t="s">
        <v>100</v>
      </c>
      <c r="G1403" t="s">
        <v>34</v>
      </c>
      <c r="H1403" t="s">
        <v>35</v>
      </c>
      <c r="I1403" t="s">
        <v>45</v>
      </c>
      <c r="J1403" t="s">
        <v>29</v>
      </c>
      <c r="K1403">
        <v>8</v>
      </c>
      <c r="L1403">
        <v>1.58</v>
      </c>
      <c r="M1403">
        <v>4.4000000000000004</v>
      </c>
      <c r="N1403" t="s">
        <v>22</v>
      </c>
      <c r="O1403" t="str">
        <f t="shared" si="21"/>
        <v>No</v>
      </c>
    </row>
    <row r="1404" spans="1:15" x14ac:dyDescent="0.25">
      <c r="A1404" t="s">
        <v>1465</v>
      </c>
      <c r="B1404" s="1">
        <v>45712</v>
      </c>
      <c r="C1404" s="2">
        <v>45712.208749999998</v>
      </c>
      <c r="D1404" t="s">
        <v>24</v>
      </c>
      <c r="E1404" t="s">
        <v>25</v>
      </c>
      <c r="F1404" t="s">
        <v>48</v>
      </c>
      <c r="G1404" t="s">
        <v>18</v>
      </c>
      <c r="H1404" t="s">
        <v>54</v>
      </c>
      <c r="I1404" t="s">
        <v>45</v>
      </c>
      <c r="J1404" t="s">
        <v>21</v>
      </c>
      <c r="K1404">
        <v>24</v>
      </c>
      <c r="L1404">
        <v>5.01</v>
      </c>
      <c r="M1404">
        <v>3.3</v>
      </c>
      <c r="N1404" t="s">
        <v>22</v>
      </c>
      <c r="O1404" t="str">
        <f t="shared" si="21"/>
        <v>No</v>
      </c>
    </row>
    <row r="1405" spans="1:15" x14ac:dyDescent="0.25">
      <c r="A1405" t="s">
        <v>1466</v>
      </c>
      <c r="B1405" s="1">
        <v>45716</v>
      </c>
      <c r="C1405" s="2">
        <v>45716.972083333334</v>
      </c>
      <c r="D1405" t="s">
        <v>24</v>
      </c>
      <c r="E1405" t="s">
        <v>39</v>
      </c>
      <c r="F1405" t="s">
        <v>40</v>
      </c>
      <c r="G1405" t="s">
        <v>34</v>
      </c>
      <c r="H1405" t="s">
        <v>65</v>
      </c>
      <c r="I1405" t="s">
        <v>45</v>
      </c>
      <c r="J1405" t="s">
        <v>29</v>
      </c>
      <c r="K1405">
        <v>24</v>
      </c>
      <c r="L1405">
        <v>23.33</v>
      </c>
      <c r="M1405">
        <v>3.7</v>
      </c>
      <c r="N1405" t="s">
        <v>22</v>
      </c>
      <c r="O1405" t="str">
        <f t="shared" si="21"/>
        <v>No</v>
      </c>
    </row>
    <row r="1406" spans="1:15" x14ac:dyDescent="0.25">
      <c r="A1406" t="s">
        <v>1467</v>
      </c>
      <c r="B1406" s="1">
        <v>45690</v>
      </c>
      <c r="C1406" s="2">
        <v>45690.24291666667</v>
      </c>
      <c r="D1406" t="s">
        <v>24</v>
      </c>
      <c r="E1406" t="s">
        <v>45</v>
      </c>
      <c r="F1406" t="s">
        <v>104</v>
      </c>
      <c r="G1406" t="s">
        <v>34</v>
      </c>
      <c r="H1406" t="s">
        <v>35</v>
      </c>
      <c r="I1406" t="s">
        <v>36</v>
      </c>
      <c r="J1406" t="s">
        <v>46</v>
      </c>
      <c r="K1406">
        <v>24</v>
      </c>
      <c r="L1406">
        <v>5.83</v>
      </c>
      <c r="M1406">
        <v>4.5</v>
      </c>
      <c r="N1406" t="s">
        <v>22</v>
      </c>
      <c r="O1406" t="str">
        <f t="shared" si="21"/>
        <v>No</v>
      </c>
    </row>
    <row r="1407" spans="1:15" x14ac:dyDescent="0.25">
      <c r="A1407" t="s">
        <v>1468</v>
      </c>
      <c r="B1407" s="1">
        <v>45686</v>
      </c>
      <c r="C1407" s="2">
        <v>45686.662083333336</v>
      </c>
      <c r="D1407" t="s">
        <v>24</v>
      </c>
      <c r="E1407" t="s">
        <v>32</v>
      </c>
      <c r="F1407" t="s">
        <v>64</v>
      </c>
      <c r="G1407" t="s">
        <v>18</v>
      </c>
      <c r="H1407" t="s">
        <v>65</v>
      </c>
      <c r="I1407" t="s">
        <v>36</v>
      </c>
      <c r="J1407" t="s">
        <v>21</v>
      </c>
      <c r="K1407">
        <v>24</v>
      </c>
      <c r="L1407">
        <v>15.89</v>
      </c>
      <c r="M1407">
        <v>4.4000000000000004</v>
      </c>
      <c r="N1407" t="s">
        <v>22</v>
      </c>
      <c r="O1407" t="str">
        <f t="shared" si="21"/>
        <v>No</v>
      </c>
    </row>
    <row r="1408" spans="1:15" x14ac:dyDescent="0.25">
      <c r="A1408" t="s">
        <v>1469</v>
      </c>
      <c r="B1408" s="1">
        <v>45720</v>
      </c>
      <c r="C1408" s="2">
        <v>45720.152916666666</v>
      </c>
      <c r="D1408" t="s">
        <v>38</v>
      </c>
      <c r="E1408" t="s">
        <v>39</v>
      </c>
      <c r="F1408" t="s">
        <v>119</v>
      </c>
      <c r="G1408" t="s">
        <v>18</v>
      </c>
      <c r="H1408" t="s">
        <v>19</v>
      </c>
      <c r="I1408" t="s">
        <v>45</v>
      </c>
      <c r="J1408" t="s">
        <v>21</v>
      </c>
      <c r="K1408">
        <v>8</v>
      </c>
      <c r="L1408">
        <v>3.67</v>
      </c>
      <c r="M1408">
        <v>5</v>
      </c>
      <c r="N1408" t="s">
        <v>22</v>
      </c>
      <c r="O1408" t="str">
        <f t="shared" si="21"/>
        <v>No</v>
      </c>
    </row>
    <row r="1409" spans="1:15" x14ac:dyDescent="0.25">
      <c r="A1409" t="s">
        <v>1470</v>
      </c>
      <c r="B1409" s="1">
        <v>45816</v>
      </c>
      <c r="C1409" s="2">
        <v>45816.097916666666</v>
      </c>
      <c r="D1409" t="s">
        <v>38</v>
      </c>
      <c r="E1409" t="s">
        <v>25</v>
      </c>
      <c r="F1409" t="s">
        <v>70</v>
      </c>
      <c r="G1409" t="s">
        <v>34</v>
      </c>
      <c r="H1409" t="s">
        <v>44</v>
      </c>
      <c r="I1409" t="s">
        <v>28</v>
      </c>
      <c r="J1409" t="s">
        <v>21</v>
      </c>
      <c r="K1409">
        <v>8</v>
      </c>
      <c r="L1409">
        <v>2.35</v>
      </c>
      <c r="M1409">
        <v>5</v>
      </c>
      <c r="N1409" t="s">
        <v>22</v>
      </c>
      <c r="O1409" t="str">
        <f t="shared" si="21"/>
        <v>No</v>
      </c>
    </row>
    <row r="1410" spans="1:15" x14ac:dyDescent="0.25">
      <c r="A1410" t="s">
        <v>1471</v>
      </c>
      <c r="B1410" s="1">
        <v>45658</v>
      </c>
      <c r="C1410" s="2">
        <v>45659.348749999997</v>
      </c>
      <c r="D1410" t="s">
        <v>24</v>
      </c>
      <c r="E1410" t="s">
        <v>39</v>
      </c>
      <c r="F1410" t="s">
        <v>78</v>
      </c>
      <c r="G1410" t="s">
        <v>51</v>
      </c>
      <c r="H1410" t="s">
        <v>35</v>
      </c>
      <c r="I1410" t="s">
        <v>36</v>
      </c>
      <c r="J1410" t="s">
        <v>46</v>
      </c>
      <c r="K1410">
        <v>24</v>
      </c>
      <c r="L1410">
        <v>32.369999999999997</v>
      </c>
      <c r="M1410">
        <v>3.9</v>
      </c>
      <c r="N1410" t="s">
        <v>22</v>
      </c>
      <c r="O1410" t="str">
        <f t="shared" si="21"/>
        <v>Yes</v>
      </c>
    </row>
    <row r="1411" spans="1:15" x14ac:dyDescent="0.25">
      <c r="A1411" t="s">
        <v>1472</v>
      </c>
      <c r="B1411" s="1">
        <v>45709</v>
      </c>
      <c r="C1411" s="2">
        <v>45709.184999999998</v>
      </c>
      <c r="D1411" t="s">
        <v>38</v>
      </c>
      <c r="E1411" t="s">
        <v>32</v>
      </c>
      <c r="F1411" t="s">
        <v>33</v>
      </c>
      <c r="G1411" t="s">
        <v>51</v>
      </c>
      <c r="H1411" t="s">
        <v>44</v>
      </c>
      <c r="I1411" t="s">
        <v>45</v>
      </c>
      <c r="J1411" t="s">
        <v>21</v>
      </c>
      <c r="K1411">
        <v>8</v>
      </c>
      <c r="L1411">
        <v>4.4400000000000004</v>
      </c>
      <c r="M1411">
        <v>4.0999999999999996</v>
      </c>
      <c r="N1411" t="s">
        <v>22</v>
      </c>
      <c r="O1411" t="str">
        <f t="shared" ref="O1411:O1474" si="22">IF(L1411&gt;K1411,"Yes","No")</f>
        <v>No</v>
      </c>
    </row>
    <row r="1412" spans="1:15" x14ac:dyDescent="0.25">
      <c r="A1412" t="s">
        <v>1473</v>
      </c>
      <c r="B1412" s="1">
        <v>45668</v>
      </c>
      <c r="C1412" s="2">
        <v>45668.332499999997</v>
      </c>
      <c r="D1412" t="s">
        <v>24</v>
      </c>
      <c r="E1412" t="s">
        <v>39</v>
      </c>
      <c r="F1412" t="s">
        <v>87</v>
      </c>
      <c r="G1412" t="s">
        <v>34</v>
      </c>
      <c r="H1412" t="s">
        <v>19</v>
      </c>
      <c r="I1412" t="s">
        <v>28</v>
      </c>
      <c r="J1412" t="s">
        <v>46</v>
      </c>
      <c r="K1412">
        <v>24</v>
      </c>
      <c r="L1412">
        <v>7.98</v>
      </c>
      <c r="M1412">
        <v>3.7</v>
      </c>
      <c r="N1412" t="s">
        <v>22</v>
      </c>
      <c r="O1412" t="str">
        <f t="shared" si="22"/>
        <v>No</v>
      </c>
    </row>
    <row r="1413" spans="1:15" x14ac:dyDescent="0.25">
      <c r="A1413" t="s">
        <v>1474</v>
      </c>
      <c r="B1413" s="1">
        <v>45759</v>
      </c>
      <c r="C1413" s="2">
        <v>45759.114166666666</v>
      </c>
      <c r="D1413" t="s">
        <v>24</v>
      </c>
      <c r="E1413" t="s">
        <v>16</v>
      </c>
      <c r="F1413" t="s">
        <v>60</v>
      </c>
      <c r="G1413" t="s">
        <v>41</v>
      </c>
      <c r="H1413" t="s">
        <v>27</v>
      </c>
      <c r="I1413" t="s">
        <v>20</v>
      </c>
      <c r="J1413" t="s">
        <v>46</v>
      </c>
      <c r="K1413">
        <v>24</v>
      </c>
      <c r="L1413">
        <v>2.74</v>
      </c>
      <c r="M1413">
        <v>4.7</v>
      </c>
      <c r="N1413" t="s">
        <v>22</v>
      </c>
      <c r="O1413" t="str">
        <f t="shared" si="22"/>
        <v>No</v>
      </c>
    </row>
    <row r="1414" spans="1:15" x14ac:dyDescent="0.25">
      <c r="A1414" t="s">
        <v>1475</v>
      </c>
      <c r="B1414" s="1">
        <v>45703</v>
      </c>
      <c r="C1414" s="2">
        <v>45703.282500000001</v>
      </c>
      <c r="D1414" t="s">
        <v>38</v>
      </c>
      <c r="E1414" t="s">
        <v>16</v>
      </c>
      <c r="F1414" t="s">
        <v>17</v>
      </c>
      <c r="G1414" t="s">
        <v>18</v>
      </c>
      <c r="H1414" t="s">
        <v>44</v>
      </c>
      <c r="I1414" t="s">
        <v>20</v>
      </c>
      <c r="J1414" t="s">
        <v>21</v>
      </c>
      <c r="K1414">
        <v>8</v>
      </c>
      <c r="L1414">
        <v>6.78</v>
      </c>
      <c r="M1414">
        <v>3.5</v>
      </c>
      <c r="N1414" t="s">
        <v>22</v>
      </c>
      <c r="O1414" t="str">
        <f t="shared" si="22"/>
        <v>No</v>
      </c>
    </row>
    <row r="1415" spans="1:15" x14ac:dyDescent="0.25">
      <c r="A1415" t="s">
        <v>1476</v>
      </c>
      <c r="B1415" s="1">
        <v>45801</v>
      </c>
      <c r="C1415" s="2">
        <v>45801.240833333337</v>
      </c>
      <c r="D1415" t="s">
        <v>24</v>
      </c>
      <c r="E1415" t="s">
        <v>39</v>
      </c>
      <c r="F1415" t="s">
        <v>87</v>
      </c>
      <c r="G1415" t="s">
        <v>51</v>
      </c>
      <c r="H1415" t="s">
        <v>19</v>
      </c>
      <c r="I1415" t="s">
        <v>45</v>
      </c>
      <c r="J1415" t="s">
        <v>29</v>
      </c>
      <c r="K1415">
        <v>24</v>
      </c>
      <c r="L1415">
        <v>5.78</v>
      </c>
      <c r="M1415">
        <v>4.7</v>
      </c>
      <c r="N1415" t="s">
        <v>22</v>
      </c>
      <c r="O1415" t="str">
        <f t="shared" si="22"/>
        <v>No</v>
      </c>
    </row>
    <row r="1416" spans="1:15" x14ac:dyDescent="0.25">
      <c r="A1416" t="s">
        <v>1477</v>
      </c>
      <c r="B1416" s="1">
        <v>45763</v>
      </c>
      <c r="C1416" s="2">
        <v>45764.271249999998</v>
      </c>
      <c r="D1416" t="s">
        <v>24</v>
      </c>
      <c r="E1416" t="s">
        <v>39</v>
      </c>
      <c r="F1416" t="s">
        <v>119</v>
      </c>
      <c r="G1416" t="s">
        <v>41</v>
      </c>
      <c r="H1416" t="s">
        <v>19</v>
      </c>
      <c r="I1416" t="s">
        <v>20</v>
      </c>
      <c r="J1416" t="s">
        <v>21</v>
      </c>
      <c r="K1416">
        <v>24</v>
      </c>
      <c r="L1416">
        <v>30.51</v>
      </c>
      <c r="M1416">
        <v>3.2</v>
      </c>
      <c r="N1416" t="s">
        <v>22</v>
      </c>
      <c r="O1416" t="str">
        <f t="shared" si="22"/>
        <v>Yes</v>
      </c>
    </row>
    <row r="1417" spans="1:15" x14ac:dyDescent="0.25">
      <c r="A1417" t="s">
        <v>1478</v>
      </c>
      <c r="B1417" s="1">
        <v>45799</v>
      </c>
      <c r="C1417" s="2">
        <v>45799.509166666663</v>
      </c>
      <c r="D1417" t="s">
        <v>24</v>
      </c>
      <c r="E1417" t="s">
        <v>32</v>
      </c>
      <c r="F1417" t="s">
        <v>75</v>
      </c>
      <c r="G1417" t="s">
        <v>34</v>
      </c>
      <c r="H1417" t="s">
        <v>19</v>
      </c>
      <c r="I1417" t="s">
        <v>45</v>
      </c>
      <c r="J1417" t="s">
        <v>46</v>
      </c>
      <c r="K1417">
        <v>24</v>
      </c>
      <c r="L1417">
        <v>12.22</v>
      </c>
      <c r="M1417">
        <v>3.3</v>
      </c>
      <c r="N1417" t="s">
        <v>22</v>
      </c>
      <c r="O1417" t="str">
        <f t="shared" si="22"/>
        <v>No</v>
      </c>
    </row>
    <row r="1418" spans="1:15" x14ac:dyDescent="0.25">
      <c r="A1418" t="s">
        <v>1479</v>
      </c>
      <c r="B1418" s="1">
        <v>45772</v>
      </c>
      <c r="C1418" s="2">
        <v>45774.544583333336</v>
      </c>
      <c r="D1418" t="s">
        <v>24</v>
      </c>
      <c r="E1418" t="s">
        <v>16</v>
      </c>
      <c r="F1418" t="s">
        <v>43</v>
      </c>
      <c r="G1418" t="s">
        <v>56</v>
      </c>
      <c r="H1418" t="s">
        <v>27</v>
      </c>
      <c r="I1418" t="s">
        <v>45</v>
      </c>
      <c r="J1418" t="s">
        <v>21</v>
      </c>
      <c r="K1418">
        <v>24</v>
      </c>
      <c r="L1418">
        <v>61.07</v>
      </c>
      <c r="M1418">
        <v>2.8</v>
      </c>
      <c r="N1418" t="s">
        <v>22</v>
      </c>
      <c r="O1418" t="str">
        <f t="shared" si="22"/>
        <v>Yes</v>
      </c>
    </row>
    <row r="1419" spans="1:15" x14ac:dyDescent="0.25">
      <c r="A1419" t="s">
        <v>1480</v>
      </c>
      <c r="B1419" s="1">
        <v>45737</v>
      </c>
      <c r="C1419" s="2">
        <v>45737.427916666667</v>
      </c>
      <c r="D1419" t="s">
        <v>24</v>
      </c>
      <c r="E1419" t="s">
        <v>32</v>
      </c>
      <c r="F1419" t="s">
        <v>64</v>
      </c>
      <c r="G1419" t="s">
        <v>18</v>
      </c>
      <c r="H1419" t="s">
        <v>44</v>
      </c>
      <c r="I1419" t="s">
        <v>20</v>
      </c>
      <c r="J1419" t="s">
        <v>21</v>
      </c>
      <c r="K1419">
        <v>24</v>
      </c>
      <c r="L1419">
        <v>10.27</v>
      </c>
      <c r="M1419">
        <v>4.4000000000000004</v>
      </c>
      <c r="N1419" t="s">
        <v>22</v>
      </c>
      <c r="O1419" t="str">
        <f t="shared" si="22"/>
        <v>No</v>
      </c>
    </row>
    <row r="1420" spans="1:15" x14ac:dyDescent="0.25">
      <c r="A1420" t="s">
        <v>1481</v>
      </c>
      <c r="B1420" s="1">
        <v>45813</v>
      </c>
      <c r="C1420" s="2">
        <v>45813.232488425929</v>
      </c>
      <c r="D1420" t="s">
        <v>24</v>
      </c>
      <c r="E1420" t="s">
        <v>25</v>
      </c>
      <c r="F1420" t="s">
        <v>26</v>
      </c>
      <c r="G1420" t="s">
        <v>18</v>
      </c>
      <c r="H1420" t="s">
        <v>65</v>
      </c>
      <c r="I1420" t="s">
        <v>36</v>
      </c>
      <c r="J1420" t="s">
        <v>46</v>
      </c>
      <c r="K1420">
        <v>24</v>
      </c>
      <c r="L1420">
        <v>5.58</v>
      </c>
      <c r="M1420">
        <v>4.5</v>
      </c>
      <c r="N1420" t="s">
        <v>22</v>
      </c>
      <c r="O1420" t="str">
        <f t="shared" si="22"/>
        <v>No</v>
      </c>
    </row>
    <row r="1421" spans="1:15" x14ac:dyDescent="0.25">
      <c r="A1421" t="s">
        <v>1482</v>
      </c>
      <c r="B1421" s="1">
        <v>45744</v>
      </c>
      <c r="C1421" s="2">
        <v>45744.562916666669</v>
      </c>
      <c r="D1421" t="s">
        <v>24</v>
      </c>
      <c r="E1421" t="s">
        <v>25</v>
      </c>
      <c r="F1421" t="s">
        <v>53</v>
      </c>
      <c r="G1421" t="s">
        <v>41</v>
      </c>
      <c r="H1421" t="s">
        <v>44</v>
      </c>
      <c r="I1421" t="s">
        <v>28</v>
      </c>
      <c r="J1421" t="s">
        <v>21</v>
      </c>
      <c r="K1421">
        <v>24</v>
      </c>
      <c r="L1421">
        <v>13.51</v>
      </c>
      <c r="M1421">
        <v>3.6</v>
      </c>
      <c r="N1421" t="s">
        <v>61</v>
      </c>
      <c r="O1421" t="str">
        <f t="shared" si="22"/>
        <v>No</v>
      </c>
    </row>
    <row r="1422" spans="1:15" x14ac:dyDescent="0.25">
      <c r="A1422" t="s">
        <v>1483</v>
      </c>
      <c r="B1422" s="1">
        <v>45829</v>
      </c>
      <c r="C1422" s="2">
        <v>45829.642916666664</v>
      </c>
      <c r="D1422" t="s">
        <v>15</v>
      </c>
      <c r="E1422" t="s">
        <v>39</v>
      </c>
      <c r="F1422" t="s">
        <v>40</v>
      </c>
      <c r="G1422" t="s">
        <v>56</v>
      </c>
      <c r="H1422" t="s">
        <v>44</v>
      </c>
      <c r="I1422" t="s">
        <v>28</v>
      </c>
      <c r="J1422" t="s">
        <v>29</v>
      </c>
      <c r="K1422">
        <v>48</v>
      </c>
      <c r="L1422">
        <v>15.43</v>
      </c>
      <c r="M1422">
        <v>4.3</v>
      </c>
      <c r="N1422" t="s">
        <v>22</v>
      </c>
      <c r="O1422" t="str">
        <f t="shared" si="22"/>
        <v>No</v>
      </c>
    </row>
    <row r="1423" spans="1:15" x14ac:dyDescent="0.25">
      <c r="A1423" t="s">
        <v>1484</v>
      </c>
      <c r="B1423" s="1">
        <v>45838</v>
      </c>
      <c r="C1423" s="2">
        <v>45838.020833333336</v>
      </c>
      <c r="D1423" t="s">
        <v>38</v>
      </c>
      <c r="E1423" t="s">
        <v>25</v>
      </c>
      <c r="F1423" t="s">
        <v>26</v>
      </c>
      <c r="G1423" t="s">
        <v>34</v>
      </c>
      <c r="H1423" t="s">
        <v>44</v>
      </c>
      <c r="I1423" t="s">
        <v>45</v>
      </c>
      <c r="J1423" t="s">
        <v>46</v>
      </c>
      <c r="K1423">
        <v>8</v>
      </c>
      <c r="L1423">
        <v>0.5</v>
      </c>
      <c r="M1423">
        <v>4.4000000000000004</v>
      </c>
      <c r="N1423" t="s">
        <v>22</v>
      </c>
      <c r="O1423" t="str">
        <f t="shared" si="22"/>
        <v>No</v>
      </c>
    </row>
    <row r="1424" spans="1:15" x14ac:dyDescent="0.25">
      <c r="A1424" t="s">
        <v>1485</v>
      </c>
      <c r="B1424" s="1">
        <v>45764</v>
      </c>
      <c r="C1424" s="2">
        <v>45765.000416666669</v>
      </c>
      <c r="D1424" t="s">
        <v>24</v>
      </c>
      <c r="E1424" t="s">
        <v>32</v>
      </c>
      <c r="F1424" t="s">
        <v>75</v>
      </c>
      <c r="G1424" t="s">
        <v>41</v>
      </c>
      <c r="H1424" t="s">
        <v>54</v>
      </c>
      <c r="I1424" t="s">
        <v>36</v>
      </c>
      <c r="J1424" t="s">
        <v>46</v>
      </c>
      <c r="K1424">
        <v>24</v>
      </c>
      <c r="L1424">
        <v>24.01</v>
      </c>
      <c r="M1424">
        <v>3</v>
      </c>
      <c r="N1424" t="s">
        <v>22</v>
      </c>
      <c r="O1424" t="str">
        <f t="shared" si="22"/>
        <v>Yes</v>
      </c>
    </row>
    <row r="1425" spans="1:15" x14ac:dyDescent="0.25">
      <c r="A1425" t="s">
        <v>1486</v>
      </c>
      <c r="B1425" s="1">
        <v>45780</v>
      </c>
      <c r="C1425" s="2">
        <v>45780.224999999999</v>
      </c>
      <c r="D1425" t="s">
        <v>38</v>
      </c>
      <c r="E1425" t="s">
        <v>39</v>
      </c>
      <c r="F1425" t="s">
        <v>87</v>
      </c>
      <c r="G1425" t="s">
        <v>56</v>
      </c>
      <c r="H1425" t="s">
        <v>35</v>
      </c>
      <c r="I1425" t="s">
        <v>20</v>
      </c>
      <c r="J1425" t="s">
        <v>21</v>
      </c>
      <c r="K1425">
        <v>8</v>
      </c>
      <c r="L1425">
        <v>5.4</v>
      </c>
      <c r="M1425">
        <v>4.3</v>
      </c>
      <c r="N1425" t="s">
        <v>22</v>
      </c>
      <c r="O1425" t="str">
        <f t="shared" si="22"/>
        <v>No</v>
      </c>
    </row>
    <row r="1426" spans="1:15" x14ac:dyDescent="0.25">
      <c r="A1426" t="s">
        <v>1487</v>
      </c>
      <c r="B1426" s="1">
        <v>45704</v>
      </c>
      <c r="C1426" s="2">
        <v>45704.545416666668</v>
      </c>
      <c r="D1426" t="s">
        <v>15</v>
      </c>
      <c r="E1426" t="s">
        <v>39</v>
      </c>
      <c r="F1426" t="s">
        <v>119</v>
      </c>
      <c r="G1426" t="s">
        <v>51</v>
      </c>
      <c r="H1426" t="s">
        <v>54</v>
      </c>
      <c r="I1426" t="s">
        <v>36</v>
      </c>
      <c r="J1426" t="s">
        <v>29</v>
      </c>
      <c r="K1426">
        <v>48</v>
      </c>
      <c r="L1426">
        <v>13.09</v>
      </c>
      <c r="M1426">
        <v>4.4000000000000004</v>
      </c>
      <c r="N1426" t="s">
        <v>22</v>
      </c>
      <c r="O1426" t="str">
        <f t="shared" si="22"/>
        <v>No</v>
      </c>
    </row>
    <row r="1427" spans="1:15" x14ac:dyDescent="0.25">
      <c r="A1427" t="s">
        <v>1488</v>
      </c>
      <c r="B1427" s="1">
        <v>45805</v>
      </c>
      <c r="C1427" s="2">
        <v>45805.195</v>
      </c>
      <c r="D1427" t="s">
        <v>24</v>
      </c>
      <c r="E1427" t="s">
        <v>39</v>
      </c>
      <c r="F1427" t="s">
        <v>87</v>
      </c>
      <c r="G1427" t="s">
        <v>56</v>
      </c>
      <c r="H1427" t="s">
        <v>65</v>
      </c>
      <c r="I1427" t="s">
        <v>45</v>
      </c>
      <c r="J1427" t="s">
        <v>85</v>
      </c>
      <c r="K1427">
        <v>24</v>
      </c>
      <c r="L1427">
        <v>4.68</v>
      </c>
      <c r="M1427">
        <v>5</v>
      </c>
      <c r="N1427" t="s">
        <v>61</v>
      </c>
      <c r="O1427" t="str">
        <f t="shared" si="22"/>
        <v>No</v>
      </c>
    </row>
    <row r="1428" spans="1:15" x14ac:dyDescent="0.25">
      <c r="A1428" t="s">
        <v>1489</v>
      </c>
      <c r="B1428" s="1">
        <v>45779</v>
      </c>
      <c r="C1428" s="2">
        <v>45779.217499999999</v>
      </c>
      <c r="D1428" t="s">
        <v>24</v>
      </c>
      <c r="E1428" t="s">
        <v>25</v>
      </c>
      <c r="F1428" t="s">
        <v>26</v>
      </c>
      <c r="G1428" t="s">
        <v>51</v>
      </c>
      <c r="H1428" t="s">
        <v>54</v>
      </c>
      <c r="I1428" t="s">
        <v>36</v>
      </c>
      <c r="J1428" t="s">
        <v>21</v>
      </c>
      <c r="K1428">
        <v>24</v>
      </c>
      <c r="L1428">
        <v>5.22</v>
      </c>
      <c r="M1428">
        <v>4.5</v>
      </c>
      <c r="N1428" t="s">
        <v>22</v>
      </c>
      <c r="O1428" t="str">
        <f t="shared" si="22"/>
        <v>No</v>
      </c>
    </row>
    <row r="1429" spans="1:15" x14ac:dyDescent="0.25">
      <c r="A1429" t="s">
        <v>1490</v>
      </c>
      <c r="B1429" s="1">
        <v>45821</v>
      </c>
      <c r="C1429" s="2">
        <v>45821.18041666667</v>
      </c>
      <c r="D1429" t="s">
        <v>38</v>
      </c>
      <c r="E1429" t="s">
        <v>45</v>
      </c>
      <c r="F1429" t="s">
        <v>50</v>
      </c>
      <c r="G1429" t="s">
        <v>51</v>
      </c>
      <c r="H1429" t="s">
        <v>65</v>
      </c>
      <c r="I1429" t="s">
        <v>20</v>
      </c>
      <c r="J1429" t="s">
        <v>21</v>
      </c>
      <c r="K1429">
        <v>8</v>
      </c>
      <c r="L1429">
        <v>4.33</v>
      </c>
      <c r="M1429">
        <v>4.4000000000000004</v>
      </c>
      <c r="N1429" t="s">
        <v>22</v>
      </c>
      <c r="O1429" t="str">
        <f t="shared" si="22"/>
        <v>No</v>
      </c>
    </row>
    <row r="1430" spans="1:15" x14ac:dyDescent="0.25">
      <c r="A1430" t="s">
        <v>1491</v>
      </c>
      <c r="B1430" s="1">
        <v>45706</v>
      </c>
      <c r="C1430" s="2">
        <v>45709.750833333332</v>
      </c>
      <c r="D1430" t="s">
        <v>15</v>
      </c>
      <c r="E1430" t="s">
        <v>39</v>
      </c>
      <c r="F1430" t="s">
        <v>40</v>
      </c>
      <c r="G1430" t="s">
        <v>34</v>
      </c>
      <c r="H1430" t="s">
        <v>27</v>
      </c>
      <c r="I1430" t="s">
        <v>28</v>
      </c>
      <c r="J1430" t="s">
        <v>29</v>
      </c>
      <c r="K1430">
        <v>48</v>
      </c>
      <c r="L1430">
        <v>90.02</v>
      </c>
      <c r="M1430">
        <v>2.8</v>
      </c>
      <c r="N1430" t="s">
        <v>22</v>
      </c>
      <c r="O1430" t="str">
        <f t="shared" si="22"/>
        <v>Yes</v>
      </c>
    </row>
    <row r="1431" spans="1:15" x14ac:dyDescent="0.25">
      <c r="A1431" t="s">
        <v>1492</v>
      </c>
      <c r="B1431" s="1">
        <v>45800</v>
      </c>
      <c r="C1431" s="2">
        <v>45800.151250000003</v>
      </c>
      <c r="D1431" t="s">
        <v>38</v>
      </c>
      <c r="E1431" t="s">
        <v>39</v>
      </c>
      <c r="F1431" t="s">
        <v>78</v>
      </c>
      <c r="G1431" t="s">
        <v>51</v>
      </c>
      <c r="H1431" t="s">
        <v>19</v>
      </c>
      <c r="I1431" t="s">
        <v>36</v>
      </c>
      <c r="J1431" t="s">
        <v>21</v>
      </c>
      <c r="K1431">
        <v>8</v>
      </c>
      <c r="L1431">
        <v>3.63</v>
      </c>
      <c r="M1431">
        <v>4.7</v>
      </c>
      <c r="N1431" t="s">
        <v>61</v>
      </c>
      <c r="O1431" t="str">
        <f t="shared" si="22"/>
        <v>No</v>
      </c>
    </row>
    <row r="1432" spans="1:15" x14ac:dyDescent="0.25">
      <c r="A1432" t="s">
        <v>1493</v>
      </c>
      <c r="B1432" s="1">
        <v>45743</v>
      </c>
      <c r="C1432" s="2">
        <v>45743.107916666668</v>
      </c>
      <c r="D1432" t="s">
        <v>24</v>
      </c>
      <c r="E1432" t="s">
        <v>16</v>
      </c>
      <c r="F1432" t="s">
        <v>43</v>
      </c>
      <c r="G1432" t="s">
        <v>51</v>
      </c>
      <c r="H1432" t="s">
        <v>44</v>
      </c>
      <c r="I1432" t="s">
        <v>20</v>
      </c>
      <c r="J1432" t="s">
        <v>21</v>
      </c>
      <c r="K1432">
        <v>24</v>
      </c>
      <c r="L1432">
        <v>2.59</v>
      </c>
      <c r="M1432">
        <v>4.3</v>
      </c>
      <c r="N1432" t="s">
        <v>22</v>
      </c>
      <c r="O1432" t="str">
        <f t="shared" si="22"/>
        <v>No</v>
      </c>
    </row>
    <row r="1433" spans="1:15" x14ac:dyDescent="0.25">
      <c r="A1433" t="s">
        <v>1494</v>
      </c>
      <c r="B1433" s="1">
        <v>45691</v>
      </c>
      <c r="C1433" s="2">
        <v>45691.238749999997</v>
      </c>
      <c r="D1433" t="s">
        <v>24</v>
      </c>
      <c r="E1433" t="s">
        <v>39</v>
      </c>
      <c r="F1433" t="s">
        <v>40</v>
      </c>
      <c r="G1433" t="s">
        <v>18</v>
      </c>
      <c r="H1433" t="s">
        <v>19</v>
      </c>
      <c r="I1433" t="s">
        <v>20</v>
      </c>
      <c r="J1433" t="s">
        <v>85</v>
      </c>
      <c r="K1433">
        <v>24</v>
      </c>
      <c r="L1433">
        <v>5.73</v>
      </c>
      <c r="M1433">
        <v>5</v>
      </c>
      <c r="N1433" t="s">
        <v>22</v>
      </c>
      <c r="O1433" t="str">
        <f t="shared" si="22"/>
        <v>No</v>
      </c>
    </row>
    <row r="1434" spans="1:15" x14ac:dyDescent="0.25">
      <c r="A1434" t="s">
        <v>1495</v>
      </c>
      <c r="B1434" s="1">
        <v>45688</v>
      </c>
      <c r="C1434" s="2">
        <v>45688.591666666667</v>
      </c>
      <c r="D1434" t="s">
        <v>24</v>
      </c>
      <c r="E1434" t="s">
        <v>32</v>
      </c>
      <c r="F1434" t="s">
        <v>75</v>
      </c>
      <c r="G1434" t="s">
        <v>41</v>
      </c>
      <c r="H1434" t="s">
        <v>65</v>
      </c>
      <c r="I1434" t="s">
        <v>36</v>
      </c>
      <c r="J1434" t="s">
        <v>21</v>
      </c>
      <c r="K1434">
        <v>24</v>
      </c>
      <c r="L1434">
        <v>14.2</v>
      </c>
      <c r="M1434">
        <v>3.5</v>
      </c>
      <c r="N1434" t="s">
        <v>22</v>
      </c>
      <c r="O1434" t="str">
        <f t="shared" si="22"/>
        <v>No</v>
      </c>
    </row>
    <row r="1435" spans="1:15" x14ac:dyDescent="0.25">
      <c r="A1435" t="s">
        <v>1496</v>
      </c>
      <c r="B1435" s="1">
        <v>45759</v>
      </c>
      <c r="C1435" s="2">
        <v>45759.558333333334</v>
      </c>
      <c r="D1435" t="s">
        <v>15</v>
      </c>
      <c r="E1435" t="s">
        <v>45</v>
      </c>
      <c r="F1435" t="s">
        <v>100</v>
      </c>
      <c r="G1435" t="s">
        <v>41</v>
      </c>
      <c r="H1435" t="s">
        <v>35</v>
      </c>
      <c r="I1435" t="s">
        <v>36</v>
      </c>
      <c r="J1435" t="s">
        <v>85</v>
      </c>
      <c r="K1435">
        <v>48</v>
      </c>
      <c r="L1435">
        <v>13.4</v>
      </c>
      <c r="M1435">
        <v>4.7</v>
      </c>
      <c r="N1435" t="s">
        <v>22</v>
      </c>
      <c r="O1435" t="str">
        <f t="shared" si="22"/>
        <v>No</v>
      </c>
    </row>
    <row r="1436" spans="1:15" x14ac:dyDescent="0.25">
      <c r="A1436" t="s">
        <v>1497</v>
      </c>
      <c r="B1436" s="1">
        <v>45715</v>
      </c>
      <c r="C1436" s="2">
        <v>45715.16333333333</v>
      </c>
      <c r="D1436" t="s">
        <v>24</v>
      </c>
      <c r="E1436" t="s">
        <v>25</v>
      </c>
      <c r="F1436" t="s">
        <v>26</v>
      </c>
      <c r="G1436" t="s">
        <v>41</v>
      </c>
      <c r="H1436" t="s">
        <v>65</v>
      </c>
      <c r="I1436" t="s">
        <v>36</v>
      </c>
      <c r="J1436" t="s">
        <v>21</v>
      </c>
      <c r="K1436">
        <v>24</v>
      </c>
      <c r="L1436">
        <v>3.92</v>
      </c>
      <c r="M1436">
        <v>4</v>
      </c>
      <c r="N1436" t="s">
        <v>22</v>
      </c>
      <c r="O1436" t="str">
        <f t="shared" si="22"/>
        <v>No</v>
      </c>
    </row>
    <row r="1437" spans="1:15" x14ac:dyDescent="0.25">
      <c r="A1437" t="s">
        <v>1498</v>
      </c>
      <c r="B1437" s="1">
        <v>45676</v>
      </c>
      <c r="C1437" s="2">
        <v>45676.93</v>
      </c>
      <c r="D1437" t="s">
        <v>15</v>
      </c>
      <c r="E1437" t="s">
        <v>45</v>
      </c>
      <c r="F1437" t="s">
        <v>104</v>
      </c>
      <c r="G1437" t="s">
        <v>34</v>
      </c>
      <c r="H1437" t="s">
        <v>44</v>
      </c>
      <c r="I1437" t="s">
        <v>20</v>
      </c>
      <c r="J1437" t="s">
        <v>21</v>
      </c>
      <c r="K1437">
        <v>48</v>
      </c>
      <c r="L1437">
        <v>22.32</v>
      </c>
      <c r="M1437">
        <v>4.4000000000000004</v>
      </c>
      <c r="N1437" t="s">
        <v>22</v>
      </c>
      <c r="O1437" t="str">
        <f t="shared" si="22"/>
        <v>No</v>
      </c>
    </row>
    <row r="1438" spans="1:15" x14ac:dyDescent="0.25">
      <c r="A1438" t="s">
        <v>1499</v>
      </c>
      <c r="B1438" s="1">
        <v>45735</v>
      </c>
      <c r="C1438" s="2">
        <v>45735.237916666665</v>
      </c>
      <c r="D1438" t="s">
        <v>24</v>
      </c>
      <c r="E1438" t="s">
        <v>32</v>
      </c>
      <c r="F1438" t="s">
        <v>33</v>
      </c>
      <c r="G1438" t="s">
        <v>41</v>
      </c>
      <c r="H1438" t="s">
        <v>27</v>
      </c>
      <c r="I1438" t="s">
        <v>45</v>
      </c>
      <c r="J1438" t="s">
        <v>21</v>
      </c>
      <c r="K1438">
        <v>24</v>
      </c>
      <c r="L1438">
        <v>5.71</v>
      </c>
      <c r="M1438">
        <v>5</v>
      </c>
      <c r="N1438" t="s">
        <v>22</v>
      </c>
      <c r="O1438" t="str">
        <f t="shared" si="22"/>
        <v>No</v>
      </c>
    </row>
    <row r="1439" spans="1:15" x14ac:dyDescent="0.25">
      <c r="A1439" t="s">
        <v>1500</v>
      </c>
      <c r="B1439" s="1">
        <v>45776</v>
      </c>
      <c r="C1439" s="2">
        <v>45776.61791666667</v>
      </c>
      <c r="D1439" t="s">
        <v>24</v>
      </c>
      <c r="E1439" t="s">
        <v>32</v>
      </c>
      <c r="F1439" t="s">
        <v>64</v>
      </c>
      <c r="G1439" t="s">
        <v>56</v>
      </c>
      <c r="H1439" t="s">
        <v>27</v>
      </c>
      <c r="I1439" t="s">
        <v>36</v>
      </c>
      <c r="J1439" t="s">
        <v>21</v>
      </c>
      <c r="K1439">
        <v>24</v>
      </c>
      <c r="L1439">
        <v>14.83</v>
      </c>
      <c r="M1439">
        <v>4.5999999999999996</v>
      </c>
      <c r="N1439" t="s">
        <v>22</v>
      </c>
      <c r="O1439" t="str">
        <f t="shared" si="22"/>
        <v>No</v>
      </c>
    </row>
    <row r="1440" spans="1:15" x14ac:dyDescent="0.25">
      <c r="A1440" t="s">
        <v>1501</v>
      </c>
      <c r="B1440" s="1">
        <v>45715</v>
      </c>
      <c r="C1440" s="2">
        <v>45715.630416666667</v>
      </c>
      <c r="D1440" t="s">
        <v>24</v>
      </c>
      <c r="E1440" t="s">
        <v>39</v>
      </c>
      <c r="F1440" t="s">
        <v>119</v>
      </c>
      <c r="G1440" t="s">
        <v>51</v>
      </c>
      <c r="H1440" t="s">
        <v>54</v>
      </c>
      <c r="I1440" t="s">
        <v>36</v>
      </c>
      <c r="J1440" t="s">
        <v>29</v>
      </c>
      <c r="K1440">
        <v>24</v>
      </c>
      <c r="L1440">
        <v>15.13</v>
      </c>
      <c r="M1440">
        <v>4.9000000000000004</v>
      </c>
      <c r="N1440" t="s">
        <v>22</v>
      </c>
      <c r="O1440" t="str">
        <f t="shared" si="22"/>
        <v>No</v>
      </c>
    </row>
    <row r="1441" spans="1:15" x14ac:dyDescent="0.25">
      <c r="A1441" t="s">
        <v>1502</v>
      </c>
      <c r="B1441" s="1">
        <v>45830</v>
      </c>
      <c r="C1441" s="2">
        <v>45831.555833333332</v>
      </c>
      <c r="D1441" t="s">
        <v>15</v>
      </c>
      <c r="E1441" t="s">
        <v>45</v>
      </c>
      <c r="F1441" t="s">
        <v>104</v>
      </c>
      <c r="G1441" t="s">
        <v>51</v>
      </c>
      <c r="H1441" t="s">
        <v>65</v>
      </c>
      <c r="I1441" t="s">
        <v>45</v>
      </c>
      <c r="J1441" t="s">
        <v>46</v>
      </c>
      <c r="K1441">
        <v>48</v>
      </c>
      <c r="L1441">
        <v>37.340000000000003</v>
      </c>
      <c r="M1441">
        <v>3.9</v>
      </c>
      <c r="N1441" t="s">
        <v>22</v>
      </c>
      <c r="O1441" t="str">
        <f t="shared" si="22"/>
        <v>No</v>
      </c>
    </row>
    <row r="1442" spans="1:15" x14ac:dyDescent="0.25">
      <c r="A1442" t="s">
        <v>1503</v>
      </c>
      <c r="B1442" s="1">
        <v>45799</v>
      </c>
      <c r="C1442" s="2">
        <v>45800.751666666663</v>
      </c>
      <c r="D1442" t="s">
        <v>15</v>
      </c>
      <c r="E1442" t="s">
        <v>32</v>
      </c>
      <c r="F1442" t="s">
        <v>64</v>
      </c>
      <c r="G1442" t="s">
        <v>41</v>
      </c>
      <c r="H1442" t="s">
        <v>19</v>
      </c>
      <c r="I1442" t="s">
        <v>36</v>
      </c>
      <c r="J1442" t="s">
        <v>85</v>
      </c>
      <c r="K1442">
        <v>48</v>
      </c>
      <c r="L1442">
        <v>42.04</v>
      </c>
      <c r="M1442">
        <v>4.5</v>
      </c>
      <c r="N1442" t="s">
        <v>61</v>
      </c>
      <c r="O1442" t="str">
        <f t="shared" si="22"/>
        <v>No</v>
      </c>
    </row>
    <row r="1443" spans="1:15" x14ac:dyDescent="0.25">
      <c r="A1443" t="s">
        <v>1504</v>
      </c>
      <c r="B1443" s="1">
        <v>45750</v>
      </c>
      <c r="C1443" s="2">
        <v>45750.532083333332</v>
      </c>
      <c r="D1443" t="s">
        <v>15</v>
      </c>
      <c r="E1443" t="s">
        <v>32</v>
      </c>
      <c r="F1443" t="s">
        <v>64</v>
      </c>
      <c r="G1443" t="s">
        <v>34</v>
      </c>
      <c r="H1443" t="s">
        <v>35</v>
      </c>
      <c r="I1443" t="s">
        <v>45</v>
      </c>
      <c r="J1443" t="s">
        <v>21</v>
      </c>
      <c r="K1443">
        <v>48</v>
      </c>
      <c r="L1443">
        <v>12.77</v>
      </c>
      <c r="M1443">
        <v>4.2</v>
      </c>
      <c r="N1443" t="s">
        <v>22</v>
      </c>
      <c r="O1443" t="str">
        <f t="shared" si="22"/>
        <v>No</v>
      </c>
    </row>
    <row r="1444" spans="1:15" x14ac:dyDescent="0.25">
      <c r="A1444" t="s">
        <v>1505</v>
      </c>
      <c r="B1444" s="1">
        <v>45827</v>
      </c>
      <c r="C1444" s="2">
        <v>45828.97625</v>
      </c>
      <c r="D1444" t="s">
        <v>15</v>
      </c>
      <c r="E1444" t="s">
        <v>32</v>
      </c>
      <c r="F1444" t="s">
        <v>75</v>
      </c>
      <c r="G1444" t="s">
        <v>56</v>
      </c>
      <c r="H1444" t="s">
        <v>19</v>
      </c>
      <c r="I1444" t="s">
        <v>36</v>
      </c>
      <c r="J1444" t="s">
        <v>85</v>
      </c>
      <c r="K1444">
        <v>48</v>
      </c>
      <c r="L1444">
        <v>47.43</v>
      </c>
      <c r="M1444">
        <v>3.5</v>
      </c>
      <c r="N1444" t="s">
        <v>22</v>
      </c>
      <c r="O1444" t="str">
        <f t="shared" si="22"/>
        <v>No</v>
      </c>
    </row>
    <row r="1445" spans="1:15" x14ac:dyDescent="0.25">
      <c r="A1445" t="s">
        <v>1506</v>
      </c>
      <c r="B1445" s="1">
        <v>45736</v>
      </c>
      <c r="C1445" s="2">
        <v>45736.39166666667</v>
      </c>
      <c r="D1445" t="s">
        <v>24</v>
      </c>
      <c r="E1445" t="s">
        <v>25</v>
      </c>
      <c r="F1445" t="s">
        <v>26</v>
      </c>
      <c r="G1445" t="s">
        <v>41</v>
      </c>
      <c r="H1445" t="s">
        <v>35</v>
      </c>
      <c r="I1445" t="s">
        <v>20</v>
      </c>
      <c r="J1445" t="s">
        <v>46</v>
      </c>
      <c r="K1445">
        <v>24</v>
      </c>
      <c r="L1445">
        <v>9.4</v>
      </c>
      <c r="M1445">
        <v>4.5999999999999996</v>
      </c>
      <c r="N1445" t="s">
        <v>22</v>
      </c>
      <c r="O1445" t="str">
        <f t="shared" si="22"/>
        <v>No</v>
      </c>
    </row>
    <row r="1446" spans="1:15" x14ac:dyDescent="0.25">
      <c r="A1446" t="s">
        <v>1507</v>
      </c>
      <c r="B1446" s="1">
        <v>45683</v>
      </c>
      <c r="C1446" s="2">
        <v>45683.158750000002</v>
      </c>
      <c r="D1446" t="s">
        <v>15</v>
      </c>
      <c r="E1446" t="s">
        <v>25</v>
      </c>
      <c r="F1446" t="s">
        <v>70</v>
      </c>
      <c r="G1446" t="s">
        <v>41</v>
      </c>
      <c r="H1446" t="s">
        <v>35</v>
      </c>
      <c r="I1446" t="s">
        <v>20</v>
      </c>
      <c r="J1446" t="s">
        <v>21</v>
      </c>
      <c r="K1446">
        <v>48</v>
      </c>
      <c r="L1446">
        <v>3.81</v>
      </c>
      <c r="M1446">
        <v>5</v>
      </c>
      <c r="N1446" t="s">
        <v>22</v>
      </c>
      <c r="O1446" t="str">
        <f t="shared" si="22"/>
        <v>No</v>
      </c>
    </row>
    <row r="1447" spans="1:15" x14ac:dyDescent="0.25">
      <c r="A1447" t="s">
        <v>1508</v>
      </c>
      <c r="B1447" s="1">
        <v>45664</v>
      </c>
      <c r="C1447" s="2">
        <v>45664.303333333337</v>
      </c>
      <c r="D1447" t="s">
        <v>38</v>
      </c>
      <c r="E1447" t="s">
        <v>16</v>
      </c>
      <c r="F1447" t="s">
        <v>58</v>
      </c>
      <c r="G1447" t="s">
        <v>34</v>
      </c>
      <c r="H1447" t="s">
        <v>44</v>
      </c>
      <c r="I1447" t="s">
        <v>20</v>
      </c>
      <c r="J1447" t="s">
        <v>21</v>
      </c>
      <c r="K1447">
        <v>8</v>
      </c>
      <c r="L1447">
        <v>7.28</v>
      </c>
      <c r="M1447">
        <v>3.6</v>
      </c>
      <c r="N1447" t="s">
        <v>22</v>
      </c>
      <c r="O1447" t="str">
        <f t="shared" si="22"/>
        <v>No</v>
      </c>
    </row>
    <row r="1448" spans="1:15" x14ac:dyDescent="0.25">
      <c r="A1448" t="s">
        <v>1509</v>
      </c>
      <c r="B1448" s="1">
        <v>45827</v>
      </c>
      <c r="C1448" s="2">
        <v>45829.670416666668</v>
      </c>
      <c r="D1448" t="s">
        <v>15</v>
      </c>
      <c r="E1448" t="s">
        <v>32</v>
      </c>
      <c r="F1448" t="s">
        <v>80</v>
      </c>
      <c r="G1448" t="s">
        <v>34</v>
      </c>
      <c r="H1448" t="s">
        <v>54</v>
      </c>
      <c r="I1448" t="s">
        <v>36</v>
      </c>
      <c r="J1448" t="s">
        <v>21</v>
      </c>
      <c r="K1448">
        <v>48</v>
      </c>
      <c r="L1448">
        <v>64.09</v>
      </c>
      <c r="M1448">
        <v>3.8</v>
      </c>
      <c r="N1448" t="s">
        <v>22</v>
      </c>
      <c r="O1448" t="str">
        <f t="shared" si="22"/>
        <v>Yes</v>
      </c>
    </row>
    <row r="1449" spans="1:15" x14ac:dyDescent="0.25">
      <c r="A1449" t="s">
        <v>1510</v>
      </c>
      <c r="B1449" s="1">
        <v>45831</v>
      </c>
      <c r="C1449" s="2">
        <v>45831.887916666667</v>
      </c>
      <c r="D1449" t="s">
        <v>15</v>
      </c>
      <c r="E1449" t="s">
        <v>25</v>
      </c>
      <c r="F1449" t="s">
        <v>48</v>
      </c>
      <c r="G1449" t="s">
        <v>51</v>
      </c>
      <c r="H1449" t="s">
        <v>19</v>
      </c>
      <c r="I1449" t="s">
        <v>45</v>
      </c>
      <c r="J1449" t="s">
        <v>21</v>
      </c>
      <c r="K1449">
        <v>48</v>
      </c>
      <c r="L1449">
        <v>21.31</v>
      </c>
      <c r="M1449">
        <v>4.5999999999999996</v>
      </c>
      <c r="N1449" t="s">
        <v>22</v>
      </c>
      <c r="O1449" t="str">
        <f t="shared" si="22"/>
        <v>No</v>
      </c>
    </row>
    <row r="1450" spans="1:15" x14ac:dyDescent="0.25">
      <c r="A1450" t="s">
        <v>1511</v>
      </c>
      <c r="B1450" s="1">
        <v>45791</v>
      </c>
      <c r="C1450" s="2">
        <v>45791.342083333337</v>
      </c>
      <c r="D1450" t="s">
        <v>38</v>
      </c>
      <c r="E1450" t="s">
        <v>39</v>
      </c>
      <c r="F1450" t="s">
        <v>78</v>
      </c>
      <c r="G1450" t="s">
        <v>18</v>
      </c>
      <c r="H1450" t="s">
        <v>44</v>
      </c>
      <c r="I1450" t="s">
        <v>20</v>
      </c>
      <c r="J1450" t="s">
        <v>29</v>
      </c>
      <c r="K1450">
        <v>8</v>
      </c>
      <c r="L1450">
        <v>8.2100000000000009</v>
      </c>
      <c r="M1450">
        <v>4</v>
      </c>
      <c r="N1450" t="s">
        <v>22</v>
      </c>
      <c r="O1450" t="str">
        <f t="shared" si="22"/>
        <v>Yes</v>
      </c>
    </row>
    <row r="1451" spans="1:15" x14ac:dyDescent="0.25">
      <c r="A1451" t="s">
        <v>1512</v>
      </c>
      <c r="B1451" s="1">
        <v>45676</v>
      </c>
      <c r="C1451" s="2">
        <v>45676.940821759257</v>
      </c>
      <c r="D1451" t="s">
        <v>15</v>
      </c>
      <c r="E1451" t="s">
        <v>32</v>
      </c>
      <c r="F1451" t="s">
        <v>64</v>
      </c>
      <c r="G1451" t="s">
        <v>34</v>
      </c>
      <c r="H1451" t="s">
        <v>27</v>
      </c>
      <c r="I1451" t="s">
        <v>45</v>
      </c>
      <c r="J1451" t="s">
        <v>85</v>
      </c>
      <c r="K1451">
        <v>48</v>
      </c>
      <c r="L1451">
        <v>22.58</v>
      </c>
      <c r="M1451">
        <v>3.9</v>
      </c>
      <c r="N1451" t="s">
        <v>22</v>
      </c>
      <c r="O1451" t="str">
        <f t="shared" si="22"/>
        <v>No</v>
      </c>
    </row>
    <row r="1452" spans="1:15" x14ac:dyDescent="0.25">
      <c r="A1452" t="s">
        <v>1513</v>
      </c>
      <c r="B1452" s="1">
        <v>45711</v>
      </c>
      <c r="C1452" s="2">
        <v>45711.325416666667</v>
      </c>
      <c r="D1452" t="s">
        <v>24</v>
      </c>
      <c r="E1452" t="s">
        <v>39</v>
      </c>
      <c r="F1452" t="s">
        <v>40</v>
      </c>
      <c r="G1452" t="s">
        <v>18</v>
      </c>
      <c r="H1452" t="s">
        <v>65</v>
      </c>
      <c r="I1452" t="s">
        <v>36</v>
      </c>
      <c r="J1452" t="s">
        <v>21</v>
      </c>
      <c r="K1452">
        <v>24</v>
      </c>
      <c r="L1452">
        <v>7.81</v>
      </c>
      <c r="M1452">
        <v>4.4000000000000004</v>
      </c>
      <c r="N1452" t="s">
        <v>61</v>
      </c>
      <c r="O1452" t="str">
        <f t="shared" si="22"/>
        <v>No</v>
      </c>
    </row>
    <row r="1453" spans="1:15" x14ac:dyDescent="0.25">
      <c r="A1453" t="s">
        <v>1514</v>
      </c>
      <c r="B1453" s="1">
        <v>45665</v>
      </c>
      <c r="C1453" s="2">
        <v>45665.079583333332</v>
      </c>
      <c r="D1453" t="s">
        <v>31</v>
      </c>
      <c r="E1453" t="s">
        <v>16</v>
      </c>
      <c r="F1453" t="s">
        <v>60</v>
      </c>
      <c r="G1453" t="s">
        <v>18</v>
      </c>
      <c r="H1453" t="s">
        <v>35</v>
      </c>
      <c r="I1453" t="s">
        <v>36</v>
      </c>
      <c r="J1453" t="s">
        <v>21</v>
      </c>
      <c r="K1453">
        <v>4</v>
      </c>
      <c r="L1453">
        <v>1.91</v>
      </c>
      <c r="M1453">
        <v>4.4000000000000004</v>
      </c>
      <c r="N1453" t="s">
        <v>22</v>
      </c>
      <c r="O1453" t="str">
        <f t="shared" si="22"/>
        <v>No</v>
      </c>
    </row>
    <row r="1454" spans="1:15" x14ac:dyDescent="0.25">
      <c r="A1454" t="s">
        <v>1515</v>
      </c>
      <c r="B1454" s="1">
        <v>45667</v>
      </c>
      <c r="C1454" s="2">
        <v>45667.172083333331</v>
      </c>
      <c r="D1454" t="s">
        <v>38</v>
      </c>
      <c r="E1454" t="s">
        <v>39</v>
      </c>
      <c r="F1454" t="s">
        <v>78</v>
      </c>
      <c r="G1454" t="s">
        <v>51</v>
      </c>
      <c r="H1454" t="s">
        <v>19</v>
      </c>
      <c r="I1454" t="s">
        <v>45</v>
      </c>
      <c r="J1454" t="s">
        <v>21</v>
      </c>
      <c r="K1454">
        <v>8</v>
      </c>
      <c r="L1454">
        <v>4.13</v>
      </c>
      <c r="M1454">
        <v>4.5999999999999996</v>
      </c>
      <c r="N1454" t="s">
        <v>22</v>
      </c>
      <c r="O1454" t="str">
        <f t="shared" si="22"/>
        <v>No</v>
      </c>
    </row>
    <row r="1455" spans="1:15" x14ac:dyDescent="0.25">
      <c r="A1455" t="s">
        <v>1516</v>
      </c>
      <c r="B1455" s="1">
        <v>45702</v>
      </c>
      <c r="C1455" s="2">
        <v>45702.59375</v>
      </c>
      <c r="D1455" t="s">
        <v>24</v>
      </c>
      <c r="E1455" t="s">
        <v>45</v>
      </c>
      <c r="F1455" t="s">
        <v>104</v>
      </c>
      <c r="G1455" t="s">
        <v>18</v>
      </c>
      <c r="H1455" t="s">
        <v>44</v>
      </c>
      <c r="I1455" t="s">
        <v>45</v>
      </c>
      <c r="J1455" t="s">
        <v>46</v>
      </c>
      <c r="K1455">
        <v>24</v>
      </c>
      <c r="L1455">
        <v>14.25</v>
      </c>
      <c r="M1455">
        <v>3.8</v>
      </c>
      <c r="N1455" t="s">
        <v>22</v>
      </c>
      <c r="O1455" t="str">
        <f t="shared" si="22"/>
        <v>No</v>
      </c>
    </row>
    <row r="1456" spans="1:15" x14ac:dyDescent="0.25">
      <c r="A1456" t="s">
        <v>1517</v>
      </c>
      <c r="B1456" s="1">
        <v>45761</v>
      </c>
      <c r="C1456" s="2">
        <v>45761.816250000003</v>
      </c>
      <c r="D1456" t="s">
        <v>15</v>
      </c>
      <c r="E1456" t="s">
        <v>39</v>
      </c>
      <c r="F1456" t="s">
        <v>78</v>
      </c>
      <c r="G1456" t="s">
        <v>56</v>
      </c>
      <c r="H1456" t="s">
        <v>35</v>
      </c>
      <c r="I1456" t="s">
        <v>28</v>
      </c>
      <c r="J1456" t="s">
        <v>46</v>
      </c>
      <c r="K1456">
        <v>48</v>
      </c>
      <c r="L1456">
        <v>19.59</v>
      </c>
      <c r="M1456">
        <v>3.7</v>
      </c>
      <c r="N1456" t="s">
        <v>22</v>
      </c>
      <c r="O1456" t="str">
        <f t="shared" si="22"/>
        <v>No</v>
      </c>
    </row>
    <row r="1457" spans="1:15" x14ac:dyDescent="0.25">
      <c r="A1457" t="s">
        <v>1518</v>
      </c>
      <c r="B1457" s="1">
        <v>45669</v>
      </c>
      <c r="C1457" s="2">
        <v>45669.882916666669</v>
      </c>
      <c r="D1457" t="s">
        <v>24</v>
      </c>
      <c r="E1457" t="s">
        <v>39</v>
      </c>
      <c r="F1457" t="s">
        <v>119</v>
      </c>
      <c r="G1457" t="s">
        <v>51</v>
      </c>
      <c r="H1457" t="s">
        <v>27</v>
      </c>
      <c r="I1457" t="s">
        <v>20</v>
      </c>
      <c r="J1457" t="s">
        <v>21</v>
      </c>
      <c r="K1457">
        <v>24</v>
      </c>
      <c r="L1457">
        <v>21.19</v>
      </c>
      <c r="M1457">
        <v>2.6</v>
      </c>
      <c r="N1457" t="s">
        <v>22</v>
      </c>
      <c r="O1457" t="str">
        <f t="shared" si="22"/>
        <v>No</v>
      </c>
    </row>
    <row r="1458" spans="1:15" x14ac:dyDescent="0.25">
      <c r="A1458" t="s">
        <v>1519</v>
      </c>
      <c r="B1458" s="1">
        <v>45836</v>
      </c>
      <c r="C1458" s="2">
        <v>45836.125</v>
      </c>
      <c r="D1458" t="s">
        <v>31</v>
      </c>
      <c r="E1458" t="s">
        <v>16</v>
      </c>
      <c r="F1458" t="s">
        <v>43</v>
      </c>
      <c r="G1458" t="s">
        <v>41</v>
      </c>
      <c r="H1458" t="s">
        <v>19</v>
      </c>
      <c r="I1458" t="s">
        <v>20</v>
      </c>
      <c r="J1458" t="s">
        <v>21</v>
      </c>
      <c r="K1458">
        <v>4</v>
      </c>
      <c r="L1458">
        <v>3</v>
      </c>
      <c r="M1458">
        <v>4.5999999999999996</v>
      </c>
      <c r="N1458" t="s">
        <v>22</v>
      </c>
      <c r="O1458" t="str">
        <f t="shared" si="22"/>
        <v>No</v>
      </c>
    </row>
    <row r="1459" spans="1:15" x14ac:dyDescent="0.25">
      <c r="A1459" t="s">
        <v>1520</v>
      </c>
      <c r="B1459" s="1">
        <v>45740</v>
      </c>
      <c r="C1459" s="2">
        <v>45740.072500000002</v>
      </c>
      <c r="D1459" t="s">
        <v>38</v>
      </c>
      <c r="E1459" t="s">
        <v>16</v>
      </c>
      <c r="F1459" t="s">
        <v>43</v>
      </c>
      <c r="G1459" t="s">
        <v>34</v>
      </c>
      <c r="H1459" t="s">
        <v>44</v>
      </c>
      <c r="I1459" t="s">
        <v>28</v>
      </c>
      <c r="J1459" t="s">
        <v>85</v>
      </c>
      <c r="K1459">
        <v>8</v>
      </c>
      <c r="L1459">
        <v>1.74</v>
      </c>
      <c r="M1459">
        <v>5</v>
      </c>
      <c r="N1459" t="s">
        <v>22</v>
      </c>
      <c r="O1459" t="str">
        <f t="shared" si="22"/>
        <v>No</v>
      </c>
    </row>
    <row r="1460" spans="1:15" x14ac:dyDescent="0.25">
      <c r="A1460" t="s">
        <v>1521</v>
      </c>
      <c r="B1460" s="1">
        <v>45705</v>
      </c>
      <c r="C1460" s="2">
        <v>45705.692916666667</v>
      </c>
      <c r="D1460" t="s">
        <v>15</v>
      </c>
      <c r="E1460" t="s">
        <v>32</v>
      </c>
      <c r="F1460" t="s">
        <v>80</v>
      </c>
      <c r="G1460" t="s">
        <v>41</v>
      </c>
      <c r="H1460" t="s">
        <v>65</v>
      </c>
      <c r="I1460" t="s">
        <v>45</v>
      </c>
      <c r="J1460" t="s">
        <v>21</v>
      </c>
      <c r="K1460">
        <v>48</v>
      </c>
      <c r="L1460">
        <v>16.63</v>
      </c>
      <c r="M1460">
        <v>3.3</v>
      </c>
      <c r="N1460" t="s">
        <v>22</v>
      </c>
      <c r="O1460" t="str">
        <f t="shared" si="22"/>
        <v>No</v>
      </c>
    </row>
    <row r="1461" spans="1:15" x14ac:dyDescent="0.25">
      <c r="A1461" t="s">
        <v>1522</v>
      </c>
      <c r="B1461" s="1">
        <v>45751</v>
      </c>
      <c r="C1461" s="2">
        <v>45751.849583333336</v>
      </c>
      <c r="D1461" t="s">
        <v>24</v>
      </c>
      <c r="E1461" t="s">
        <v>16</v>
      </c>
      <c r="F1461" t="s">
        <v>58</v>
      </c>
      <c r="G1461" t="s">
        <v>34</v>
      </c>
      <c r="H1461" t="s">
        <v>35</v>
      </c>
      <c r="I1461" t="s">
        <v>36</v>
      </c>
      <c r="J1461" t="s">
        <v>21</v>
      </c>
      <c r="K1461">
        <v>24</v>
      </c>
      <c r="L1461">
        <v>20.39</v>
      </c>
      <c r="M1461">
        <v>4</v>
      </c>
      <c r="N1461" t="s">
        <v>22</v>
      </c>
      <c r="O1461" t="str">
        <f t="shared" si="22"/>
        <v>No</v>
      </c>
    </row>
    <row r="1462" spans="1:15" x14ac:dyDescent="0.25">
      <c r="A1462" t="s">
        <v>1523</v>
      </c>
      <c r="B1462" s="1">
        <v>45801</v>
      </c>
      <c r="C1462" s="2">
        <v>45801.462083333332</v>
      </c>
      <c r="D1462" t="s">
        <v>24</v>
      </c>
      <c r="E1462" t="s">
        <v>32</v>
      </c>
      <c r="F1462" t="s">
        <v>75</v>
      </c>
      <c r="G1462" t="s">
        <v>18</v>
      </c>
      <c r="H1462" t="s">
        <v>35</v>
      </c>
      <c r="I1462" t="s">
        <v>36</v>
      </c>
      <c r="J1462" t="s">
        <v>46</v>
      </c>
      <c r="K1462">
        <v>24</v>
      </c>
      <c r="L1462">
        <v>11.09</v>
      </c>
      <c r="M1462">
        <v>4.2</v>
      </c>
      <c r="N1462" t="s">
        <v>22</v>
      </c>
      <c r="O1462" t="str">
        <f t="shared" si="22"/>
        <v>No</v>
      </c>
    </row>
    <row r="1463" spans="1:15" x14ac:dyDescent="0.25">
      <c r="A1463" t="s">
        <v>1524</v>
      </c>
      <c r="B1463" s="1">
        <v>45714</v>
      </c>
      <c r="C1463" s="2">
        <v>45714.560833333337</v>
      </c>
      <c r="D1463" t="s">
        <v>15</v>
      </c>
      <c r="E1463" t="s">
        <v>39</v>
      </c>
      <c r="F1463" t="s">
        <v>87</v>
      </c>
      <c r="G1463" t="s">
        <v>56</v>
      </c>
      <c r="H1463" t="s">
        <v>44</v>
      </c>
      <c r="I1463" t="s">
        <v>20</v>
      </c>
      <c r="J1463" t="s">
        <v>85</v>
      </c>
      <c r="K1463">
        <v>48</v>
      </c>
      <c r="L1463">
        <v>13.46</v>
      </c>
      <c r="M1463">
        <v>5</v>
      </c>
      <c r="N1463" t="s">
        <v>22</v>
      </c>
      <c r="O1463" t="str">
        <f t="shared" si="22"/>
        <v>No</v>
      </c>
    </row>
    <row r="1464" spans="1:15" x14ac:dyDescent="0.25">
      <c r="A1464" t="s">
        <v>1525</v>
      </c>
      <c r="B1464" s="1">
        <v>45666</v>
      </c>
      <c r="C1464" s="2">
        <v>45666.45</v>
      </c>
      <c r="D1464" t="s">
        <v>24</v>
      </c>
      <c r="E1464" t="s">
        <v>16</v>
      </c>
      <c r="F1464" t="s">
        <v>58</v>
      </c>
      <c r="G1464" t="s">
        <v>18</v>
      </c>
      <c r="H1464" t="s">
        <v>44</v>
      </c>
      <c r="I1464" t="s">
        <v>36</v>
      </c>
      <c r="J1464" t="s">
        <v>46</v>
      </c>
      <c r="K1464">
        <v>24</v>
      </c>
      <c r="L1464">
        <v>10.8</v>
      </c>
      <c r="M1464">
        <v>4.3</v>
      </c>
      <c r="N1464" t="s">
        <v>61</v>
      </c>
      <c r="O1464" t="str">
        <f t="shared" si="22"/>
        <v>No</v>
      </c>
    </row>
    <row r="1465" spans="1:15" x14ac:dyDescent="0.25">
      <c r="A1465" t="s">
        <v>1526</v>
      </c>
      <c r="B1465" s="1">
        <v>45667</v>
      </c>
      <c r="C1465" s="2">
        <v>45667.267500000002</v>
      </c>
      <c r="D1465" t="s">
        <v>15</v>
      </c>
      <c r="E1465" t="s">
        <v>16</v>
      </c>
      <c r="F1465" t="s">
        <v>58</v>
      </c>
      <c r="G1465" t="s">
        <v>56</v>
      </c>
      <c r="H1465" t="s">
        <v>27</v>
      </c>
      <c r="I1465" t="s">
        <v>28</v>
      </c>
      <c r="J1465" t="s">
        <v>29</v>
      </c>
      <c r="K1465">
        <v>48</v>
      </c>
      <c r="L1465">
        <v>6.42</v>
      </c>
      <c r="M1465">
        <v>5</v>
      </c>
      <c r="N1465" t="s">
        <v>22</v>
      </c>
      <c r="O1465" t="str">
        <f t="shared" si="22"/>
        <v>No</v>
      </c>
    </row>
    <row r="1466" spans="1:15" x14ac:dyDescent="0.25">
      <c r="A1466" t="s">
        <v>1527</v>
      </c>
      <c r="B1466" s="1">
        <v>45812</v>
      </c>
      <c r="C1466" s="2">
        <v>45813.214166666665</v>
      </c>
      <c r="D1466" t="s">
        <v>24</v>
      </c>
      <c r="E1466" t="s">
        <v>39</v>
      </c>
      <c r="F1466" t="s">
        <v>119</v>
      </c>
      <c r="G1466" t="s">
        <v>41</v>
      </c>
      <c r="H1466" t="s">
        <v>44</v>
      </c>
      <c r="I1466" t="s">
        <v>36</v>
      </c>
      <c r="J1466" t="s">
        <v>29</v>
      </c>
      <c r="K1466">
        <v>24</v>
      </c>
      <c r="L1466">
        <v>29.14</v>
      </c>
      <c r="M1466">
        <v>3.3</v>
      </c>
      <c r="N1466" t="s">
        <v>22</v>
      </c>
      <c r="O1466" t="str">
        <f t="shared" si="22"/>
        <v>Yes</v>
      </c>
    </row>
    <row r="1467" spans="1:15" x14ac:dyDescent="0.25">
      <c r="A1467" t="s">
        <v>1528</v>
      </c>
      <c r="B1467" s="1">
        <v>45678</v>
      </c>
      <c r="C1467" s="2">
        <v>45679.060416666667</v>
      </c>
      <c r="D1467" t="s">
        <v>15</v>
      </c>
      <c r="E1467" t="s">
        <v>32</v>
      </c>
      <c r="F1467" t="s">
        <v>64</v>
      </c>
      <c r="G1467" t="s">
        <v>41</v>
      </c>
      <c r="H1467" t="s">
        <v>35</v>
      </c>
      <c r="I1467" t="s">
        <v>36</v>
      </c>
      <c r="J1467" t="s">
        <v>21</v>
      </c>
      <c r="K1467">
        <v>48</v>
      </c>
      <c r="L1467">
        <v>25.45</v>
      </c>
      <c r="M1467">
        <v>3.9</v>
      </c>
      <c r="N1467" t="s">
        <v>22</v>
      </c>
      <c r="O1467" t="str">
        <f t="shared" si="22"/>
        <v>No</v>
      </c>
    </row>
    <row r="1468" spans="1:15" x14ac:dyDescent="0.25">
      <c r="A1468" t="s">
        <v>1529</v>
      </c>
      <c r="B1468" s="1">
        <v>45773</v>
      </c>
      <c r="C1468" s="2">
        <v>45773.320833333331</v>
      </c>
      <c r="D1468" t="s">
        <v>24</v>
      </c>
      <c r="E1468" t="s">
        <v>16</v>
      </c>
      <c r="F1468" t="s">
        <v>60</v>
      </c>
      <c r="G1468" t="s">
        <v>56</v>
      </c>
      <c r="H1468" t="s">
        <v>35</v>
      </c>
      <c r="I1468" t="s">
        <v>20</v>
      </c>
      <c r="J1468" t="s">
        <v>46</v>
      </c>
      <c r="K1468">
        <v>24</v>
      </c>
      <c r="L1468">
        <v>7.7</v>
      </c>
      <c r="M1468">
        <v>5</v>
      </c>
      <c r="N1468" t="s">
        <v>22</v>
      </c>
      <c r="O1468" t="str">
        <f t="shared" si="22"/>
        <v>No</v>
      </c>
    </row>
    <row r="1469" spans="1:15" x14ac:dyDescent="0.25">
      <c r="A1469" t="s">
        <v>1530</v>
      </c>
      <c r="B1469" s="1">
        <v>45727</v>
      </c>
      <c r="C1469" s="2">
        <v>45727.254999999997</v>
      </c>
      <c r="D1469" t="s">
        <v>15</v>
      </c>
      <c r="E1469" t="s">
        <v>39</v>
      </c>
      <c r="F1469" t="s">
        <v>119</v>
      </c>
      <c r="G1469" t="s">
        <v>51</v>
      </c>
      <c r="H1469" t="s">
        <v>35</v>
      </c>
      <c r="I1469" t="s">
        <v>20</v>
      </c>
      <c r="J1469" t="s">
        <v>29</v>
      </c>
      <c r="K1469">
        <v>48</v>
      </c>
      <c r="L1469">
        <v>6.12</v>
      </c>
      <c r="M1469">
        <v>5</v>
      </c>
      <c r="N1469" t="s">
        <v>22</v>
      </c>
      <c r="O1469" t="str">
        <f t="shared" si="22"/>
        <v>No</v>
      </c>
    </row>
    <row r="1470" spans="1:15" x14ac:dyDescent="0.25">
      <c r="A1470" t="s">
        <v>1531</v>
      </c>
      <c r="B1470" s="1">
        <v>45798</v>
      </c>
      <c r="C1470" s="2">
        <v>45799.626250000001</v>
      </c>
      <c r="D1470" t="s">
        <v>24</v>
      </c>
      <c r="E1470" t="s">
        <v>45</v>
      </c>
      <c r="F1470" t="s">
        <v>50</v>
      </c>
      <c r="G1470" t="s">
        <v>34</v>
      </c>
      <c r="H1470" t="s">
        <v>27</v>
      </c>
      <c r="I1470" t="s">
        <v>20</v>
      </c>
      <c r="J1470" t="s">
        <v>21</v>
      </c>
      <c r="K1470">
        <v>24</v>
      </c>
      <c r="L1470">
        <v>39.03</v>
      </c>
      <c r="M1470">
        <v>2.2000000000000002</v>
      </c>
      <c r="N1470" t="s">
        <v>22</v>
      </c>
      <c r="O1470" t="str">
        <f t="shared" si="22"/>
        <v>Yes</v>
      </c>
    </row>
    <row r="1471" spans="1:15" x14ac:dyDescent="0.25">
      <c r="A1471" t="s">
        <v>1532</v>
      </c>
      <c r="B1471" s="1">
        <v>45668</v>
      </c>
      <c r="C1471" s="2">
        <v>45668.231249999997</v>
      </c>
      <c r="D1471" t="s">
        <v>15</v>
      </c>
      <c r="E1471" t="s">
        <v>16</v>
      </c>
      <c r="F1471" t="s">
        <v>58</v>
      </c>
      <c r="G1471" t="s">
        <v>34</v>
      </c>
      <c r="H1471" t="s">
        <v>54</v>
      </c>
      <c r="I1471" t="s">
        <v>36</v>
      </c>
      <c r="J1471" t="s">
        <v>46</v>
      </c>
      <c r="K1471">
        <v>48</v>
      </c>
      <c r="L1471">
        <v>5.55</v>
      </c>
      <c r="M1471">
        <v>5</v>
      </c>
      <c r="N1471" t="s">
        <v>22</v>
      </c>
      <c r="O1471" t="str">
        <f t="shared" si="22"/>
        <v>No</v>
      </c>
    </row>
    <row r="1472" spans="1:15" x14ac:dyDescent="0.25">
      <c r="A1472" t="s">
        <v>1533</v>
      </c>
      <c r="B1472" s="1">
        <v>45820</v>
      </c>
      <c r="C1472" s="2">
        <v>45820.115833333337</v>
      </c>
      <c r="D1472" t="s">
        <v>31</v>
      </c>
      <c r="E1472" t="s">
        <v>25</v>
      </c>
      <c r="F1472" t="s">
        <v>53</v>
      </c>
      <c r="G1472" t="s">
        <v>34</v>
      </c>
      <c r="H1472" t="s">
        <v>54</v>
      </c>
      <c r="I1472" t="s">
        <v>36</v>
      </c>
      <c r="J1472" t="s">
        <v>21</v>
      </c>
      <c r="K1472">
        <v>4</v>
      </c>
      <c r="L1472">
        <v>2.78</v>
      </c>
      <c r="M1472">
        <v>3.5</v>
      </c>
      <c r="N1472" t="s">
        <v>22</v>
      </c>
      <c r="O1472" t="str">
        <f t="shared" si="22"/>
        <v>No</v>
      </c>
    </row>
    <row r="1473" spans="1:15" x14ac:dyDescent="0.25">
      <c r="A1473" t="s">
        <v>1534</v>
      </c>
      <c r="B1473" s="1">
        <v>45784</v>
      </c>
      <c r="C1473" s="2">
        <v>45784.82</v>
      </c>
      <c r="D1473" t="s">
        <v>15</v>
      </c>
      <c r="E1473" t="s">
        <v>39</v>
      </c>
      <c r="F1473" t="s">
        <v>40</v>
      </c>
      <c r="G1473" t="s">
        <v>51</v>
      </c>
      <c r="H1473" t="s">
        <v>35</v>
      </c>
      <c r="I1473" t="s">
        <v>45</v>
      </c>
      <c r="J1473" t="s">
        <v>46</v>
      </c>
      <c r="K1473">
        <v>48</v>
      </c>
      <c r="L1473">
        <v>19.68</v>
      </c>
      <c r="M1473">
        <v>3</v>
      </c>
      <c r="N1473" t="s">
        <v>22</v>
      </c>
      <c r="O1473" t="str">
        <f t="shared" si="22"/>
        <v>No</v>
      </c>
    </row>
    <row r="1474" spans="1:15" x14ac:dyDescent="0.25">
      <c r="A1474" t="s">
        <v>1535</v>
      </c>
      <c r="B1474" s="1">
        <v>45739</v>
      </c>
      <c r="C1474" s="2">
        <v>45739.450416666667</v>
      </c>
      <c r="D1474" t="s">
        <v>24</v>
      </c>
      <c r="E1474" t="s">
        <v>25</v>
      </c>
      <c r="F1474" t="s">
        <v>26</v>
      </c>
      <c r="G1474" t="s">
        <v>51</v>
      </c>
      <c r="H1474" t="s">
        <v>27</v>
      </c>
      <c r="I1474" t="s">
        <v>28</v>
      </c>
      <c r="J1474" t="s">
        <v>21</v>
      </c>
      <c r="K1474">
        <v>24</v>
      </c>
      <c r="L1474">
        <v>10.81</v>
      </c>
      <c r="M1474">
        <v>4.5</v>
      </c>
      <c r="N1474" t="s">
        <v>22</v>
      </c>
      <c r="O1474" t="str">
        <f t="shared" si="22"/>
        <v>No</v>
      </c>
    </row>
    <row r="1475" spans="1:15" x14ac:dyDescent="0.25">
      <c r="A1475" t="s">
        <v>1536</v>
      </c>
      <c r="B1475" s="1">
        <v>45695</v>
      </c>
      <c r="C1475" s="2">
        <v>45695.984583333331</v>
      </c>
      <c r="D1475" t="s">
        <v>15</v>
      </c>
      <c r="E1475" t="s">
        <v>32</v>
      </c>
      <c r="F1475" t="s">
        <v>80</v>
      </c>
      <c r="G1475" t="s">
        <v>18</v>
      </c>
      <c r="H1475" t="s">
        <v>54</v>
      </c>
      <c r="I1475" t="s">
        <v>36</v>
      </c>
      <c r="J1475" t="s">
        <v>21</v>
      </c>
      <c r="K1475">
        <v>48</v>
      </c>
      <c r="L1475">
        <v>23.63</v>
      </c>
      <c r="M1475">
        <v>4.7</v>
      </c>
      <c r="N1475" t="s">
        <v>22</v>
      </c>
      <c r="O1475" t="str">
        <f t="shared" ref="O1475:O1538" si="23">IF(L1475&gt;K1475,"Yes","No")</f>
        <v>No</v>
      </c>
    </row>
    <row r="1476" spans="1:15" x14ac:dyDescent="0.25">
      <c r="A1476" t="s">
        <v>1537</v>
      </c>
      <c r="B1476" s="1">
        <v>45834</v>
      </c>
      <c r="C1476" s="2">
        <v>45834.665833333333</v>
      </c>
      <c r="D1476" t="s">
        <v>15</v>
      </c>
      <c r="E1476" t="s">
        <v>39</v>
      </c>
      <c r="F1476" t="s">
        <v>87</v>
      </c>
      <c r="G1476" t="s">
        <v>34</v>
      </c>
      <c r="H1476" t="s">
        <v>54</v>
      </c>
      <c r="I1476" t="s">
        <v>45</v>
      </c>
      <c r="J1476" t="s">
        <v>46</v>
      </c>
      <c r="K1476">
        <v>48</v>
      </c>
      <c r="L1476">
        <v>15.98</v>
      </c>
      <c r="M1476">
        <v>3.6</v>
      </c>
      <c r="N1476" t="s">
        <v>61</v>
      </c>
      <c r="O1476" t="str">
        <f t="shared" si="23"/>
        <v>No</v>
      </c>
    </row>
    <row r="1477" spans="1:15" x14ac:dyDescent="0.25">
      <c r="A1477" t="s">
        <v>1538</v>
      </c>
      <c r="B1477" s="1">
        <v>45712</v>
      </c>
      <c r="C1477" s="2">
        <v>45713.039166666669</v>
      </c>
      <c r="D1477" t="s">
        <v>15</v>
      </c>
      <c r="E1477" t="s">
        <v>32</v>
      </c>
      <c r="F1477" t="s">
        <v>64</v>
      </c>
      <c r="G1477" t="s">
        <v>34</v>
      </c>
      <c r="H1477" t="s">
        <v>54</v>
      </c>
      <c r="I1477" t="s">
        <v>36</v>
      </c>
      <c r="J1477" t="s">
        <v>21</v>
      </c>
      <c r="K1477">
        <v>48</v>
      </c>
      <c r="L1477">
        <v>24.94</v>
      </c>
      <c r="M1477">
        <v>3.1</v>
      </c>
      <c r="N1477" t="s">
        <v>22</v>
      </c>
      <c r="O1477" t="str">
        <f t="shared" si="23"/>
        <v>No</v>
      </c>
    </row>
    <row r="1478" spans="1:15" x14ac:dyDescent="0.25">
      <c r="A1478" t="s">
        <v>1539</v>
      </c>
      <c r="B1478" s="1">
        <v>45746</v>
      </c>
      <c r="C1478" s="2">
        <v>45747.158750000002</v>
      </c>
      <c r="D1478" t="s">
        <v>15</v>
      </c>
      <c r="E1478" t="s">
        <v>32</v>
      </c>
      <c r="F1478" t="s">
        <v>33</v>
      </c>
      <c r="G1478" t="s">
        <v>56</v>
      </c>
      <c r="H1478" t="s">
        <v>19</v>
      </c>
      <c r="I1478" t="s">
        <v>20</v>
      </c>
      <c r="J1478" t="s">
        <v>21</v>
      </c>
      <c r="K1478">
        <v>48</v>
      </c>
      <c r="L1478">
        <v>27.81</v>
      </c>
      <c r="M1478">
        <v>4</v>
      </c>
      <c r="N1478" t="s">
        <v>22</v>
      </c>
      <c r="O1478" t="str">
        <f t="shared" si="23"/>
        <v>No</v>
      </c>
    </row>
    <row r="1479" spans="1:15" x14ac:dyDescent="0.25">
      <c r="A1479" t="s">
        <v>1540</v>
      </c>
      <c r="B1479" s="1">
        <v>45729</v>
      </c>
      <c r="C1479" s="2">
        <v>45730.623333333337</v>
      </c>
      <c r="D1479" t="s">
        <v>15</v>
      </c>
      <c r="E1479" t="s">
        <v>45</v>
      </c>
      <c r="F1479" t="s">
        <v>112</v>
      </c>
      <c r="G1479" t="s">
        <v>41</v>
      </c>
      <c r="H1479" t="s">
        <v>27</v>
      </c>
      <c r="I1479" t="s">
        <v>36</v>
      </c>
      <c r="J1479" t="s">
        <v>21</v>
      </c>
      <c r="K1479">
        <v>48</v>
      </c>
      <c r="L1479">
        <v>38.96</v>
      </c>
      <c r="M1479">
        <v>3.6</v>
      </c>
      <c r="N1479" t="s">
        <v>22</v>
      </c>
      <c r="O1479" t="str">
        <f t="shared" si="23"/>
        <v>No</v>
      </c>
    </row>
    <row r="1480" spans="1:15" x14ac:dyDescent="0.25">
      <c r="A1480" t="s">
        <v>1541</v>
      </c>
      <c r="B1480" s="1">
        <v>45699</v>
      </c>
      <c r="C1480" s="2">
        <v>45699.750416666669</v>
      </c>
      <c r="D1480" t="s">
        <v>24</v>
      </c>
      <c r="E1480" t="s">
        <v>16</v>
      </c>
      <c r="F1480" t="s">
        <v>60</v>
      </c>
      <c r="G1480" t="s">
        <v>41</v>
      </c>
      <c r="H1480" t="s">
        <v>19</v>
      </c>
      <c r="I1480" t="s">
        <v>28</v>
      </c>
      <c r="J1480" t="s">
        <v>29</v>
      </c>
      <c r="K1480">
        <v>24</v>
      </c>
      <c r="L1480">
        <v>18.010000000000002</v>
      </c>
      <c r="M1480">
        <v>5</v>
      </c>
      <c r="N1480" t="s">
        <v>22</v>
      </c>
      <c r="O1480" t="str">
        <f t="shared" si="23"/>
        <v>No</v>
      </c>
    </row>
    <row r="1481" spans="1:15" x14ac:dyDescent="0.25">
      <c r="A1481" t="s">
        <v>1542</v>
      </c>
      <c r="B1481" s="1">
        <v>45733</v>
      </c>
      <c r="C1481" s="2">
        <v>45733.220405092594</v>
      </c>
      <c r="D1481" t="s">
        <v>24</v>
      </c>
      <c r="E1481" t="s">
        <v>16</v>
      </c>
      <c r="F1481" t="s">
        <v>43</v>
      </c>
      <c r="G1481" t="s">
        <v>56</v>
      </c>
      <c r="H1481" t="s">
        <v>44</v>
      </c>
      <c r="I1481" t="s">
        <v>36</v>
      </c>
      <c r="J1481" t="s">
        <v>85</v>
      </c>
      <c r="K1481">
        <v>24</v>
      </c>
      <c r="L1481">
        <v>5.29</v>
      </c>
      <c r="M1481">
        <v>4.7</v>
      </c>
      <c r="N1481" t="s">
        <v>22</v>
      </c>
      <c r="O1481" t="str">
        <f t="shared" si="23"/>
        <v>No</v>
      </c>
    </row>
    <row r="1482" spans="1:15" x14ac:dyDescent="0.25">
      <c r="A1482" t="s">
        <v>1543</v>
      </c>
      <c r="B1482" s="1">
        <v>45685</v>
      </c>
      <c r="C1482" s="2">
        <v>45685.522083333337</v>
      </c>
      <c r="D1482" t="s">
        <v>15</v>
      </c>
      <c r="E1482" t="s">
        <v>16</v>
      </c>
      <c r="F1482" t="s">
        <v>58</v>
      </c>
      <c r="G1482" t="s">
        <v>51</v>
      </c>
      <c r="H1482" t="s">
        <v>27</v>
      </c>
      <c r="I1482" t="s">
        <v>45</v>
      </c>
      <c r="J1482" t="s">
        <v>46</v>
      </c>
      <c r="K1482">
        <v>48</v>
      </c>
      <c r="L1482">
        <v>12.53</v>
      </c>
      <c r="M1482">
        <v>5</v>
      </c>
      <c r="N1482" t="s">
        <v>22</v>
      </c>
      <c r="O1482" t="str">
        <f t="shared" si="23"/>
        <v>No</v>
      </c>
    </row>
    <row r="1483" spans="1:15" x14ac:dyDescent="0.25">
      <c r="A1483" t="s">
        <v>1544</v>
      </c>
      <c r="B1483" s="1">
        <v>45658</v>
      </c>
      <c r="C1483" s="2">
        <v>45658.990416666667</v>
      </c>
      <c r="D1483" t="s">
        <v>24</v>
      </c>
      <c r="E1483" t="s">
        <v>16</v>
      </c>
      <c r="F1483" t="s">
        <v>43</v>
      </c>
      <c r="G1483" t="s">
        <v>56</v>
      </c>
      <c r="H1483" t="s">
        <v>27</v>
      </c>
      <c r="I1483" t="s">
        <v>20</v>
      </c>
      <c r="J1483" t="s">
        <v>21</v>
      </c>
      <c r="K1483">
        <v>24</v>
      </c>
      <c r="L1483">
        <v>23.77</v>
      </c>
      <c r="M1483">
        <v>3.9</v>
      </c>
      <c r="N1483" t="s">
        <v>22</v>
      </c>
      <c r="O1483" t="str">
        <f t="shared" si="23"/>
        <v>No</v>
      </c>
    </row>
    <row r="1484" spans="1:15" x14ac:dyDescent="0.25">
      <c r="A1484" t="s">
        <v>1545</v>
      </c>
      <c r="B1484" s="1">
        <v>45710</v>
      </c>
      <c r="C1484" s="2">
        <v>45710.36791666667</v>
      </c>
      <c r="D1484" t="s">
        <v>24</v>
      </c>
      <c r="E1484" t="s">
        <v>16</v>
      </c>
      <c r="F1484" t="s">
        <v>60</v>
      </c>
      <c r="G1484" t="s">
        <v>34</v>
      </c>
      <c r="H1484" t="s">
        <v>19</v>
      </c>
      <c r="I1484" t="s">
        <v>36</v>
      </c>
      <c r="J1484" t="s">
        <v>46</v>
      </c>
      <c r="K1484">
        <v>24</v>
      </c>
      <c r="L1484">
        <v>8.83</v>
      </c>
      <c r="M1484">
        <v>5</v>
      </c>
      <c r="N1484" t="s">
        <v>61</v>
      </c>
      <c r="O1484" t="str">
        <f t="shared" si="23"/>
        <v>No</v>
      </c>
    </row>
    <row r="1485" spans="1:15" x14ac:dyDescent="0.25">
      <c r="A1485" t="s">
        <v>1546</v>
      </c>
      <c r="B1485" s="1">
        <v>45678</v>
      </c>
      <c r="C1485" s="2">
        <v>45679.33</v>
      </c>
      <c r="D1485" t="s">
        <v>15</v>
      </c>
      <c r="E1485" t="s">
        <v>25</v>
      </c>
      <c r="F1485" t="s">
        <v>70</v>
      </c>
      <c r="G1485" t="s">
        <v>56</v>
      </c>
      <c r="H1485" t="s">
        <v>44</v>
      </c>
      <c r="I1485" t="s">
        <v>36</v>
      </c>
      <c r="J1485" t="s">
        <v>46</v>
      </c>
      <c r="K1485">
        <v>48</v>
      </c>
      <c r="L1485">
        <v>31.92</v>
      </c>
      <c r="M1485">
        <v>3.6</v>
      </c>
      <c r="N1485" t="s">
        <v>22</v>
      </c>
      <c r="O1485" t="str">
        <f t="shared" si="23"/>
        <v>No</v>
      </c>
    </row>
    <row r="1486" spans="1:15" x14ac:dyDescent="0.25">
      <c r="A1486" t="s">
        <v>1547</v>
      </c>
      <c r="B1486" s="1">
        <v>45733</v>
      </c>
      <c r="C1486" s="2">
        <v>45734.135000000002</v>
      </c>
      <c r="D1486" t="s">
        <v>24</v>
      </c>
      <c r="E1486" t="s">
        <v>16</v>
      </c>
      <c r="F1486" t="s">
        <v>17</v>
      </c>
      <c r="G1486" t="s">
        <v>51</v>
      </c>
      <c r="H1486" t="s">
        <v>65</v>
      </c>
      <c r="I1486" t="s">
        <v>45</v>
      </c>
      <c r="J1486" t="s">
        <v>21</v>
      </c>
      <c r="K1486">
        <v>24</v>
      </c>
      <c r="L1486">
        <v>27.24</v>
      </c>
      <c r="M1486">
        <v>3.6</v>
      </c>
      <c r="N1486" t="s">
        <v>22</v>
      </c>
      <c r="O1486" t="str">
        <f t="shared" si="23"/>
        <v>Yes</v>
      </c>
    </row>
    <row r="1487" spans="1:15" x14ac:dyDescent="0.25">
      <c r="A1487" t="s">
        <v>1548</v>
      </c>
      <c r="B1487" s="1">
        <v>45814</v>
      </c>
      <c r="C1487" s="2">
        <v>45815.084999999999</v>
      </c>
      <c r="D1487" t="s">
        <v>15</v>
      </c>
      <c r="E1487" t="s">
        <v>25</v>
      </c>
      <c r="F1487" t="s">
        <v>53</v>
      </c>
      <c r="G1487" t="s">
        <v>51</v>
      </c>
      <c r="H1487" t="s">
        <v>27</v>
      </c>
      <c r="I1487" t="s">
        <v>45</v>
      </c>
      <c r="J1487" t="s">
        <v>21</v>
      </c>
      <c r="K1487">
        <v>48</v>
      </c>
      <c r="L1487">
        <v>26.04</v>
      </c>
      <c r="M1487">
        <v>3.3</v>
      </c>
      <c r="N1487" t="s">
        <v>22</v>
      </c>
      <c r="O1487" t="str">
        <f t="shared" si="23"/>
        <v>No</v>
      </c>
    </row>
    <row r="1488" spans="1:15" x14ac:dyDescent="0.25">
      <c r="A1488" t="s">
        <v>1549</v>
      </c>
      <c r="B1488" s="1">
        <v>45687</v>
      </c>
      <c r="C1488" s="2">
        <v>45687.423750000002</v>
      </c>
      <c r="D1488" t="s">
        <v>15</v>
      </c>
      <c r="E1488" t="s">
        <v>39</v>
      </c>
      <c r="F1488" t="s">
        <v>40</v>
      </c>
      <c r="G1488" t="s">
        <v>34</v>
      </c>
      <c r="H1488" t="s">
        <v>35</v>
      </c>
      <c r="I1488" t="s">
        <v>20</v>
      </c>
      <c r="J1488" t="s">
        <v>21</v>
      </c>
      <c r="K1488">
        <v>48</v>
      </c>
      <c r="L1488">
        <v>10.17</v>
      </c>
      <c r="M1488">
        <v>5</v>
      </c>
      <c r="N1488" t="s">
        <v>22</v>
      </c>
      <c r="O1488" t="str">
        <f t="shared" si="23"/>
        <v>No</v>
      </c>
    </row>
    <row r="1489" spans="1:15" x14ac:dyDescent="0.25">
      <c r="A1489" t="s">
        <v>1550</v>
      </c>
      <c r="B1489" s="1">
        <v>45658</v>
      </c>
      <c r="C1489" s="2">
        <v>45658.215833333335</v>
      </c>
      <c r="D1489" t="s">
        <v>24</v>
      </c>
      <c r="E1489" t="s">
        <v>45</v>
      </c>
      <c r="F1489" t="s">
        <v>112</v>
      </c>
      <c r="G1489" t="s">
        <v>51</v>
      </c>
      <c r="H1489" t="s">
        <v>27</v>
      </c>
      <c r="I1489" t="s">
        <v>45</v>
      </c>
      <c r="J1489" t="s">
        <v>21</v>
      </c>
      <c r="K1489">
        <v>24</v>
      </c>
      <c r="L1489">
        <v>5.18</v>
      </c>
      <c r="M1489">
        <v>5</v>
      </c>
      <c r="N1489" t="s">
        <v>22</v>
      </c>
      <c r="O1489" t="str">
        <f t="shared" si="23"/>
        <v>No</v>
      </c>
    </row>
    <row r="1490" spans="1:15" x14ac:dyDescent="0.25">
      <c r="A1490" t="s">
        <v>1551</v>
      </c>
      <c r="B1490" s="1">
        <v>45678</v>
      </c>
      <c r="C1490" s="2">
        <v>45678.067916666667</v>
      </c>
      <c r="D1490" t="s">
        <v>31</v>
      </c>
      <c r="E1490" t="s">
        <v>32</v>
      </c>
      <c r="F1490" t="s">
        <v>64</v>
      </c>
      <c r="G1490" t="s">
        <v>56</v>
      </c>
      <c r="H1490" t="s">
        <v>54</v>
      </c>
      <c r="I1490" t="s">
        <v>36</v>
      </c>
      <c r="J1490" t="s">
        <v>46</v>
      </c>
      <c r="K1490">
        <v>4</v>
      </c>
      <c r="L1490">
        <v>1.63</v>
      </c>
      <c r="M1490">
        <v>5</v>
      </c>
      <c r="N1490" t="s">
        <v>22</v>
      </c>
      <c r="O1490" t="str">
        <f t="shared" si="23"/>
        <v>No</v>
      </c>
    </row>
    <row r="1491" spans="1:15" x14ac:dyDescent="0.25">
      <c r="A1491" t="s">
        <v>1552</v>
      </c>
      <c r="B1491" s="1">
        <v>45749</v>
      </c>
      <c r="C1491" s="2">
        <v>45749.068333333336</v>
      </c>
      <c r="D1491" t="s">
        <v>31</v>
      </c>
      <c r="E1491" t="s">
        <v>39</v>
      </c>
      <c r="F1491" t="s">
        <v>87</v>
      </c>
      <c r="G1491" t="s">
        <v>41</v>
      </c>
      <c r="H1491" t="s">
        <v>65</v>
      </c>
      <c r="I1491" t="s">
        <v>28</v>
      </c>
      <c r="J1491" t="s">
        <v>21</v>
      </c>
      <c r="K1491">
        <v>4</v>
      </c>
      <c r="L1491">
        <v>1.64</v>
      </c>
      <c r="M1491">
        <v>4.4000000000000004</v>
      </c>
      <c r="N1491" t="s">
        <v>22</v>
      </c>
      <c r="O1491" t="str">
        <f t="shared" si="23"/>
        <v>No</v>
      </c>
    </row>
    <row r="1492" spans="1:15" x14ac:dyDescent="0.25">
      <c r="A1492" t="s">
        <v>1553</v>
      </c>
      <c r="B1492" s="1">
        <v>45707</v>
      </c>
      <c r="C1492" s="2">
        <v>45707.030416666668</v>
      </c>
      <c r="D1492" t="s">
        <v>31</v>
      </c>
      <c r="E1492" t="s">
        <v>45</v>
      </c>
      <c r="F1492" t="s">
        <v>104</v>
      </c>
      <c r="G1492" t="s">
        <v>51</v>
      </c>
      <c r="H1492" t="s">
        <v>19</v>
      </c>
      <c r="I1492" t="s">
        <v>36</v>
      </c>
      <c r="J1492" t="s">
        <v>21</v>
      </c>
      <c r="K1492">
        <v>4</v>
      </c>
      <c r="L1492">
        <v>0.73</v>
      </c>
      <c r="M1492">
        <v>3.8</v>
      </c>
      <c r="N1492" t="s">
        <v>22</v>
      </c>
      <c r="O1492" t="str">
        <f t="shared" si="23"/>
        <v>No</v>
      </c>
    </row>
    <row r="1493" spans="1:15" x14ac:dyDescent="0.25">
      <c r="A1493" t="s">
        <v>1554</v>
      </c>
      <c r="B1493" s="1">
        <v>45746</v>
      </c>
      <c r="C1493" s="2">
        <v>45746.248749999999</v>
      </c>
      <c r="D1493" t="s">
        <v>24</v>
      </c>
      <c r="E1493" t="s">
        <v>32</v>
      </c>
      <c r="F1493" t="s">
        <v>75</v>
      </c>
      <c r="G1493" t="s">
        <v>41</v>
      </c>
      <c r="H1493" t="s">
        <v>35</v>
      </c>
      <c r="I1493" t="s">
        <v>45</v>
      </c>
      <c r="J1493" t="s">
        <v>21</v>
      </c>
      <c r="K1493">
        <v>24</v>
      </c>
      <c r="L1493">
        <v>5.97</v>
      </c>
      <c r="M1493">
        <v>4.5999999999999996</v>
      </c>
      <c r="N1493" t="s">
        <v>61</v>
      </c>
      <c r="O1493" t="str">
        <f t="shared" si="23"/>
        <v>No</v>
      </c>
    </row>
    <row r="1494" spans="1:15" x14ac:dyDescent="0.25">
      <c r="A1494" t="s">
        <v>1555</v>
      </c>
      <c r="B1494" s="1">
        <v>45663</v>
      </c>
      <c r="C1494" s="2">
        <v>45664.51458333333</v>
      </c>
      <c r="D1494" t="s">
        <v>15</v>
      </c>
      <c r="E1494" t="s">
        <v>32</v>
      </c>
      <c r="F1494" t="s">
        <v>80</v>
      </c>
      <c r="G1494" t="s">
        <v>18</v>
      </c>
      <c r="H1494" t="s">
        <v>44</v>
      </c>
      <c r="I1494" t="s">
        <v>28</v>
      </c>
      <c r="J1494" t="s">
        <v>46</v>
      </c>
      <c r="K1494">
        <v>48</v>
      </c>
      <c r="L1494">
        <v>36.35</v>
      </c>
      <c r="M1494">
        <v>3.7</v>
      </c>
      <c r="N1494" t="s">
        <v>22</v>
      </c>
      <c r="O1494" t="str">
        <f t="shared" si="23"/>
        <v>No</v>
      </c>
    </row>
    <row r="1495" spans="1:15" x14ac:dyDescent="0.25">
      <c r="A1495" t="s">
        <v>1556</v>
      </c>
      <c r="B1495" s="1">
        <v>45718</v>
      </c>
      <c r="C1495" s="2">
        <v>45719.002500000002</v>
      </c>
      <c r="D1495" t="s">
        <v>24</v>
      </c>
      <c r="E1495" t="s">
        <v>39</v>
      </c>
      <c r="F1495" t="s">
        <v>78</v>
      </c>
      <c r="G1495" t="s">
        <v>56</v>
      </c>
      <c r="H1495" t="s">
        <v>35</v>
      </c>
      <c r="I1495" t="s">
        <v>28</v>
      </c>
      <c r="J1495" t="s">
        <v>21</v>
      </c>
      <c r="K1495">
        <v>24</v>
      </c>
      <c r="L1495">
        <v>24.06</v>
      </c>
      <c r="M1495">
        <v>4.4000000000000004</v>
      </c>
      <c r="N1495" t="s">
        <v>22</v>
      </c>
      <c r="O1495" t="str">
        <f t="shared" si="23"/>
        <v>Yes</v>
      </c>
    </row>
    <row r="1496" spans="1:15" x14ac:dyDescent="0.25">
      <c r="A1496" t="s">
        <v>1557</v>
      </c>
      <c r="B1496" s="1">
        <v>45732</v>
      </c>
      <c r="C1496" s="2">
        <v>45732.753333333334</v>
      </c>
      <c r="D1496" t="s">
        <v>15</v>
      </c>
      <c r="E1496" t="s">
        <v>39</v>
      </c>
      <c r="F1496" t="s">
        <v>40</v>
      </c>
      <c r="G1496" t="s">
        <v>41</v>
      </c>
      <c r="H1496" t="s">
        <v>44</v>
      </c>
      <c r="I1496" t="s">
        <v>36</v>
      </c>
      <c r="J1496" t="s">
        <v>21</v>
      </c>
      <c r="K1496">
        <v>48</v>
      </c>
      <c r="L1496">
        <v>18.079999999999998</v>
      </c>
      <c r="M1496">
        <v>4.3</v>
      </c>
      <c r="N1496" t="s">
        <v>22</v>
      </c>
      <c r="O1496" t="str">
        <f t="shared" si="23"/>
        <v>No</v>
      </c>
    </row>
    <row r="1497" spans="1:15" x14ac:dyDescent="0.25">
      <c r="A1497" t="s">
        <v>1558</v>
      </c>
      <c r="B1497" s="1">
        <v>45736</v>
      </c>
      <c r="C1497" s="2">
        <v>45736.023333333331</v>
      </c>
      <c r="D1497" t="s">
        <v>15</v>
      </c>
      <c r="E1497" t="s">
        <v>45</v>
      </c>
      <c r="F1497" t="s">
        <v>112</v>
      </c>
      <c r="G1497" t="s">
        <v>51</v>
      </c>
      <c r="H1497" t="s">
        <v>54</v>
      </c>
      <c r="I1497" t="s">
        <v>36</v>
      </c>
      <c r="J1497" t="s">
        <v>21</v>
      </c>
      <c r="K1497">
        <v>48</v>
      </c>
      <c r="L1497">
        <v>0.56000000000000005</v>
      </c>
      <c r="M1497">
        <v>4.7</v>
      </c>
      <c r="N1497" t="s">
        <v>22</v>
      </c>
      <c r="O1497" t="str">
        <f t="shared" si="23"/>
        <v>No</v>
      </c>
    </row>
    <row r="1498" spans="1:15" x14ac:dyDescent="0.25">
      <c r="A1498" t="s">
        <v>1559</v>
      </c>
      <c r="B1498" s="1">
        <v>45757</v>
      </c>
      <c r="C1498" s="2">
        <v>45758.428738425922</v>
      </c>
      <c r="D1498" t="s">
        <v>15</v>
      </c>
      <c r="E1498" t="s">
        <v>25</v>
      </c>
      <c r="F1498" t="s">
        <v>26</v>
      </c>
      <c r="G1498" t="s">
        <v>18</v>
      </c>
      <c r="H1498" t="s">
        <v>35</v>
      </c>
      <c r="I1498" t="s">
        <v>45</v>
      </c>
      <c r="J1498" t="s">
        <v>21</v>
      </c>
      <c r="K1498">
        <v>48</v>
      </c>
      <c r="L1498">
        <v>34.29</v>
      </c>
      <c r="M1498">
        <v>5</v>
      </c>
      <c r="N1498" t="s">
        <v>22</v>
      </c>
      <c r="O1498" t="str">
        <f t="shared" si="23"/>
        <v>No</v>
      </c>
    </row>
    <row r="1499" spans="1:15" x14ac:dyDescent="0.25">
      <c r="A1499" t="s">
        <v>1560</v>
      </c>
      <c r="B1499" s="1">
        <v>45799</v>
      </c>
      <c r="C1499" s="2">
        <v>45799.097083333334</v>
      </c>
      <c r="D1499" t="s">
        <v>24</v>
      </c>
      <c r="E1499" t="s">
        <v>39</v>
      </c>
      <c r="F1499" t="s">
        <v>78</v>
      </c>
      <c r="G1499" t="s">
        <v>56</v>
      </c>
      <c r="H1499" t="s">
        <v>19</v>
      </c>
      <c r="I1499" t="s">
        <v>36</v>
      </c>
      <c r="J1499" t="s">
        <v>21</v>
      </c>
      <c r="K1499">
        <v>24</v>
      </c>
      <c r="L1499">
        <v>2.33</v>
      </c>
      <c r="M1499">
        <v>5</v>
      </c>
      <c r="N1499" t="s">
        <v>22</v>
      </c>
      <c r="O1499" t="str">
        <f t="shared" si="23"/>
        <v>No</v>
      </c>
    </row>
    <row r="1500" spans="1:15" x14ac:dyDescent="0.25">
      <c r="A1500" t="s">
        <v>1561</v>
      </c>
      <c r="B1500" s="1">
        <v>45742</v>
      </c>
      <c r="C1500" s="2">
        <v>45742.142500000002</v>
      </c>
      <c r="D1500" t="s">
        <v>24</v>
      </c>
      <c r="E1500" t="s">
        <v>45</v>
      </c>
      <c r="F1500" t="s">
        <v>104</v>
      </c>
      <c r="G1500" t="s">
        <v>18</v>
      </c>
      <c r="H1500" t="s">
        <v>44</v>
      </c>
      <c r="I1500" t="s">
        <v>20</v>
      </c>
      <c r="J1500" t="s">
        <v>21</v>
      </c>
      <c r="K1500">
        <v>24</v>
      </c>
      <c r="L1500">
        <v>3.42</v>
      </c>
      <c r="M1500">
        <v>5</v>
      </c>
      <c r="N1500" t="s">
        <v>22</v>
      </c>
      <c r="O1500" t="str">
        <f t="shared" si="23"/>
        <v>No</v>
      </c>
    </row>
    <row r="1501" spans="1:15" x14ac:dyDescent="0.25">
      <c r="A1501" t="s">
        <v>1562</v>
      </c>
      <c r="B1501" s="1">
        <v>45810</v>
      </c>
      <c r="C1501" s="2">
        <v>45810.885000000002</v>
      </c>
      <c r="D1501" t="s">
        <v>15</v>
      </c>
      <c r="E1501" t="s">
        <v>16</v>
      </c>
      <c r="F1501" t="s">
        <v>43</v>
      </c>
      <c r="G1501" t="s">
        <v>18</v>
      </c>
      <c r="H1501" t="s">
        <v>65</v>
      </c>
      <c r="I1501" t="s">
        <v>45</v>
      </c>
      <c r="J1501" t="s">
        <v>21</v>
      </c>
      <c r="K1501">
        <v>48</v>
      </c>
      <c r="L1501">
        <v>21.24</v>
      </c>
      <c r="M1501">
        <v>4.0999999999999996</v>
      </c>
      <c r="N1501" t="s">
        <v>22</v>
      </c>
      <c r="O1501" t="str">
        <f t="shared" si="23"/>
        <v>No</v>
      </c>
    </row>
    <row r="1502" spans="1:15" x14ac:dyDescent="0.25">
      <c r="A1502" t="s">
        <v>1563</v>
      </c>
      <c r="B1502" s="1">
        <v>45753</v>
      </c>
      <c r="C1502" s="2">
        <v>45754.174583333333</v>
      </c>
      <c r="D1502" t="s">
        <v>24</v>
      </c>
      <c r="E1502" t="s">
        <v>25</v>
      </c>
      <c r="F1502" t="s">
        <v>48</v>
      </c>
      <c r="G1502" t="s">
        <v>18</v>
      </c>
      <c r="H1502" t="s">
        <v>35</v>
      </c>
      <c r="I1502" t="s">
        <v>36</v>
      </c>
      <c r="J1502" t="s">
        <v>21</v>
      </c>
      <c r="K1502">
        <v>24</v>
      </c>
      <c r="L1502">
        <v>28.19</v>
      </c>
      <c r="M1502">
        <v>2.9</v>
      </c>
      <c r="N1502" t="s">
        <v>22</v>
      </c>
      <c r="O1502" t="str">
        <f t="shared" si="23"/>
        <v>Yes</v>
      </c>
    </row>
    <row r="1503" spans="1:15" x14ac:dyDescent="0.25">
      <c r="A1503" t="s">
        <v>1564</v>
      </c>
      <c r="B1503" s="1">
        <v>45705</v>
      </c>
      <c r="C1503" s="2">
        <v>45705.838750000003</v>
      </c>
      <c r="D1503" t="s">
        <v>24</v>
      </c>
      <c r="E1503" t="s">
        <v>32</v>
      </c>
      <c r="F1503" t="s">
        <v>75</v>
      </c>
      <c r="G1503" t="s">
        <v>41</v>
      </c>
      <c r="H1503" t="s">
        <v>65</v>
      </c>
      <c r="I1503" t="s">
        <v>36</v>
      </c>
      <c r="J1503" t="s">
        <v>21</v>
      </c>
      <c r="K1503">
        <v>24</v>
      </c>
      <c r="L1503">
        <v>20.13</v>
      </c>
      <c r="M1503">
        <v>4.7</v>
      </c>
      <c r="N1503" t="s">
        <v>22</v>
      </c>
      <c r="O1503" t="str">
        <f t="shared" si="23"/>
        <v>No</v>
      </c>
    </row>
    <row r="1504" spans="1:15" x14ac:dyDescent="0.25">
      <c r="A1504" t="s">
        <v>1565</v>
      </c>
      <c r="B1504" s="1">
        <v>45699</v>
      </c>
      <c r="C1504" s="2">
        <v>45699.259583333333</v>
      </c>
      <c r="D1504" t="s">
        <v>38</v>
      </c>
      <c r="E1504" t="s">
        <v>16</v>
      </c>
      <c r="F1504" t="s">
        <v>58</v>
      </c>
      <c r="G1504" t="s">
        <v>41</v>
      </c>
      <c r="H1504" t="s">
        <v>35</v>
      </c>
      <c r="I1504" t="s">
        <v>45</v>
      </c>
      <c r="J1504" t="s">
        <v>21</v>
      </c>
      <c r="K1504">
        <v>8</v>
      </c>
      <c r="L1504">
        <v>6.23</v>
      </c>
      <c r="M1504">
        <v>5</v>
      </c>
      <c r="N1504" t="s">
        <v>22</v>
      </c>
      <c r="O1504" t="str">
        <f t="shared" si="23"/>
        <v>No</v>
      </c>
    </row>
    <row r="1505" spans="1:15" x14ac:dyDescent="0.25">
      <c r="A1505" t="s">
        <v>1566</v>
      </c>
      <c r="B1505" s="1">
        <v>45716</v>
      </c>
      <c r="C1505" s="2">
        <v>45716.892500000002</v>
      </c>
      <c r="D1505" t="s">
        <v>15</v>
      </c>
      <c r="E1505" t="s">
        <v>32</v>
      </c>
      <c r="F1505" t="s">
        <v>80</v>
      </c>
      <c r="G1505" t="s">
        <v>51</v>
      </c>
      <c r="H1505" t="s">
        <v>65</v>
      </c>
      <c r="I1505" t="s">
        <v>20</v>
      </c>
      <c r="J1505" t="s">
        <v>46</v>
      </c>
      <c r="K1505">
        <v>48</v>
      </c>
      <c r="L1505">
        <v>21.42</v>
      </c>
      <c r="M1505">
        <v>3.6</v>
      </c>
      <c r="N1505" t="s">
        <v>22</v>
      </c>
      <c r="O1505" t="str">
        <f t="shared" si="23"/>
        <v>No</v>
      </c>
    </row>
    <row r="1506" spans="1:15" x14ac:dyDescent="0.25">
      <c r="A1506" t="s">
        <v>1567</v>
      </c>
      <c r="B1506" s="1">
        <v>45766</v>
      </c>
      <c r="C1506" s="2">
        <v>45766.168749999997</v>
      </c>
      <c r="D1506" t="s">
        <v>24</v>
      </c>
      <c r="E1506" t="s">
        <v>32</v>
      </c>
      <c r="F1506" t="s">
        <v>64</v>
      </c>
      <c r="G1506" t="s">
        <v>41</v>
      </c>
      <c r="H1506" t="s">
        <v>44</v>
      </c>
      <c r="I1506" t="s">
        <v>36</v>
      </c>
      <c r="J1506" t="s">
        <v>21</v>
      </c>
      <c r="K1506">
        <v>24</v>
      </c>
      <c r="L1506">
        <v>4.05</v>
      </c>
      <c r="M1506">
        <v>4.5</v>
      </c>
      <c r="N1506" t="s">
        <v>22</v>
      </c>
      <c r="O1506" t="str">
        <f t="shared" si="23"/>
        <v>No</v>
      </c>
    </row>
    <row r="1507" spans="1:15" x14ac:dyDescent="0.25">
      <c r="A1507" t="s">
        <v>1568</v>
      </c>
      <c r="B1507" s="1">
        <v>45701</v>
      </c>
      <c r="C1507" s="2">
        <v>45703.11791666667</v>
      </c>
      <c r="D1507" t="s">
        <v>15</v>
      </c>
      <c r="E1507" t="s">
        <v>16</v>
      </c>
      <c r="F1507" t="s">
        <v>60</v>
      </c>
      <c r="G1507" t="s">
        <v>56</v>
      </c>
      <c r="H1507" t="s">
        <v>54</v>
      </c>
      <c r="I1507" t="s">
        <v>36</v>
      </c>
      <c r="J1507" t="s">
        <v>46</v>
      </c>
      <c r="K1507">
        <v>48</v>
      </c>
      <c r="L1507">
        <v>50.83</v>
      </c>
      <c r="M1507">
        <v>3.1</v>
      </c>
      <c r="N1507" t="s">
        <v>22</v>
      </c>
      <c r="O1507" t="str">
        <f t="shared" si="23"/>
        <v>Yes</v>
      </c>
    </row>
    <row r="1508" spans="1:15" x14ac:dyDescent="0.25">
      <c r="A1508" t="s">
        <v>1569</v>
      </c>
      <c r="B1508" s="1">
        <v>45823</v>
      </c>
      <c r="C1508" s="2">
        <v>45823.174166666664</v>
      </c>
      <c r="D1508" t="s">
        <v>24</v>
      </c>
      <c r="E1508" t="s">
        <v>32</v>
      </c>
      <c r="F1508" t="s">
        <v>80</v>
      </c>
      <c r="G1508" t="s">
        <v>41</v>
      </c>
      <c r="H1508" t="s">
        <v>35</v>
      </c>
      <c r="I1508" t="s">
        <v>36</v>
      </c>
      <c r="J1508" t="s">
        <v>21</v>
      </c>
      <c r="K1508">
        <v>24</v>
      </c>
      <c r="L1508">
        <v>4.18</v>
      </c>
      <c r="M1508">
        <v>5</v>
      </c>
      <c r="N1508" t="s">
        <v>22</v>
      </c>
      <c r="O1508" t="str">
        <f t="shared" si="23"/>
        <v>No</v>
      </c>
    </row>
    <row r="1509" spans="1:15" x14ac:dyDescent="0.25">
      <c r="A1509" t="s">
        <v>1570</v>
      </c>
      <c r="B1509" s="1">
        <v>45744</v>
      </c>
      <c r="C1509" s="2">
        <v>45745.305</v>
      </c>
      <c r="D1509" t="s">
        <v>15</v>
      </c>
      <c r="E1509" t="s">
        <v>16</v>
      </c>
      <c r="F1509" t="s">
        <v>43</v>
      </c>
      <c r="G1509" t="s">
        <v>56</v>
      </c>
      <c r="H1509" t="s">
        <v>65</v>
      </c>
      <c r="I1509" t="s">
        <v>45</v>
      </c>
      <c r="J1509" t="s">
        <v>46</v>
      </c>
      <c r="K1509">
        <v>48</v>
      </c>
      <c r="L1509">
        <v>31.32</v>
      </c>
      <c r="M1509">
        <v>4.9000000000000004</v>
      </c>
      <c r="N1509" t="s">
        <v>61</v>
      </c>
      <c r="O1509" t="str">
        <f t="shared" si="23"/>
        <v>No</v>
      </c>
    </row>
    <row r="1510" spans="1:15" x14ac:dyDescent="0.25">
      <c r="A1510" t="s">
        <v>1571</v>
      </c>
      <c r="B1510" s="1">
        <v>45814</v>
      </c>
      <c r="C1510" s="2">
        <v>45815.137916666667</v>
      </c>
      <c r="D1510" t="s">
        <v>15</v>
      </c>
      <c r="E1510" t="s">
        <v>16</v>
      </c>
      <c r="F1510" t="s">
        <v>17</v>
      </c>
      <c r="G1510" t="s">
        <v>51</v>
      </c>
      <c r="H1510" t="s">
        <v>19</v>
      </c>
      <c r="I1510" t="s">
        <v>20</v>
      </c>
      <c r="J1510" t="s">
        <v>21</v>
      </c>
      <c r="K1510">
        <v>48</v>
      </c>
      <c r="L1510">
        <v>27.31</v>
      </c>
      <c r="M1510">
        <v>4.0999999999999996</v>
      </c>
      <c r="N1510" t="s">
        <v>22</v>
      </c>
      <c r="O1510" t="str">
        <f t="shared" si="23"/>
        <v>No</v>
      </c>
    </row>
    <row r="1511" spans="1:15" x14ac:dyDescent="0.25">
      <c r="A1511" t="s">
        <v>1572</v>
      </c>
      <c r="B1511" s="1">
        <v>45781</v>
      </c>
      <c r="C1511" s="2">
        <v>45781.153333333335</v>
      </c>
      <c r="D1511" t="s">
        <v>24</v>
      </c>
      <c r="E1511" t="s">
        <v>32</v>
      </c>
      <c r="F1511" t="s">
        <v>64</v>
      </c>
      <c r="G1511" t="s">
        <v>56</v>
      </c>
      <c r="H1511" t="s">
        <v>19</v>
      </c>
      <c r="I1511" t="s">
        <v>20</v>
      </c>
      <c r="J1511" t="s">
        <v>46</v>
      </c>
      <c r="K1511">
        <v>24</v>
      </c>
      <c r="L1511">
        <v>3.68</v>
      </c>
      <c r="M1511">
        <v>4.5999999999999996</v>
      </c>
      <c r="N1511" t="s">
        <v>22</v>
      </c>
      <c r="O1511" t="str">
        <f t="shared" si="23"/>
        <v>No</v>
      </c>
    </row>
    <row r="1512" spans="1:15" x14ac:dyDescent="0.25">
      <c r="A1512" t="s">
        <v>1573</v>
      </c>
      <c r="B1512" s="1">
        <v>45718</v>
      </c>
      <c r="C1512" s="2">
        <v>45718.187083333331</v>
      </c>
      <c r="D1512" t="s">
        <v>15</v>
      </c>
      <c r="E1512" t="s">
        <v>39</v>
      </c>
      <c r="F1512" t="s">
        <v>40</v>
      </c>
      <c r="G1512" t="s">
        <v>51</v>
      </c>
      <c r="H1512" t="s">
        <v>44</v>
      </c>
      <c r="I1512" t="s">
        <v>28</v>
      </c>
      <c r="J1512" t="s">
        <v>21</v>
      </c>
      <c r="K1512">
        <v>48</v>
      </c>
      <c r="L1512">
        <v>4.49</v>
      </c>
      <c r="M1512">
        <v>3.6</v>
      </c>
      <c r="N1512" t="s">
        <v>22</v>
      </c>
      <c r="O1512" t="str">
        <f t="shared" si="23"/>
        <v>No</v>
      </c>
    </row>
    <row r="1513" spans="1:15" x14ac:dyDescent="0.25">
      <c r="A1513" t="s">
        <v>1574</v>
      </c>
      <c r="B1513" s="1">
        <v>45699</v>
      </c>
      <c r="C1513" s="2">
        <v>45700.556250000001</v>
      </c>
      <c r="D1513" t="s">
        <v>15</v>
      </c>
      <c r="E1513" t="s">
        <v>16</v>
      </c>
      <c r="F1513" t="s">
        <v>43</v>
      </c>
      <c r="G1513" t="s">
        <v>18</v>
      </c>
      <c r="H1513" t="s">
        <v>65</v>
      </c>
      <c r="I1513" t="s">
        <v>45</v>
      </c>
      <c r="J1513" t="s">
        <v>21</v>
      </c>
      <c r="K1513">
        <v>48</v>
      </c>
      <c r="L1513">
        <v>37.35</v>
      </c>
      <c r="M1513">
        <v>3.4</v>
      </c>
      <c r="N1513" t="s">
        <v>61</v>
      </c>
      <c r="O1513" t="str">
        <f t="shared" si="23"/>
        <v>No</v>
      </c>
    </row>
    <row r="1514" spans="1:15" x14ac:dyDescent="0.25">
      <c r="A1514" t="s">
        <v>1575</v>
      </c>
      <c r="B1514" s="1">
        <v>45792</v>
      </c>
      <c r="C1514" s="2">
        <v>45792.17</v>
      </c>
      <c r="D1514" t="s">
        <v>38</v>
      </c>
      <c r="E1514" t="s">
        <v>45</v>
      </c>
      <c r="F1514" t="s">
        <v>50</v>
      </c>
      <c r="G1514" t="s">
        <v>56</v>
      </c>
      <c r="H1514" t="s">
        <v>54</v>
      </c>
      <c r="I1514" t="s">
        <v>20</v>
      </c>
      <c r="J1514" t="s">
        <v>46</v>
      </c>
      <c r="K1514">
        <v>8</v>
      </c>
      <c r="L1514">
        <v>4.08</v>
      </c>
      <c r="M1514">
        <v>5</v>
      </c>
      <c r="N1514" t="s">
        <v>22</v>
      </c>
      <c r="O1514" t="str">
        <f t="shared" si="23"/>
        <v>No</v>
      </c>
    </row>
    <row r="1515" spans="1:15" x14ac:dyDescent="0.25">
      <c r="A1515" t="s">
        <v>1576</v>
      </c>
      <c r="B1515" s="1">
        <v>45717</v>
      </c>
      <c r="C1515" s="2">
        <v>45719.108749999999</v>
      </c>
      <c r="D1515" t="s">
        <v>15</v>
      </c>
      <c r="E1515" t="s">
        <v>39</v>
      </c>
      <c r="F1515" t="s">
        <v>87</v>
      </c>
      <c r="G1515" t="s">
        <v>18</v>
      </c>
      <c r="H1515" t="s">
        <v>27</v>
      </c>
      <c r="I1515" t="s">
        <v>36</v>
      </c>
      <c r="J1515" t="s">
        <v>21</v>
      </c>
      <c r="K1515">
        <v>48</v>
      </c>
      <c r="L1515">
        <v>50.61</v>
      </c>
      <c r="M1515">
        <v>4.0999999999999996</v>
      </c>
      <c r="N1515" t="s">
        <v>22</v>
      </c>
      <c r="O1515" t="str">
        <f t="shared" si="23"/>
        <v>Yes</v>
      </c>
    </row>
    <row r="1516" spans="1:15" x14ac:dyDescent="0.25">
      <c r="A1516" t="s">
        <v>1577</v>
      </c>
      <c r="B1516" s="1">
        <v>45702</v>
      </c>
      <c r="C1516" s="2">
        <v>45702.630416666667</v>
      </c>
      <c r="D1516" t="s">
        <v>24</v>
      </c>
      <c r="E1516" t="s">
        <v>45</v>
      </c>
      <c r="F1516" t="s">
        <v>50</v>
      </c>
      <c r="G1516" t="s">
        <v>56</v>
      </c>
      <c r="H1516" t="s">
        <v>65</v>
      </c>
      <c r="I1516" t="s">
        <v>45</v>
      </c>
      <c r="J1516" t="s">
        <v>21</v>
      </c>
      <c r="K1516">
        <v>24</v>
      </c>
      <c r="L1516">
        <v>15.13</v>
      </c>
      <c r="M1516">
        <v>4.8</v>
      </c>
      <c r="N1516" t="s">
        <v>22</v>
      </c>
      <c r="O1516" t="str">
        <f t="shared" si="23"/>
        <v>No</v>
      </c>
    </row>
    <row r="1517" spans="1:15" x14ac:dyDescent="0.25">
      <c r="A1517" t="s">
        <v>1578</v>
      </c>
      <c r="B1517" s="1">
        <v>45826</v>
      </c>
      <c r="C1517" s="2">
        <v>45826.575416666667</v>
      </c>
      <c r="D1517" t="s">
        <v>24</v>
      </c>
      <c r="E1517" t="s">
        <v>25</v>
      </c>
      <c r="F1517" t="s">
        <v>26</v>
      </c>
      <c r="G1517" t="s">
        <v>41</v>
      </c>
      <c r="H1517" t="s">
        <v>54</v>
      </c>
      <c r="I1517" t="s">
        <v>45</v>
      </c>
      <c r="J1517" t="s">
        <v>21</v>
      </c>
      <c r="K1517">
        <v>24</v>
      </c>
      <c r="L1517">
        <v>13.81</v>
      </c>
      <c r="M1517">
        <v>4.0999999999999996</v>
      </c>
      <c r="N1517" t="s">
        <v>22</v>
      </c>
      <c r="O1517" t="str">
        <f t="shared" si="23"/>
        <v>No</v>
      </c>
    </row>
    <row r="1518" spans="1:15" x14ac:dyDescent="0.25">
      <c r="A1518" t="s">
        <v>1579</v>
      </c>
      <c r="B1518" s="1">
        <v>45745</v>
      </c>
      <c r="C1518" s="2">
        <v>45745.124583333331</v>
      </c>
      <c r="D1518" t="s">
        <v>15</v>
      </c>
      <c r="E1518" t="s">
        <v>16</v>
      </c>
      <c r="F1518" t="s">
        <v>43</v>
      </c>
      <c r="G1518" t="s">
        <v>18</v>
      </c>
      <c r="H1518" t="s">
        <v>19</v>
      </c>
      <c r="I1518" t="s">
        <v>20</v>
      </c>
      <c r="J1518" t="s">
        <v>85</v>
      </c>
      <c r="K1518">
        <v>48</v>
      </c>
      <c r="L1518">
        <v>2.99</v>
      </c>
      <c r="M1518">
        <v>4.7</v>
      </c>
      <c r="N1518" t="s">
        <v>22</v>
      </c>
      <c r="O1518" t="str">
        <f t="shared" si="23"/>
        <v>No</v>
      </c>
    </row>
    <row r="1519" spans="1:15" x14ac:dyDescent="0.25">
      <c r="A1519" t="s">
        <v>1580</v>
      </c>
      <c r="B1519" s="1">
        <v>45666</v>
      </c>
      <c r="C1519" s="2">
        <v>45666.5625</v>
      </c>
      <c r="D1519" t="s">
        <v>24</v>
      </c>
      <c r="E1519" t="s">
        <v>39</v>
      </c>
      <c r="F1519" t="s">
        <v>40</v>
      </c>
      <c r="G1519" t="s">
        <v>51</v>
      </c>
      <c r="H1519" t="s">
        <v>65</v>
      </c>
      <c r="I1519" t="s">
        <v>20</v>
      </c>
      <c r="J1519" t="s">
        <v>29</v>
      </c>
      <c r="K1519">
        <v>24</v>
      </c>
      <c r="L1519">
        <v>13.5</v>
      </c>
      <c r="M1519">
        <v>4.3</v>
      </c>
      <c r="N1519" t="s">
        <v>22</v>
      </c>
      <c r="O1519" t="str">
        <f t="shared" si="23"/>
        <v>No</v>
      </c>
    </row>
    <row r="1520" spans="1:15" x14ac:dyDescent="0.25">
      <c r="A1520" t="s">
        <v>1581</v>
      </c>
      <c r="B1520" s="1">
        <v>45747</v>
      </c>
      <c r="C1520" s="2">
        <v>45747.939166666663</v>
      </c>
      <c r="D1520" t="s">
        <v>15</v>
      </c>
      <c r="E1520" t="s">
        <v>16</v>
      </c>
      <c r="F1520" t="s">
        <v>58</v>
      </c>
      <c r="G1520" t="s">
        <v>51</v>
      </c>
      <c r="H1520" t="s">
        <v>65</v>
      </c>
      <c r="I1520" t="s">
        <v>36</v>
      </c>
      <c r="J1520" t="s">
        <v>46</v>
      </c>
      <c r="K1520">
        <v>48</v>
      </c>
      <c r="L1520">
        <v>22.54</v>
      </c>
      <c r="M1520">
        <v>4.5999999999999996</v>
      </c>
      <c r="N1520" t="s">
        <v>22</v>
      </c>
      <c r="O1520" t="str">
        <f t="shared" si="23"/>
        <v>No</v>
      </c>
    </row>
    <row r="1521" spans="1:15" x14ac:dyDescent="0.25">
      <c r="A1521" t="s">
        <v>1582</v>
      </c>
      <c r="B1521" s="1">
        <v>45741</v>
      </c>
      <c r="C1521" s="2">
        <v>45741.212083333332</v>
      </c>
      <c r="D1521" t="s">
        <v>38</v>
      </c>
      <c r="E1521" t="s">
        <v>25</v>
      </c>
      <c r="F1521" t="s">
        <v>53</v>
      </c>
      <c r="G1521" t="s">
        <v>18</v>
      </c>
      <c r="H1521" t="s">
        <v>35</v>
      </c>
      <c r="I1521" t="s">
        <v>20</v>
      </c>
      <c r="J1521" t="s">
        <v>21</v>
      </c>
      <c r="K1521">
        <v>8</v>
      </c>
      <c r="L1521">
        <v>5.09</v>
      </c>
      <c r="M1521">
        <v>5</v>
      </c>
      <c r="N1521" t="s">
        <v>22</v>
      </c>
      <c r="O1521" t="str">
        <f t="shared" si="23"/>
        <v>No</v>
      </c>
    </row>
    <row r="1522" spans="1:15" x14ac:dyDescent="0.25">
      <c r="A1522" t="s">
        <v>1583</v>
      </c>
      <c r="B1522" s="1">
        <v>45814</v>
      </c>
      <c r="C1522" s="2">
        <v>45814.94</v>
      </c>
      <c r="D1522" t="s">
        <v>15</v>
      </c>
      <c r="E1522" t="s">
        <v>39</v>
      </c>
      <c r="F1522" t="s">
        <v>40</v>
      </c>
      <c r="G1522" t="s">
        <v>18</v>
      </c>
      <c r="H1522" t="s">
        <v>54</v>
      </c>
      <c r="I1522" t="s">
        <v>20</v>
      </c>
      <c r="J1522" t="s">
        <v>21</v>
      </c>
      <c r="K1522">
        <v>48</v>
      </c>
      <c r="L1522">
        <v>22.56</v>
      </c>
      <c r="M1522">
        <v>4</v>
      </c>
      <c r="N1522" t="s">
        <v>61</v>
      </c>
      <c r="O1522" t="str">
        <f t="shared" si="23"/>
        <v>No</v>
      </c>
    </row>
    <row r="1523" spans="1:15" x14ac:dyDescent="0.25">
      <c r="A1523" t="s">
        <v>1584</v>
      </c>
      <c r="B1523" s="1">
        <v>45786</v>
      </c>
      <c r="C1523" s="2">
        <v>45786.92083333333</v>
      </c>
      <c r="D1523" t="s">
        <v>15</v>
      </c>
      <c r="E1523" t="s">
        <v>45</v>
      </c>
      <c r="F1523" t="s">
        <v>50</v>
      </c>
      <c r="G1523" t="s">
        <v>18</v>
      </c>
      <c r="H1523" t="s">
        <v>35</v>
      </c>
      <c r="I1523" t="s">
        <v>28</v>
      </c>
      <c r="J1523" t="s">
        <v>46</v>
      </c>
      <c r="K1523">
        <v>48</v>
      </c>
      <c r="L1523">
        <v>22.1</v>
      </c>
      <c r="M1523">
        <v>4.4000000000000004</v>
      </c>
      <c r="N1523" t="s">
        <v>22</v>
      </c>
      <c r="O1523" t="str">
        <f t="shared" si="23"/>
        <v>No</v>
      </c>
    </row>
    <row r="1524" spans="1:15" x14ac:dyDescent="0.25">
      <c r="A1524" t="s">
        <v>1585</v>
      </c>
      <c r="B1524" s="1">
        <v>45692</v>
      </c>
      <c r="C1524" s="2">
        <v>45692.438333333332</v>
      </c>
      <c r="D1524" t="s">
        <v>24</v>
      </c>
      <c r="E1524" t="s">
        <v>45</v>
      </c>
      <c r="F1524" t="s">
        <v>104</v>
      </c>
      <c r="G1524" t="s">
        <v>18</v>
      </c>
      <c r="H1524" t="s">
        <v>54</v>
      </c>
      <c r="I1524" t="s">
        <v>45</v>
      </c>
      <c r="J1524" t="s">
        <v>21</v>
      </c>
      <c r="K1524">
        <v>24</v>
      </c>
      <c r="L1524">
        <v>10.52</v>
      </c>
      <c r="M1524">
        <v>4</v>
      </c>
      <c r="N1524" t="s">
        <v>22</v>
      </c>
      <c r="O1524" t="str">
        <f t="shared" si="23"/>
        <v>No</v>
      </c>
    </row>
    <row r="1525" spans="1:15" x14ac:dyDescent="0.25">
      <c r="A1525" t="s">
        <v>1586</v>
      </c>
      <c r="B1525" s="1">
        <v>45685</v>
      </c>
      <c r="C1525" s="2">
        <v>45685.097916666666</v>
      </c>
      <c r="D1525" t="s">
        <v>38</v>
      </c>
      <c r="E1525" t="s">
        <v>16</v>
      </c>
      <c r="F1525" t="s">
        <v>43</v>
      </c>
      <c r="G1525" t="s">
        <v>34</v>
      </c>
      <c r="H1525" t="s">
        <v>35</v>
      </c>
      <c r="I1525" t="s">
        <v>28</v>
      </c>
      <c r="J1525" t="s">
        <v>21</v>
      </c>
      <c r="K1525">
        <v>8</v>
      </c>
      <c r="L1525">
        <v>2.35</v>
      </c>
      <c r="M1525">
        <v>3.4</v>
      </c>
      <c r="N1525" t="s">
        <v>22</v>
      </c>
      <c r="O1525" t="str">
        <f t="shared" si="23"/>
        <v>No</v>
      </c>
    </row>
    <row r="1526" spans="1:15" x14ac:dyDescent="0.25">
      <c r="A1526" t="s">
        <v>1587</v>
      </c>
      <c r="B1526" s="1">
        <v>45767</v>
      </c>
      <c r="C1526" s="2">
        <v>45767.25708333333</v>
      </c>
      <c r="D1526" t="s">
        <v>38</v>
      </c>
      <c r="E1526" t="s">
        <v>25</v>
      </c>
      <c r="F1526" t="s">
        <v>53</v>
      </c>
      <c r="G1526" t="s">
        <v>51</v>
      </c>
      <c r="H1526" t="s">
        <v>35</v>
      </c>
      <c r="I1526" t="s">
        <v>20</v>
      </c>
      <c r="J1526" t="s">
        <v>46</v>
      </c>
      <c r="K1526">
        <v>8</v>
      </c>
      <c r="L1526">
        <v>6.17</v>
      </c>
      <c r="M1526">
        <v>4.7</v>
      </c>
      <c r="N1526" t="s">
        <v>22</v>
      </c>
      <c r="O1526" t="str">
        <f t="shared" si="23"/>
        <v>No</v>
      </c>
    </row>
    <row r="1527" spans="1:15" x14ac:dyDescent="0.25">
      <c r="A1527" t="s">
        <v>1588</v>
      </c>
      <c r="B1527" s="1">
        <v>45666</v>
      </c>
      <c r="C1527" s="2">
        <v>45666.813750000001</v>
      </c>
      <c r="D1527" t="s">
        <v>38</v>
      </c>
      <c r="E1527" t="s">
        <v>16</v>
      </c>
      <c r="F1527" t="s">
        <v>43</v>
      </c>
      <c r="G1527" t="s">
        <v>18</v>
      </c>
      <c r="H1527" t="s">
        <v>54</v>
      </c>
      <c r="I1527" t="s">
        <v>45</v>
      </c>
      <c r="J1527" t="s">
        <v>21</v>
      </c>
      <c r="K1527">
        <v>8</v>
      </c>
      <c r="L1527">
        <v>19.53</v>
      </c>
      <c r="M1527">
        <v>3.2</v>
      </c>
      <c r="N1527" t="s">
        <v>22</v>
      </c>
      <c r="O1527" t="str">
        <f t="shared" si="23"/>
        <v>Yes</v>
      </c>
    </row>
    <row r="1528" spans="1:15" x14ac:dyDescent="0.25">
      <c r="A1528" t="s">
        <v>1589</v>
      </c>
      <c r="B1528" s="1">
        <v>45715</v>
      </c>
      <c r="C1528" s="2">
        <v>45715.16333333333</v>
      </c>
      <c r="D1528" t="s">
        <v>24</v>
      </c>
      <c r="E1528" t="s">
        <v>25</v>
      </c>
      <c r="F1528" t="s">
        <v>26</v>
      </c>
      <c r="G1528" t="s">
        <v>56</v>
      </c>
      <c r="H1528" t="s">
        <v>27</v>
      </c>
      <c r="I1528" t="s">
        <v>36</v>
      </c>
      <c r="J1528" t="s">
        <v>46</v>
      </c>
      <c r="K1528">
        <v>24</v>
      </c>
      <c r="L1528">
        <v>3.92</v>
      </c>
      <c r="M1528">
        <v>5</v>
      </c>
      <c r="N1528" t="s">
        <v>22</v>
      </c>
      <c r="O1528" t="str">
        <f t="shared" si="23"/>
        <v>No</v>
      </c>
    </row>
    <row r="1529" spans="1:15" x14ac:dyDescent="0.25">
      <c r="A1529" t="s">
        <v>1590</v>
      </c>
      <c r="B1529" s="1">
        <v>45683</v>
      </c>
      <c r="C1529" s="2">
        <v>45683.22625</v>
      </c>
      <c r="D1529" t="s">
        <v>24</v>
      </c>
      <c r="E1529" t="s">
        <v>25</v>
      </c>
      <c r="F1529" t="s">
        <v>70</v>
      </c>
      <c r="G1529" t="s">
        <v>56</v>
      </c>
      <c r="H1529" t="s">
        <v>27</v>
      </c>
      <c r="I1529" t="s">
        <v>20</v>
      </c>
      <c r="J1529" t="s">
        <v>46</v>
      </c>
      <c r="K1529">
        <v>24</v>
      </c>
      <c r="L1529">
        <v>5.43</v>
      </c>
      <c r="M1529">
        <v>4.9000000000000004</v>
      </c>
      <c r="N1529" t="s">
        <v>22</v>
      </c>
      <c r="O1529" t="str">
        <f t="shared" si="23"/>
        <v>No</v>
      </c>
    </row>
    <row r="1530" spans="1:15" x14ac:dyDescent="0.25">
      <c r="A1530" t="s">
        <v>1591</v>
      </c>
      <c r="B1530" s="1">
        <v>45661</v>
      </c>
      <c r="C1530" s="2">
        <v>45661.768750000003</v>
      </c>
      <c r="D1530" t="s">
        <v>24</v>
      </c>
      <c r="E1530" t="s">
        <v>32</v>
      </c>
      <c r="F1530" t="s">
        <v>64</v>
      </c>
      <c r="G1530" t="s">
        <v>56</v>
      </c>
      <c r="H1530" t="s">
        <v>65</v>
      </c>
      <c r="I1530" t="s">
        <v>20</v>
      </c>
      <c r="J1530" t="s">
        <v>46</v>
      </c>
      <c r="K1530">
        <v>24</v>
      </c>
      <c r="L1530">
        <v>18.45</v>
      </c>
      <c r="M1530">
        <v>5</v>
      </c>
      <c r="N1530" t="s">
        <v>22</v>
      </c>
      <c r="O1530" t="str">
        <f t="shared" si="23"/>
        <v>No</v>
      </c>
    </row>
    <row r="1531" spans="1:15" x14ac:dyDescent="0.25">
      <c r="A1531" t="s">
        <v>1592</v>
      </c>
      <c r="B1531" s="1">
        <v>45824</v>
      </c>
      <c r="C1531" s="2">
        <v>45824.132916666669</v>
      </c>
      <c r="D1531" t="s">
        <v>38</v>
      </c>
      <c r="E1531" t="s">
        <v>32</v>
      </c>
      <c r="F1531" t="s">
        <v>80</v>
      </c>
      <c r="G1531" t="s">
        <v>18</v>
      </c>
      <c r="H1531" t="s">
        <v>27</v>
      </c>
      <c r="I1531" t="s">
        <v>45</v>
      </c>
      <c r="J1531" t="s">
        <v>46</v>
      </c>
      <c r="K1531">
        <v>8</v>
      </c>
      <c r="L1531">
        <v>3.19</v>
      </c>
      <c r="M1531">
        <v>4.8</v>
      </c>
      <c r="N1531" t="s">
        <v>61</v>
      </c>
      <c r="O1531" t="str">
        <f t="shared" si="23"/>
        <v>No</v>
      </c>
    </row>
    <row r="1532" spans="1:15" x14ac:dyDescent="0.25">
      <c r="A1532" t="s">
        <v>1593</v>
      </c>
      <c r="B1532" s="1">
        <v>45674</v>
      </c>
      <c r="C1532" s="2">
        <v>45674.337916666664</v>
      </c>
      <c r="D1532" t="s">
        <v>24</v>
      </c>
      <c r="E1532" t="s">
        <v>39</v>
      </c>
      <c r="F1532" t="s">
        <v>40</v>
      </c>
      <c r="G1532" t="s">
        <v>34</v>
      </c>
      <c r="H1532" t="s">
        <v>54</v>
      </c>
      <c r="I1532" t="s">
        <v>28</v>
      </c>
      <c r="J1532" t="s">
        <v>21</v>
      </c>
      <c r="K1532">
        <v>24</v>
      </c>
      <c r="L1532">
        <v>8.11</v>
      </c>
      <c r="M1532">
        <v>5</v>
      </c>
      <c r="N1532" t="s">
        <v>22</v>
      </c>
      <c r="O1532" t="str">
        <f t="shared" si="23"/>
        <v>No</v>
      </c>
    </row>
    <row r="1533" spans="1:15" x14ac:dyDescent="0.25">
      <c r="A1533" t="s">
        <v>1594</v>
      </c>
      <c r="B1533" s="1">
        <v>45659</v>
      </c>
      <c r="C1533" s="2">
        <v>45659.094166666669</v>
      </c>
      <c r="D1533" t="s">
        <v>24</v>
      </c>
      <c r="E1533" t="s">
        <v>45</v>
      </c>
      <c r="F1533" t="s">
        <v>104</v>
      </c>
      <c r="G1533" t="s">
        <v>18</v>
      </c>
      <c r="H1533" t="s">
        <v>35</v>
      </c>
      <c r="I1533" t="s">
        <v>36</v>
      </c>
      <c r="J1533" t="s">
        <v>46</v>
      </c>
      <c r="K1533">
        <v>24</v>
      </c>
      <c r="L1533">
        <v>2.2599999999999998</v>
      </c>
      <c r="M1533">
        <v>5</v>
      </c>
      <c r="N1533" t="s">
        <v>22</v>
      </c>
      <c r="O1533" t="str">
        <f t="shared" si="23"/>
        <v>No</v>
      </c>
    </row>
    <row r="1534" spans="1:15" x14ac:dyDescent="0.25">
      <c r="A1534" t="s">
        <v>1595</v>
      </c>
      <c r="B1534" s="1">
        <v>45826</v>
      </c>
      <c r="C1534" s="2">
        <v>45826.238749999997</v>
      </c>
      <c r="D1534" t="s">
        <v>24</v>
      </c>
      <c r="E1534" t="s">
        <v>39</v>
      </c>
      <c r="F1534" t="s">
        <v>78</v>
      </c>
      <c r="G1534" t="s">
        <v>56</v>
      </c>
      <c r="H1534" t="s">
        <v>35</v>
      </c>
      <c r="I1534" t="s">
        <v>45</v>
      </c>
      <c r="J1534" t="s">
        <v>46</v>
      </c>
      <c r="K1534">
        <v>24</v>
      </c>
      <c r="L1534">
        <v>5.73</v>
      </c>
      <c r="M1534">
        <v>4.9000000000000004</v>
      </c>
      <c r="N1534" t="s">
        <v>22</v>
      </c>
      <c r="O1534" t="str">
        <f t="shared" si="23"/>
        <v>No</v>
      </c>
    </row>
    <row r="1535" spans="1:15" x14ac:dyDescent="0.25">
      <c r="A1535" t="s">
        <v>1596</v>
      </c>
      <c r="B1535" s="1">
        <v>45692</v>
      </c>
      <c r="C1535" s="2">
        <v>45692.205000000002</v>
      </c>
      <c r="D1535" t="s">
        <v>24</v>
      </c>
      <c r="E1535" t="s">
        <v>45</v>
      </c>
      <c r="F1535" t="s">
        <v>104</v>
      </c>
      <c r="G1535" t="s">
        <v>41</v>
      </c>
      <c r="H1535" t="s">
        <v>27</v>
      </c>
      <c r="I1535" t="s">
        <v>36</v>
      </c>
      <c r="J1535" t="s">
        <v>46</v>
      </c>
      <c r="K1535">
        <v>24</v>
      </c>
      <c r="L1535">
        <v>4.92</v>
      </c>
      <c r="M1535">
        <v>4.7</v>
      </c>
      <c r="N1535" t="s">
        <v>22</v>
      </c>
      <c r="O1535" t="str">
        <f t="shared" si="23"/>
        <v>No</v>
      </c>
    </row>
    <row r="1536" spans="1:15" x14ac:dyDescent="0.25">
      <c r="A1536" t="s">
        <v>1597</v>
      </c>
      <c r="B1536" s="1">
        <v>45805</v>
      </c>
      <c r="C1536" s="2">
        <v>45805.2</v>
      </c>
      <c r="D1536" t="s">
        <v>15</v>
      </c>
      <c r="E1536" t="s">
        <v>39</v>
      </c>
      <c r="F1536" t="s">
        <v>78</v>
      </c>
      <c r="G1536" t="s">
        <v>56</v>
      </c>
      <c r="H1536" t="s">
        <v>35</v>
      </c>
      <c r="I1536" t="s">
        <v>45</v>
      </c>
      <c r="J1536" t="s">
        <v>29</v>
      </c>
      <c r="K1536">
        <v>48</v>
      </c>
      <c r="L1536">
        <v>4.8</v>
      </c>
      <c r="M1536">
        <v>5</v>
      </c>
      <c r="N1536" t="s">
        <v>22</v>
      </c>
      <c r="O1536" t="str">
        <f t="shared" si="23"/>
        <v>No</v>
      </c>
    </row>
    <row r="1537" spans="1:15" x14ac:dyDescent="0.25">
      <c r="A1537" t="s">
        <v>1598</v>
      </c>
      <c r="B1537" s="1">
        <v>45663</v>
      </c>
      <c r="C1537" s="2">
        <v>45663.96166666667</v>
      </c>
      <c r="D1537" t="s">
        <v>24</v>
      </c>
      <c r="E1537" t="s">
        <v>39</v>
      </c>
      <c r="F1537" t="s">
        <v>87</v>
      </c>
      <c r="G1537" t="s">
        <v>34</v>
      </c>
      <c r="H1537" t="s">
        <v>27</v>
      </c>
      <c r="I1537" t="s">
        <v>36</v>
      </c>
      <c r="J1537" t="s">
        <v>85</v>
      </c>
      <c r="K1537">
        <v>24</v>
      </c>
      <c r="L1537">
        <v>23.08</v>
      </c>
      <c r="M1537">
        <v>3.1</v>
      </c>
      <c r="N1537" t="s">
        <v>22</v>
      </c>
      <c r="O1537" t="str">
        <f t="shared" si="23"/>
        <v>No</v>
      </c>
    </row>
    <row r="1538" spans="1:15" x14ac:dyDescent="0.25">
      <c r="A1538" t="s">
        <v>1599</v>
      </c>
      <c r="B1538" s="1">
        <v>45685</v>
      </c>
      <c r="C1538" s="2">
        <v>45685.542916666665</v>
      </c>
      <c r="D1538" t="s">
        <v>24</v>
      </c>
      <c r="E1538" t="s">
        <v>45</v>
      </c>
      <c r="F1538" t="s">
        <v>112</v>
      </c>
      <c r="G1538" t="s">
        <v>34</v>
      </c>
      <c r="H1538" t="s">
        <v>27</v>
      </c>
      <c r="I1538" t="s">
        <v>36</v>
      </c>
      <c r="J1538" t="s">
        <v>46</v>
      </c>
      <c r="K1538">
        <v>24</v>
      </c>
      <c r="L1538">
        <v>13.03</v>
      </c>
      <c r="M1538">
        <v>4.5999999999999996</v>
      </c>
      <c r="N1538" t="s">
        <v>22</v>
      </c>
      <c r="O1538" t="str">
        <f t="shared" si="23"/>
        <v>No</v>
      </c>
    </row>
    <row r="1539" spans="1:15" x14ac:dyDescent="0.25">
      <c r="A1539" t="s">
        <v>1600</v>
      </c>
      <c r="B1539" s="1">
        <v>45678</v>
      </c>
      <c r="C1539" s="2">
        <v>45678.762916666667</v>
      </c>
      <c r="D1539" t="s">
        <v>38</v>
      </c>
      <c r="E1539" t="s">
        <v>16</v>
      </c>
      <c r="F1539" t="s">
        <v>60</v>
      </c>
      <c r="G1539" t="s">
        <v>56</v>
      </c>
      <c r="H1539" t="s">
        <v>44</v>
      </c>
      <c r="I1539" t="s">
        <v>36</v>
      </c>
      <c r="J1539" t="s">
        <v>29</v>
      </c>
      <c r="K1539">
        <v>8</v>
      </c>
      <c r="L1539">
        <v>18.309999999999999</v>
      </c>
      <c r="M1539">
        <v>1.7</v>
      </c>
      <c r="N1539" t="s">
        <v>22</v>
      </c>
      <c r="O1539" t="str">
        <f t="shared" ref="O1539:O1602" si="24">IF(L1539&gt;K1539,"Yes","No")</f>
        <v>Yes</v>
      </c>
    </row>
    <row r="1540" spans="1:15" x14ac:dyDescent="0.25">
      <c r="A1540" t="s">
        <v>1601</v>
      </c>
      <c r="B1540" s="1">
        <v>45785</v>
      </c>
      <c r="C1540" s="2">
        <v>45785.587083333332</v>
      </c>
      <c r="D1540" t="s">
        <v>24</v>
      </c>
      <c r="E1540" t="s">
        <v>39</v>
      </c>
      <c r="F1540" t="s">
        <v>78</v>
      </c>
      <c r="G1540" t="s">
        <v>41</v>
      </c>
      <c r="H1540" t="s">
        <v>65</v>
      </c>
      <c r="I1540" t="s">
        <v>36</v>
      </c>
      <c r="J1540" t="s">
        <v>21</v>
      </c>
      <c r="K1540">
        <v>24</v>
      </c>
      <c r="L1540">
        <v>14.09</v>
      </c>
      <c r="M1540">
        <v>4.5999999999999996</v>
      </c>
      <c r="N1540" t="s">
        <v>22</v>
      </c>
      <c r="O1540" t="str">
        <f t="shared" si="24"/>
        <v>No</v>
      </c>
    </row>
    <row r="1541" spans="1:15" x14ac:dyDescent="0.25">
      <c r="A1541" t="s">
        <v>1602</v>
      </c>
      <c r="B1541" s="1">
        <v>45770</v>
      </c>
      <c r="C1541" s="2">
        <v>45770.059166666666</v>
      </c>
      <c r="D1541" t="s">
        <v>38</v>
      </c>
      <c r="E1541" t="s">
        <v>32</v>
      </c>
      <c r="F1541" t="s">
        <v>75</v>
      </c>
      <c r="G1541" t="s">
        <v>51</v>
      </c>
      <c r="H1541" t="s">
        <v>35</v>
      </c>
      <c r="I1541" t="s">
        <v>36</v>
      </c>
      <c r="J1541" t="s">
        <v>85</v>
      </c>
      <c r="K1541">
        <v>8</v>
      </c>
      <c r="L1541">
        <v>1.42</v>
      </c>
      <c r="M1541">
        <v>5</v>
      </c>
      <c r="N1541" t="s">
        <v>22</v>
      </c>
      <c r="O1541" t="str">
        <f t="shared" si="24"/>
        <v>No</v>
      </c>
    </row>
    <row r="1542" spans="1:15" x14ac:dyDescent="0.25">
      <c r="A1542" t="s">
        <v>1603</v>
      </c>
      <c r="B1542" s="1">
        <v>45744</v>
      </c>
      <c r="C1542" s="2">
        <v>45744.628333333334</v>
      </c>
      <c r="D1542" t="s">
        <v>24</v>
      </c>
      <c r="E1542" t="s">
        <v>32</v>
      </c>
      <c r="F1542" t="s">
        <v>64</v>
      </c>
      <c r="G1542" t="s">
        <v>51</v>
      </c>
      <c r="H1542" t="s">
        <v>65</v>
      </c>
      <c r="I1542" t="s">
        <v>20</v>
      </c>
      <c r="J1542" t="s">
        <v>29</v>
      </c>
      <c r="K1542">
        <v>24</v>
      </c>
      <c r="L1542">
        <v>15.08</v>
      </c>
      <c r="M1542">
        <v>4.7</v>
      </c>
      <c r="N1542" t="s">
        <v>61</v>
      </c>
      <c r="O1542" t="str">
        <f t="shared" si="24"/>
        <v>No</v>
      </c>
    </row>
    <row r="1543" spans="1:15" x14ac:dyDescent="0.25">
      <c r="A1543" t="s">
        <v>1604</v>
      </c>
      <c r="B1543" s="1">
        <v>45701</v>
      </c>
      <c r="C1543" s="2">
        <v>45701.2425</v>
      </c>
      <c r="D1543" t="s">
        <v>38</v>
      </c>
      <c r="E1543" t="s">
        <v>32</v>
      </c>
      <c r="F1543" t="s">
        <v>33</v>
      </c>
      <c r="G1543" t="s">
        <v>34</v>
      </c>
      <c r="H1543" t="s">
        <v>44</v>
      </c>
      <c r="I1543" t="s">
        <v>36</v>
      </c>
      <c r="J1543" t="s">
        <v>21</v>
      </c>
      <c r="K1543">
        <v>8</v>
      </c>
      <c r="L1543">
        <v>5.82</v>
      </c>
      <c r="M1543">
        <v>4.9000000000000004</v>
      </c>
      <c r="N1543" t="s">
        <v>22</v>
      </c>
      <c r="O1543" t="str">
        <f t="shared" si="24"/>
        <v>No</v>
      </c>
    </row>
    <row r="1544" spans="1:15" x14ac:dyDescent="0.25">
      <c r="A1544" t="s">
        <v>1605</v>
      </c>
      <c r="B1544" s="1">
        <v>45674</v>
      </c>
      <c r="C1544" s="2">
        <v>45674.627916666665</v>
      </c>
      <c r="D1544" t="s">
        <v>15</v>
      </c>
      <c r="E1544" t="s">
        <v>39</v>
      </c>
      <c r="F1544" t="s">
        <v>119</v>
      </c>
      <c r="G1544" t="s">
        <v>56</v>
      </c>
      <c r="H1544" t="s">
        <v>65</v>
      </c>
      <c r="I1544" t="s">
        <v>36</v>
      </c>
      <c r="J1544" t="s">
        <v>21</v>
      </c>
      <c r="K1544">
        <v>48</v>
      </c>
      <c r="L1544">
        <v>15.07</v>
      </c>
      <c r="M1544">
        <v>5</v>
      </c>
      <c r="N1544" t="s">
        <v>61</v>
      </c>
      <c r="O1544" t="str">
        <f t="shared" si="24"/>
        <v>No</v>
      </c>
    </row>
    <row r="1545" spans="1:15" x14ac:dyDescent="0.25">
      <c r="A1545" t="s">
        <v>1606</v>
      </c>
      <c r="B1545" s="1">
        <v>45761</v>
      </c>
      <c r="C1545" s="2">
        <v>45761.237083333333</v>
      </c>
      <c r="D1545" t="s">
        <v>38</v>
      </c>
      <c r="E1545" t="s">
        <v>16</v>
      </c>
      <c r="F1545" t="s">
        <v>58</v>
      </c>
      <c r="G1545" t="s">
        <v>41</v>
      </c>
      <c r="H1545" t="s">
        <v>19</v>
      </c>
      <c r="I1545" t="s">
        <v>36</v>
      </c>
      <c r="J1545" t="s">
        <v>21</v>
      </c>
      <c r="K1545">
        <v>8</v>
      </c>
      <c r="L1545">
        <v>5.69</v>
      </c>
      <c r="M1545">
        <v>2.6</v>
      </c>
      <c r="N1545" t="s">
        <v>22</v>
      </c>
      <c r="O1545" t="str">
        <f t="shared" si="24"/>
        <v>No</v>
      </c>
    </row>
    <row r="1546" spans="1:15" x14ac:dyDescent="0.25">
      <c r="A1546" t="s">
        <v>1607</v>
      </c>
      <c r="B1546" s="1">
        <v>45699</v>
      </c>
      <c r="C1546" s="2">
        <v>45699.698750000003</v>
      </c>
      <c r="D1546" t="s">
        <v>24</v>
      </c>
      <c r="E1546" t="s">
        <v>39</v>
      </c>
      <c r="F1546" t="s">
        <v>119</v>
      </c>
      <c r="G1546" t="s">
        <v>34</v>
      </c>
      <c r="H1546" t="s">
        <v>44</v>
      </c>
      <c r="I1546" t="s">
        <v>36</v>
      </c>
      <c r="J1546" t="s">
        <v>46</v>
      </c>
      <c r="K1546">
        <v>24</v>
      </c>
      <c r="L1546">
        <v>16.77</v>
      </c>
      <c r="M1546">
        <v>4.0999999999999996</v>
      </c>
      <c r="N1546" t="s">
        <v>22</v>
      </c>
      <c r="O1546" t="str">
        <f t="shared" si="24"/>
        <v>No</v>
      </c>
    </row>
    <row r="1547" spans="1:15" x14ac:dyDescent="0.25">
      <c r="A1547" t="s">
        <v>1608</v>
      </c>
      <c r="B1547" s="1">
        <v>45764</v>
      </c>
      <c r="C1547" s="2">
        <v>45764.504166666666</v>
      </c>
      <c r="D1547" t="s">
        <v>15</v>
      </c>
      <c r="E1547" t="s">
        <v>32</v>
      </c>
      <c r="F1547" t="s">
        <v>75</v>
      </c>
      <c r="G1547" t="s">
        <v>51</v>
      </c>
      <c r="H1547" t="s">
        <v>44</v>
      </c>
      <c r="I1547" t="s">
        <v>36</v>
      </c>
      <c r="J1547" t="s">
        <v>21</v>
      </c>
      <c r="K1547">
        <v>48</v>
      </c>
      <c r="L1547">
        <v>12.1</v>
      </c>
      <c r="M1547">
        <v>5</v>
      </c>
      <c r="N1547" t="s">
        <v>22</v>
      </c>
      <c r="O1547" t="str">
        <f t="shared" si="24"/>
        <v>No</v>
      </c>
    </row>
    <row r="1548" spans="1:15" x14ac:dyDescent="0.25">
      <c r="A1548" t="s">
        <v>1609</v>
      </c>
      <c r="B1548" s="1">
        <v>45782</v>
      </c>
      <c r="C1548" s="2">
        <v>45783.613333333335</v>
      </c>
      <c r="D1548" t="s">
        <v>15</v>
      </c>
      <c r="E1548" t="s">
        <v>32</v>
      </c>
      <c r="F1548" t="s">
        <v>64</v>
      </c>
      <c r="G1548" t="s">
        <v>34</v>
      </c>
      <c r="H1548" t="s">
        <v>27</v>
      </c>
      <c r="I1548" t="s">
        <v>28</v>
      </c>
      <c r="J1548" t="s">
        <v>21</v>
      </c>
      <c r="K1548">
        <v>48</v>
      </c>
      <c r="L1548">
        <v>38.72</v>
      </c>
      <c r="M1548">
        <v>2.7</v>
      </c>
      <c r="N1548" t="s">
        <v>22</v>
      </c>
      <c r="O1548" t="str">
        <f t="shared" si="24"/>
        <v>No</v>
      </c>
    </row>
    <row r="1549" spans="1:15" x14ac:dyDescent="0.25">
      <c r="A1549" t="s">
        <v>1610</v>
      </c>
      <c r="B1549" s="1">
        <v>45811</v>
      </c>
      <c r="C1549" s="2">
        <v>45812.217916666668</v>
      </c>
      <c r="D1549" t="s">
        <v>15</v>
      </c>
      <c r="E1549" t="s">
        <v>39</v>
      </c>
      <c r="F1549" t="s">
        <v>40</v>
      </c>
      <c r="G1549" t="s">
        <v>41</v>
      </c>
      <c r="H1549" t="s">
        <v>27</v>
      </c>
      <c r="I1549" t="s">
        <v>45</v>
      </c>
      <c r="J1549" t="s">
        <v>21</v>
      </c>
      <c r="K1549">
        <v>48</v>
      </c>
      <c r="L1549">
        <v>29.23</v>
      </c>
      <c r="M1549">
        <v>4.0999999999999996</v>
      </c>
      <c r="N1549" t="s">
        <v>22</v>
      </c>
      <c r="O1549" t="str">
        <f t="shared" si="24"/>
        <v>No</v>
      </c>
    </row>
    <row r="1550" spans="1:15" x14ac:dyDescent="0.25">
      <c r="A1550" t="s">
        <v>1611</v>
      </c>
      <c r="B1550" s="1">
        <v>45747</v>
      </c>
      <c r="C1550" s="2">
        <v>45747.505416666667</v>
      </c>
      <c r="D1550" t="s">
        <v>24</v>
      </c>
      <c r="E1550" t="s">
        <v>45</v>
      </c>
      <c r="F1550" t="s">
        <v>112</v>
      </c>
      <c r="G1550" t="s">
        <v>56</v>
      </c>
      <c r="H1550" t="s">
        <v>19</v>
      </c>
      <c r="I1550" t="s">
        <v>36</v>
      </c>
      <c r="J1550" t="s">
        <v>21</v>
      </c>
      <c r="K1550">
        <v>24</v>
      </c>
      <c r="L1550">
        <v>12.13</v>
      </c>
      <c r="M1550">
        <v>4.3</v>
      </c>
      <c r="N1550" t="s">
        <v>22</v>
      </c>
      <c r="O1550" t="str">
        <f t="shared" si="24"/>
        <v>No</v>
      </c>
    </row>
    <row r="1551" spans="1:15" x14ac:dyDescent="0.25">
      <c r="A1551" t="s">
        <v>1612</v>
      </c>
      <c r="B1551" s="1">
        <v>45658</v>
      </c>
      <c r="C1551" s="2">
        <v>45658.544583333336</v>
      </c>
      <c r="D1551" t="s">
        <v>24</v>
      </c>
      <c r="E1551" t="s">
        <v>39</v>
      </c>
      <c r="F1551" t="s">
        <v>119</v>
      </c>
      <c r="G1551" t="s">
        <v>56</v>
      </c>
      <c r="H1551" t="s">
        <v>65</v>
      </c>
      <c r="I1551" t="s">
        <v>45</v>
      </c>
      <c r="J1551" t="s">
        <v>85</v>
      </c>
      <c r="K1551">
        <v>24</v>
      </c>
      <c r="L1551">
        <v>13.07</v>
      </c>
      <c r="M1551">
        <v>3.5</v>
      </c>
      <c r="N1551" t="s">
        <v>22</v>
      </c>
      <c r="O1551" t="str">
        <f t="shared" si="24"/>
        <v>No</v>
      </c>
    </row>
    <row r="1552" spans="1:15" x14ac:dyDescent="0.25">
      <c r="A1552" t="s">
        <v>1613</v>
      </c>
      <c r="B1552" s="1">
        <v>45708</v>
      </c>
      <c r="C1552" s="2">
        <v>45708.058333333334</v>
      </c>
      <c r="D1552" t="s">
        <v>38</v>
      </c>
      <c r="E1552" t="s">
        <v>32</v>
      </c>
      <c r="F1552" t="s">
        <v>75</v>
      </c>
      <c r="G1552" t="s">
        <v>18</v>
      </c>
      <c r="H1552" t="s">
        <v>27</v>
      </c>
      <c r="I1552" t="s">
        <v>36</v>
      </c>
      <c r="J1552" t="s">
        <v>21</v>
      </c>
      <c r="K1552">
        <v>8</v>
      </c>
      <c r="L1552">
        <v>1.4</v>
      </c>
      <c r="M1552">
        <v>4.2</v>
      </c>
      <c r="N1552" t="s">
        <v>22</v>
      </c>
      <c r="O1552" t="str">
        <f t="shared" si="24"/>
        <v>No</v>
      </c>
    </row>
    <row r="1553" spans="1:15" x14ac:dyDescent="0.25">
      <c r="A1553" t="s">
        <v>1614</v>
      </c>
      <c r="B1553" s="1">
        <v>45812</v>
      </c>
      <c r="C1553" s="2">
        <v>45813.244166666664</v>
      </c>
      <c r="D1553" t="s">
        <v>24</v>
      </c>
      <c r="E1553" t="s">
        <v>16</v>
      </c>
      <c r="F1553" t="s">
        <v>17</v>
      </c>
      <c r="G1553" t="s">
        <v>34</v>
      </c>
      <c r="H1553" t="s">
        <v>65</v>
      </c>
      <c r="I1553" t="s">
        <v>20</v>
      </c>
      <c r="J1553" t="s">
        <v>21</v>
      </c>
      <c r="K1553">
        <v>24</v>
      </c>
      <c r="L1553">
        <v>29.86</v>
      </c>
      <c r="M1553">
        <v>4.4000000000000004</v>
      </c>
      <c r="N1553" t="s">
        <v>22</v>
      </c>
      <c r="O1553" t="str">
        <f t="shared" si="24"/>
        <v>Yes</v>
      </c>
    </row>
    <row r="1554" spans="1:15" x14ac:dyDescent="0.25">
      <c r="A1554" t="s">
        <v>1615</v>
      </c>
      <c r="B1554" s="1">
        <v>45754</v>
      </c>
      <c r="C1554" s="2">
        <v>45754.393750000003</v>
      </c>
      <c r="D1554" t="s">
        <v>24</v>
      </c>
      <c r="E1554" t="s">
        <v>45</v>
      </c>
      <c r="F1554" t="s">
        <v>104</v>
      </c>
      <c r="G1554" t="s">
        <v>41</v>
      </c>
      <c r="H1554" t="s">
        <v>65</v>
      </c>
      <c r="I1554" t="s">
        <v>28</v>
      </c>
      <c r="J1554" t="s">
        <v>29</v>
      </c>
      <c r="K1554">
        <v>24</v>
      </c>
      <c r="L1554">
        <v>9.4499999999999993</v>
      </c>
      <c r="M1554">
        <v>2.2000000000000002</v>
      </c>
      <c r="N1554" t="s">
        <v>22</v>
      </c>
      <c r="O1554" t="str">
        <f t="shared" si="24"/>
        <v>No</v>
      </c>
    </row>
    <row r="1555" spans="1:15" x14ac:dyDescent="0.25">
      <c r="A1555" t="s">
        <v>1616</v>
      </c>
      <c r="B1555" s="1">
        <v>45770</v>
      </c>
      <c r="C1555" s="2">
        <v>45770.362916666665</v>
      </c>
      <c r="D1555" t="s">
        <v>24</v>
      </c>
      <c r="E1555" t="s">
        <v>25</v>
      </c>
      <c r="F1555" t="s">
        <v>26</v>
      </c>
      <c r="G1555" t="s">
        <v>41</v>
      </c>
      <c r="H1555" t="s">
        <v>65</v>
      </c>
      <c r="I1555" t="s">
        <v>36</v>
      </c>
      <c r="J1555" t="s">
        <v>21</v>
      </c>
      <c r="K1555">
        <v>24</v>
      </c>
      <c r="L1555">
        <v>8.7100000000000009</v>
      </c>
      <c r="M1555">
        <v>4.7</v>
      </c>
      <c r="N1555" t="s">
        <v>22</v>
      </c>
      <c r="O1555" t="str">
        <f t="shared" si="24"/>
        <v>No</v>
      </c>
    </row>
    <row r="1556" spans="1:15" x14ac:dyDescent="0.25">
      <c r="A1556" t="s">
        <v>1617</v>
      </c>
      <c r="B1556" s="1">
        <v>45740</v>
      </c>
      <c r="C1556" s="2">
        <v>45740.215416666666</v>
      </c>
      <c r="D1556" t="s">
        <v>38</v>
      </c>
      <c r="E1556" t="s">
        <v>25</v>
      </c>
      <c r="F1556" t="s">
        <v>53</v>
      </c>
      <c r="G1556" t="s">
        <v>18</v>
      </c>
      <c r="H1556" t="s">
        <v>65</v>
      </c>
      <c r="I1556" t="s">
        <v>36</v>
      </c>
      <c r="J1556" t="s">
        <v>21</v>
      </c>
      <c r="K1556">
        <v>8</v>
      </c>
      <c r="L1556">
        <v>5.17</v>
      </c>
      <c r="M1556">
        <v>5</v>
      </c>
      <c r="N1556" t="s">
        <v>22</v>
      </c>
      <c r="O1556" t="str">
        <f t="shared" si="24"/>
        <v>No</v>
      </c>
    </row>
    <row r="1557" spans="1:15" x14ac:dyDescent="0.25">
      <c r="A1557" t="s">
        <v>1618</v>
      </c>
      <c r="B1557" s="1">
        <v>45687</v>
      </c>
      <c r="C1557" s="2">
        <v>45687.690405092595</v>
      </c>
      <c r="D1557" t="s">
        <v>38</v>
      </c>
      <c r="E1557" t="s">
        <v>45</v>
      </c>
      <c r="F1557" t="s">
        <v>100</v>
      </c>
      <c r="G1557" t="s">
        <v>34</v>
      </c>
      <c r="H1557" t="s">
        <v>35</v>
      </c>
      <c r="I1557" t="s">
        <v>45</v>
      </c>
      <c r="J1557" t="s">
        <v>21</v>
      </c>
      <c r="K1557">
        <v>8</v>
      </c>
      <c r="L1557">
        <v>16.57</v>
      </c>
      <c r="M1557">
        <v>2.5</v>
      </c>
      <c r="N1557" t="s">
        <v>22</v>
      </c>
      <c r="O1557" t="str">
        <f t="shared" si="24"/>
        <v>Yes</v>
      </c>
    </row>
    <row r="1558" spans="1:15" x14ac:dyDescent="0.25">
      <c r="A1558" t="s">
        <v>1619</v>
      </c>
      <c r="B1558" s="1">
        <v>45820</v>
      </c>
      <c r="C1558" s="2">
        <v>45821.660416666666</v>
      </c>
      <c r="D1558" t="s">
        <v>15</v>
      </c>
      <c r="E1558" t="s">
        <v>16</v>
      </c>
      <c r="F1558" t="s">
        <v>43</v>
      </c>
      <c r="G1558" t="s">
        <v>41</v>
      </c>
      <c r="H1558" t="s">
        <v>35</v>
      </c>
      <c r="I1558" t="s">
        <v>36</v>
      </c>
      <c r="J1558" t="s">
        <v>85</v>
      </c>
      <c r="K1558">
        <v>48</v>
      </c>
      <c r="L1558">
        <v>39.85</v>
      </c>
      <c r="M1558">
        <v>4.9000000000000004</v>
      </c>
      <c r="N1558" t="s">
        <v>22</v>
      </c>
      <c r="O1558" t="str">
        <f t="shared" si="24"/>
        <v>No</v>
      </c>
    </row>
    <row r="1559" spans="1:15" x14ac:dyDescent="0.25">
      <c r="A1559" t="s">
        <v>1620</v>
      </c>
      <c r="B1559" s="1">
        <v>45797</v>
      </c>
      <c r="C1559" s="2">
        <v>45797.066666666666</v>
      </c>
      <c r="D1559" t="s">
        <v>31</v>
      </c>
      <c r="E1559" t="s">
        <v>45</v>
      </c>
      <c r="F1559" t="s">
        <v>50</v>
      </c>
      <c r="G1559" t="s">
        <v>56</v>
      </c>
      <c r="H1559" t="s">
        <v>65</v>
      </c>
      <c r="I1559" t="s">
        <v>36</v>
      </c>
      <c r="J1559" t="s">
        <v>29</v>
      </c>
      <c r="K1559">
        <v>4</v>
      </c>
      <c r="L1559">
        <v>1.6</v>
      </c>
      <c r="M1559">
        <v>4.2</v>
      </c>
      <c r="N1559" t="s">
        <v>22</v>
      </c>
      <c r="O1559" t="str">
        <f t="shared" si="24"/>
        <v>No</v>
      </c>
    </row>
    <row r="1560" spans="1:15" x14ac:dyDescent="0.25">
      <c r="A1560" t="s">
        <v>1621</v>
      </c>
      <c r="B1560" s="1">
        <v>45838</v>
      </c>
      <c r="C1560" s="2">
        <v>45838.64</v>
      </c>
      <c r="D1560" t="s">
        <v>24</v>
      </c>
      <c r="E1560" t="s">
        <v>32</v>
      </c>
      <c r="F1560" t="s">
        <v>33</v>
      </c>
      <c r="G1560" t="s">
        <v>41</v>
      </c>
      <c r="H1560" t="s">
        <v>27</v>
      </c>
      <c r="I1560" t="s">
        <v>45</v>
      </c>
      <c r="J1560" t="s">
        <v>46</v>
      </c>
      <c r="K1560">
        <v>24</v>
      </c>
      <c r="L1560">
        <v>15.36</v>
      </c>
      <c r="M1560">
        <v>3.6</v>
      </c>
      <c r="N1560" t="s">
        <v>22</v>
      </c>
      <c r="O1560" t="str">
        <f t="shared" si="24"/>
        <v>No</v>
      </c>
    </row>
    <row r="1561" spans="1:15" x14ac:dyDescent="0.25">
      <c r="A1561" t="s">
        <v>1622</v>
      </c>
      <c r="B1561" s="1">
        <v>45812</v>
      </c>
      <c r="C1561" s="2">
        <v>45812.212500000001</v>
      </c>
      <c r="D1561" t="s">
        <v>38</v>
      </c>
      <c r="E1561" t="s">
        <v>25</v>
      </c>
      <c r="F1561" t="s">
        <v>26</v>
      </c>
      <c r="G1561" t="s">
        <v>18</v>
      </c>
      <c r="H1561" t="s">
        <v>65</v>
      </c>
      <c r="I1561" t="s">
        <v>45</v>
      </c>
      <c r="J1561" t="s">
        <v>21</v>
      </c>
      <c r="K1561">
        <v>8</v>
      </c>
      <c r="L1561">
        <v>5.0999999999999996</v>
      </c>
      <c r="M1561">
        <v>4.2</v>
      </c>
      <c r="N1561" t="s">
        <v>22</v>
      </c>
      <c r="O1561" t="str">
        <f t="shared" si="24"/>
        <v>No</v>
      </c>
    </row>
    <row r="1562" spans="1:15" x14ac:dyDescent="0.25">
      <c r="A1562" t="s">
        <v>1623</v>
      </c>
      <c r="B1562" s="1">
        <v>45710</v>
      </c>
      <c r="C1562" s="2">
        <v>45710.083749999998</v>
      </c>
      <c r="D1562" t="s">
        <v>31</v>
      </c>
      <c r="E1562" t="s">
        <v>25</v>
      </c>
      <c r="F1562" t="s">
        <v>70</v>
      </c>
      <c r="G1562" t="s">
        <v>56</v>
      </c>
      <c r="H1562" t="s">
        <v>19</v>
      </c>
      <c r="I1562" t="s">
        <v>36</v>
      </c>
      <c r="J1562" t="s">
        <v>21</v>
      </c>
      <c r="K1562">
        <v>4</v>
      </c>
      <c r="L1562">
        <v>2.0099999999999998</v>
      </c>
      <c r="M1562">
        <v>4.0999999999999996</v>
      </c>
      <c r="N1562" t="s">
        <v>22</v>
      </c>
      <c r="O1562" t="str">
        <f t="shared" si="24"/>
        <v>No</v>
      </c>
    </row>
    <row r="1563" spans="1:15" x14ac:dyDescent="0.25">
      <c r="A1563" t="s">
        <v>1624</v>
      </c>
      <c r="B1563" s="1">
        <v>45704</v>
      </c>
      <c r="C1563" s="2">
        <v>45704.182916666665</v>
      </c>
      <c r="D1563" t="s">
        <v>24</v>
      </c>
      <c r="E1563" t="s">
        <v>45</v>
      </c>
      <c r="F1563" t="s">
        <v>50</v>
      </c>
      <c r="G1563" t="s">
        <v>41</v>
      </c>
      <c r="H1563" t="s">
        <v>44</v>
      </c>
      <c r="I1563" t="s">
        <v>20</v>
      </c>
      <c r="J1563" t="s">
        <v>21</v>
      </c>
      <c r="K1563">
        <v>24</v>
      </c>
      <c r="L1563">
        <v>4.3899999999999997</v>
      </c>
      <c r="M1563">
        <v>4.4000000000000004</v>
      </c>
      <c r="N1563" t="s">
        <v>22</v>
      </c>
      <c r="O1563" t="str">
        <f t="shared" si="24"/>
        <v>No</v>
      </c>
    </row>
    <row r="1564" spans="1:15" x14ac:dyDescent="0.25">
      <c r="A1564" t="s">
        <v>1625</v>
      </c>
      <c r="B1564" s="1">
        <v>45702</v>
      </c>
      <c r="C1564" s="2">
        <v>45703.696250000001</v>
      </c>
      <c r="D1564" t="s">
        <v>15</v>
      </c>
      <c r="E1564" t="s">
        <v>39</v>
      </c>
      <c r="F1564" t="s">
        <v>40</v>
      </c>
      <c r="G1564" t="s">
        <v>18</v>
      </c>
      <c r="H1564" t="s">
        <v>27</v>
      </c>
      <c r="I1564" t="s">
        <v>36</v>
      </c>
      <c r="J1564" t="s">
        <v>21</v>
      </c>
      <c r="K1564">
        <v>48</v>
      </c>
      <c r="L1564">
        <v>40.71</v>
      </c>
      <c r="M1564">
        <v>3.9</v>
      </c>
      <c r="N1564" t="s">
        <v>22</v>
      </c>
      <c r="O1564" t="str">
        <f t="shared" si="24"/>
        <v>No</v>
      </c>
    </row>
    <row r="1565" spans="1:15" x14ac:dyDescent="0.25">
      <c r="A1565" t="s">
        <v>1626</v>
      </c>
      <c r="B1565" s="1">
        <v>45824</v>
      </c>
      <c r="C1565" s="2">
        <v>45824.34375</v>
      </c>
      <c r="D1565" t="s">
        <v>24</v>
      </c>
      <c r="E1565" t="s">
        <v>25</v>
      </c>
      <c r="F1565" t="s">
        <v>48</v>
      </c>
      <c r="G1565" t="s">
        <v>56</v>
      </c>
      <c r="H1565" t="s">
        <v>65</v>
      </c>
      <c r="I1565" t="s">
        <v>36</v>
      </c>
      <c r="J1565" t="s">
        <v>21</v>
      </c>
      <c r="K1565">
        <v>24</v>
      </c>
      <c r="L1565">
        <v>8.25</v>
      </c>
      <c r="M1565">
        <v>4.0999999999999996</v>
      </c>
      <c r="N1565" t="s">
        <v>22</v>
      </c>
      <c r="O1565" t="str">
        <f t="shared" si="24"/>
        <v>No</v>
      </c>
    </row>
    <row r="1566" spans="1:15" x14ac:dyDescent="0.25">
      <c r="A1566" t="s">
        <v>1627</v>
      </c>
      <c r="B1566" s="1">
        <v>45758</v>
      </c>
      <c r="C1566" s="2">
        <v>45758.541250000002</v>
      </c>
      <c r="D1566" t="s">
        <v>15</v>
      </c>
      <c r="E1566" t="s">
        <v>32</v>
      </c>
      <c r="F1566" t="s">
        <v>33</v>
      </c>
      <c r="G1566" t="s">
        <v>41</v>
      </c>
      <c r="H1566" t="s">
        <v>27</v>
      </c>
      <c r="I1566" t="s">
        <v>20</v>
      </c>
      <c r="J1566" t="s">
        <v>21</v>
      </c>
      <c r="K1566">
        <v>48</v>
      </c>
      <c r="L1566">
        <v>12.99</v>
      </c>
      <c r="M1566">
        <v>4.0999999999999996</v>
      </c>
      <c r="N1566" t="s">
        <v>22</v>
      </c>
      <c r="O1566" t="str">
        <f t="shared" si="24"/>
        <v>No</v>
      </c>
    </row>
    <row r="1567" spans="1:15" x14ac:dyDescent="0.25">
      <c r="A1567" t="s">
        <v>1628</v>
      </c>
      <c r="B1567" s="1">
        <v>45740</v>
      </c>
      <c r="C1567" s="2">
        <v>45740.124166666668</v>
      </c>
      <c r="D1567" t="s">
        <v>38</v>
      </c>
      <c r="E1567" t="s">
        <v>16</v>
      </c>
      <c r="F1567" t="s">
        <v>17</v>
      </c>
      <c r="G1567" t="s">
        <v>56</v>
      </c>
      <c r="H1567" t="s">
        <v>19</v>
      </c>
      <c r="I1567" t="s">
        <v>45</v>
      </c>
      <c r="J1567" t="s">
        <v>29</v>
      </c>
      <c r="K1567">
        <v>8</v>
      </c>
      <c r="L1567">
        <v>2.98</v>
      </c>
      <c r="M1567">
        <v>3.8</v>
      </c>
      <c r="N1567" t="s">
        <v>22</v>
      </c>
      <c r="O1567" t="str">
        <f t="shared" si="24"/>
        <v>No</v>
      </c>
    </row>
    <row r="1568" spans="1:15" x14ac:dyDescent="0.25">
      <c r="A1568" t="s">
        <v>1629</v>
      </c>
      <c r="B1568" s="1">
        <v>45833</v>
      </c>
      <c r="C1568" s="2">
        <v>45835.01458333333</v>
      </c>
      <c r="D1568" t="s">
        <v>15</v>
      </c>
      <c r="E1568" t="s">
        <v>39</v>
      </c>
      <c r="F1568" t="s">
        <v>87</v>
      </c>
      <c r="G1568" t="s">
        <v>51</v>
      </c>
      <c r="H1568" t="s">
        <v>54</v>
      </c>
      <c r="I1568" t="s">
        <v>45</v>
      </c>
      <c r="J1568" t="s">
        <v>46</v>
      </c>
      <c r="K1568">
        <v>48</v>
      </c>
      <c r="L1568">
        <v>48.35</v>
      </c>
      <c r="M1568">
        <v>4.0999999999999996</v>
      </c>
      <c r="N1568" t="s">
        <v>22</v>
      </c>
      <c r="O1568" t="str">
        <f t="shared" si="24"/>
        <v>Yes</v>
      </c>
    </row>
    <row r="1569" spans="1:15" x14ac:dyDescent="0.25">
      <c r="A1569" t="s">
        <v>1630</v>
      </c>
      <c r="B1569" s="1">
        <v>45767</v>
      </c>
      <c r="C1569" s="2">
        <v>45767.337500000001</v>
      </c>
      <c r="D1569" t="s">
        <v>24</v>
      </c>
      <c r="E1569" t="s">
        <v>16</v>
      </c>
      <c r="F1569" t="s">
        <v>43</v>
      </c>
      <c r="G1569" t="s">
        <v>18</v>
      </c>
      <c r="H1569" t="s">
        <v>27</v>
      </c>
      <c r="I1569" t="s">
        <v>45</v>
      </c>
      <c r="J1569" t="s">
        <v>21</v>
      </c>
      <c r="K1569">
        <v>24</v>
      </c>
      <c r="L1569">
        <v>8.1</v>
      </c>
      <c r="M1569">
        <v>3.9</v>
      </c>
      <c r="N1569" t="s">
        <v>22</v>
      </c>
      <c r="O1569" t="str">
        <f t="shared" si="24"/>
        <v>No</v>
      </c>
    </row>
    <row r="1570" spans="1:15" x14ac:dyDescent="0.25">
      <c r="A1570" t="s">
        <v>1631</v>
      </c>
      <c r="B1570" s="1">
        <v>45822</v>
      </c>
      <c r="C1570" s="2">
        <v>45822.154583333337</v>
      </c>
      <c r="D1570" t="s">
        <v>38</v>
      </c>
      <c r="E1570" t="s">
        <v>16</v>
      </c>
      <c r="F1570" t="s">
        <v>60</v>
      </c>
      <c r="G1570" t="s">
        <v>41</v>
      </c>
      <c r="H1570" t="s">
        <v>35</v>
      </c>
      <c r="I1570" t="s">
        <v>45</v>
      </c>
      <c r="J1570" t="s">
        <v>85</v>
      </c>
      <c r="K1570">
        <v>8</v>
      </c>
      <c r="L1570">
        <v>3.71</v>
      </c>
      <c r="M1570">
        <v>3.6</v>
      </c>
      <c r="N1570" t="s">
        <v>61</v>
      </c>
      <c r="O1570" t="str">
        <f t="shared" si="24"/>
        <v>No</v>
      </c>
    </row>
    <row r="1571" spans="1:15" x14ac:dyDescent="0.25">
      <c r="A1571" t="s">
        <v>1632</v>
      </c>
      <c r="B1571" s="1">
        <v>45836</v>
      </c>
      <c r="C1571" s="2">
        <v>45839.474999999999</v>
      </c>
      <c r="D1571" t="s">
        <v>15</v>
      </c>
      <c r="E1571" t="s">
        <v>39</v>
      </c>
      <c r="F1571" t="s">
        <v>78</v>
      </c>
      <c r="G1571" t="s">
        <v>56</v>
      </c>
      <c r="H1571" t="s">
        <v>35</v>
      </c>
      <c r="I1571" t="s">
        <v>20</v>
      </c>
      <c r="J1571" t="s">
        <v>21</v>
      </c>
      <c r="K1571">
        <v>48</v>
      </c>
      <c r="L1571">
        <v>83.4</v>
      </c>
      <c r="M1571">
        <v>2.2000000000000002</v>
      </c>
      <c r="N1571" t="s">
        <v>22</v>
      </c>
      <c r="O1571" t="str">
        <f t="shared" si="24"/>
        <v>Yes</v>
      </c>
    </row>
    <row r="1572" spans="1:15" x14ac:dyDescent="0.25">
      <c r="A1572" t="s">
        <v>1633</v>
      </c>
      <c r="B1572" s="1">
        <v>45672</v>
      </c>
      <c r="C1572" s="2">
        <v>45672.355416666665</v>
      </c>
      <c r="D1572" t="s">
        <v>24</v>
      </c>
      <c r="E1572" t="s">
        <v>32</v>
      </c>
      <c r="F1572" t="s">
        <v>64</v>
      </c>
      <c r="G1572" t="s">
        <v>51</v>
      </c>
      <c r="H1572" t="s">
        <v>44</v>
      </c>
      <c r="I1572" t="s">
        <v>45</v>
      </c>
      <c r="J1572" t="s">
        <v>46</v>
      </c>
      <c r="K1572">
        <v>24</v>
      </c>
      <c r="L1572">
        <v>8.5299999999999994</v>
      </c>
      <c r="M1572">
        <v>4.7</v>
      </c>
      <c r="N1572" t="s">
        <v>22</v>
      </c>
      <c r="O1572" t="str">
        <f t="shared" si="24"/>
        <v>No</v>
      </c>
    </row>
    <row r="1573" spans="1:15" x14ac:dyDescent="0.25">
      <c r="A1573" t="s">
        <v>1634</v>
      </c>
      <c r="B1573" s="1">
        <v>45723</v>
      </c>
      <c r="C1573" s="2">
        <v>45723.451249999998</v>
      </c>
      <c r="D1573" t="s">
        <v>24</v>
      </c>
      <c r="E1573" t="s">
        <v>39</v>
      </c>
      <c r="F1573" t="s">
        <v>119</v>
      </c>
      <c r="G1573" t="s">
        <v>41</v>
      </c>
      <c r="H1573" t="s">
        <v>27</v>
      </c>
      <c r="I1573" t="s">
        <v>36</v>
      </c>
      <c r="J1573" t="s">
        <v>21</v>
      </c>
      <c r="K1573">
        <v>24</v>
      </c>
      <c r="L1573">
        <v>10.83</v>
      </c>
      <c r="M1573">
        <v>4.9000000000000004</v>
      </c>
      <c r="N1573" t="s">
        <v>22</v>
      </c>
      <c r="O1573" t="str">
        <f t="shared" si="24"/>
        <v>No</v>
      </c>
    </row>
    <row r="1574" spans="1:15" x14ac:dyDescent="0.25">
      <c r="A1574" t="s">
        <v>1635</v>
      </c>
      <c r="B1574" s="1">
        <v>45790</v>
      </c>
      <c r="C1574" s="2">
        <v>45790.496666666666</v>
      </c>
      <c r="D1574" t="s">
        <v>24</v>
      </c>
      <c r="E1574" t="s">
        <v>16</v>
      </c>
      <c r="F1574" t="s">
        <v>43</v>
      </c>
      <c r="G1574" t="s">
        <v>18</v>
      </c>
      <c r="H1574" t="s">
        <v>27</v>
      </c>
      <c r="I1574" t="s">
        <v>20</v>
      </c>
      <c r="J1574" t="s">
        <v>85</v>
      </c>
      <c r="K1574">
        <v>24</v>
      </c>
      <c r="L1574">
        <v>11.92</v>
      </c>
      <c r="M1574">
        <v>4.9000000000000004</v>
      </c>
      <c r="N1574" t="s">
        <v>22</v>
      </c>
      <c r="O1574" t="str">
        <f t="shared" si="24"/>
        <v>No</v>
      </c>
    </row>
    <row r="1575" spans="1:15" x14ac:dyDescent="0.25">
      <c r="A1575" t="s">
        <v>1636</v>
      </c>
      <c r="B1575" s="1">
        <v>45805</v>
      </c>
      <c r="C1575" s="2">
        <v>45805.705000000002</v>
      </c>
      <c r="D1575" t="s">
        <v>15</v>
      </c>
      <c r="E1575" t="s">
        <v>16</v>
      </c>
      <c r="F1575" t="s">
        <v>17</v>
      </c>
      <c r="G1575" t="s">
        <v>34</v>
      </c>
      <c r="H1575" t="s">
        <v>27</v>
      </c>
      <c r="I1575" t="s">
        <v>36</v>
      </c>
      <c r="J1575" t="s">
        <v>21</v>
      </c>
      <c r="K1575">
        <v>48</v>
      </c>
      <c r="L1575">
        <v>16.920000000000002</v>
      </c>
      <c r="M1575">
        <v>4.7</v>
      </c>
      <c r="N1575" t="s">
        <v>22</v>
      </c>
      <c r="O1575" t="str">
        <f t="shared" si="24"/>
        <v>No</v>
      </c>
    </row>
    <row r="1576" spans="1:15" x14ac:dyDescent="0.25">
      <c r="A1576" t="s">
        <v>1637</v>
      </c>
      <c r="B1576" s="1">
        <v>45684</v>
      </c>
      <c r="C1576" s="2">
        <v>45684.894166666665</v>
      </c>
      <c r="D1576" t="s">
        <v>15</v>
      </c>
      <c r="E1576" t="s">
        <v>25</v>
      </c>
      <c r="F1576" t="s">
        <v>48</v>
      </c>
      <c r="G1576" t="s">
        <v>18</v>
      </c>
      <c r="H1576" t="s">
        <v>27</v>
      </c>
      <c r="I1576" t="s">
        <v>20</v>
      </c>
      <c r="J1576" t="s">
        <v>85</v>
      </c>
      <c r="K1576">
        <v>48</v>
      </c>
      <c r="L1576">
        <v>21.46</v>
      </c>
      <c r="M1576">
        <v>4.8</v>
      </c>
      <c r="N1576" t="s">
        <v>61</v>
      </c>
      <c r="O1576" t="str">
        <f t="shared" si="24"/>
        <v>No</v>
      </c>
    </row>
    <row r="1577" spans="1:15" x14ac:dyDescent="0.25">
      <c r="A1577" t="s">
        <v>1638</v>
      </c>
      <c r="B1577" s="1">
        <v>45715</v>
      </c>
      <c r="C1577" s="2">
        <v>45715.542083333334</v>
      </c>
      <c r="D1577" t="s">
        <v>24</v>
      </c>
      <c r="E1577" t="s">
        <v>32</v>
      </c>
      <c r="F1577" t="s">
        <v>75</v>
      </c>
      <c r="G1577" t="s">
        <v>18</v>
      </c>
      <c r="H1577" t="s">
        <v>35</v>
      </c>
      <c r="I1577" t="s">
        <v>36</v>
      </c>
      <c r="J1577" t="s">
        <v>46</v>
      </c>
      <c r="K1577">
        <v>24</v>
      </c>
      <c r="L1577">
        <v>13.01</v>
      </c>
      <c r="M1577">
        <v>4.3</v>
      </c>
      <c r="N1577" t="s">
        <v>22</v>
      </c>
      <c r="O1577" t="str">
        <f t="shared" si="24"/>
        <v>No</v>
      </c>
    </row>
    <row r="1578" spans="1:15" x14ac:dyDescent="0.25">
      <c r="A1578" t="s">
        <v>1639</v>
      </c>
      <c r="B1578" s="1">
        <v>45757</v>
      </c>
      <c r="C1578" s="2">
        <v>45757.339583333334</v>
      </c>
      <c r="D1578" t="s">
        <v>24</v>
      </c>
      <c r="E1578" t="s">
        <v>25</v>
      </c>
      <c r="F1578" t="s">
        <v>53</v>
      </c>
      <c r="G1578" t="s">
        <v>51</v>
      </c>
      <c r="H1578" t="s">
        <v>19</v>
      </c>
      <c r="I1578" t="s">
        <v>45</v>
      </c>
      <c r="J1578" t="s">
        <v>21</v>
      </c>
      <c r="K1578">
        <v>24</v>
      </c>
      <c r="L1578">
        <v>8.15</v>
      </c>
      <c r="M1578">
        <v>4.9000000000000004</v>
      </c>
      <c r="N1578" t="s">
        <v>22</v>
      </c>
      <c r="O1578" t="str">
        <f t="shared" si="24"/>
        <v>No</v>
      </c>
    </row>
    <row r="1579" spans="1:15" x14ac:dyDescent="0.25">
      <c r="A1579" t="s">
        <v>1640</v>
      </c>
      <c r="B1579" s="1">
        <v>45802</v>
      </c>
      <c r="C1579" s="2">
        <v>45802.088750000003</v>
      </c>
      <c r="D1579" t="s">
        <v>24</v>
      </c>
      <c r="E1579" t="s">
        <v>16</v>
      </c>
      <c r="F1579" t="s">
        <v>58</v>
      </c>
      <c r="G1579" t="s">
        <v>56</v>
      </c>
      <c r="H1579" t="s">
        <v>44</v>
      </c>
      <c r="I1579" t="s">
        <v>20</v>
      </c>
      <c r="J1579" t="s">
        <v>21</v>
      </c>
      <c r="K1579">
        <v>24</v>
      </c>
      <c r="L1579">
        <v>2.13</v>
      </c>
      <c r="M1579">
        <v>5</v>
      </c>
      <c r="N1579" t="s">
        <v>22</v>
      </c>
      <c r="O1579" t="str">
        <f t="shared" si="24"/>
        <v>No</v>
      </c>
    </row>
    <row r="1580" spans="1:15" x14ac:dyDescent="0.25">
      <c r="A1580" t="s">
        <v>1641</v>
      </c>
      <c r="B1580" s="1">
        <v>45678</v>
      </c>
      <c r="C1580" s="2">
        <v>45678.270833333336</v>
      </c>
      <c r="D1580" t="s">
        <v>15</v>
      </c>
      <c r="E1580" t="s">
        <v>32</v>
      </c>
      <c r="F1580" t="s">
        <v>75</v>
      </c>
      <c r="G1580" t="s">
        <v>18</v>
      </c>
      <c r="H1580" t="s">
        <v>19</v>
      </c>
      <c r="I1580" t="s">
        <v>45</v>
      </c>
      <c r="J1580" t="s">
        <v>46</v>
      </c>
      <c r="K1580">
        <v>48</v>
      </c>
      <c r="L1580">
        <v>6.5</v>
      </c>
      <c r="M1580">
        <v>4.4000000000000004</v>
      </c>
      <c r="N1580" t="s">
        <v>22</v>
      </c>
      <c r="O1580" t="str">
        <f t="shared" si="24"/>
        <v>No</v>
      </c>
    </row>
    <row r="1581" spans="1:15" x14ac:dyDescent="0.25">
      <c r="A1581" t="s">
        <v>1642</v>
      </c>
      <c r="B1581" s="1">
        <v>45766</v>
      </c>
      <c r="C1581" s="2">
        <v>45766.482916666668</v>
      </c>
      <c r="D1581" t="s">
        <v>24</v>
      </c>
      <c r="E1581" t="s">
        <v>39</v>
      </c>
      <c r="F1581" t="s">
        <v>78</v>
      </c>
      <c r="G1581" t="s">
        <v>51</v>
      </c>
      <c r="H1581" t="s">
        <v>19</v>
      </c>
      <c r="I1581" t="s">
        <v>36</v>
      </c>
      <c r="J1581" t="s">
        <v>21</v>
      </c>
      <c r="K1581">
        <v>24</v>
      </c>
      <c r="L1581">
        <v>11.59</v>
      </c>
      <c r="M1581">
        <v>3.7</v>
      </c>
      <c r="N1581" t="s">
        <v>61</v>
      </c>
      <c r="O1581" t="str">
        <f t="shared" si="24"/>
        <v>No</v>
      </c>
    </row>
    <row r="1582" spans="1:15" x14ac:dyDescent="0.25">
      <c r="A1582" t="s">
        <v>1643</v>
      </c>
      <c r="B1582" s="1">
        <v>45711</v>
      </c>
      <c r="C1582" s="2">
        <v>45712.364166666666</v>
      </c>
      <c r="D1582" t="s">
        <v>24</v>
      </c>
      <c r="E1582" t="s">
        <v>39</v>
      </c>
      <c r="F1582" t="s">
        <v>119</v>
      </c>
      <c r="G1582" t="s">
        <v>41</v>
      </c>
      <c r="H1582" t="s">
        <v>27</v>
      </c>
      <c r="I1582" t="s">
        <v>36</v>
      </c>
      <c r="J1582" t="s">
        <v>21</v>
      </c>
      <c r="K1582">
        <v>24</v>
      </c>
      <c r="L1582">
        <v>32.74</v>
      </c>
      <c r="M1582">
        <v>4.2</v>
      </c>
      <c r="N1582" t="s">
        <v>22</v>
      </c>
      <c r="O1582" t="str">
        <f t="shared" si="24"/>
        <v>Yes</v>
      </c>
    </row>
    <row r="1583" spans="1:15" x14ac:dyDescent="0.25">
      <c r="A1583" t="s">
        <v>1644</v>
      </c>
      <c r="B1583" s="1">
        <v>45697</v>
      </c>
      <c r="C1583" s="2">
        <v>45697.785833333335</v>
      </c>
      <c r="D1583" t="s">
        <v>15</v>
      </c>
      <c r="E1583" t="s">
        <v>39</v>
      </c>
      <c r="F1583" t="s">
        <v>78</v>
      </c>
      <c r="G1583" t="s">
        <v>51</v>
      </c>
      <c r="H1583" t="s">
        <v>27</v>
      </c>
      <c r="I1583" t="s">
        <v>20</v>
      </c>
      <c r="J1583" t="s">
        <v>46</v>
      </c>
      <c r="K1583">
        <v>48</v>
      </c>
      <c r="L1583">
        <v>18.86</v>
      </c>
      <c r="M1583">
        <v>4.5999999999999996</v>
      </c>
      <c r="N1583" t="s">
        <v>22</v>
      </c>
      <c r="O1583" t="str">
        <f t="shared" si="24"/>
        <v>No</v>
      </c>
    </row>
    <row r="1584" spans="1:15" x14ac:dyDescent="0.25">
      <c r="A1584" t="s">
        <v>1645</v>
      </c>
      <c r="B1584" s="1">
        <v>45751</v>
      </c>
      <c r="C1584" s="2">
        <v>45751.200416666667</v>
      </c>
      <c r="D1584" t="s">
        <v>38</v>
      </c>
      <c r="E1584" t="s">
        <v>32</v>
      </c>
      <c r="F1584" t="s">
        <v>64</v>
      </c>
      <c r="G1584" t="s">
        <v>18</v>
      </c>
      <c r="H1584" t="s">
        <v>44</v>
      </c>
      <c r="I1584" t="s">
        <v>28</v>
      </c>
      <c r="J1584" t="s">
        <v>21</v>
      </c>
      <c r="K1584">
        <v>8</v>
      </c>
      <c r="L1584">
        <v>4.8099999999999996</v>
      </c>
      <c r="M1584">
        <v>5</v>
      </c>
      <c r="N1584" t="s">
        <v>22</v>
      </c>
      <c r="O1584" t="str">
        <f t="shared" si="24"/>
        <v>No</v>
      </c>
    </row>
    <row r="1585" spans="1:15" x14ac:dyDescent="0.25">
      <c r="A1585" t="s">
        <v>1646</v>
      </c>
      <c r="B1585" s="1">
        <v>45732</v>
      </c>
      <c r="C1585" s="2">
        <v>45733.058749999997</v>
      </c>
      <c r="D1585" t="s">
        <v>24</v>
      </c>
      <c r="E1585" t="s">
        <v>32</v>
      </c>
      <c r="F1585" t="s">
        <v>64</v>
      </c>
      <c r="G1585" t="s">
        <v>34</v>
      </c>
      <c r="H1585" t="s">
        <v>27</v>
      </c>
      <c r="I1585" t="s">
        <v>45</v>
      </c>
      <c r="J1585" t="s">
        <v>21</v>
      </c>
      <c r="K1585">
        <v>24</v>
      </c>
      <c r="L1585">
        <v>25.41</v>
      </c>
      <c r="M1585">
        <v>3</v>
      </c>
      <c r="N1585" t="s">
        <v>22</v>
      </c>
      <c r="O1585" t="str">
        <f t="shared" si="24"/>
        <v>Yes</v>
      </c>
    </row>
    <row r="1586" spans="1:15" x14ac:dyDescent="0.25">
      <c r="A1586" t="s">
        <v>1647</v>
      </c>
      <c r="B1586" s="1">
        <v>45773</v>
      </c>
      <c r="C1586" s="2">
        <v>45773.704583333332</v>
      </c>
      <c r="D1586" t="s">
        <v>24</v>
      </c>
      <c r="E1586" t="s">
        <v>32</v>
      </c>
      <c r="F1586" t="s">
        <v>33</v>
      </c>
      <c r="G1586" t="s">
        <v>51</v>
      </c>
      <c r="H1586" t="s">
        <v>65</v>
      </c>
      <c r="I1586" t="s">
        <v>36</v>
      </c>
      <c r="J1586" t="s">
        <v>21</v>
      </c>
      <c r="K1586">
        <v>24</v>
      </c>
      <c r="L1586">
        <v>16.91</v>
      </c>
      <c r="M1586">
        <v>3.9</v>
      </c>
      <c r="N1586" t="s">
        <v>22</v>
      </c>
      <c r="O1586" t="str">
        <f t="shared" si="24"/>
        <v>No</v>
      </c>
    </row>
    <row r="1587" spans="1:15" x14ac:dyDescent="0.25">
      <c r="A1587" t="s">
        <v>1648</v>
      </c>
      <c r="B1587" s="1">
        <v>45715</v>
      </c>
      <c r="C1587" s="2">
        <v>45715.164583333331</v>
      </c>
      <c r="D1587" t="s">
        <v>38</v>
      </c>
      <c r="E1587" t="s">
        <v>32</v>
      </c>
      <c r="F1587" t="s">
        <v>64</v>
      </c>
      <c r="G1587" t="s">
        <v>34</v>
      </c>
      <c r="H1587" t="s">
        <v>19</v>
      </c>
      <c r="I1587" t="s">
        <v>36</v>
      </c>
      <c r="J1587" t="s">
        <v>21</v>
      </c>
      <c r="K1587">
        <v>8</v>
      </c>
      <c r="L1587">
        <v>3.95</v>
      </c>
      <c r="M1587">
        <v>3.5</v>
      </c>
      <c r="N1587" t="s">
        <v>22</v>
      </c>
      <c r="O1587" t="str">
        <f t="shared" si="24"/>
        <v>No</v>
      </c>
    </row>
    <row r="1588" spans="1:15" x14ac:dyDescent="0.25">
      <c r="A1588" t="s">
        <v>1649</v>
      </c>
      <c r="B1588" s="1">
        <v>45807</v>
      </c>
      <c r="C1588" s="2">
        <v>45807.452916666669</v>
      </c>
      <c r="D1588" t="s">
        <v>24</v>
      </c>
      <c r="E1588" t="s">
        <v>32</v>
      </c>
      <c r="F1588" t="s">
        <v>33</v>
      </c>
      <c r="G1588" t="s">
        <v>41</v>
      </c>
      <c r="H1588" t="s">
        <v>44</v>
      </c>
      <c r="I1588" t="s">
        <v>45</v>
      </c>
      <c r="J1588" t="s">
        <v>21</v>
      </c>
      <c r="K1588">
        <v>24</v>
      </c>
      <c r="L1588">
        <v>10.87</v>
      </c>
      <c r="M1588">
        <v>4.9000000000000004</v>
      </c>
      <c r="N1588" t="s">
        <v>22</v>
      </c>
      <c r="O1588" t="str">
        <f t="shared" si="24"/>
        <v>No</v>
      </c>
    </row>
    <row r="1589" spans="1:15" x14ac:dyDescent="0.25">
      <c r="A1589" t="s">
        <v>1650</v>
      </c>
      <c r="B1589" s="1">
        <v>45672</v>
      </c>
      <c r="C1589" s="2">
        <v>45672.286249999997</v>
      </c>
      <c r="D1589" t="s">
        <v>24</v>
      </c>
      <c r="E1589" t="s">
        <v>25</v>
      </c>
      <c r="F1589" t="s">
        <v>48</v>
      </c>
      <c r="G1589" t="s">
        <v>41</v>
      </c>
      <c r="H1589" t="s">
        <v>27</v>
      </c>
      <c r="I1589" t="s">
        <v>36</v>
      </c>
      <c r="J1589" t="s">
        <v>21</v>
      </c>
      <c r="K1589">
        <v>24</v>
      </c>
      <c r="L1589">
        <v>6.87</v>
      </c>
      <c r="M1589">
        <v>4.3</v>
      </c>
      <c r="N1589" t="s">
        <v>22</v>
      </c>
      <c r="O1589" t="str">
        <f t="shared" si="24"/>
        <v>No</v>
      </c>
    </row>
    <row r="1590" spans="1:15" x14ac:dyDescent="0.25">
      <c r="A1590" t="s">
        <v>1651</v>
      </c>
      <c r="B1590" s="1">
        <v>45814</v>
      </c>
      <c r="C1590" s="2">
        <v>45815.664583333331</v>
      </c>
      <c r="D1590" t="s">
        <v>15</v>
      </c>
      <c r="E1590" t="s">
        <v>16</v>
      </c>
      <c r="F1590" t="s">
        <v>60</v>
      </c>
      <c r="G1590" t="s">
        <v>34</v>
      </c>
      <c r="H1590" t="s">
        <v>27</v>
      </c>
      <c r="I1590" t="s">
        <v>20</v>
      </c>
      <c r="J1590" t="s">
        <v>85</v>
      </c>
      <c r="K1590">
        <v>48</v>
      </c>
      <c r="L1590">
        <v>39.950000000000003</v>
      </c>
      <c r="M1590">
        <v>3.6</v>
      </c>
      <c r="N1590" t="s">
        <v>22</v>
      </c>
      <c r="O1590" t="str">
        <f t="shared" si="24"/>
        <v>No</v>
      </c>
    </row>
    <row r="1591" spans="1:15" x14ac:dyDescent="0.25">
      <c r="A1591" t="s">
        <v>1652</v>
      </c>
      <c r="B1591" s="1">
        <v>45663</v>
      </c>
      <c r="C1591" s="2">
        <v>45665.032083333332</v>
      </c>
      <c r="D1591" t="s">
        <v>15</v>
      </c>
      <c r="E1591" t="s">
        <v>39</v>
      </c>
      <c r="F1591" t="s">
        <v>40</v>
      </c>
      <c r="G1591" t="s">
        <v>18</v>
      </c>
      <c r="H1591" t="s">
        <v>19</v>
      </c>
      <c r="I1591" t="s">
        <v>45</v>
      </c>
      <c r="J1591" t="s">
        <v>21</v>
      </c>
      <c r="K1591">
        <v>48</v>
      </c>
      <c r="L1591">
        <v>48.77</v>
      </c>
      <c r="M1591">
        <v>5</v>
      </c>
      <c r="N1591" t="s">
        <v>22</v>
      </c>
      <c r="O1591" t="str">
        <f t="shared" si="24"/>
        <v>Yes</v>
      </c>
    </row>
    <row r="1592" spans="1:15" x14ac:dyDescent="0.25">
      <c r="A1592" t="s">
        <v>1653</v>
      </c>
      <c r="B1592" s="1">
        <v>45791</v>
      </c>
      <c r="C1592" s="2">
        <v>45791.020833333336</v>
      </c>
      <c r="D1592" t="s">
        <v>15</v>
      </c>
      <c r="E1592" t="s">
        <v>16</v>
      </c>
      <c r="F1592" t="s">
        <v>17</v>
      </c>
      <c r="G1592" t="s">
        <v>34</v>
      </c>
      <c r="H1592" t="s">
        <v>35</v>
      </c>
      <c r="I1592" t="s">
        <v>36</v>
      </c>
      <c r="J1592" t="s">
        <v>46</v>
      </c>
      <c r="K1592">
        <v>48</v>
      </c>
      <c r="L1592">
        <v>0.5</v>
      </c>
      <c r="M1592">
        <v>5</v>
      </c>
      <c r="N1592" t="s">
        <v>22</v>
      </c>
      <c r="O1592" t="str">
        <f t="shared" si="24"/>
        <v>No</v>
      </c>
    </row>
    <row r="1593" spans="1:15" x14ac:dyDescent="0.25">
      <c r="A1593" t="s">
        <v>1654</v>
      </c>
      <c r="B1593" s="1">
        <v>45720</v>
      </c>
      <c r="C1593" s="2">
        <v>45720.278749999998</v>
      </c>
      <c r="D1593" t="s">
        <v>38</v>
      </c>
      <c r="E1593" t="s">
        <v>16</v>
      </c>
      <c r="F1593" t="s">
        <v>60</v>
      </c>
      <c r="G1593" t="s">
        <v>51</v>
      </c>
      <c r="H1593" t="s">
        <v>19</v>
      </c>
      <c r="I1593" t="s">
        <v>36</v>
      </c>
      <c r="J1593" t="s">
        <v>46</v>
      </c>
      <c r="K1593">
        <v>8</v>
      </c>
      <c r="L1593">
        <v>6.69</v>
      </c>
      <c r="M1593">
        <v>4.4000000000000004</v>
      </c>
      <c r="N1593" t="s">
        <v>22</v>
      </c>
      <c r="O1593" t="str">
        <f t="shared" si="24"/>
        <v>No</v>
      </c>
    </row>
    <row r="1594" spans="1:15" x14ac:dyDescent="0.25">
      <c r="A1594" t="s">
        <v>1655</v>
      </c>
      <c r="B1594" s="1">
        <v>45727</v>
      </c>
      <c r="C1594" s="2">
        <v>45727.245000000003</v>
      </c>
      <c r="D1594" t="s">
        <v>38</v>
      </c>
      <c r="E1594" t="s">
        <v>32</v>
      </c>
      <c r="F1594" t="s">
        <v>75</v>
      </c>
      <c r="G1594" t="s">
        <v>56</v>
      </c>
      <c r="H1594" t="s">
        <v>65</v>
      </c>
      <c r="I1594" t="s">
        <v>36</v>
      </c>
      <c r="J1594" t="s">
        <v>46</v>
      </c>
      <c r="K1594">
        <v>8</v>
      </c>
      <c r="L1594">
        <v>5.88</v>
      </c>
      <c r="M1594">
        <v>3.3</v>
      </c>
      <c r="N1594" t="s">
        <v>22</v>
      </c>
      <c r="O1594" t="str">
        <f t="shared" si="24"/>
        <v>No</v>
      </c>
    </row>
    <row r="1595" spans="1:15" x14ac:dyDescent="0.25">
      <c r="A1595" t="s">
        <v>1656</v>
      </c>
      <c r="B1595" s="1">
        <v>45661</v>
      </c>
      <c r="C1595" s="2">
        <v>45661.744166666664</v>
      </c>
      <c r="D1595" t="s">
        <v>15</v>
      </c>
      <c r="E1595" t="s">
        <v>32</v>
      </c>
      <c r="F1595" t="s">
        <v>33</v>
      </c>
      <c r="G1595" t="s">
        <v>41</v>
      </c>
      <c r="H1595" t="s">
        <v>65</v>
      </c>
      <c r="I1595" t="s">
        <v>45</v>
      </c>
      <c r="J1595" t="s">
        <v>21</v>
      </c>
      <c r="K1595">
        <v>48</v>
      </c>
      <c r="L1595">
        <v>17.86</v>
      </c>
      <c r="M1595">
        <v>3.3</v>
      </c>
      <c r="N1595" t="s">
        <v>22</v>
      </c>
      <c r="O1595" t="str">
        <f t="shared" si="24"/>
        <v>No</v>
      </c>
    </row>
    <row r="1596" spans="1:15" x14ac:dyDescent="0.25">
      <c r="A1596" t="s">
        <v>1657</v>
      </c>
      <c r="B1596" s="1">
        <v>45785</v>
      </c>
      <c r="C1596" s="2">
        <v>45785.574166666665</v>
      </c>
      <c r="D1596" t="s">
        <v>15</v>
      </c>
      <c r="E1596" t="s">
        <v>32</v>
      </c>
      <c r="F1596" t="s">
        <v>33</v>
      </c>
      <c r="G1596" t="s">
        <v>41</v>
      </c>
      <c r="H1596" t="s">
        <v>54</v>
      </c>
      <c r="I1596" t="s">
        <v>45</v>
      </c>
      <c r="J1596" t="s">
        <v>21</v>
      </c>
      <c r="K1596">
        <v>48</v>
      </c>
      <c r="L1596">
        <v>13.78</v>
      </c>
      <c r="M1596">
        <v>5</v>
      </c>
      <c r="N1596" t="s">
        <v>22</v>
      </c>
      <c r="O1596" t="str">
        <f t="shared" si="24"/>
        <v>No</v>
      </c>
    </row>
    <row r="1597" spans="1:15" x14ac:dyDescent="0.25">
      <c r="A1597" t="s">
        <v>1658</v>
      </c>
      <c r="B1597" s="1">
        <v>45687</v>
      </c>
      <c r="C1597" s="2">
        <v>45687.669583333336</v>
      </c>
      <c r="D1597" t="s">
        <v>24</v>
      </c>
      <c r="E1597" t="s">
        <v>16</v>
      </c>
      <c r="F1597" t="s">
        <v>43</v>
      </c>
      <c r="G1597" t="s">
        <v>51</v>
      </c>
      <c r="H1597" t="s">
        <v>27</v>
      </c>
      <c r="I1597" t="s">
        <v>36</v>
      </c>
      <c r="J1597" t="s">
        <v>21</v>
      </c>
      <c r="K1597">
        <v>24</v>
      </c>
      <c r="L1597">
        <v>16.07</v>
      </c>
      <c r="M1597">
        <v>2.7</v>
      </c>
      <c r="N1597" t="s">
        <v>22</v>
      </c>
      <c r="O1597" t="str">
        <f t="shared" si="24"/>
        <v>No</v>
      </c>
    </row>
    <row r="1598" spans="1:15" x14ac:dyDescent="0.25">
      <c r="A1598" t="s">
        <v>1659</v>
      </c>
      <c r="B1598" s="1">
        <v>45777</v>
      </c>
      <c r="C1598" s="2">
        <v>45777.134583333333</v>
      </c>
      <c r="D1598" t="s">
        <v>24</v>
      </c>
      <c r="E1598" t="s">
        <v>39</v>
      </c>
      <c r="F1598" t="s">
        <v>78</v>
      </c>
      <c r="G1598" t="s">
        <v>41</v>
      </c>
      <c r="H1598" t="s">
        <v>44</v>
      </c>
      <c r="I1598" t="s">
        <v>45</v>
      </c>
      <c r="J1598" t="s">
        <v>46</v>
      </c>
      <c r="K1598">
        <v>24</v>
      </c>
      <c r="L1598">
        <v>3.23</v>
      </c>
      <c r="M1598">
        <v>4.5</v>
      </c>
      <c r="N1598" t="s">
        <v>22</v>
      </c>
      <c r="O1598" t="str">
        <f t="shared" si="24"/>
        <v>No</v>
      </c>
    </row>
    <row r="1599" spans="1:15" x14ac:dyDescent="0.25">
      <c r="A1599" t="s">
        <v>1660</v>
      </c>
      <c r="B1599" s="1">
        <v>45789</v>
      </c>
      <c r="C1599" s="2">
        <v>45789.38208333333</v>
      </c>
      <c r="D1599" t="s">
        <v>24</v>
      </c>
      <c r="E1599" t="s">
        <v>39</v>
      </c>
      <c r="F1599" t="s">
        <v>119</v>
      </c>
      <c r="G1599" t="s">
        <v>41</v>
      </c>
      <c r="H1599" t="s">
        <v>35</v>
      </c>
      <c r="I1599" t="s">
        <v>36</v>
      </c>
      <c r="J1599" t="s">
        <v>46</v>
      </c>
      <c r="K1599">
        <v>24</v>
      </c>
      <c r="L1599">
        <v>9.17</v>
      </c>
      <c r="M1599">
        <v>4</v>
      </c>
      <c r="N1599" t="s">
        <v>22</v>
      </c>
      <c r="O1599" t="str">
        <f t="shared" si="24"/>
        <v>No</v>
      </c>
    </row>
    <row r="1600" spans="1:15" x14ac:dyDescent="0.25">
      <c r="A1600" t="s">
        <v>1661</v>
      </c>
      <c r="B1600" s="1">
        <v>45810</v>
      </c>
      <c r="C1600" s="2">
        <v>45810.599583333336</v>
      </c>
      <c r="D1600" t="s">
        <v>24</v>
      </c>
      <c r="E1600" t="s">
        <v>16</v>
      </c>
      <c r="F1600" t="s">
        <v>60</v>
      </c>
      <c r="G1600" t="s">
        <v>18</v>
      </c>
      <c r="H1600" t="s">
        <v>44</v>
      </c>
      <c r="I1600" t="s">
        <v>45</v>
      </c>
      <c r="J1600" t="s">
        <v>21</v>
      </c>
      <c r="K1600">
        <v>24</v>
      </c>
      <c r="L1600">
        <v>14.39</v>
      </c>
      <c r="M1600">
        <v>3.7</v>
      </c>
      <c r="N1600" t="s">
        <v>22</v>
      </c>
      <c r="O1600" t="str">
        <f t="shared" si="24"/>
        <v>No</v>
      </c>
    </row>
    <row r="1601" spans="1:15" x14ac:dyDescent="0.25">
      <c r="A1601" t="s">
        <v>1662</v>
      </c>
      <c r="B1601" s="1">
        <v>45786</v>
      </c>
      <c r="C1601" s="2">
        <v>45786.385416666664</v>
      </c>
      <c r="D1601" t="s">
        <v>38</v>
      </c>
      <c r="E1601" t="s">
        <v>45</v>
      </c>
      <c r="F1601" t="s">
        <v>104</v>
      </c>
      <c r="G1601" t="s">
        <v>34</v>
      </c>
      <c r="H1601" t="s">
        <v>65</v>
      </c>
      <c r="I1601" t="s">
        <v>20</v>
      </c>
      <c r="J1601" t="s">
        <v>46</v>
      </c>
      <c r="K1601">
        <v>8</v>
      </c>
      <c r="L1601">
        <v>9.25</v>
      </c>
      <c r="M1601">
        <v>3.3</v>
      </c>
      <c r="N1601" t="s">
        <v>22</v>
      </c>
      <c r="O1601" t="str">
        <f t="shared" si="24"/>
        <v>Yes</v>
      </c>
    </row>
    <row r="1602" spans="1:15" x14ac:dyDescent="0.25">
      <c r="A1602" t="s">
        <v>1663</v>
      </c>
      <c r="B1602" s="1">
        <v>45712</v>
      </c>
      <c r="C1602" s="2">
        <v>45714.927499999998</v>
      </c>
      <c r="D1602" t="s">
        <v>15</v>
      </c>
      <c r="E1602" t="s">
        <v>39</v>
      </c>
      <c r="F1602" t="s">
        <v>78</v>
      </c>
      <c r="G1602" t="s">
        <v>51</v>
      </c>
      <c r="H1602" t="s">
        <v>19</v>
      </c>
      <c r="I1602" t="s">
        <v>36</v>
      </c>
      <c r="J1602" t="s">
        <v>21</v>
      </c>
      <c r="K1602">
        <v>48</v>
      </c>
      <c r="L1602">
        <v>70.260000000000005</v>
      </c>
      <c r="M1602">
        <v>2.6</v>
      </c>
      <c r="N1602" t="s">
        <v>22</v>
      </c>
      <c r="O1602" t="str">
        <f t="shared" si="24"/>
        <v>Yes</v>
      </c>
    </row>
    <row r="1603" spans="1:15" x14ac:dyDescent="0.25">
      <c r="A1603" t="s">
        <v>1664</v>
      </c>
      <c r="B1603" s="1">
        <v>45791</v>
      </c>
      <c r="C1603" s="2">
        <v>45791.200416666667</v>
      </c>
      <c r="D1603" t="s">
        <v>24</v>
      </c>
      <c r="E1603" t="s">
        <v>16</v>
      </c>
      <c r="F1603" t="s">
        <v>58</v>
      </c>
      <c r="G1603" t="s">
        <v>51</v>
      </c>
      <c r="H1603" t="s">
        <v>35</v>
      </c>
      <c r="I1603" t="s">
        <v>36</v>
      </c>
      <c r="J1603" t="s">
        <v>21</v>
      </c>
      <c r="K1603">
        <v>24</v>
      </c>
      <c r="L1603">
        <v>4.8099999999999996</v>
      </c>
      <c r="M1603">
        <v>4</v>
      </c>
      <c r="N1603" t="s">
        <v>22</v>
      </c>
      <c r="O1603" t="str">
        <f t="shared" ref="O1603:O1666" si="25">IF(L1603&gt;K1603,"Yes","No")</f>
        <v>No</v>
      </c>
    </row>
    <row r="1604" spans="1:15" x14ac:dyDescent="0.25">
      <c r="A1604" t="s">
        <v>1665</v>
      </c>
      <c r="B1604" s="1">
        <v>45807</v>
      </c>
      <c r="C1604" s="2">
        <v>45807.635416666664</v>
      </c>
      <c r="D1604" t="s">
        <v>24</v>
      </c>
      <c r="E1604" t="s">
        <v>16</v>
      </c>
      <c r="F1604" t="s">
        <v>60</v>
      </c>
      <c r="G1604" t="s">
        <v>51</v>
      </c>
      <c r="H1604" t="s">
        <v>54</v>
      </c>
      <c r="I1604" t="s">
        <v>20</v>
      </c>
      <c r="J1604" t="s">
        <v>21</v>
      </c>
      <c r="K1604">
        <v>24</v>
      </c>
      <c r="L1604">
        <v>15.25</v>
      </c>
      <c r="M1604">
        <v>4.4000000000000004</v>
      </c>
      <c r="N1604" t="s">
        <v>22</v>
      </c>
      <c r="O1604" t="str">
        <f t="shared" si="25"/>
        <v>No</v>
      </c>
    </row>
    <row r="1605" spans="1:15" x14ac:dyDescent="0.25">
      <c r="A1605" t="s">
        <v>1666</v>
      </c>
      <c r="B1605" s="1">
        <v>45715</v>
      </c>
      <c r="C1605" s="2">
        <v>45715.495000000003</v>
      </c>
      <c r="D1605" t="s">
        <v>24</v>
      </c>
      <c r="E1605" t="s">
        <v>16</v>
      </c>
      <c r="F1605" t="s">
        <v>17</v>
      </c>
      <c r="G1605" t="s">
        <v>56</v>
      </c>
      <c r="H1605" t="s">
        <v>44</v>
      </c>
      <c r="I1605" t="s">
        <v>36</v>
      </c>
      <c r="J1605" t="s">
        <v>21</v>
      </c>
      <c r="K1605">
        <v>24</v>
      </c>
      <c r="L1605">
        <v>11.88</v>
      </c>
      <c r="M1605">
        <v>5</v>
      </c>
      <c r="N1605" t="s">
        <v>22</v>
      </c>
      <c r="O1605" t="str">
        <f t="shared" si="25"/>
        <v>No</v>
      </c>
    </row>
    <row r="1606" spans="1:15" x14ac:dyDescent="0.25">
      <c r="A1606" t="s">
        <v>1667</v>
      </c>
      <c r="B1606" s="1">
        <v>45680</v>
      </c>
      <c r="C1606" s="2">
        <v>45680.254166666666</v>
      </c>
      <c r="D1606" t="s">
        <v>38</v>
      </c>
      <c r="E1606" t="s">
        <v>25</v>
      </c>
      <c r="F1606" t="s">
        <v>53</v>
      </c>
      <c r="G1606" t="s">
        <v>18</v>
      </c>
      <c r="H1606" t="s">
        <v>65</v>
      </c>
      <c r="I1606" t="s">
        <v>36</v>
      </c>
      <c r="J1606" t="s">
        <v>85</v>
      </c>
      <c r="K1606">
        <v>8</v>
      </c>
      <c r="L1606">
        <v>6.1</v>
      </c>
      <c r="M1606">
        <v>3</v>
      </c>
      <c r="N1606" t="s">
        <v>22</v>
      </c>
      <c r="O1606" t="str">
        <f t="shared" si="25"/>
        <v>No</v>
      </c>
    </row>
    <row r="1607" spans="1:15" x14ac:dyDescent="0.25">
      <c r="A1607" t="s">
        <v>1668</v>
      </c>
      <c r="B1607" s="1">
        <v>45819</v>
      </c>
      <c r="C1607" s="2">
        <v>45819.878750000003</v>
      </c>
      <c r="D1607" t="s">
        <v>15</v>
      </c>
      <c r="E1607" t="s">
        <v>25</v>
      </c>
      <c r="F1607" t="s">
        <v>53</v>
      </c>
      <c r="G1607" t="s">
        <v>56</v>
      </c>
      <c r="H1607" t="s">
        <v>65</v>
      </c>
      <c r="I1607" t="s">
        <v>20</v>
      </c>
      <c r="J1607" t="s">
        <v>46</v>
      </c>
      <c r="K1607">
        <v>48</v>
      </c>
      <c r="L1607">
        <v>21.09</v>
      </c>
      <c r="M1607">
        <v>4.5999999999999996</v>
      </c>
      <c r="N1607" t="s">
        <v>22</v>
      </c>
      <c r="O1607" t="str">
        <f t="shared" si="25"/>
        <v>No</v>
      </c>
    </row>
    <row r="1608" spans="1:15" x14ac:dyDescent="0.25">
      <c r="A1608" t="s">
        <v>1669</v>
      </c>
      <c r="B1608" s="1">
        <v>45684</v>
      </c>
      <c r="C1608" s="2">
        <v>45684.792916666665</v>
      </c>
      <c r="D1608" t="s">
        <v>24</v>
      </c>
      <c r="E1608" t="s">
        <v>32</v>
      </c>
      <c r="F1608" t="s">
        <v>80</v>
      </c>
      <c r="G1608" t="s">
        <v>56</v>
      </c>
      <c r="H1608" t="s">
        <v>54</v>
      </c>
      <c r="I1608" t="s">
        <v>45</v>
      </c>
      <c r="J1608" t="s">
        <v>21</v>
      </c>
      <c r="K1608">
        <v>24</v>
      </c>
      <c r="L1608">
        <v>19.03</v>
      </c>
      <c r="M1608">
        <v>4.4000000000000004</v>
      </c>
      <c r="N1608" t="s">
        <v>22</v>
      </c>
      <c r="O1608" t="str">
        <f t="shared" si="25"/>
        <v>No</v>
      </c>
    </row>
    <row r="1609" spans="1:15" x14ac:dyDescent="0.25">
      <c r="A1609" t="s">
        <v>1670</v>
      </c>
      <c r="B1609" s="1">
        <v>45765</v>
      </c>
      <c r="C1609" s="2">
        <v>45765.196666666663</v>
      </c>
      <c r="D1609" t="s">
        <v>38</v>
      </c>
      <c r="E1609" t="s">
        <v>39</v>
      </c>
      <c r="F1609" t="s">
        <v>78</v>
      </c>
      <c r="G1609" t="s">
        <v>34</v>
      </c>
      <c r="H1609" t="s">
        <v>54</v>
      </c>
      <c r="I1609" t="s">
        <v>28</v>
      </c>
      <c r="J1609" t="s">
        <v>21</v>
      </c>
      <c r="K1609">
        <v>8</v>
      </c>
      <c r="L1609">
        <v>4.72</v>
      </c>
      <c r="M1609">
        <v>4.5999999999999996</v>
      </c>
      <c r="N1609" t="s">
        <v>22</v>
      </c>
      <c r="O1609" t="str">
        <f t="shared" si="25"/>
        <v>No</v>
      </c>
    </row>
    <row r="1610" spans="1:15" x14ac:dyDescent="0.25">
      <c r="A1610" t="s">
        <v>1671</v>
      </c>
      <c r="B1610" s="1">
        <v>45700</v>
      </c>
      <c r="C1610" s="2">
        <v>45700.104583333334</v>
      </c>
      <c r="D1610" t="s">
        <v>38</v>
      </c>
      <c r="E1610" t="s">
        <v>25</v>
      </c>
      <c r="F1610" t="s">
        <v>48</v>
      </c>
      <c r="G1610" t="s">
        <v>34</v>
      </c>
      <c r="H1610" t="s">
        <v>27</v>
      </c>
      <c r="I1610" t="s">
        <v>45</v>
      </c>
      <c r="J1610" t="s">
        <v>46</v>
      </c>
      <c r="K1610">
        <v>8</v>
      </c>
      <c r="L1610">
        <v>2.5099999999999998</v>
      </c>
      <c r="M1610">
        <v>4.5</v>
      </c>
      <c r="N1610" t="s">
        <v>22</v>
      </c>
      <c r="O1610" t="str">
        <f t="shared" si="25"/>
        <v>No</v>
      </c>
    </row>
    <row r="1611" spans="1:15" x14ac:dyDescent="0.25">
      <c r="A1611" t="s">
        <v>1672</v>
      </c>
      <c r="B1611" s="1">
        <v>45680</v>
      </c>
      <c r="C1611" s="2">
        <v>45680.798333333332</v>
      </c>
      <c r="D1611" t="s">
        <v>24</v>
      </c>
      <c r="E1611" t="s">
        <v>39</v>
      </c>
      <c r="F1611" t="s">
        <v>119</v>
      </c>
      <c r="G1611" t="s">
        <v>51</v>
      </c>
      <c r="H1611" t="s">
        <v>35</v>
      </c>
      <c r="I1611" t="s">
        <v>45</v>
      </c>
      <c r="J1611" t="s">
        <v>46</v>
      </c>
      <c r="K1611">
        <v>24</v>
      </c>
      <c r="L1611">
        <v>19.16</v>
      </c>
      <c r="M1611">
        <v>3.7</v>
      </c>
      <c r="N1611" t="s">
        <v>22</v>
      </c>
      <c r="O1611" t="str">
        <f t="shared" si="25"/>
        <v>No</v>
      </c>
    </row>
    <row r="1612" spans="1:15" x14ac:dyDescent="0.25">
      <c r="A1612" t="s">
        <v>1673</v>
      </c>
      <c r="B1612" s="1">
        <v>45798</v>
      </c>
      <c r="C1612" s="2">
        <v>45798.447083333333</v>
      </c>
      <c r="D1612" t="s">
        <v>24</v>
      </c>
      <c r="E1612" t="s">
        <v>45</v>
      </c>
      <c r="F1612" t="s">
        <v>104</v>
      </c>
      <c r="G1612" t="s">
        <v>34</v>
      </c>
      <c r="H1612" t="s">
        <v>35</v>
      </c>
      <c r="I1612" t="s">
        <v>36</v>
      </c>
      <c r="J1612" t="s">
        <v>21</v>
      </c>
      <c r="K1612">
        <v>24</v>
      </c>
      <c r="L1612">
        <v>10.73</v>
      </c>
      <c r="M1612">
        <v>5</v>
      </c>
      <c r="N1612" t="s">
        <v>22</v>
      </c>
      <c r="O1612" t="str">
        <f t="shared" si="25"/>
        <v>No</v>
      </c>
    </row>
    <row r="1613" spans="1:15" x14ac:dyDescent="0.25">
      <c r="A1613" t="s">
        <v>1674</v>
      </c>
      <c r="B1613" s="1">
        <v>45684</v>
      </c>
      <c r="C1613" s="2">
        <v>45684.174166666664</v>
      </c>
      <c r="D1613" t="s">
        <v>38</v>
      </c>
      <c r="E1613" t="s">
        <v>39</v>
      </c>
      <c r="F1613" t="s">
        <v>40</v>
      </c>
      <c r="G1613" t="s">
        <v>34</v>
      </c>
      <c r="H1613" t="s">
        <v>35</v>
      </c>
      <c r="I1613" t="s">
        <v>36</v>
      </c>
      <c r="J1613" t="s">
        <v>21</v>
      </c>
      <c r="K1613">
        <v>8</v>
      </c>
      <c r="L1613">
        <v>4.18</v>
      </c>
      <c r="M1613">
        <v>4.5999999999999996</v>
      </c>
      <c r="N1613" t="s">
        <v>22</v>
      </c>
      <c r="O1613" t="str">
        <f t="shared" si="25"/>
        <v>No</v>
      </c>
    </row>
    <row r="1614" spans="1:15" x14ac:dyDescent="0.25">
      <c r="A1614" t="s">
        <v>1675</v>
      </c>
      <c r="B1614" s="1">
        <v>45779</v>
      </c>
      <c r="C1614" s="2">
        <v>45779.078333333331</v>
      </c>
      <c r="D1614" t="s">
        <v>38</v>
      </c>
      <c r="E1614" t="s">
        <v>16</v>
      </c>
      <c r="F1614" t="s">
        <v>43</v>
      </c>
      <c r="G1614" t="s">
        <v>51</v>
      </c>
      <c r="H1614" t="s">
        <v>44</v>
      </c>
      <c r="I1614" t="s">
        <v>45</v>
      </c>
      <c r="J1614" t="s">
        <v>46</v>
      </c>
      <c r="K1614">
        <v>8</v>
      </c>
      <c r="L1614">
        <v>1.88</v>
      </c>
      <c r="M1614">
        <v>3.5</v>
      </c>
      <c r="N1614" t="s">
        <v>22</v>
      </c>
      <c r="O1614" t="str">
        <f t="shared" si="25"/>
        <v>No</v>
      </c>
    </row>
    <row r="1615" spans="1:15" x14ac:dyDescent="0.25">
      <c r="A1615" t="s">
        <v>1676</v>
      </c>
      <c r="B1615" s="1">
        <v>45783</v>
      </c>
      <c r="C1615" s="2">
        <v>45783.404583333337</v>
      </c>
      <c r="D1615" t="s">
        <v>24</v>
      </c>
      <c r="E1615" t="s">
        <v>39</v>
      </c>
      <c r="F1615" t="s">
        <v>78</v>
      </c>
      <c r="G1615" t="s">
        <v>34</v>
      </c>
      <c r="H1615" t="s">
        <v>54</v>
      </c>
      <c r="I1615" t="s">
        <v>36</v>
      </c>
      <c r="J1615" t="s">
        <v>21</v>
      </c>
      <c r="K1615">
        <v>24</v>
      </c>
      <c r="L1615">
        <v>9.7100000000000009</v>
      </c>
      <c r="M1615">
        <v>4.4000000000000004</v>
      </c>
      <c r="N1615" t="s">
        <v>22</v>
      </c>
      <c r="O1615" t="str">
        <f t="shared" si="25"/>
        <v>No</v>
      </c>
    </row>
    <row r="1616" spans="1:15" x14ac:dyDescent="0.25">
      <c r="A1616" t="s">
        <v>1677</v>
      </c>
      <c r="B1616" s="1">
        <v>45668</v>
      </c>
      <c r="C1616" s="2">
        <v>45668.380416666667</v>
      </c>
      <c r="D1616" t="s">
        <v>38</v>
      </c>
      <c r="E1616" t="s">
        <v>39</v>
      </c>
      <c r="F1616" t="s">
        <v>78</v>
      </c>
      <c r="G1616" t="s">
        <v>41</v>
      </c>
      <c r="H1616" t="s">
        <v>65</v>
      </c>
      <c r="I1616" t="s">
        <v>45</v>
      </c>
      <c r="J1616" t="s">
        <v>21</v>
      </c>
      <c r="K1616">
        <v>8</v>
      </c>
      <c r="L1616">
        <v>9.1300000000000008</v>
      </c>
      <c r="M1616">
        <v>3.7</v>
      </c>
      <c r="N1616" t="s">
        <v>22</v>
      </c>
      <c r="O1616" t="str">
        <f t="shared" si="25"/>
        <v>Yes</v>
      </c>
    </row>
    <row r="1617" spans="1:15" x14ac:dyDescent="0.25">
      <c r="A1617" t="s">
        <v>1678</v>
      </c>
      <c r="B1617" s="1">
        <v>45689</v>
      </c>
      <c r="C1617" s="2">
        <v>45689.645833333336</v>
      </c>
      <c r="D1617" t="s">
        <v>15</v>
      </c>
      <c r="E1617" t="s">
        <v>25</v>
      </c>
      <c r="F1617" t="s">
        <v>48</v>
      </c>
      <c r="G1617" t="s">
        <v>41</v>
      </c>
      <c r="H1617" t="s">
        <v>65</v>
      </c>
      <c r="I1617" t="s">
        <v>36</v>
      </c>
      <c r="J1617" t="s">
        <v>21</v>
      </c>
      <c r="K1617">
        <v>48</v>
      </c>
      <c r="L1617">
        <v>15.5</v>
      </c>
      <c r="M1617">
        <v>3.9</v>
      </c>
      <c r="N1617" t="s">
        <v>61</v>
      </c>
      <c r="O1617" t="str">
        <f t="shared" si="25"/>
        <v>No</v>
      </c>
    </row>
    <row r="1618" spans="1:15" x14ac:dyDescent="0.25">
      <c r="A1618" t="s">
        <v>1679</v>
      </c>
      <c r="B1618" s="1">
        <v>45801</v>
      </c>
      <c r="C1618" s="2">
        <v>45802.469166666669</v>
      </c>
      <c r="D1618" t="s">
        <v>24</v>
      </c>
      <c r="E1618" t="s">
        <v>32</v>
      </c>
      <c r="F1618" t="s">
        <v>64</v>
      </c>
      <c r="G1618" t="s">
        <v>56</v>
      </c>
      <c r="H1618" t="s">
        <v>19</v>
      </c>
      <c r="I1618" t="s">
        <v>36</v>
      </c>
      <c r="J1618" t="s">
        <v>21</v>
      </c>
      <c r="K1618">
        <v>24</v>
      </c>
      <c r="L1618">
        <v>35.26</v>
      </c>
      <c r="M1618">
        <v>3.1</v>
      </c>
      <c r="N1618" t="s">
        <v>22</v>
      </c>
      <c r="O1618" t="str">
        <f t="shared" si="25"/>
        <v>Yes</v>
      </c>
    </row>
    <row r="1619" spans="1:15" x14ac:dyDescent="0.25">
      <c r="A1619" t="s">
        <v>1680</v>
      </c>
      <c r="B1619" s="1">
        <v>45749</v>
      </c>
      <c r="C1619" s="2">
        <v>45749.179166666669</v>
      </c>
      <c r="D1619" t="s">
        <v>38</v>
      </c>
      <c r="E1619" t="s">
        <v>16</v>
      </c>
      <c r="F1619" t="s">
        <v>43</v>
      </c>
      <c r="G1619" t="s">
        <v>41</v>
      </c>
      <c r="H1619" t="s">
        <v>27</v>
      </c>
      <c r="I1619" t="s">
        <v>45</v>
      </c>
      <c r="J1619" t="s">
        <v>21</v>
      </c>
      <c r="K1619">
        <v>8</v>
      </c>
      <c r="L1619">
        <v>4.3</v>
      </c>
      <c r="M1619">
        <v>4.7</v>
      </c>
      <c r="N1619" t="s">
        <v>22</v>
      </c>
      <c r="O1619" t="str">
        <f t="shared" si="25"/>
        <v>No</v>
      </c>
    </row>
    <row r="1620" spans="1:15" x14ac:dyDescent="0.25">
      <c r="A1620" t="s">
        <v>1681</v>
      </c>
      <c r="B1620" s="1">
        <v>45679</v>
      </c>
      <c r="C1620" s="2">
        <v>45679.612500000003</v>
      </c>
      <c r="D1620" t="s">
        <v>24</v>
      </c>
      <c r="E1620" t="s">
        <v>16</v>
      </c>
      <c r="F1620" t="s">
        <v>58</v>
      </c>
      <c r="G1620" t="s">
        <v>18</v>
      </c>
      <c r="H1620" t="s">
        <v>35</v>
      </c>
      <c r="I1620" t="s">
        <v>45</v>
      </c>
      <c r="J1620" t="s">
        <v>21</v>
      </c>
      <c r="K1620">
        <v>24</v>
      </c>
      <c r="L1620">
        <v>14.7</v>
      </c>
      <c r="M1620">
        <v>3.7</v>
      </c>
      <c r="N1620" t="s">
        <v>22</v>
      </c>
      <c r="O1620" t="str">
        <f t="shared" si="25"/>
        <v>No</v>
      </c>
    </row>
    <row r="1621" spans="1:15" x14ac:dyDescent="0.25">
      <c r="A1621" t="s">
        <v>1682</v>
      </c>
      <c r="B1621" s="1">
        <v>45837</v>
      </c>
      <c r="C1621" s="2">
        <v>45837.275000000001</v>
      </c>
      <c r="D1621" t="s">
        <v>24</v>
      </c>
      <c r="E1621" t="s">
        <v>25</v>
      </c>
      <c r="F1621" t="s">
        <v>70</v>
      </c>
      <c r="G1621" t="s">
        <v>41</v>
      </c>
      <c r="H1621" t="s">
        <v>65</v>
      </c>
      <c r="I1621" t="s">
        <v>36</v>
      </c>
      <c r="J1621" t="s">
        <v>21</v>
      </c>
      <c r="K1621">
        <v>24</v>
      </c>
      <c r="L1621">
        <v>6.6</v>
      </c>
      <c r="M1621">
        <v>4.8</v>
      </c>
      <c r="N1621" t="s">
        <v>22</v>
      </c>
      <c r="O1621" t="str">
        <f t="shared" si="25"/>
        <v>No</v>
      </c>
    </row>
    <row r="1622" spans="1:15" x14ac:dyDescent="0.25">
      <c r="A1622" t="s">
        <v>1683</v>
      </c>
      <c r="B1622" s="1">
        <v>45705</v>
      </c>
      <c r="C1622" s="2">
        <v>45705.139166666668</v>
      </c>
      <c r="D1622" t="s">
        <v>31</v>
      </c>
      <c r="E1622" t="s">
        <v>16</v>
      </c>
      <c r="F1622" t="s">
        <v>17</v>
      </c>
      <c r="G1622" t="s">
        <v>34</v>
      </c>
      <c r="H1622" t="s">
        <v>19</v>
      </c>
      <c r="I1622" t="s">
        <v>20</v>
      </c>
      <c r="J1622" t="s">
        <v>21</v>
      </c>
      <c r="K1622">
        <v>4</v>
      </c>
      <c r="L1622">
        <v>3.34</v>
      </c>
      <c r="M1622">
        <v>3.4</v>
      </c>
      <c r="N1622" t="s">
        <v>22</v>
      </c>
      <c r="O1622" t="str">
        <f t="shared" si="25"/>
        <v>No</v>
      </c>
    </row>
    <row r="1623" spans="1:15" x14ac:dyDescent="0.25">
      <c r="A1623" t="s">
        <v>1684</v>
      </c>
      <c r="B1623" s="1">
        <v>45658</v>
      </c>
      <c r="C1623" s="2">
        <v>45658.041666666664</v>
      </c>
      <c r="D1623" t="s">
        <v>38</v>
      </c>
      <c r="E1623" t="s">
        <v>45</v>
      </c>
      <c r="F1623" t="s">
        <v>104</v>
      </c>
      <c r="G1623" t="s">
        <v>51</v>
      </c>
      <c r="H1623" t="s">
        <v>65</v>
      </c>
      <c r="I1623" t="s">
        <v>36</v>
      </c>
      <c r="J1623" t="s">
        <v>85</v>
      </c>
      <c r="K1623">
        <v>8</v>
      </c>
      <c r="L1623">
        <v>1</v>
      </c>
      <c r="M1623">
        <v>4</v>
      </c>
      <c r="N1623" t="s">
        <v>22</v>
      </c>
      <c r="O1623" t="str">
        <f t="shared" si="25"/>
        <v>No</v>
      </c>
    </row>
    <row r="1624" spans="1:15" x14ac:dyDescent="0.25">
      <c r="A1624" t="s">
        <v>1685</v>
      </c>
      <c r="B1624" s="1">
        <v>45825</v>
      </c>
      <c r="C1624" s="2">
        <v>45825.137499999997</v>
      </c>
      <c r="D1624" t="s">
        <v>38</v>
      </c>
      <c r="E1624" t="s">
        <v>25</v>
      </c>
      <c r="F1624" t="s">
        <v>70</v>
      </c>
      <c r="G1624" t="s">
        <v>41</v>
      </c>
      <c r="H1624" t="s">
        <v>65</v>
      </c>
      <c r="I1624" t="s">
        <v>36</v>
      </c>
      <c r="J1624" t="s">
        <v>21</v>
      </c>
      <c r="K1624">
        <v>8</v>
      </c>
      <c r="L1624">
        <v>3.3</v>
      </c>
      <c r="M1624">
        <v>4.9000000000000004</v>
      </c>
      <c r="N1624" t="s">
        <v>22</v>
      </c>
      <c r="O1624" t="str">
        <f t="shared" si="25"/>
        <v>No</v>
      </c>
    </row>
    <row r="1625" spans="1:15" x14ac:dyDescent="0.25">
      <c r="A1625" t="s">
        <v>1686</v>
      </c>
      <c r="B1625" s="1">
        <v>45661</v>
      </c>
      <c r="C1625" s="2">
        <v>45661.276250000003</v>
      </c>
      <c r="D1625" t="s">
        <v>24</v>
      </c>
      <c r="E1625" t="s">
        <v>39</v>
      </c>
      <c r="F1625" t="s">
        <v>119</v>
      </c>
      <c r="G1625" t="s">
        <v>51</v>
      </c>
      <c r="H1625" t="s">
        <v>65</v>
      </c>
      <c r="I1625" t="s">
        <v>28</v>
      </c>
      <c r="J1625" t="s">
        <v>21</v>
      </c>
      <c r="K1625">
        <v>24</v>
      </c>
      <c r="L1625">
        <v>6.63</v>
      </c>
      <c r="M1625">
        <v>5</v>
      </c>
      <c r="N1625" t="s">
        <v>22</v>
      </c>
      <c r="O1625" t="str">
        <f t="shared" si="25"/>
        <v>No</v>
      </c>
    </row>
    <row r="1626" spans="1:15" x14ac:dyDescent="0.25">
      <c r="A1626" t="s">
        <v>1687</v>
      </c>
      <c r="B1626" s="1">
        <v>45758</v>
      </c>
      <c r="C1626" s="2">
        <v>45758.025000000001</v>
      </c>
      <c r="D1626" t="s">
        <v>31</v>
      </c>
      <c r="E1626" t="s">
        <v>25</v>
      </c>
      <c r="F1626" t="s">
        <v>70</v>
      </c>
      <c r="G1626" t="s">
        <v>51</v>
      </c>
      <c r="H1626" t="s">
        <v>65</v>
      </c>
      <c r="I1626" t="s">
        <v>28</v>
      </c>
      <c r="J1626" t="s">
        <v>29</v>
      </c>
      <c r="K1626">
        <v>4</v>
      </c>
      <c r="L1626">
        <v>0.6</v>
      </c>
      <c r="M1626">
        <v>4.0999999999999996</v>
      </c>
      <c r="N1626" t="s">
        <v>22</v>
      </c>
      <c r="O1626" t="str">
        <f t="shared" si="25"/>
        <v>No</v>
      </c>
    </row>
    <row r="1627" spans="1:15" x14ac:dyDescent="0.25">
      <c r="A1627" t="s">
        <v>1688</v>
      </c>
      <c r="B1627" s="1">
        <v>45837</v>
      </c>
      <c r="C1627" s="2">
        <v>45838.524155092593</v>
      </c>
      <c r="D1627" t="s">
        <v>15</v>
      </c>
      <c r="E1627" t="s">
        <v>45</v>
      </c>
      <c r="F1627" t="s">
        <v>112</v>
      </c>
      <c r="G1627" t="s">
        <v>18</v>
      </c>
      <c r="H1627" t="s">
        <v>54</v>
      </c>
      <c r="I1627" t="s">
        <v>36</v>
      </c>
      <c r="J1627" t="s">
        <v>85</v>
      </c>
      <c r="K1627">
        <v>48</v>
      </c>
      <c r="L1627">
        <v>36.58</v>
      </c>
      <c r="M1627">
        <v>4.7</v>
      </c>
      <c r="N1627" t="s">
        <v>22</v>
      </c>
      <c r="O1627" t="str">
        <f t="shared" si="25"/>
        <v>No</v>
      </c>
    </row>
    <row r="1628" spans="1:15" x14ac:dyDescent="0.25">
      <c r="A1628" t="s">
        <v>1689</v>
      </c>
      <c r="B1628" s="1">
        <v>45762</v>
      </c>
      <c r="C1628" s="2">
        <v>45762.426249999997</v>
      </c>
      <c r="D1628" t="s">
        <v>24</v>
      </c>
      <c r="E1628" t="s">
        <v>32</v>
      </c>
      <c r="F1628" t="s">
        <v>64</v>
      </c>
      <c r="G1628" t="s">
        <v>34</v>
      </c>
      <c r="H1628" t="s">
        <v>44</v>
      </c>
      <c r="I1628" t="s">
        <v>36</v>
      </c>
      <c r="J1628" t="s">
        <v>46</v>
      </c>
      <c r="K1628">
        <v>24</v>
      </c>
      <c r="L1628">
        <v>10.23</v>
      </c>
      <c r="M1628">
        <v>4.5</v>
      </c>
      <c r="N1628" t="s">
        <v>22</v>
      </c>
      <c r="O1628" t="str">
        <f t="shared" si="25"/>
        <v>No</v>
      </c>
    </row>
    <row r="1629" spans="1:15" x14ac:dyDescent="0.25">
      <c r="A1629" t="s">
        <v>1690</v>
      </c>
      <c r="B1629" s="1">
        <v>45763</v>
      </c>
      <c r="C1629" s="2">
        <v>45763.521666666667</v>
      </c>
      <c r="D1629" t="s">
        <v>24</v>
      </c>
      <c r="E1629" t="s">
        <v>16</v>
      </c>
      <c r="F1629" t="s">
        <v>17</v>
      </c>
      <c r="G1629" t="s">
        <v>34</v>
      </c>
      <c r="H1629" t="s">
        <v>65</v>
      </c>
      <c r="I1629" t="s">
        <v>20</v>
      </c>
      <c r="J1629" t="s">
        <v>21</v>
      </c>
      <c r="K1629">
        <v>24</v>
      </c>
      <c r="L1629">
        <v>12.52</v>
      </c>
      <c r="M1629">
        <v>2.9</v>
      </c>
      <c r="N1629" t="s">
        <v>22</v>
      </c>
      <c r="O1629" t="str">
        <f t="shared" si="25"/>
        <v>No</v>
      </c>
    </row>
    <row r="1630" spans="1:15" x14ac:dyDescent="0.25">
      <c r="A1630" t="s">
        <v>1691</v>
      </c>
      <c r="B1630" s="1">
        <v>45728</v>
      </c>
      <c r="C1630" s="2">
        <v>45728.095833333333</v>
      </c>
      <c r="D1630" t="s">
        <v>38</v>
      </c>
      <c r="E1630" t="s">
        <v>39</v>
      </c>
      <c r="F1630" t="s">
        <v>87</v>
      </c>
      <c r="G1630" t="s">
        <v>34</v>
      </c>
      <c r="H1630" t="s">
        <v>35</v>
      </c>
      <c r="I1630" t="s">
        <v>45</v>
      </c>
      <c r="J1630" t="s">
        <v>46</v>
      </c>
      <c r="K1630">
        <v>8</v>
      </c>
      <c r="L1630">
        <v>2.2999999999999998</v>
      </c>
      <c r="M1630">
        <v>3.7</v>
      </c>
      <c r="N1630" t="s">
        <v>61</v>
      </c>
      <c r="O1630" t="str">
        <f t="shared" si="25"/>
        <v>No</v>
      </c>
    </row>
    <row r="1631" spans="1:15" x14ac:dyDescent="0.25">
      <c r="A1631" t="s">
        <v>1692</v>
      </c>
      <c r="B1631" s="1">
        <v>45680</v>
      </c>
      <c r="C1631" s="2">
        <v>45680.292083333334</v>
      </c>
      <c r="D1631" t="s">
        <v>38</v>
      </c>
      <c r="E1631" t="s">
        <v>16</v>
      </c>
      <c r="F1631" t="s">
        <v>43</v>
      </c>
      <c r="G1631" t="s">
        <v>41</v>
      </c>
      <c r="H1631" t="s">
        <v>44</v>
      </c>
      <c r="I1631" t="s">
        <v>36</v>
      </c>
      <c r="J1631" t="s">
        <v>46</v>
      </c>
      <c r="K1631">
        <v>8</v>
      </c>
      <c r="L1631">
        <v>7.01</v>
      </c>
      <c r="M1631">
        <v>4.3</v>
      </c>
      <c r="N1631" t="s">
        <v>22</v>
      </c>
      <c r="O1631" t="str">
        <f t="shared" si="25"/>
        <v>No</v>
      </c>
    </row>
    <row r="1632" spans="1:15" x14ac:dyDescent="0.25">
      <c r="A1632" t="s">
        <v>1693</v>
      </c>
      <c r="B1632" s="1">
        <v>45761</v>
      </c>
      <c r="C1632" s="2">
        <v>45761.195416666669</v>
      </c>
      <c r="D1632" t="s">
        <v>38</v>
      </c>
      <c r="E1632" t="s">
        <v>32</v>
      </c>
      <c r="F1632" t="s">
        <v>80</v>
      </c>
      <c r="G1632" t="s">
        <v>56</v>
      </c>
      <c r="H1632" t="s">
        <v>27</v>
      </c>
      <c r="I1632" t="s">
        <v>36</v>
      </c>
      <c r="J1632" t="s">
        <v>46</v>
      </c>
      <c r="K1632">
        <v>8</v>
      </c>
      <c r="L1632">
        <v>4.6900000000000004</v>
      </c>
      <c r="M1632">
        <v>3.2</v>
      </c>
      <c r="N1632" t="s">
        <v>22</v>
      </c>
      <c r="O1632" t="str">
        <f t="shared" si="25"/>
        <v>No</v>
      </c>
    </row>
    <row r="1633" spans="1:15" x14ac:dyDescent="0.25">
      <c r="A1633" t="s">
        <v>1694</v>
      </c>
      <c r="B1633" s="1">
        <v>45820</v>
      </c>
      <c r="C1633" s="2">
        <v>45821.282500000001</v>
      </c>
      <c r="D1633" t="s">
        <v>24</v>
      </c>
      <c r="E1633" t="s">
        <v>25</v>
      </c>
      <c r="F1633" t="s">
        <v>70</v>
      </c>
      <c r="G1633" t="s">
        <v>51</v>
      </c>
      <c r="H1633" t="s">
        <v>35</v>
      </c>
      <c r="I1633" t="s">
        <v>36</v>
      </c>
      <c r="J1633" t="s">
        <v>21</v>
      </c>
      <c r="K1633">
        <v>24</v>
      </c>
      <c r="L1633">
        <v>30.78</v>
      </c>
      <c r="M1633">
        <v>3.1</v>
      </c>
      <c r="N1633" t="s">
        <v>22</v>
      </c>
      <c r="O1633" t="str">
        <f t="shared" si="25"/>
        <v>Yes</v>
      </c>
    </row>
    <row r="1634" spans="1:15" x14ac:dyDescent="0.25">
      <c r="A1634" t="s">
        <v>1695</v>
      </c>
      <c r="B1634" s="1">
        <v>45674</v>
      </c>
      <c r="C1634" s="2">
        <v>45674.302083333336</v>
      </c>
      <c r="D1634" t="s">
        <v>24</v>
      </c>
      <c r="E1634" t="s">
        <v>39</v>
      </c>
      <c r="F1634" t="s">
        <v>78</v>
      </c>
      <c r="G1634" t="s">
        <v>56</v>
      </c>
      <c r="H1634" t="s">
        <v>27</v>
      </c>
      <c r="I1634" t="s">
        <v>20</v>
      </c>
      <c r="J1634" t="s">
        <v>21</v>
      </c>
      <c r="K1634">
        <v>24</v>
      </c>
      <c r="L1634">
        <v>7.25</v>
      </c>
      <c r="M1634">
        <v>4.5999999999999996</v>
      </c>
      <c r="N1634" t="s">
        <v>22</v>
      </c>
      <c r="O1634" t="str">
        <f t="shared" si="25"/>
        <v>No</v>
      </c>
    </row>
    <row r="1635" spans="1:15" x14ac:dyDescent="0.25">
      <c r="A1635" t="s">
        <v>1696</v>
      </c>
      <c r="B1635" s="1">
        <v>45817</v>
      </c>
      <c r="C1635" s="2">
        <v>45817.300416666665</v>
      </c>
      <c r="D1635" t="s">
        <v>24</v>
      </c>
      <c r="E1635" t="s">
        <v>16</v>
      </c>
      <c r="F1635" t="s">
        <v>60</v>
      </c>
      <c r="G1635" t="s">
        <v>56</v>
      </c>
      <c r="H1635" t="s">
        <v>44</v>
      </c>
      <c r="I1635" t="s">
        <v>45</v>
      </c>
      <c r="J1635" t="s">
        <v>21</v>
      </c>
      <c r="K1635">
        <v>24</v>
      </c>
      <c r="L1635">
        <v>7.21</v>
      </c>
      <c r="M1635">
        <v>4.9000000000000004</v>
      </c>
      <c r="N1635" t="s">
        <v>22</v>
      </c>
      <c r="O1635" t="str">
        <f t="shared" si="25"/>
        <v>No</v>
      </c>
    </row>
    <row r="1636" spans="1:15" x14ac:dyDescent="0.25">
      <c r="A1636" t="s">
        <v>1697</v>
      </c>
      <c r="B1636" s="1">
        <v>45733</v>
      </c>
      <c r="C1636" s="2">
        <v>45733.71125</v>
      </c>
      <c r="D1636" t="s">
        <v>24</v>
      </c>
      <c r="E1636" t="s">
        <v>32</v>
      </c>
      <c r="F1636" t="s">
        <v>75</v>
      </c>
      <c r="G1636" t="s">
        <v>18</v>
      </c>
      <c r="H1636" t="s">
        <v>44</v>
      </c>
      <c r="I1636" t="s">
        <v>36</v>
      </c>
      <c r="J1636" t="s">
        <v>46</v>
      </c>
      <c r="K1636">
        <v>24</v>
      </c>
      <c r="L1636">
        <v>17.07</v>
      </c>
      <c r="M1636">
        <v>4.3</v>
      </c>
      <c r="N1636" t="s">
        <v>22</v>
      </c>
      <c r="O1636" t="str">
        <f t="shared" si="25"/>
        <v>No</v>
      </c>
    </row>
    <row r="1637" spans="1:15" x14ac:dyDescent="0.25">
      <c r="A1637" t="s">
        <v>1698</v>
      </c>
      <c r="B1637" s="1">
        <v>45755</v>
      </c>
      <c r="C1637" s="2">
        <v>45757.74</v>
      </c>
      <c r="D1637" t="s">
        <v>15</v>
      </c>
      <c r="E1637" t="s">
        <v>16</v>
      </c>
      <c r="F1637" t="s">
        <v>60</v>
      </c>
      <c r="G1637" t="s">
        <v>56</v>
      </c>
      <c r="H1637" t="s">
        <v>19</v>
      </c>
      <c r="I1637" t="s">
        <v>36</v>
      </c>
      <c r="J1637" t="s">
        <v>21</v>
      </c>
      <c r="K1637">
        <v>48</v>
      </c>
      <c r="L1637">
        <v>65.760000000000005</v>
      </c>
      <c r="M1637">
        <v>4.4000000000000004</v>
      </c>
      <c r="N1637" t="s">
        <v>22</v>
      </c>
      <c r="O1637" t="str">
        <f t="shared" si="25"/>
        <v>Yes</v>
      </c>
    </row>
    <row r="1638" spans="1:15" x14ac:dyDescent="0.25">
      <c r="A1638" t="s">
        <v>1699</v>
      </c>
      <c r="B1638" s="1">
        <v>45687</v>
      </c>
      <c r="C1638" s="2">
        <v>45687.338333333333</v>
      </c>
      <c r="D1638" t="s">
        <v>24</v>
      </c>
      <c r="E1638" t="s">
        <v>16</v>
      </c>
      <c r="F1638" t="s">
        <v>60</v>
      </c>
      <c r="G1638" t="s">
        <v>51</v>
      </c>
      <c r="H1638" t="s">
        <v>35</v>
      </c>
      <c r="I1638" t="s">
        <v>36</v>
      </c>
      <c r="J1638" t="s">
        <v>21</v>
      </c>
      <c r="K1638">
        <v>24</v>
      </c>
      <c r="L1638">
        <v>8.1199999999999992</v>
      </c>
      <c r="M1638">
        <v>4.0999999999999996</v>
      </c>
      <c r="N1638" t="s">
        <v>61</v>
      </c>
      <c r="O1638" t="str">
        <f t="shared" si="25"/>
        <v>No</v>
      </c>
    </row>
    <row r="1639" spans="1:15" x14ac:dyDescent="0.25">
      <c r="A1639" t="s">
        <v>1700</v>
      </c>
      <c r="B1639" s="1">
        <v>45770</v>
      </c>
      <c r="C1639" s="2">
        <v>45770.020833333336</v>
      </c>
      <c r="D1639" t="s">
        <v>38</v>
      </c>
      <c r="E1639" t="s">
        <v>16</v>
      </c>
      <c r="F1639" t="s">
        <v>17</v>
      </c>
      <c r="G1639" t="s">
        <v>41</v>
      </c>
      <c r="H1639" t="s">
        <v>27</v>
      </c>
      <c r="I1639" t="s">
        <v>20</v>
      </c>
      <c r="J1639" t="s">
        <v>46</v>
      </c>
      <c r="K1639">
        <v>8</v>
      </c>
      <c r="L1639">
        <v>0.5</v>
      </c>
      <c r="M1639">
        <v>5</v>
      </c>
      <c r="N1639" t="s">
        <v>22</v>
      </c>
      <c r="O1639" t="str">
        <f t="shared" si="25"/>
        <v>No</v>
      </c>
    </row>
    <row r="1640" spans="1:15" x14ac:dyDescent="0.25">
      <c r="A1640" t="s">
        <v>1701</v>
      </c>
      <c r="B1640" s="1">
        <v>45691</v>
      </c>
      <c r="C1640" s="2">
        <v>45691.172500000001</v>
      </c>
      <c r="D1640" t="s">
        <v>24</v>
      </c>
      <c r="E1640" t="s">
        <v>39</v>
      </c>
      <c r="F1640" t="s">
        <v>119</v>
      </c>
      <c r="G1640" t="s">
        <v>51</v>
      </c>
      <c r="H1640" t="s">
        <v>19</v>
      </c>
      <c r="I1640" t="s">
        <v>20</v>
      </c>
      <c r="J1640" t="s">
        <v>29</v>
      </c>
      <c r="K1640">
        <v>24</v>
      </c>
      <c r="L1640">
        <v>4.1399999999999997</v>
      </c>
      <c r="M1640">
        <v>5</v>
      </c>
      <c r="N1640" t="s">
        <v>61</v>
      </c>
      <c r="O1640" t="str">
        <f t="shared" si="25"/>
        <v>No</v>
      </c>
    </row>
    <row r="1641" spans="1:15" x14ac:dyDescent="0.25">
      <c r="A1641" t="s">
        <v>1702</v>
      </c>
      <c r="B1641" s="1">
        <v>45707</v>
      </c>
      <c r="C1641" s="2">
        <v>45707.380416666667</v>
      </c>
      <c r="D1641" t="s">
        <v>38</v>
      </c>
      <c r="E1641" t="s">
        <v>32</v>
      </c>
      <c r="F1641" t="s">
        <v>80</v>
      </c>
      <c r="G1641" t="s">
        <v>51</v>
      </c>
      <c r="H1641" t="s">
        <v>44</v>
      </c>
      <c r="I1641" t="s">
        <v>45</v>
      </c>
      <c r="J1641" t="s">
        <v>29</v>
      </c>
      <c r="K1641">
        <v>8</v>
      </c>
      <c r="L1641">
        <v>9.1300000000000008</v>
      </c>
      <c r="M1641">
        <v>4.0999999999999996</v>
      </c>
      <c r="N1641" t="s">
        <v>22</v>
      </c>
      <c r="O1641" t="str">
        <f t="shared" si="25"/>
        <v>Yes</v>
      </c>
    </row>
    <row r="1642" spans="1:15" x14ac:dyDescent="0.25">
      <c r="A1642" t="s">
        <v>1703</v>
      </c>
      <c r="B1642" s="1">
        <v>45788</v>
      </c>
      <c r="C1642" s="2">
        <v>45788.399155092593</v>
      </c>
      <c r="D1642" t="s">
        <v>24</v>
      </c>
      <c r="E1642" t="s">
        <v>39</v>
      </c>
      <c r="F1642" t="s">
        <v>40</v>
      </c>
      <c r="G1642" t="s">
        <v>41</v>
      </c>
      <c r="H1642" t="s">
        <v>44</v>
      </c>
      <c r="I1642" t="s">
        <v>20</v>
      </c>
      <c r="J1642" t="s">
        <v>46</v>
      </c>
      <c r="K1642">
        <v>24</v>
      </c>
      <c r="L1642">
        <v>9.58</v>
      </c>
      <c r="M1642">
        <v>5</v>
      </c>
      <c r="N1642" t="s">
        <v>22</v>
      </c>
      <c r="O1642" t="str">
        <f t="shared" si="25"/>
        <v>No</v>
      </c>
    </row>
    <row r="1643" spans="1:15" x14ac:dyDescent="0.25">
      <c r="A1643" t="s">
        <v>1704</v>
      </c>
      <c r="B1643" s="1">
        <v>45667</v>
      </c>
      <c r="C1643" s="2">
        <v>45668.564166666663</v>
      </c>
      <c r="D1643" t="s">
        <v>24</v>
      </c>
      <c r="E1643" t="s">
        <v>45</v>
      </c>
      <c r="F1643" t="s">
        <v>112</v>
      </c>
      <c r="G1643" t="s">
        <v>51</v>
      </c>
      <c r="H1643" t="s">
        <v>19</v>
      </c>
      <c r="I1643" t="s">
        <v>36</v>
      </c>
      <c r="J1643" t="s">
        <v>21</v>
      </c>
      <c r="K1643">
        <v>24</v>
      </c>
      <c r="L1643">
        <v>37.54</v>
      </c>
      <c r="M1643">
        <v>2.8</v>
      </c>
      <c r="N1643" t="s">
        <v>22</v>
      </c>
      <c r="O1643" t="str">
        <f t="shared" si="25"/>
        <v>Yes</v>
      </c>
    </row>
    <row r="1644" spans="1:15" x14ac:dyDescent="0.25">
      <c r="A1644" t="s">
        <v>1705</v>
      </c>
      <c r="B1644" s="1">
        <v>45738</v>
      </c>
      <c r="C1644" s="2">
        <v>45738.398738425924</v>
      </c>
      <c r="D1644" t="s">
        <v>15</v>
      </c>
      <c r="E1644" t="s">
        <v>32</v>
      </c>
      <c r="F1644" t="s">
        <v>75</v>
      </c>
      <c r="G1644" t="s">
        <v>56</v>
      </c>
      <c r="H1644" t="s">
        <v>35</v>
      </c>
      <c r="I1644" t="s">
        <v>45</v>
      </c>
      <c r="J1644" t="s">
        <v>29</v>
      </c>
      <c r="K1644">
        <v>48</v>
      </c>
      <c r="L1644">
        <v>9.57</v>
      </c>
      <c r="M1644">
        <v>5</v>
      </c>
      <c r="N1644" t="s">
        <v>22</v>
      </c>
      <c r="O1644" t="str">
        <f t="shared" si="25"/>
        <v>No</v>
      </c>
    </row>
    <row r="1645" spans="1:15" x14ac:dyDescent="0.25">
      <c r="A1645" t="s">
        <v>1706</v>
      </c>
      <c r="B1645" s="1">
        <v>45765</v>
      </c>
      <c r="C1645" s="2">
        <v>45765.714999999997</v>
      </c>
      <c r="D1645" t="s">
        <v>24</v>
      </c>
      <c r="E1645" t="s">
        <v>16</v>
      </c>
      <c r="F1645" t="s">
        <v>43</v>
      </c>
      <c r="G1645" t="s">
        <v>18</v>
      </c>
      <c r="H1645" t="s">
        <v>54</v>
      </c>
      <c r="I1645" t="s">
        <v>36</v>
      </c>
      <c r="J1645" t="s">
        <v>21</v>
      </c>
      <c r="K1645">
        <v>24</v>
      </c>
      <c r="L1645">
        <v>17.16</v>
      </c>
      <c r="M1645">
        <v>3.5</v>
      </c>
      <c r="N1645" t="s">
        <v>22</v>
      </c>
      <c r="O1645" t="str">
        <f t="shared" si="25"/>
        <v>No</v>
      </c>
    </row>
    <row r="1646" spans="1:15" x14ac:dyDescent="0.25">
      <c r="A1646" t="s">
        <v>1707</v>
      </c>
      <c r="B1646" s="1">
        <v>45681</v>
      </c>
      <c r="C1646" s="2">
        <v>45681.725416666668</v>
      </c>
      <c r="D1646" t="s">
        <v>24</v>
      </c>
      <c r="E1646" t="s">
        <v>32</v>
      </c>
      <c r="F1646" t="s">
        <v>80</v>
      </c>
      <c r="G1646" t="s">
        <v>56</v>
      </c>
      <c r="H1646" t="s">
        <v>27</v>
      </c>
      <c r="I1646" t="s">
        <v>36</v>
      </c>
      <c r="J1646" t="s">
        <v>21</v>
      </c>
      <c r="K1646">
        <v>24</v>
      </c>
      <c r="L1646">
        <v>17.41</v>
      </c>
      <c r="M1646">
        <v>4.0999999999999996</v>
      </c>
      <c r="N1646" t="s">
        <v>22</v>
      </c>
      <c r="O1646" t="str">
        <f t="shared" si="25"/>
        <v>No</v>
      </c>
    </row>
    <row r="1647" spans="1:15" x14ac:dyDescent="0.25">
      <c r="A1647" t="s">
        <v>1708</v>
      </c>
      <c r="B1647" s="1">
        <v>45711</v>
      </c>
      <c r="C1647" s="2">
        <v>45711.269166666665</v>
      </c>
      <c r="D1647" t="s">
        <v>15</v>
      </c>
      <c r="E1647" t="s">
        <v>16</v>
      </c>
      <c r="F1647" t="s">
        <v>17</v>
      </c>
      <c r="G1647" t="s">
        <v>56</v>
      </c>
      <c r="H1647" t="s">
        <v>35</v>
      </c>
      <c r="I1647" t="s">
        <v>45</v>
      </c>
      <c r="J1647" t="s">
        <v>21</v>
      </c>
      <c r="K1647">
        <v>48</v>
      </c>
      <c r="L1647">
        <v>6.46</v>
      </c>
      <c r="M1647">
        <v>5</v>
      </c>
      <c r="N1647" t="s">
        <v>22</v>
      </c>
      <c r="O1647" t="str">
        <f t="shared" si="25"/>
        <v>No</v>
      </c>
    </row>
    <row r="1648" spans="1:15" x14ac:dyDescent="0.25">
      <c r="A1648" t="s">
        <v>1709</v>
      </c>
      <c r="B1648" s="1">
        <v>45720</v>
      </c>
      <c r="C1648" s="2">
        <v>45720.275416666664</v>
      </c>
      <c r="D1648" t="s">
        <v>15</v>
      </c>
      <c r="E1648" t="s">
        <v>32</v>
      </c>
      <c r="F1648" t="s">
        <v>64</v>
      </c>
      <c r="G1648" t="s">
        <v>18</v>
      </c>
      <c r="H1648" t="s">
        <v>54</v>
      </c>
      <c r="I1648" t="s">
        <v>20</v>
      </c>
      <c r="J1648" t="s">
        <v>46</v>
      </c>
      <c r="K1648">
        <v>48</v>
      </c>
      <c r="L1648">
        <v>6.61</v>
      </c>
      <c r="M1648">
        <v>5</v>
      </c>
      <c r="N1648" t="s">
        <v>22</v>
      </c>
      <c r="O1648" t="str">
        <f t="shared" si="25"/>
        <v>No</v>
      </c>
    </row>
    <row r="1649" spans="1:15" x14ac:dyDescent="0.25">
      <c r="A1649" t="s">
        <v>1710</v>
      </c>
      <c r="B1649" s="1">
        <v>45778</v>
      </c>
      <c r="C1649" s="2">
        <v>45778.410833333335</v>
      </c>
      <c r="D1649" t="s">
        <v>24</v>
      </c>
      <c r="E1649" t="s">
        <v>39</v>
      </c>
      <c r="F1649" t="s">
        <v>78</v>
      </c>
      <c r="G1649" t="s">
        <v>51</v>
      </c>
      <c r="H1649" t="s">
        <v>27</v>
      </c>
      <c r="I1649" t="s">
        <v>36</v>
      </c>
      <c r="J1649" t="s">
        <v>21</v>
      </c>
      <c r="K1649">
        <v>24</v>
      </c>
      <c r="L1649">
        <v>9.86</v>
      </c>
      <c r="M1649">
        <v>4.9000000000000004</v>
      </c>
      <c r="N1649" t="s">
        <v>22</v>
      </c>
      <c r="O1649" t="str">
        <f t="shared" si="25"/>
        <v>No</v>
      </c>
    </row>
    <row r="1650" spans="1:15" x14ac:dyDescent="0.25">
      <c r="A1650" t="s">
        <v>1711</v>
      </c>
      <c r="B1650" s="1">
        <v>45834</v>
      </c>
      <c r="C1650" s="2">
        <v>45834.76</v>
      </c>
      <c r="D1650" t="s">
        <v>24</v>
      </c>
      <c r="E1650" t="s">
        <v>39</v>
      </c>
      <c r="F1650" t="s">
        <v>40</v>
      </c>
      <c r="G1650" t="s">
        <v>51</v>
      </c>
      <c r="H1650" t="s">
        <v>27</v>
      </c>
      <c r="I1650" t="s">
        <v>45</v>
      </c>
      <c r="J1650" t="s">
        <v>21</v>
      </c>
      <c r="K1650">
        <v>24</v>
      </c>
      <c r="L1650">
        <v>18.239999999999998</v>
      </c>
      <c r="M1650">
        <v>4.0999999999999996</v>
      </c>
      <c r="N1650" t="s">
        <v>22</v>
      </c>
      <c r="O1650" t="str">
        <f t="shared" si="25"/>
        <v>No</v>
      </c>
    </row>
    <row r="1651" spans="1:15" x14ac:dyDescent="0.25">
      <c r="A1651" t="s">
        <v>1712</v>
      </c>
      <c r="B1651" s="1">
        <v>45809</v>
      </c>
      <c r="C1651" s="2">
        <v>45809.650833333333</v>
      </c>
      <c r="D1651" t="s">
        <v>24</v>
      </c>
      <c r="E1651" t="s">
        <v>32</v>
      </c>
      <c r="F1651" t="s">
        <v>64</v>
      </c>
      <c r="G1651" t="s">
        <v>18</v>
      </c>
      <c r="H1651" t="s">
        <v>27</v>
      </c>
      <c r="I1651" t="s">
        <v>20</v>
      </c>
      <c r="J1651" t="s">
        <v>21</v>
      </c>
      <c r="K1651">
        <v>24</v>
      </c>
      <c r="L1651">
        <v>15.62</v>
      </c>
      <c r="M1651">
        <v>4.2</v>
      </c>
      <c r="N1651" t="s">
        <v>61</v>
      </c>
      <c r="O1651" t="str">
        <f t="shared" si="25"/>
        <v>No</v>
      </c>
    </row>
    <row r="1652" spans="1:15" x14ac:dyDescent="0.25">
      <c r="A1652" t="s">
        <v>1713</v>
      </c>
      <c r="B1652" s="1">
        <v>45692</v>
      </c>
      <c r="C1652" s="2">
        <v>45692.877916666665</v>
      </c>
      <c r="D1652" t="s">
        <v>15</v>
      </c>
      <c r="E1652" t="s">
        <v>39</v>
      </c>
      <c r="F1652" t="s">
        <v>40</v>
      </c>
      <c r="G1652" t="s">
        <v>56</v>
      </c>
      <c r="H1652" t="s">
        <v>54</v>
      </c>
      <c r="I1652" t="s">
        <v>20</v>
      </c>
      <c r="J1652" t="s">
        <v>46</v>
      </c>
      <c r="K1652">
        <v>48</v>
      </c>
      <c r="L1652">
        <v>21.07</v>
      </c>
      <c r="M1652">
        <v>4.8</v>
      </c>
      <c r="N1652" t="s">
        <v>22</v>
      </c>
      <c r="O1652" t="str">
        <f t="shared" si="25"/>
        <v>No</v>
      </c>
    </row>
    <row r="1653" spans="1:15" x14ac:dyDescent="0.25">
      <c r="A1653" t="s">
        <v>1714</v>
      </c>
      <c r="B1653" s="1">
        <v>45661</v>
      </c>
      <c r="C1653" s="2">
        <v>45661.426666666666</v>
      </c>
      <c r="D1653" t="s">
        <v>24</v>
      </c>
      <c r="E1653" t="s">
        <v>39</v>
      </c>
      <c r="F1653" t="s">
        <v>119</v>
      </c>
      <c r="G1653" t="s">
        <v>51</v>
      </c>
      <c r="H1653" t="s">
        <v>54</v>
      </c>
      <c r="I1653" t="s">
        <v>45</v>
      </c>
      <c r="J1653" t="s">
        <v>46</v>
      </c>
      <c r="K1653">
        <v>24</v>
      </c>
      <c r="L1653">
        <v>10.24</v>
      </c>
      <c r="M1653">
        <v>5</v>
      </c>
      <c r="N1653" t="s">
        <v>22</v>
      </c>
      <c r="O1653" t="str">
        <f t="shared" si="25"/>
        <v>No</v>
      </c>
    </row>
    <row r="1654" spans="1:15" x14ac:dyDescent="0.25">
      <c r="A1654" t="s">
        <v>1715</v>
      </c>
      <c r="B1654" s="1">
        <v>45667</v>
      </c>
      <c r="C1654" s="2">
        <v>45667.066250000003</v>
      </c>
      <c r="D1654" t="s">
        <v>24</v>
      </c>
      <c r="E1654" t="s">
        <v>16</v>
      </c>
      <c r="F1654" t="s">
        <v>43</v>
      </c>
      <c r="G1654" t="s">
        <v>56</v>
      </c>
      <c r="H1654" t="s">
        <v>35</v>
      </c>
      <c r="I1654" t="s">
        <v>36</v>
      </c>
      <c r="J1654" t="s">
        <v>21</v>
      </c>
      <c r="K1654">
        <v>24</v>
      </c>
      <c r="L1654">
        <v>1.59</v>
      </c>
      <c r="M1654">
        <v>5</v>
      </c>
      <c r="N1654" t="s">
        <v>22</v>
      </c>
      <c r="O1654" t="str">
        <f t="shared" si="25"/>
        <v>No</v>
      </c>
    </row>
    <row r="1655" spans="1:15" x14ac:dyDescent="0.25">
      <c r="A1655" t="s">
        <v>1716</v>
      </c>
      <c r="B1655" s="1">
        <v>45765</v>
      </c>
      <c r="C1655" s="2">
        <v>45765.24291666667</v>
      </c>
      <c r="D1655" t="s">
        <v>24</v>
      </c>
      <c r="E1655" t="s">
        <v>45</v>
      </c>
      <c r="F1655" t="s">
        <v>100</v>
      </c>
      <c r="G1655" t="s">
        <v>56</v>
      </c>
      <c r="H1655" t="s">
        <v>27</v>
      </c>
      <c r="I1655" t="s">
        <v>20</v>
      </c>
      <c r="J1655" t="s">
        <v>21</v>
      </c>
      <c r="K1655">
        <v>24</v>
      </c>
      <c r="L1655">
        <v>5.83</v>
      </c>
      <c r="M1655">
        <v>5</v>
      </c>
      <c r="N1655" t="s">
        <v>22</v>
      </c>
      <c r="O1655" t="str">
        <f t="shared" si="25"/>
        <v>No</v>
      </c>
    </row>
    <row r="1656" spans="1:15" x14ac:dyDescent="0.25">
      <c r="A1656" t="s">
        <v>1717</v>
      </c>
      <c r="B1656" s="1">
        <v>45686</v>
      </c>
      <c r="C1656" s="2">
        <v>45686.110833333332</v>
      </c>
      <c r="D1656" t="s">
        <v>24</v>
      </c>
      <c r="E1656" t="s">
        <v>39</v>
      </c>
      <c r="F1656" t="s">
        <v>87</v>
      </c>
      <c r="G1656" t="s">
        <v>34</v>
      </c>
      <c r="H1656" t="s">
        <v>65</v>
      </c>
      <c r="I1656" t="s">
        <v>36</v>
      </c>
      <c r="J1656" t="s">
        <v>46</v>
      </c>
      <c r="K1656">
        <v>24</v>
      </c>
      <c r="L1656">
        <v>2.66</v>
      </c>
      <c r="M1656">
        <v>4</v>
      </c>
      <c r="N1656" t="s">
        <v>22</v>
      </c>
      <c r="O1656" t="str">
        <f t="shared" si="25"/>
        <v>No</v>
      </c>
    </row>
    <row r="1657" spans="1:15" x14ac:dyDescent="0.25">
      <c r="A1657" t="s">
        <v>1718</v>
      </c>
      <c r="B1657" s="1">
        <v>45699</v>
      </c>
      <c r="C1657" s="2">
        <v>45700.282500000001</v>
      </c>
      <c r="D1657" t="s">
        <v>15</v>
      </c>
      <c r="E1657" t="s">
        <v>45</v>
      </c>
      <c r="F1657" t="s">
        <v>50</v>
      </c>
      <c r="G1657" t="s">
        <v>34</v>
      </c>
      <c r="H1657" t="s">
        <v>54</v>
      </c>
      <c r="I1657" t="s">
        <v>36</v>
      </c>
      <c r="J1657" t="s">
        <v>21</v>
      </c>
      <c r="K1657">
        <v>48</v>
      </c>
      <c r="L1657">
        <v>30.78</v>
      </c>
      <c r="M1657">
        <v>3.7</v>
      </c>
      <c r="N1657" t="s">
        <v>22</v>
      </c>
      <c r="O1657" t="str">
        <f t="shared" si="25"/>
        <v>No</v>
      </c>
    </row>
    <row r="1658" spans="1:15" x14ac:dyDescent="0.25">
      <c r="A1658" t="s">
        <v>1719</v>
      </c>
      <c r="B1658" s="1">
        <v>45811</v>
      </c>
      <c r="C1658" s="2">
        <v>45811.057916666665</v>
      </c>
      <c r="D1658" t="s">
        <v>38</v>
      </c>
      <c r="E1658" t="s">
        <v>39</v>
      </c>
      <c r="F1658" t="s">
        <v>78</v>
      </c>
      <c r="G1658" t="s">
        <v>18</v>
      </c>
      <c r="H1658" t="s">
        <v>54</v>
      </c>
      <c r="I1658" t="s">
        <v>36</v>
      </c>
      <c r="J1658" t="s">
        <v>21</v>
      </c>
      <c r="K1658">
        <v>8</v>
      </c>
      <c r="L1658">
        <v>1.39</v>
      </c>
      <c r="M1658">
        <v>4.5999999999999996</v>
      </c>
      <c r="N1658" t="s">
        <v>22</v>
      </c>
      <c r="O1658" t="str">
        <f t="shared" si="25"/>
        <v>No</v>
      </c>
    </row>
    <row r="1659" spans="1:15" x14ac:dyDescent="0.25">
      <c r="A1659" t="s">
        <v>1720</v>
      </c>
      <c r="B1659" s="1">
        <v>45816</v>
      </c>
      <c r="C1659" s="2">
        <v>45818.258333333331</v>
      </c>
      <c r="D1659" t="s">
        <v>15</v>
      </c>
      <c r="E1659" t="s">
        <v>32</v>
      </c>
      <c r="F1659" t="s">
        <v>80</v>
      </c>
      <c r="G1659" t="s">
        <v>51</v>
      </c>
      <c r="H1659" t="s">
        <v>65</v>
      </c>
      <c r="I1659" t="s">
        <v>45</v>
      </c>
      <c r="J1659" t="s">
        <v>21</v>
      </c>
      <c r="K1659">
        <v>48</v>
      </c>
      <c r="L1659">
        <v>54.2</v>
      </c>
      <c r="M1659">
        <v>4.2</v>
      </c>
      <c r="N1659" t="s">
        <v>22</v>
      </c>
      <c r="O1659" t="str">
        <f t="shared" si="25"/>
        <v>Yes</v>
      </c>
    </row>
    <row r="1660" spans="1:15" x14ac:dyDescent="0.25">
      <c r="A1660" t="s">
        <v>1721</v>
      </c>
      <c r="B1660" s="1">
        <v>45809</v>
      </c>
      <c r="C1660" s="2">
        <v>45809.521249999998</v>
      </c>
      <c r="D1660" t="s">
        <v>24</v>
      </c>
      <c r="E1660" t="s">
        <v>32</v>
      </c>
      <c r="F1660" t="s">
        <v>75</v>
      </c>
      <c r="G1660" t="s">
        <v>34</v>
      </c>
      <c r="H1660" t="s">
        <v>44</v>
      </c>
      <c r="I1660" t="s">
        <v>45</v>
      </c>
      <c r="J1660" t="s">
        <v>46</v>
      </c>
      <c r="K1660">
        <v>24</v>
      </c>
      <c r="L1660">
        <v>12.51</v>
      </c>
      <c r="M1660">
        <v>3.8</v>
      </c>
      <c r="N1660" t="s">
        <v>22</v>
      </c>
      <c r="O1660" t="str">
        <f t="shared" si="25"/>
        <v>No</v>
      </c>
    </row>
    <row r="1661" spans="1:15" x14ac:dyDescent="0.25">
      <c r="A1661" t="s">
        <v>1722</v>
      </c>
      <c r="B1661" s="1">
        <v>45703</v>
      </c>
      <c r="C1661" s="2">
        <v>45703.472500000003</v>
      </c>
      <c r="D1661" t="s">
        <v>15</v>
      </c>
      <c r="E1661" t="s">
        <v>39</v>
      </c>
      <c r="F1661" t="s">
        <v>119</v>
      </c>
      <c r="G1661" t="s">
        <v>41</v>
      </c>
      <c r="H1661" t="s">
        <v>65</v>
      </c>
      <c r="I1661" t="s">
        <v>20</v>
      </c>
      <c r="J1661" t="s">
        <v>46</v>
      </c>
      <c r="K1661">
        <v>48</v>
      </c>
      <c r="L1661">
        <v>11.34</v>
      </c>
      <c r="M1661">
        <v>5</v>
      </c>
      <c r="N1661" t="s">
        <v>22</v>
      </c>
      <c r="O1661" t="str">
        <f t="shared" si="25"/>
        <v>No</v>
      </c>
    </row>
    <row r="1662" spans="1:15" x14ac:dyDescent="0.25">
      <c r="A1662" t="s">
        <v>1723</v>
      </c>
      <c r="B1662" s="1">
        <v>45770</v>
      </c>
      <c r="C1662" s="2">
        <v>45771.009166666663</v>
      </c>
      <c r="D1662" t="s">
        <v>24</v>
      </c>
      <c r="E1662" t="s">
        <v>39</v>
      </c>
      <c r="F1662" t="s">
        <v>119</v>
      </c>
      <c r="G1662" t="s">
        <v>56</v>
      </c>
      <c r="H1662" t="s">
        <v>44</v>
      </c>
      <c r="I1662" t="s">
        <v>45</v>
      </c>
      <c r="J1662" t="s">
        <v>21</v>
      </c>
      <c r="K1662">
        <v>24</v>
      </c>
      <c r="L1662">
        <v>24.22</v>
      </c>
      <c r="M1662">
        <v>3.9</v>
      </c>
      <c r="N1662" t="s">
        <v>22</v>
      </c>
      <c r="O1662" t="str">
        <f t="shared" si="25"/>
        <v>Yes</v>
      </c>
    </row>
    <row r="1663" spans="1:15" x14ac:dyDescent="0.25">
      <c r="A1663" t="s">
        <v>1724</v>
      </c>
      <c r="B1663" s="1">
        <v>45768</v>
      </c>
      <c r="C1663" s="2">
        <v>45768.315000000002</v>
      </c>
      <c r="D1663" t="s">
        <v>15</v>
      </c>
      <c r="E1663" t="s">
        <v>25</v>
      </c>
      <c r="F1663" t="s">
        <v>70</v>
      </c>
      <c r="G1663" t="s">
        <v>51</v>
      </c>
      <c r="H1663" t="s">
        <v>44</v>
      </c>
      <c r="I1663" t="s">
        <v>28</v>
      </c>
      <c r="J1663" t="s">
        <v>29</v>
      </c>
      <c r="K1663">
        <v>48</v>
      </c>
      <c r="L1663">
        <v>7.56</v>
      </c>
      <c r="M1663">
        <v>5</v>
      </c>
      <c r="N1663" t="s">
        <v>22</v>
      </c>
      <c r="O1663" t="str">
        <f t="shared" si="25"/>
        <v>No</v>
      </c>
    </row>
    <row r="1664" spans="1:15" x14ac:dyDescent="0.25">
      <c r="A1664" t="s">
        <v>1725</v>
      </c>
      <c r="B1664" s="1">
        <v>45691</v>
      </c>
      <c r="C1664" s="2">
        <v>45691.053738425922</v>
      </c>
      <c r="D1664" t="s">
        <v>38</v>
      </c>
      <c r="E1664" t="s">
        <v>16</v>
      </c>
      <c r="F1664" t="s">
        <v>17</v>
      </c>
      <c r="G1664" t="s">
        <v>41</v>
      </c>
      <c r="H1664" t="s">
        <v>19</v>
      </c>
      <c r="I1664" t="s">
        <v>45</v>
      </c>
      <c r="J1664" t="s">
        <v>21</v>
      </c>
      <c r="K1664">
        <v>8</v>
      </c>
      <c r="L1664">
        <v>1.29</v>
      </c>
      <c r="M1664">
        <v>4.7</v>
      </c>
      <c r="N1664" t="s">
        <v>22</v>
      </c>
      <c r="O1664" t="str">
        <f t="shared" si="25"/>
        <v>No</v>
      </c>
    </row>
    <row r="1665" spans="1:15" x14ac:dyDescent="0.25">
      <c r="A1665" t="s">
        <v>1726</v>
      </c>
      <c r="B1665" s="1">
        <v>45758</v>
      </c>
      <c r="C1665" s="2">
        <v>45758.228750000002</v>
      </c>
      <c r="D1665" t="s">
        <v>24</v>
      </c>
      <c r="E1665" t="s">
        <v>16</v>
      </c>
      <c r="F1665" t="s">
        <v>60</v>
      </c>
      <c r="G1665" t="s">
        <v>18</v>
      </c>
      <c r="H1665" t="s">
        <v>35</v>
      </c>
      <c r="I1665" t="s">
        <v>45</v>
      </c>
      <c r="J1665" t="s">
        <v>29</v>
      </c>
      <c r="K1665">
        <v>24</v>
      </c>
      <c r="L1665">
        <v>5.49</v>
      </c>
      <c r="M1665">
        <v>4.3</v>
      </c>
      <c r="N1665" t="s">
        <v>22</v>
      </c>
      <c r="O1665" t="str">
        <f t="shared" si="25"/>
        <v>No</v>
      </c>
    </row>
    <row r="1666" spans="1:15" x14ac:dyDescent="0.25">
      <c r="A1666" t="s">
        <v>1727</v>
      </c>
      <c r="B1666" s="1">
        <v>45753</v>
      </c>
      <c r="C1666" s="2">
        <v>45754.013333333336</v>
      </c>
      <c r="D1666" t="s">
        <v>24</v>
      </c>
      <c r="E1666" t="s">
        <v>16</v>
      </c>
      <c r="F1666" t="s">
        <v>60</v>
      </c>
      <c r="G1666" t="s">
        <v>51</v>
      </c>
      <c r="H1666" t="s">
        <v>44</v>
      </c>
      <c r="I1666" t="s">
        <v>36</v>
      </c>
      <c r="J1666" t="s">
        <v>21</v>
      </c>
      <c r="K1666">
        <v>24</v>
      </c>
      <c r="L1666">
        <v>24.32</v>
      </c>
      <c r="M1666">
        <v>3.2</v>
      </c>
      <c r="N1666" t="s">
        <v>22</v>
      </c>
      <c r="O1666" t="str">
        <f t="shared" si="25"/>
        <v>Yes</v>
      </c>
    </row>
    <row r="1667" spans="1:15" x14ac:dyDescent="0.25">
      <c r="A1667" t="s">
        <v>1728</v>
      </c>
      <c r="B1667" s="1">
        <v>45729</v>
      </c>
      <c r="C1667" s="2">
        <v>45732.146666666667</v>
      </c>
      <c r="D1667" t="s">
        <v>15</v>
      </c>
      <c r="E1667" t="s">
        <v>39</v>
      </c>
      <c r="F1667" t="s">
        <v>87</v>
      </c>
      <c r="G1667" t="s">
        <v>34</v>
      </c>
      <c r="H1667" t="s">
        <v>27</v>
      </c>
      <c r="I1667" t="s">
        <v>36</v>
      </c>
      <c r="J1667" t="s">
        <v>21</v>
      </c>
      <c r="K1667">
        <v>48</v>
      </c>
      <c r="L1667">
        <v>75.52</v>
      </c>
      <c r="M1667">
        <v>3.5</v>
      </c>
      <c r="N1667" t="s">
        <v>22</v>
      </c>
      <c r="O1667" t="str">
        <f t="shared" ref="O1667:O1730" si="26">IF(L1667&gt;K1667,"Yes","No")</f>
        <v>Yes</v>
      </c>
    </row>
    <row r="1668" spans="1:15" x14ac:dyDescent="0.25">
      <c r="A1668" t="s">
        <v>1729</v>
      </c>
      <c r="B1668" s="1">
        <v>45794</v>
      </c>
      <c r="C1668" s="2">
        <v>45794.222083333334</v>
      </c>
      <c r="D1668" t="s">
        <v>15</v>
      </c>
      <c r="E1668" t="s">
        <v>16</v>
      </c>
      <c r="F1668" t="s">
        <v>60</v>
      </c>
      <c r="G1668" t="s">
        <v>34</v>
      </c>
      <c r="H1668" t="s">
        <v>65</v>
      </c>
      <c r="I1668" t="s">
        <v>45</v>
      </c>
      <c r="J1668" t="s">
        <v>21</v>
      </c>
      <c r="K1668">
        <v>48</v>
      </c>
      <c r="L1668">
        <v>5.33</v>
      </c>
      <c r="M1668">
        <v>4.8</v>
      </c>
      <c r="N1668" t="s">
        <v>22</v>
      </c>
      <c r="O1668" t="str">
        <f t="shared" si="26"/>
        <v>No</v>
      </c>
    </row>
    <row r="1669" spans="1:15" x14ac:dyDescent="0.25">
      <c r="A1669" t="s">
        <v>1730</v>
      </c>
      <c r="B1669" s="1">
        <v>45780</v>
      </c>
      <c r="C1669" s="2">
        <v>45782.773738425924</v>
      </c>
      <c r="D1669" t="s">
        <v>24</v>
      </c>
      <c r="E1669" t="s">
        <v>32</v>
      </c>
      <c r="F1669" t="s">
        <v>33</v>
      </c>
      <c r="G1669" t="s">
        <v>51</v>
      </c>
      <c r="H1669" t="s">
        <v>19</v>
      </c>
      <c r="I1669" t="s">
        <v>20</v>
      </c>
      <c r="J1669" t="s">
        <v>21</v>
      </c>
      <c r="K1669">
        <v>24</v>
      </c>
      <c r="L1669">
        <v>66.569999999999993</v>
      </c>
      <c r="M1669">
        <v>1</v>
      </c>
      <c r="N1669" t="s">
        <v>22</v>
      </c>
      <c r="O1669" t="str">
        <f t="shared" si="26"/>
        <v>Yes</v>
      </c>
    </row>
    <row r="1670" spans="1:15" x14ac:dyDescent="0.25">
      <c r="A1670" t="s">
        <v>1731</v>
      </c>
      <c r="B1670" s="1">
        <v>45754</v>
      </c>
      <c r="C1670" s="2">
        <v>45754.777916666666</v>
      </c>
      <c r="D1670" t="s">
        <v>24</v>
      </c>
      <c r="E1670" t="s">
        <v>32</v>
      </c>
      <c r="F1670" t="s">
        <v>80</v>
      </c>
      <c r="G1670" t="s">
        <v>41</v>
      </c>
      <c r="H1670" t="s">
        <v>27</v>
      </c>
      <c r="I1670" t="s">
        <v>36</v>
      </c>
      <c r="J1670" t="s">
        <v>21</v>
      </c>
      <c r="K1670">
        <v>24</v>
      </c>
      <c r="L1670">
        <v>18.670000000000002</v>
      </c>
      <c r="M1670">
        <v>4.2</v>
      </c>
      <c r="N1670" t="s">
        <v>22</v>
      </c>
      <c r="O1670" t="str">
        <f t="shared" si="26"/>
        <v>No</v>
      </c>
    </row>
    <row r="1671" spans="1:15" x14ac:dyDescent="0.25">
      <c r="A1671" t="s">
        <v>1732</v>
      </c>
      <c r="B1671" s="1">
        <v>45789</v>
      </c>
      <c r="C1671" s="2">
        <v>45789.348749999997</v>
      </c>
      <c r="D1671" t="s">
        <v>24</v>
      </c>
      <c r="E1671" t="s">
        <v>39</v>
      </c>
      <c r="F1671" t="s">
        <v>87</v>
      </c>
      <c r="G1671" t="s">
        <v>41</v>
      </c>
      <c r="H1671" t="s">
        <v>65</v>
      </c>
      <c r="I1671" t="s">
        <v>45</v>
      </c>
      <c r="J1671" t="s">
        <v>29</v>
      </c>
      <c r="K1671">
        <v>24</v>
      </c>
      <c r="L1671">
        <v>8.3699999999999992</v>
      </c>
      <c r="M1671">
        <v>5</v>
      </c>
      <c r="N1671" t="s">
        <v>22</v>
      </c>
      <c r="O1671" t="str">
        <f t="shared" si="26"/>
        <v>No</v>
      </c>
    </row>
    <row r="1672" spans="1:15" x14ac:dyDescent="0.25">
      <c r="A1672" t="s">
        <v>1733</v>
      </c>
      <c r="B1672" s="1">
        <v>45796</v>
      </c>
      <c r="C1672" s="2">
        <v>45796.121249999997</v>
      </c>
      <c r="D1672" t="s">
        <v>31</v>
      </c>
      <c r="E1672" t="s">
        <v>32</v>
      </c>
      <c r="F1672" t="s">
        <v>33</v>
      </c>
      <c r="G1672" t="s">
        <v>34</v>
      </c>
      <c r="H1672" t="s">
        <v>54</v>
      </c>
      <c r="I1672" t="s">
        <v>36</v>
      </c>
      <c r="J1672" t="s">
        <v>29</v>
      </c>
      <c r="K1672">
        <v>4</v>
      </c>
      <c r="L1672">
        <v>2.91</v>
      </c>
      <c r="M1672">
        <v>4</v>
      </c>
      <c r="N1672" t="s">
        <v>22</v>
      </c>
      <c r="O1672" t="str">
        <f t="shared" si="26"/>
        <v>No</v>
      </c>
    </row>
    <row r="1673" spans="1:15" x14ac:dyDescent="0.25">
      <c r="A1673" t="s">
        <v>1734</v>
      </c>
      <c r="B1673" s="1">
        <v>45760</v>
      </c>
      <c r="C1673" s="2">
        <v>45761.027916666666</v>
      </c>
      <c r="D1673" t="s">
        <v>24</v>
      </c>
      <c r="E1673" t="s">
        <v>16</v>
      </c>
      <c r="F1673" t="s">
        <v>60</v>
      </c>
      <c r="G1673" t="s">
        <v>51</v>
      </c>
      <c r="H1673" t="s">
        <v>27</v>
      </c>
      <c r="I1673" t="s">
        <v>36</v>
      </c>
      <c r="J1673" t="s">
        <v>21</v>
      </c>
      <c r="K1673">
        <v>24</v>
      </c>
      <c r="L1673">
        <v>24.67</v>
      </c>
      <c r="M1673">
        <v>4.8</v>
      </c>
      <c r="N1673" t="s">
        <v>22</v>
      </c>
      <c r="O1673" t="str">
        <f t="shared" si="26"/>
        <v>Yes</v>
      </c>
    </row>
    <row r="1674" spans="1:15" x14ac:dyDescent="0.25">
      <c r="A1674" t="s">
        <v>1735</v>
      </c>
      <c r="B1674" s="1">
        <v>45706</v>
      </c>
      <c r="C1674" s="2">
        <v>45706.04</v>
      </c>
      <c r="D1674" t="s">
        <v>31</v>
      </c>
      <c r="E1674" t="s">
        <v>32</v>
      </c>
      <c r="F1674" t="s">
        <v>75</v>
      </c>
      <c r="G1674" t="s">
        <v>41</v>
      </c>
      <c r="H1674" t="s">
        <v>65</v>
      </c>
      <c r="I1674" t="s">
        <v>36</v>
      </c>
      <c r="J1674" t="s">
        <v>29</v>
      </c>
      <c r="K1674">
        <v>4</v>
      </c>
      <c r="L1674">
        <v>0.96</v>
      </c>
      <c r="M1674">
        <v>3</v>
      </c>
      <c r="N1674" t="s">
        <v>22</v>
      </c>
      <c r="O1674" t="str">
        <f t="shared" si="26"/>
        <v>No</v>
      </c>
    </row>
    <row r="1675" spans="1:15" x14ac:dyDescent="0.25">
      <c r="A1675" t="s">
        <v>1736</v>
      </c>
      <c r="B1675" s="1">
        <v>45795</v>
      </c>
      <c r="C1675" s="2">
        <v>45797.063750000001</v>
      </c>
      <c r="D1675" t="s">
        <v>15</v>
      </c>
      <c r="E1675" t="s">
        <v>32</v>
      </c>
      <c r="F1675" t="s">
        <v>80</v>
      </c>
      <c r="G1675" t="s">
        <v>41</v>
      </c>
      <c r="H1675" t="s">
        <v>65</v>
      </c>
      <c r="I1675" t="s">
        <v>36</v>
      </c>
      <c r="J1675" t="s">
        <v>29</v>
      </c>
      <c r="K1675">
        <v>48</v>
      </c>
      <c r="L1675">
        <v>49.53</v>
      </c>
      <c r="M1675">
        <v>3.6</v>
      </c>
      <c r="N1675" t="s">
        <v>22</v>
      </c>
      <c r="O1675" t="str">
        <f t="shared" si="26"/>
        <v>Yes</v>
      </c>
    </row>
    <row r="1676" spans="1:15" x14ac:dyDescent="0.25">
      <c r="A1676" t="s">
        <v>1737</v>
      </c>
      <c r="B1676" s="1">
        <v>45787</v>
      </c>
      <c r="C1676" s="2">
        <v>45787.164583333331</v>
      </c>
      <c r="D1676" t="s">
        <v>38</v>
      </c>
      <c r="E1676" t="s">
        <v>45</v>
      </c>
      <c r="F1676" t="s">
        <v>100</v>
      </c>
      <c r="G1676" t="s">
        <v>41</v>
      </c>
      <c r="H1676" t="s">
        <v>44</v>
      </c>
      <c r="I1676" t="s">
        <v>36</v>
      </c>
      <c r="J1676" t="s">
        <v>85</v>
      </c>
      <c r="K1676">
        <v>8</v>
      </c>
      <c r="L1676">
        <v>3.95</v>
      </c>
      <c r="M1676">
        <v>5</v>
      </c>
      <c r="N1676" t="s">
        <v>22</v>
      </c>
      <c r="O1676" t="str">
        <f t="shared" si="26"/>
        <v>No</v>
      </c>
    </row>
    <row r="1677" spans="1:15" x14ac:dyDescent="0.25">
      <c r="A1677" t="s">
        <v>1738</v>
      </c>
      <c r="B1677" s="1">
        <v>45835</v>
      </c>
      <c r="C1677" s="2">
        <v>45835.108749999999</v>
      </c>
      <c r="D1677" t="s">
        <v>24</v>
      </c>
      <c r="E1677" t="s">
        <v>45</v>
      </c>
      <c r="F1677" t="s">
        <v>100</v>
      </c>
      <c r="G1677" t="s">
        <v>34</v>
      </c>
      <c r="H1677" t="s">
        <v>35</v>
      </c>
      <c r="I1677" t="s">
        <v>20</v>
      </c>
      <c r="J1677" t="s">
        <v>21</v>
      </c>
      <c r="K1677">
        <v>24</v>
      </c>
      <c r="L1677">
        <v>2.61</v>
      </c>
      <c r="M1677">
        <v>4.9000000000000004</v>
      </c>
      <c r="N1677" t="s">
        <v>22</v>
      </c>
      <c r="O1677" t="str">
        <f t="shared" si="26"/>
        <v>No</v>
      </c>
    </row>
    <row r="1678" spans="1:15" x14ac:dyDescent="0.25">
      <c r="A1678" t="s">
        <v>1739</v>
      </c>
      <c r="B1678" s="1">
        <v>45685</v>
      </c>
      <c r="C1678" s="2">
        <v>45685.771666666667</v>
      </c>
      <c r="D1678" t="s">
        <v>24</v>
      </c>
      <c r="E1678" t="s">
        <v>16</v>
      </c>
      <c r="F1678" t="s">
        <v>43</v>
      </c>
      <c r="G1678" t="s">
        <v>51</v>
      </c>
      <c r="H1678" t="s">
        <v>19</v>
      </c>
      <c r="I1678" t="s">
        <v>20</v>
      </c>
      <c r="J1678" t="s">
        <v>21</v>
      </c>
      <c r="K1678">
        <v>24</v>
      </c>
      <c r="L1678">
        <v>18.52</v>
      </c>
      <c r="M1678">
        <v>3.7</v>
      </c>
      <c r="N1678" t="s">
        <v>22</v>
      </c>
      <c r="O1678" t="str">
        <f t="shared" si="26"/>
        <v>No</v>
      </c>
    </row>
    <row r="1679" spans="1:15" x14ac:dyDescent="0.25">
      <c r="A1679" t="s">
        <v>1740</v>
      </c>
      <c r="B1679" s="1">
        <v>45733</v>
      </c>
      <c r="C1679" s="2">
        <v>45733.220405092594</v>
      </c>
      <c r="D1679" t="s">
        <v>31</v>
      </c>
      <c r="E1679" t="s">
        <v>16</v>
      </c>
      <c r="F1679" t="s">
        <v>58</v>
      </c>
      <c r="G1679" t="s">
        <v>34</v>
      </c>
      <c r="H1679" t="s">
        <v>35</v>
      </c>
      <c r="I1679" t="s">
        <v>36</v>
      </c>
      <c r="J1679" t="s">
        <v>85</v>
      </c>
      <c r="K1679">
        <v>4</v>
      </c>
      <c r="L1679">
        <v>5.29</v>
      </c>
      <c r="M1679">
        <v>3.4</v>
      </c>
      <c r="N1679" t="s">
        <v>22</v>
      </c>
      <c r="O1679" t="str">
        <f t="shared" si="26"/>
        <v>Yes</v>
      </c>
    </row>
    <row r="1680" spans="1:15" x14ac:dyDescent="0.25">
      <c r="A1680" t="s">
        <v>1741</v>
      </c>
      <c r="B1680" s="1">
        <v>45825</v>
      </c>
      <c r="C1680" s="2">
        <v>45825.673333333332</v>
      </c>
      <c r="D1680" t="s">
        <v>24</v>
      </c>
      <c r="E1680" t="s">
        <v>25</v>
      </c>
      <c r="F1680" t="s">
        <v>48</v>
      </c>
      <c r="G1680" t="s">
        <v>41</v>
      </c>
      <c r="H1680" t="s">
        <v>27</v>
      </c>
      <c r="I1680" t="s">
        <v>36</v>
      </c>
      <c r="J1680" t="s">
        <v>21</v>
      </c>
      <c r="K1680">
        <v>24</v>
      </c>
      <c r="L1680">
        <v>16.16</v>
      </c>
      <c r="M1680">
        <v>4.8</v>
      </c>
      <c r="N1680" t="s">
        <v>22</v>
      </c>
      <c r="O1680" t="str">
        <f t="shared" si="26"/>
        <v>No</v>
      </c>
    </row>
    <row r="1681" spans="1:15" x14ac:dyDescent="0.25">
      <c r="A1681" t="s">
        <v>1742</v>
      </c>
      <c r="B1681" s="1">
        <v>45751</v>
      </c>
      <c r="C1681" s="2">
        <v>45751.064166666663</v>
      </c>
      <c r="D1681" t="s">
        <v>38</v>
      </c>
      <c r="E1681" t="s">
        <v>32</v>
      </c>
      <c r="F1681" t="s">
        <v>80</v>
      </c>
      <c r="G1681" t="s">
        <v>51</v>
      </c>
      <c r="H1681" t="s">
        <v>27</v>
      </c>
      <c r="I1681" t="s">
        <v>45</v>
      </c>
      <c r="J1681" t="s">
        <v>21</v>
      </c>
      <c r="K1681">
        <v>8</v>
      </c>
      <c r="L1681">
        <v>1.54</v>
      </c>
      <c r="M1681">
        <v>5</v>
      </c>
      <c r="N1681" t="s">
        <v>22</v>
      </c>
      <c r="O1681" t="str">
        <f t="shared" si="26"/>
        <v>No</v>
      </c>
    </row>
    <row r="1682" spans="1:15" x14ac:dyDescent="0.25">
      <c r="A1682" t="s">
        <v>1743</v>
      </c>
      <c r="B1682" s="1">
        <v>45828</v>
      </c>
      <c r="C1682" s="2">
        <v>45828.227083333331</v>
      </c>
      <c r="D1682" t="s">
        <v>38</v>
      </c>
      <c r="E1682" t="s">
        <v>39</v>
      </c>
      <c r="F1682" t="s">
        <v>78</v>
      </c>
      <c r="G1682" t="s">
        <v>34</v>
      </c>
      <c r="H1682" t="s">
        <v>44</v>
      </c>
      <c r="I1682" t="s">
        <v>36</v>
      </c>
      <c r="J1682" t="s">
        <v>21</v>
      </c>
      <c r="K1682">
        <v>8</v>
      </c>
      <c r="L1682">
        <v>5.45</v>
      </c>
      <c r="M1682">
        <v>4.9000000000000004</v>
      </c>
      <c r="N1682" t="s">
        <v>22</v>
      </c>
      <c r="O1682" t="str">
        <f t="shared" si="26"/>
        <v>No</v>
      </c>
    </row>
    <row r="1683" spans="1:15" x14ac:dyDescent="0.25">
      <c r="A1683" t="s">
        <v>1744</v>
      </c>
      <c r="B1683" s="1">
        <v>45660</v>
      </c>
      <c r="C1683" s="2">
        <v>45661.201666666668</v>
      </c>
      <c r="D1683" t="s">
        <v>15</v>
      </c>
      <c r="E1683" t="s">
        <v>32</v>
      </c>
      <c r="F1683" t="s">
        <v>80</v>
      </c>
      <c r="G1683" t="s">
        <v>56</v>
      </c>
      <c r="H1683" t="s">
        <v>27</v>
      </c>
      <c r="I1683" t="s">
        <v>20</v>
      </c>
      <c r="J1683" t="s">
        <v>21</v>
      </c>
      <c r="K1683">
        <v>48</v>
      </c>
      <c r="L1683">
        <v>28.84</v>
      </c>
      <c r="M1683">
        <v>4</v>
      </c>
      <c r="N1683" t="s">
        <v>22</v>
      </c>
      <c r="O1683" t="str">
        <f t="shared" si="26"/>
        <v>No</v>
      </c>
    </row>
    <row r="1684" spans="1:15" x14ac:dyDescent="0.25">
      <c r="A1684" t="s">
        <v>1745</v>
      </c>
      <c r="B1684" s="1">
        <v>45664</v>
      </c>
      <c r="C1684" s="2">
        <v>45664.724999999999</v>
      </c>
      <c r="D1684" t="s">
        <v>24</v>
      </c>
      <c r="E1684" t="s">
        <v>39</v>
      </c>
      <c r="F1684" t="s">
        <v>87</v>
      </c>
      <c r="G1684" t="s">
        <v>51</v>
      </c>
      <c r="H1684" t="s">
        <v>44</v>
      </c>
      <c r="I1684" t="s">
        <v>45</v>
      </c>
      <c r="J1684" t="s">
        <v>21</v>
      </c>
      <c r="K1684">
        <v>24</v>
      </c>
      <c r="L1684">
        <v>17.399999999999999</v>
      </c>
      <c r="M1684">
        <v>4</v>
      </c>
      <c r="N1684" t="s">
        <v>22</v>
      </c>
      <c r="O1684" t="str">
        <f t="shared" si="26"/>
        <v>No</v>
      </c>
    </row>
    <row r="1685" spans="1:15" x14ac:dyDescent="0.25">
      <c r="A1685" t="s">
        <v>1746</v>
      </c>
      <c r="B1685" s="1">
        <v>45802</v>
      </c>
      <c r="C1685" s="2">
        <v>45802.101666666669</v>
      </c>
      <c r="D1685" t="s">
        <v>24</v>
      </c>
      <c r="E1685" t="s">
        <v>45</v>
      </c>
      <c r="F1685" t="s">
        <v>112</v>
      </c>
      <c r="G1685" t="s">
        <v>51</v>
      </c>
      <c r="H1685" t="s">
        <v>35</v>
      </c>
      <c r="I1685" t="s">
        <v>20</v>
      </c>
      <c r="J1685" t="s">
        <v>21</v>
      </c>
      <c r="K1685">
        <v>24</v>
      </c>
      <c r="L1685">
        <v>2.44</v>
      </c>
      <c r="M1685">
        <v>4.7</v>
      </c>
      <c r="N1685" t="s">
        <v>22</v>
      </c>
      <c r="O1685" t="str">
        <f t="shared" si="26"/>
        <v>No</v>
      </c>
    </row>
    <row r="1686" spans="1:15" x14ac:dyDescent="0.25">
      <c r="A1686" t="s">
        <v>1747</v>
      </c>
      <c r="B1686" s="1">
        <v>45722</v>
      </c>
      <c r="C1686" s="2">
        <v>45722.03875</v>
      </c>
      <c r="D1686" t="s">
        <v>38</v>
      </c>
      <c r="E1686" t="s">
        <v>25</v>
      </c>
      <c r="F1686" t="s">
        <v>48</v>
      </c>
      <c r="G1686" t="s">
        <v>41</v>
      </c>
      <c r="H1686" t="s">
        <v>19</v>
      </c>
      <c r="I1686" t="s">
        <v>36</v>
      </c>
      <c r="J1686" t="s">
        <v>21</v>
      </c>
      <c r="K1686">
        <v>8</v>
      </c>
      <c r="L1686">
        <v>0.93</v>
      </c>
      <c r="M1686">
        <v>4.3</v>
      </c>
      <c r="N1686" t="s">
        <v>61</v>
      </c>
      <c r="O1686" t="str">
        <f t="shared" si="26"/>
        <v>No</v>
      </c>
    </row>
    <row r="1687" spans="1:15" x14ac:dyDescent="0.25">
      <c r="A1687" t="s">
        <v>1748</v>
      </c>
      <c r="B1687" s="1">
        <v>45752</v>
      </c>
      <c r="C1687" s="2">
        <v>45752.105416666665</v>
      </c>
      <c r="D1687" t="s">
        <v>38</v>
      </c>
      <c r="E1687" t="s">
        <v>45</v>
      </c>
      <c r="F1687" t="s">
        <v>112</v>
      </c>
      <c r="G1687" t="s">
        <v>56</v>
      </c>
      <c r="H1687" t="s">
        <v>65</v>
      </c>
      <c r="I1687" t="s">
        <v>28</v>
      </c>
      <c r="J1687" t="s">
        <v>21</v>
      </c>
      <c r="K1687">
        <v>8</v>
      </c>
      <c r="L1687">
        <v>2.5299999999999998</v>
      </c>
      <c r="M1687">
        <v>4.5</v>
      </c>
      <c r="N1687" t="s">
        <v>22</v>
      </c>
      <c r="O1687" t="str">
        <f t="shared" si="26"/>
        <v>No</v>
      </c>
    </row>
    <row r="1688" spans="1:15" x14ac:dyDescent="0.25">
      <c r="A1688" t="s">
        <v>1749</v>
      </c>
      <c r="B1688" s="1">
        <v>45735</v>
      </c>
      <c r="C1688" s="2">
        <v>45736.800833333335</v>
      </c>
      <c r="D1688" t="s">
        <v>15</v>
      </c>
      <c r="E1688" t="s">
        <v>25</v>
      </c>
      <c r="F1688" t="s">
        <v>53</v>
      </c>
      <c r="G1688" t="s">
        <v>18</v>
      </c>
      <c r="H1688" t="s">
        <v>35</v>
      </c>
      <c r="I1688" t="s">
        <v>20</v>
      </c>
      <c r="J1688" t="s">
        <v>21</v>
      </c>
      <c r="K1688">
        <v>48</v>
      </c>
      <c r="L1688">
        <v>43.22</v>
      </c>
      <c r="M1688">
        <v>3.7</v>
      </c>
      <c r="N1688" t="s">
        <v>22</v>
      </c>
      <c r="O1688" t="str">
        <f t="shared" si="26"/>
        <v>No</v>
      </c>
    </row>
    <row r="1689" spans="1:15" x14ac:dyDescent="0.25">
      <c r="A1689" t="s">
        <v>1750</v>
      </c>
      <c r="B1689" s="1">
        <v>45731</v>
      </c>
      <c r="C1689" s="2">
        <v>45732.613749999997</v>
      </c>
      <c r="D1689" t="s">
        <v>15</v>
      </c>
      <c r="E1689" t="s">
        <v>16</v>
      </c>
      <c r="F1689" t="s">
        <v>43</v>
      </c>
      <c r="G1689" t="s">
        <v>41</v>
      </c>
      <c r="H1689" t="s">
        <v>54</v>
      </c>
      <c r="I1689" t="s">
        <v>20</v>
      </c>
      <c r="J1689" t="s">
        <v>21</v>
      </c>
      <c r="K1689">
        <v>48</v>
      </c>
      <c r="L1689">
        <v>38.729999999999997</v>
      </c>
      <c r="M1689">
        <v>3.3</v>
      </c>
      <c r="N1689" t="s">
        <v>22</v>
      </c>
      <c r="O1689" t="str">
        <f t="shared" si="26"/>
        <v>No</v>
      </c>
    </row>
    <row r="1690" spans="1:15" x14ac:dyDescent="0.25">
      <c r="A1690" t="s">
        <v>1751</v>
      </c>
      <c r="B1690" s="1">
        <v>45828</v>
      </c>
      <c r="C1690" s="2">
        <v>45829.944166666668</v>
      </c>
      <c r="D1690" t="s">
        <v>15</v>
      </c>
      <c r="E1690" t="s">
        <v>25</v>
      </c>
      <c r="F1690" t="s">
        <v>53</v>
      </c>
      <c r="G1690" t="s">
        <v>56</v>
      </c>
      <c r="H1690" t="s">
        <v>27</v>
      </c>
      <c r="I1690" t="s">
        <v>28</v>
      </c>
      <c r="J1690" t="s">
        <v>21</v>
      </c>
      <c r="K1690">
        <v>48</v>
      </c>
      <c r="L1690">
        <v>46.66</v>
      </c>
      <c r="M1690">
        <v>4.4000000000000004</v>
      </c>
      <c r="N1690" t="s">
        <v>61</v>
      </c>
      <c r="O1690" t="str">
        <f t="shared" si="26"/>
        <v>No</v>
      </c>
    </row>
    <row r="1691" spans="1:15" x14ac:dyDescent="0.25">
      <c r="A1691" t="s">
        <v>1752</v>
      </c>
      <c r="B1691" s="1">
        <v>45675</v>
      </c>
      <c r="C1691" s="2">
        <v>45675.734583333331</v>
      </c>
      <c r="D1691" t="s">
        <v>24</v>
      </c>
      <c r="E1691" t="s">
        <v>16</v>
      </c>
      <c r="F1691" t="s">
        <v>43</v>
      </c>
      <c r="G1691" t="s">
        <v>34</v>
      </c>
      <c r="H1691" t="s">
        <v>35</v>
      </c>
      <c r="I1691" t="s">
        <v>45</v>
      </c>
      <c r="J1691" t="s">
        <v>21</v>
      </c>
      <c r="K1691">
        <v>24</v>
      </c>
      <c r="L1691">
        <v>17.63</v>
      </c>
      <c r="M1691">
        <v>4.4000000000000004</v>
      </c>
      <c r="N1691" t="s">
        <v>61</v>
      </c>
      <c r="O1691" t="str">
        <f t="shared" si="26"/>
        <v>No</v>
      </c>
    </row>
    <row r="1692" spans="1:15" x14ac:dyDescent="0.25">
      <c r="A1692" t="s">
        <v>1753</v>
      </c>
      <c r="B1692" s="1">
        <v>45797</v>
      </c>
      <c r="C1692" s="2">
        <v>45798.714166666665</v>
      </c>
      <c r="D1692" t="s">
        <v>15</v>
      </c>
      <c r="E1692" t="s">
        <v>39</v>
      </c>
      <c r="F1692" t="s">
        <v>78</v>
      </c>
      <c r="G1692" t="s">
        <v>41</v>
      </c>
      <c r="H1692" t="s">
        <v>35</v>
      </c>
      <c r="I1692" t="s">
        <v>36</v>
      </c>
      <c r="J1692" t="s">
        <v>21</v>
      </c>
      <c r="K1692">
        <v>48</v>
      </c>
      <c r="L1692">
        <v>41.14</v>
      </c>
      <c r="M1692">
        <v>3.6</v>
      </c>
      <c r="N1692" t="s">
        <v>22</v>
      </c>
      <c r="O1692" t="str">
        <f t="shared" si="26"/>
        <v>No</v>
      </c>
    </row>
    <row r="1693" spans="1:15" x14ac:dyDescent="0.25">
      <c r="A1693" t="s">
        <v>1754</v>
      </c>
      <c r="B1693" s="1">
        <v>45819</v>
      </c>
      <c r="C1693" s="2">
        <v>45819.199166666665</v>
      </c>
      <c r="D1693" t="s">
        <v>38</v>
      </c>
      <c r="E1693" t="s">
        <v>39</v>
      </c>
      <c r="F1693" t="s">
        <v>78</v>
      </c>
      <c r="G1693" t="s">
        <v>18</v>
      </c>
      <c r="H1693" t="s">
        <v>65</v>
      </c>
      <c r="I1693" t="s">
        <v>45</v>
      </c>
      <c r="J1693" t="s">
        <v>29</v>
      </c>
      <c r="K1693">
        <v>8</v>
      </c>
      <c r="L1693">
        <v>4.78</v>
      </c>
      <c r="M1693">
        <v>4.4000000000000004</v>
      </c>
      <c r="N1693" t="s">
        <v>22</v>
      </c>
      <c r="O1693" t="str">
        <f t="shared" si="26"/>
        <v>No</v>
      </c>
    </row>
    <row r="1694" spans="1:15" x14ac:dyDescent="0.25">
      <c r="A1694" t="s">
        <v>1755</v>
      </c>
      <c r="B1694" s="1">
        <v>45776</v>
      </c>
      <c r="C1694" s="2">
        <v>45776.441250000003</v>
      </c>
      <c r="D1694" t="s">
        <v>24</v>
      </c>
      <c r="E1694" t="s">
        <v>16</v>
      </c>
      <c r="F1694" t="s">
        <v>58</v>
      </c>
      <c r="G1694" t="s">
        <v>51</v>
      </c>
      <c r="H1694" t="s">
        <v>35</v>
      </c>
      <c r="I1694" t="s">
        <v>20</v>
      </c>
      <c r="J1694" t="s">
        <v>21</v>
      </c>
      <c r="K1694">
        <v>24</v>
      </c>
      <c r="L1694">
        <v>10.59</v>
      </c>
      <c r="M1694">
        <v>3.8</v>
      </c>
      <c r="N1694" t="s">
        <v>22</v>
      </c>
      <c r="O1694" t="str">
        <f t="shared" si="26"/>
        <v>No</v>
      </c>
    </row>
    <row r="1695" spans="1:15" x14ac:dyDescent="0.25">
      <c r="A1695" t="s">
        <v>1756</v>
      </c>
      <c r="B1695" s="1">
        <v>45729</v>
      </c>
      <c r="C1695" s="2">
        <v>45729.262916666667</v>
      </c>
      <c r="D1695" t="s">
        <v>38</v>
      </c>
      <c r="E1695" t="s">
        <v>32</v>
      </c>
      <c r="F1695" t="s">
        <v>75</v>
      </c>
      <c r="G1695" t="s">
        <v>18</v>
      </c>
      <c r="H1695" t="s">
        <v>54</v>
      </c>
      <c r="I1695" t="s">
        <v>20</v>
      </c>
      <c r="J1695" t="s">
        <v>21</v>
      </c>
      <c r="K1695">
        <v>8</v>
      </c>
      <c r="L1695">
        <v>6.31</v>
      </c>
      <c r="M1695">
        <v>3.7</v>
      </c>
      <c r="N1695" t="s">
        <v>22</v>
      </c>
      <c r="O1695" t="str">
        <f t="shared" si="26"/>
        <v>No</v>
      </c>
    </row>
    <row r="1696" spans="1:15" x14ac:dyDescent="0.25">
      <c r="A1696" t="s">
        <v>1757</v>
      </c>
      <c r="B1696" s="1">
        <v>45686</v>
      </c>
      <c r="C1696" s="2">
        <v>45686.350416666668</v>
      </c>
      <c r="D1696" t="s">
        <v>15</v>
      </c>
      <c r="E1696" t="s">
        <v>16</v>
      </c>
      <c r="F1696" t="s">
        <v>60</v>
      </c>
      <c r="G1696" t="s">
        <v>41</v>
      </c>
      <c r="H1696" t="s">
        <v>65</v>
      </c>
      <c r="I1696" t="s">
        <v>45</v>
      </c>
      <c r="J1696" t="s">
        <v>21</v>
      </c>
      <c r="K1696">
        <v>48</v>
      </c>
      <c r="L1696">
        <v>8.41</v>
      </c>
      <c r="M1696">
        <v>5</v>
      </c>
      <c r="N1696" t="s">
        <v>22</v>
      </c>
      <c r="O1696" t="str">
        <f t="shared" si="26"/>
        <v>No</v>
      </c>
    </row>
    <row r="1697" spans="1:15" x14ac:dyDescent="0.25">
      <c r="A1697" t="s">
        <v>1758</v>
      </c>
      <c r="B1697" s="1">
        <v>45781</v>
      </c>
      <c r="C1697" s="2">
        <v>45781.221666666665</v>
      </c>
      <c r="D1697" t="s">
        <v>24</v>
      </c>
      <c r="E1697" t="s">
        <v>32</v>
      </c>
      <c r="F1697" t="s">
        <v>75</v>
      </c>
      <c r="G1697" t="s">
        <v>41</v>
      </c>
      <c r="H1697" t="s">
        <v>35</v>
      </c>
      <c r="I1697" t="s">
        <v>20</v>
      </c>
      <c r="J1697" t="s">
        <v>46</v>
      </c>
      <c r="K1697">
        <v>24</v>
      </c>
      <c r="L1697">
        <v>5.32</v>
      </c>
      <c r="M1697">
        <v>5</v>
      </c>
      <c r="N1697" t="s">
        <v>22</v>
      </c>
      <c r="O1697" t="str">
        <f t="shared" si="26"/>
        <v>No</v>
      </c>
    </row>
    <row r="1698" spans="1:15" x14ac:dyDescent="0.25">
      <c r="A1698" t="s">
        <v>1759</v>
      </c>
      <c r="B1698" s="1">
        <v>45742</v>
      </c>
      <c r="C1698" s="2">
        <v>45742.315000000002</v>
      </c>
      <c r="D1698" t="s">
        <v>15</v>
      </c>
      <c r="E1698" t="s">
        <v>16</v>
      </c>
      <c r="F1698" t="s">
        <v>43</v>
      </c>
      <c r="G1698" t="s">
        <v>41</v>
      </c>
      <c r="H1698" t="s">
        <v>54</v>
      </c>
      <c r="I1698" t="s">
        <v>36</v>
      </c>
      <c r="J1698" t="s">
        <v>21</v>
      </c>
      <c r="K1698">
        <v>48</v>
      </c>
      <c r="L1698">
        <v>7.56</v>
      </c>
      <c r="M1698">
        <v>4.5</v>
      </c>
      <c r="N1698" t="s">
        <v>61</v>
      </c>
      <c r="O1698" t="str">
        <f t="shared" si="26"/>
        <v>No</v>
      </c>
    </row>
    <row r="1699" spans="1:15" x14ac:dyDescent="0.25">
      <c r="A1699" t="s">
        <v>1760</v>
      </c>
      <c r="B1699" s="1">
        <v>45685</v>
      </c>
      <c r="C1699" s="2">
        <v>45685.188750000001</v>
      </c>
      <c r="D1699" t="s">
        <v>38</v>
      </c>
      <c r="E1699" t="s">
        <v>32</v>
      </c>
      <c r="F1699" t="s">
        <v>64</v>
      </c>
      <c r="G1699" t="s">
        <v>34</v>
      </c>
      <c r="H1699" t="s">
        <v>44</v>
      </c>
      <c r="I1699" t="s">
        <v>36</v>
      </c>
      <c r="J1699" t="s">
        <v>46</v>
      </c>
      <c r="K1699">
        <v>8</v>
      </c>
      <c r="L1699">
        <v>4.53</v>
      </c>
      <c r="M1699">
        <v>4.5</v>
      </c>
      <c r="N1699" t="s">
        <v>22</v>
      </c>
      <c r="O1699" t="str">
        <f t="shared" si="26"/>
        <v>No</v>
      </c>
    </row>
    <row r="1700" spans="1:15" x14ac:dyDescent="0.25">
      <c r="A1700" t="s">
        <v>1761</v>
      </c>
      <c r="B1700" s="1">
        <v>45723</v>
      </c>
      <c r="C1700" s="2">
        <v>45723.355833333335</v>
      </c>
      <c r="D1700" t="s">
        <v>15</v>
      </c>
      <c r="E1700" t="s">
        <v>39</v>
      </c>
      <c r="F1700" t="s">
        <v>78</v>
      </c>
      <c r="G1700" t="s">
        <v>56</v>
      </c>
      <c r="H1700" t="s">
        <v>44</v>
      </c>
      <c r="I1700" t="s">
        <v>45</v>
      </c>
      <c r="J1700" t="s">
        <v>21</v>
      </c>
      <c r="K1700">
        <v>48</v>
      </c>
      <c r="L1700">
        <v>8.5399999999999991</v>
      </c>
      <c r="M1700">
        <v>4.7</v>
      </c>
      <c r="N1700" t="s">
        <v>22</v>
      </c>
      <c r="O1700" t="str">
        <f t="shared" si="26"/>
        <v>No</v>
      </c>
    </row>
    <row r="1701" spans="1:15" x14ac:dyDescent="0.25">
      <c r="A1701" t="s">
        <v>1762</v>
      </c>
      <c r="B1701" s="1">
        <v>45832</v>
      </c>
      <c r="C1701" s="2">
        <v>45832.080833333333</v>
      </c>
      <c r="D1701" t="s">
        <v>15</v>
      </c>
      <c r="E1701" t="s">
        <v>16</v>
      </c>
      <c r="F1701" t="s">
        <v>58</v>
      </c>
      <c r="G1701" t="s">
        <v>34</v>
      </c>
      <c r="H1701" t="s">
        <v>65</v>
      </c>
      <c r="I1701" t="s">
        <v>36</v>
      </c>
      <c r="J1701" t="s">
        <v>21</v>
      </c>
      <c r="K1701">
        <v>48</v>
      </c>
      <c r="L1701">
        <v>1.94</v>
      </c>
      <c r="M1701">
        <v>4.3</v>
      </c>
      <c r="N1701" t="s">
        <v>22</v>
      </c>
      <c r="O1701" t="str">
        <f t="shared" si="26"/>
        <v>No</v>
      </c>
    </row>
    <row r="1702" spans="1:15" x14ac:dyDescent="0.25">
      <c r="A1702" t="s">
        <v>1763</v>
      </c>
      <c r="B1702" s="1">
        <v>45706</v>
      </c>
      <c r="C1702" s="2">
        <v>45706.265416666669</v>
      </c>
      <c r="D1702" t="s">
        <v>15</v>
      </c>
      <c r="E1702" t="s">
        <v>32</v>
      </c>
      <c r="F1702" t="s">
        <v>33</v>
      </c>
      <c r="G1702" t="s">
        <v>51</v>
      </c>
      <c r="H1702" t="s">
        <v>44</v>
      </c>
      <c r="I1702" t="s">
        <v>36</v>
      </c>
      <c r="J1702" t="s">
        <v>21</v>
      </c>
      <c r="K1702">
        <v>48</v>
      </c>
      <c r="L1702">
        <v>6.37</v>
      </c>
      <c r="M1702">
        <v>4.7</v>
      </c>
      <c r="N1702" t="s">
        <v>22</v>
      </c>
      <c r="O1702" t="str">
        <f t="shared" si="26"/>
        <v>No</v>
      </c>
    </row>
    <row r="1703" spans="1:15" x14ac:dyDescent="0.25">
      <c r="A1703" t="s">
        <v>1764</v>
      </c>
      <c r="B1703" s="1">
        <v>45690</v>
      </c>
      <c r="C1703" s="2">
        <v>45690.441250000003</v>
      </c>
      <c r="D1703" t="s">
        <v>38</v>
      </c>
      <c r="E1703" t="s">
        <v>45</v>
      </c>
      <c r="F1703" t="s">
        <v>104</v>
      </c>
      <c r="G1703" t="s">
        <v>18</v>
      </c>
      <c r="H1703" t="s">
        <v>27</v>
      </c>
      <c r="I1703" t="s">
        <v>20</v>
      </c>
      <c r="J1703" t="s">
        <v>21</v>
      </c>
      <c r="K1703">
        <v>8</v>
      </c>
      <c r="L1703">
        <v>10.59</v>
      </c>
      <c r="M1703">
        <v>3.7</v>
      </c>
      <c r="N1703" t="s">
        <v>22</v>
      </c>
      <c r="O1703" t="str">
        <f t="shared" si="26"/>
        <v>Yes</v>
      </c>
    </row>
    <row r="1704" spans="1:15" x14ac:dyDescent="0.25">
      <c r="A1704" t="s">
        <v>1765</v>
      </c>
      <c r="B1704" s="1">
        <v>45781</v>
      </c>
      <c r="C1704" s="2">
        <v>45782.142083333332</v>
      </c>
      <c r="D1704" t="s">
        <v>15</v>
      </c>
      <c r="E1704" t="s">
        <v>39</v>
      </c>
      <c r="F1704" t="s">
        <v>78</v>
      </c>
      <c r="G1704" t="s">
        <v>34</v>
      </c>
      <c r="H1704" t="s">
        <v>27</v>
      </c>
      <c r="I1704" t="s">
        <v>45</v>
      </c>
      <c r="J1704" t="s">
        <v>46</v>
      </c>
      <c r="K1704">
        <v>48</v>
      </c>
      <c r="L1704">
        <v>27.41</v>
      </c>
      <c r="M1704">
        <v>4.5</v>
      </c>
      <c r="N1704" t="s">
        <v>22</v>
      </c>
      <c r="O1704" t="str">
        <f t="shared" si="26"/>
        <v>No</v>
      </c>
    </row>
    <row r="1705" spans="1:15" x14ac:dyDescent="0.25">
      <c r="A1705" t="s">
        <v>1766</v>
      </c>
      <c r="B1705" s="1">
        <v>45694</v>
      </c>
      <c r="C1705" s="2">
        <v>45695.008333333331</v>
      </c>
      <c r="D1705" t="s">
        <v>24</v>
      </c>
      <c r="E1705" t="s">
        <v>39</v>
      </c>
      <c r="F1705" t="s">
        <v>78</v>
      </c>
      <c r="G1705" t="s">
        <v>18</v>
      </c>
      <c r="H1705" t="s">
        <v>35</v>
      </c>
      <c r="I1705" t="s">
        <v>45</v>
      </c>
      <c r="J1705" t="s">
        <v>46</v>
      </c>
      <c r="K1705">
        <v>24</v>
      </c>
      <c r="L1705">
        <v>24.2</v>
      </c>
      <c r="M1705">
        <v>2.7</v>
      </c>
      <c r="N1705" t="s">
        <v>22</v>
      </c>
      <c r="O1705" t="str">
        <f t="shared" si="26"/>
        <v>Yes</v>
      </c>
    </row>
    <row r="1706" spans="1:15" x14ac:dyDescent="0.25">
      <c r="A1706" t="s">
        <v>1767</v>
      </c>
      <c r="B1706" s="1">
        <v>45824</v>
      </c>
      <c r="C1706" s="2">
        <v>45824.037916666668</v>
      </c>
      <c r="D1706" t="s">
        <v>38</v>
      </c>
      <c r="E1706" t="s">
        <v>32</v>
      </c>
      <c r="F1706" t="s">
        <v>64</v>
      </c>
      <c r="G1706" t="s">
        <v>41</v>
      </c>
      <c r="H1706" t="s">
        <v>65</v>
      </c>
      <c r="I1706" t="s">
        <v>36</v>
      </c>
      <c r="J1706" t="s">
        <v>21</v>
      </c>
      <c r="K1706">
        <v>8</v>
      </c>
      <c r="L1706">
        <v>0.91</v>
      </c>
      <c r="M1706">
        <v>5</v>
      </c>
      <c r="N1706" t="s">
        <v>22</v>
      </c>
      <c r="O1706" t="str">
        <f t="shared" si="26"/>
        <v>No</v>
      </c>
    </row>
    <row r="1707" spans="1:15" x14ac:dyDescent="0.25">
      <c r="A1707" t="s">
        <v>1768</v>
      </c>
      <c r="B1707" s="1">
        <v>45813</v>
      </c>
      <c r="C1707" s="2">
        <v>45813.236666666664</v>
      </c>
      <c r="D1707" t="s">
        <v>38</v>
      </c>
      <c r="E1707" t="s">
        <v>25</v>
      </c>
      <c r="F1707" t="s">
        <v>26</v>
      </c>
      <c r="G1707" t="s">
        <v>34</v>
      </c>
      <c r="H1707" t="s">
        <v>54</v>
      </c>
      <c r="I1707" t="s">
        <v>36</v>
      </c>
      <c r="J1707" t="s">
        <v>21</v>
      </c>
      <c r="K1707">
        <v>8</v>
      </c>
      <c r="L1707">
        <v>5.68</v>
      </c>
      <c r="M1707">
        <v>4.2</v>
      </c>
      <c r="N1707" t="s">
        <v>22</v>
      </c>
      <c r="O1707" t="str">
        <f t="shared" si="26"/>
        <v>No</v>
      </c>
    </row>
    <row r="1708" spans="1:15" x14ac:dyDescent="0.25">
      <c r="A1708" t="s">
        <v>1769</v>
      </c>
      <c r="B1708" s="1">
        <v>45836</v>
      </c>
      <c r="C1708" s="2">
        <v>45836.323750000003</v>
      </c>
      <c r="D1708" t="s">
        <v>15</v>
      </c>
      <c r="E1708" t="s">
        <v>16</v>
      </c>
      <c r="F1708" t="s">
        <v>17</v>
      </c>
      <c r="G1708" t="s">
        <v>56</v>
      </c>
      <c r="H1708" t="s">
        <v>54</v>
      </c>
      <c r="I1708" t="s">
        <v>45</v>
      </c>
      <c r="J1708" t="s">
        <v>46</v>
      </c>
      <c r="K1708">
        <v>48</v>
      </c>
      <c r="L1708">
        <v>7.77</v>
      </c>
      <c r="M1708">
        <v>3.6</v>
      </c>
      <c r="N1708" t="s">
        <v>22</v>
      </c>
      <c r="O1708" t="str">
        <f t="shared" si="26"/>
        <v>No</v>
      </c>
    </row>
    <row r="1709" spans="1:15" x14ac:dyDescent="0.25">
      <c r="A1709" t="s">
        <v>1770</v>
      </c>
      <c r="B1709" s="1">
        <v>45823</v>
      </c>
      <c r="C1709" s="2">
        <v>45824.391250000001</v>
      </c>
      <c r="D1709" t="s">
        <v>15</v>
      </c>
      <c r="E1709" t="s">
        <v>39</v>
      </c>
      <c r="F1709" t="s">
        <v>119</v>
      </c>
      <c r="G1709" t="s">
        <v>56</v>
      </c>
      <c r="H1709" t="s">
        <v>27</v>
      </c>
      <c r="I1709" t="s">
        <v>20</v>
      </c>
      <c r="J1709" t="s">
        <v>21</v>
      </c>
      <c r="K1709">
        <v>48</v>
      </c>
      <c r="L1709">
        <v>33.39</v>
      </c>
      <c r="M1709">
        <v>3.6</v>
      </c>
      <c r="N1709" t="s">
        <v>22</v>
      </c>
      <c r="O1709" t="str">
        <f t="shared" si="26"/>
        <v>No</v>
      </c>
    </row>
    <row r="1710" spans="1:15" x14ac:dyDescent="0.25">
      <c r="A1710" t="s">
        <v>1771</v>
      </c>
      <c r="B1710" s="1">
        <v>45702</v>
      </c>
      <c r="C1710" s="2">
        <v>45702.971666666665</v>
      </c>
      <c r="D1710" t="s">
        <v>24</v>
      </c>
      <c r="E1710" t="s">
        <v>32</v>
      </c>
      <c r="F1710" t="s">
        <v>80</v>
      </c>
      <c r="G1710" t="s">
        <v>56</v>
      </c>
      <c r="H1710" t="s">
        <v>19</v>
      </c>
      <c r="I1710" t="s">
        <v>36</v>
      </c>
      <c r="J1710" t="s">
        <v>21</v>
      </c>
      <c r="K1710">
        <v>24</v>
      </c>
      <c r="L1710">
        <v>23.32</v>
      </c>
      <c r="M1710">
        <v>4.2</v>
      </c>
      <c r="N1710" t="s">
        <v>22</v>
      </c>
      <c r="O1710" t="str">
        <f t="shared" si="26"/>
        <v>No</v>
      </c>
    </row>
    <row r="1711" spans="1:15" x14ac:dyDescent="0.25">
      <c r="A1711" t="s">
        <v>1772</v>
      </c>
      <c r="B1711" s="1">
        <v>45696</v>
      </c>
      <c r="C1711" s="2">
        <v>45697.549583333333</v>
      </c>
      <c r="D1711" t="s">
        <v>15</v>
      </c>
      <c r="E1711" t="s">
        <v>25</v>
      </c>
      <c r="F1711" t="s">
        <v>53</v>
      </c>
      <c r="G1711" t="s">
        <v>34</v>
      </c>
      <c r="H1711" t="s">
        <v>65</v>
      </c>
      <c r="I1711" t="s">
        <v>20</v>
      </c>
      <c r="J1711" t="s">
        <v>21</v>
      </c>
      <c r="K1711">
        <v>48</v>
      </c>
      <c r="L1711">
        <v>37.19</v>
      </c>
      <c r="M1711">
        <v>5</v>
      </c>
      <c r="N1711" t="s">
        <v>22</v>
      </c>
      <c r="O1711" t="str">
        <f t="shared" si="26"/>
        <v>No</v>
      </c>
    </row>
    <row r="1712" spans="1:15" x14ac:dyDescent="0.25">
      <c r="A1712" t="s">
        <v>1773</v>
      </c>
      <c r="B1712" s="1">
        <v>45720</v>
      </c>
      <c r="C1712" s="2">
        <v>45720.525000000001</v>
      </c>
      <c r="D1712" t="s">
        <v>24</v>
      </c>
      <c r="E1712" t="s">
        <v>45</v>
      </c>
      <c r="F1712" t="s">
        <v>112</v>
      </c>
      <c r="G1712" t="s">
        <v>18</v>
      </c>
      <c r="H1712" t="s">
        <v>27</v>
      </c>
      <c r="I1712" t="s">
        <v>20</v>
      </c>
      <c r="J1712" t="s">
        <v>21</v>
      </c>
      <c r="K1712">
        <v>24</v>
      </c>
      <c r="L1712">
        <v>12.6</v>
      </c>
      <c r="M1712">
        <v>3.3</v>
      </c>
      <c r="N1712" t="s">
        <v>22</v>
      </c>
      <c r="O1712" t="str">
        <f t="shared" si="26"/>
        <v>No</v>
      </c>
    </row>
    <row r="1713" spans="1:15" x14ac:dyDescent="0.25">
      <c r="A1713" t="s">
        <v>1774</v>
      </c>
      <c r="B1713" s="1">
        <v>45743</v>
      </c>
      <c r="C1713" s="2">
        <v>45744.276666666665</v>
      </c>
      <c r="D1713" t="s">
        <v>24</v>
      </c>
      <c r="E1713" t="s">
        <v>39</v>
      </c>
      <c r="F1713" t="s">
        <v>119</v>
      </c>
      <c r="G1713" t="s">
        <v>34</v>
      </c>
      <c r="H1713" t="s">
        <v>44</v>
      </c>
      <c r="I1713" t="s">
        <v>20</v>
      </c>
      <c r="J1713" t="s">
        <v>46</v>
      </c>
      <c r="K1713">
        <v>24</v>
      </c>
      <c r="L1713">
        <v>30.64</v>
      </c>
      <c r="M1713">
        <v>4.0999999999999996</v>
      </c>
      <c r="N1713" t="s">
        <v>22</v>
      </c>
      <c r="O1713" t="str">
        <f t="shared" si="26"/>
        <v>Yes</v>
      </c>
    </row>
    <row r="1714" spans="1:15" x14ac:dyDescent="0.25">
      <c r="A1714" t="s">
        <v>1775</v>
      </c>
      <c r="B1714" s="1">
        <v>45817</v>
      </c>
      <c r="C1714" s="2">
        <v>45817.899155092593</v>
      </c>
      <c r="D1714" t="s">
        <v>24</v>
      </c>
      <c r="E1714" t="s">
        <v>32</v>
      </c>
      <c r="F1714" t="s">
        <v>33</v>
      </c>
      <c r="G1714" t="s">
        <v>34</v>
      </c>
      <c r="H1714" t="s">
        <v>27</v>
      </c>
      <c r="I1714" t="s">
        <v>45</v>
      </c>
      <c r="J1714" t="s">
        <v>21</v>
      </c>
      <c r="K1714">
        <v>24</v>
      </c>
      <c r="L1714">
        <v>21.58</v>
      </c>
      <c r="M1714">
        <v>2.7</v>
      </c>
      <c r="N1714" t="s">
        <v>22</v>
      </c>
      <c r="O1714" t="str">
        <f t="shared" si="26"/>
        <v>No</v>
      </c>
    </row>
    <row r="1715" spans="1:15" x14ac:dyDescent="0.25">
      <c r="A1715" t="s">
        <v>1776</v>
      </c>
      <c r="B1715" s="1">
        <v>45790</v>
      </c>
      <c r="C1715" s="2">
        <v>45790.522916666669</v>
      </c>
      <c r="D1715" t="s">
        <v>15</v>
      </c>
      <c r="E1715" t="s">
        <v>32</v>
      </c>
      <c r="F1715" t="s">
        <v>80</v>
      </c>
      <c r="G1715" t="s">
        <v>51</v>
      </c>
      <c r="H1715" t="s">
        <v>44</v>
      </c>
      <c r="I1715" t="s">
        <v>36</v>
      </c>
      <c r="J1715" t="s">
        <v>29</v>
      </c>
      <c r="K1715">
        <v>48</v>
      </c>
      <c r="L1715">
        <v>12.55</v>
      </c>
      <c r="M1715">
        <v>5</v>
      </c>
      <c r="N1715" t="s">
        <v>22</v>
      </c>
      <c r="O1715" t="str">
        <f t="shared" si="26"/>
        <v>No</v>
      </c>
    </row>
    <row r="1716" spans="1:15" x14ac:dyDescent="0.25">
      <c r="A1716" t="s">
        <v>1777</v>
      </c>
      <c r="B1716" s="1">
        <v>45774</v>
      </c>
      <c r="C1716" s="2">
        <v>45774.169166666667</v>
      </c>
      <c r="D1716" t="s">
        <v>24</v>
      </c>
      <c r="E1716" t="s">
        <v>32</v>
      </c>
      <c r="F1716" t="s">
        <v>33</v>
      </c>
      <c r="G1716" t="s">
        <v>41</v>
      </c>
      <c r="H1716" t="s">
        <v>19</v>
      </c>
      <c r="I1716" t="s">
        <v>20</v>
      </c>
      <c r="J1716" t="s">
        <v>46</v>
      </c>
      <c r="K1716">
        <v>24</v>
      </c>
      <c r="L1716">
        <v>4.0599999999999996</v>
      </c>
      <c r="M1716">
        <v>4.5999999999999996</v>
      </c>
      <c r="N1716" t="s">
        <v>22</v>
      </c>
      <c r="O1716" t="str">
        <f t="shared" si="26"/>
        <v>No</v>
      </c>
    </row>
    <row r="1717" spans="1:15" x14ac:dyDescent="0.25">
      <c r="A1717" t="s">
        <v>1778</v>
      </c>
      <c r="B1717" s="1">
        <v>45816</v>
      </c>
      <c r="C1717" s="2">
        <v>45820.344583333332</v>
      </c>
      <c r="D1717" t="s">
        <v>15</v>
      </c>
      <c r="E1717" t="s">
        <v>25</v>
      </c>
      <c r="F1717" t="s">
        <v>48</v>
      </c>
      <c r="G1717" t="s">
        <v>41</v>
      </c>
      <c r="H1717" t="s">
        <v>65</v>
      </c>
      <c r="I1717" t="s">
        <v>45</v>
      </c>
      <c r="J1717" t="s">
        <v>21</v>
      </c>
      <c r="K1717">
        <v>48</v>
      </c>
      <c r="L1717">
        <v>104.27</v>
      </c>
      <c r="M1717">
        <v>1.9</v>
      </c>
      <c r="N1717" t="s">
        <v>22</v>
      </c>
      <c r="O1717" t="str">
        <f t="shared" si="26"/>
        <v>Yes</v>
      </c>
    </row>
    <row r="1718" spans="1:15" x14ac:dyDescent="0.25">
      <c r="A1718" t="s">
        <v>1779</v>
      </c>
      <c r="B1718" s="1">
        <v>45774</v>
      </c>
      <c r="C1718" s="2">
        <v>45774.276250000003</v>
      </c>
      <c r="D1718" t="s">
        <v>24</v>
      </c>
      <c r="E1718" t="s">
        <v>45</v>
      </c>
      <c r="F1718" t="s">
        <v>50</v>
      </c>
      <c r="G1718" t="s">
        <v>41</v>
      </c>
      <c r="H1718" t="s">
        <v>35</v>
      </c>
      <c r="I1718" t="s">
        <v>36</v>
      </c>
      <c r="J1718" t="s">
        <v>21</v>
      </c>
      <c r="K1718">
        <v>24</v>
      </c>
      <c r="L1718">
        <v>6.63</v>
      </c>
      <c r="M1718">
        <v>4.9000000000000004</v>
      </c>
      <c r="N1718" t="s">
        <v>22</v>
      </c>
      <c r="O1718" t="str">
        <f t="shared" si="26"/>
        <v>No</v>
      </c>
    </row>
    <row r="1719" spans="1:15" x14ac:dyDescent="0.25">
      <c r="A1719" t="s">
        <v>1780</v>
      </c>
      <c r="B1719" s="1">
        <v>45726</v>
      </c>
      <c r="C1719" s="2">
        <v>45726.910416666666</v>
      </c>
      <c r="D1719" t="s">
        <v>15</v>
      </c>
      <c r="E1719" t="s">
        <v>45</v>
      </c>
      <c r="F1719" t="s">
        <v>50</v>
      </c>
      <c r="G1719" t="s">
        <v>51</v>
      </c>
      <c r="H1719" t="s">
        <v>44</v>
      </c>
      <c r="I1719" t="s">
        <v>36</v>
      </c>
      <c r="J1719" t="s">
        <v>21</v>
      </c>
      <c r="K1719">
        <v>48</v>
      </c>
      <c r="L1719">
        <v>21.85</v>
      </c>
      <c r="M1719">
        <v>3.8</v>
      </c>
      <c r="N1719" t="s">
        <v>22</v>
      </c>
      <c r="O1719" t="str">
        <f t="shared" si="26"/>
        <v>No</v>
      </c>
    </row>
    <row r="1720" spans="1:15" x14ac:dyDescent="0.25">
      <c r="A1720" t="s">
        <v>1781</v>
      </c>
      <c r="B1720" s="1">
        <v>45732</v>
      </c>
      <c r="C1720" s="2">
        <v>45732.035416666666</v>
      </c>
      <c r="D1720" t="s">
        <v>31</v>
      </c>
      <c r="E1720" t="s">
        <v>25</v>
      </c>
      <c r="F1720" t="s">
        <v>70</v>
      </c>
      <c r="G1720" t="s">
        <v>18</v>
      </c>
      <c r="H1720" t="s">
        <v>65</v>
      </c>
      <c r="I1720" t="s">
        <v>45</v>
      </c>
      <c r="J1720" t="s">
        <v>21</v>
      </c>
      <c r="K1720">
        <v>4</v>
      </c>
      <c r="L1720">
        <v>0.85</v>
      </c>
      <c r="M1720">
        <v>5</v>
      </c>
      <c r="N1720" t="s">
        <v>22</v>
      </c>
      <c r="O1720" t="str">
        <f t="shared" si="26"/>
        <v>No</v>
      </c>
    </row>
    <row r="1721" spans="1:15" x14ac:dyDescent="0.25">
      <c r="A1721" t="s">
        <v>1782</v>
      </c>
      <c r="B1721" s="1">
        <v>45751</v>
      </c>
      <c r="C1721" s="2">
        <v>45751.864999999998</v>
      </c>
      <c r="D1721" t="s">
        <v>24</v>
      </c>
      <c r="E1721" t="s">
        <v>32</v>
      </c>
      <c r="F1721" t="s">
        <v>80</v>
      </c>
      <c r="G1721" t="s">
        <v>34</v>
      </c>
      <c r="H1721" t="s">
        <v>44</v>
      </c>
      <c r="I1721" t="s">
        <v>45</v>
      </c>
      <c r="J1721" t="s">
        <v>21</v>
      </c>
      <c r="K1721">
        <v>24</v>
      </c>
      <c r="L1721">
        <v>20.76</v>
      </c>
      <c r="M1721">
        <v>3.9</v>
      </c>
      <c r="N1721" t="s">
        <v>22</v>
      </c>
      <c r="O1721" t="str">
        <f t="shared" si="26"/>
        <v>No</v>
      </c>
    </row>
    <row r="1722" spans="1:15" x14ac:dyDescent="0.25">
      <c r="A1722" t="s">
        <v>1783</v>
      </c>
      <c r="B1722" s="1">
        <v>45674</v>
      </c>
      <c r="C1722" s="2">
        <v>45674.465833333335</v>
      </c>
      <c r="D1722" t="s">
        <v>15</v>
      </c>
      <c r="E1722" t="s">
        <v>45</v>
      </c>
      <c r="F1722" t="s">
        <v>104</v>
      </c>
      <c r="G1722" t="s">
        <v>41</v>
      </c>
      <c r="H1722" t="s">
        <v>27</v>
      </c>
      <c r="I1722" t="s">
        <v>20</v>
      </c>
      <c r="J1722" t="s">
        <v>21</v>
      </c>
      <c r="K1722">
        <v>48</v>
      </c>
      <c r="L1722">
        <v>11.18</v>
      </c>
      <c r="M1722">
        <v>2.2000000000000002</v>
      </c>
      <c r="N1722" t="s">
        <v>22</v>
      </c>
      <c r="O1722" t="str">
        <f t="shared" si="26"/>
        <v>No</v>
      </c>
    </row>
    <row r="1723" spans="1:15" x14ac:dyDescent="0.25">
      <c r="A1723" t="s">
        <v>1784</v>
      </c>
      <c r="B1723" s="1">
        <v>45792</v>
      </c>
      <c r="C1723" s="2">
        <v>45793.01458333333</v>
      </c>
      <c r="D1723" t="s">
        <v>15</v>
      </c>
      <c r="E1723" t="s">
        <v>39</v>
      </c>
      <c r="F1723" t="s">
        <v>40</v>
      </c>
      <c r="G1723" t="s">
        <v>18</v>
      </c>
      <c r="H1723" t="s">
        <v>54</v>
      </c>
      <c r="I1723" t="s">
        <v>36</v>
      </c>
      <c r="J1723" t="s">
        <v>46</v>
      </c>
      <c r="K1723">
        <v>48</v>
      </c>
      <c r="L1723">
        <v>24.35</v>
      </c>
      <c r="M1723">
        <v>3.9</v>
      </c>
      <c r="N1723" t="s">
        <v>22</v>
      </c>
      <c r="O1723" t="str">
        <f t="shared" si="26"/>
        <v>No</v>
      </c>
    </row>
    <row r="1724" spans="1:15" x14ac:dyDescent="0.25">
      <c r="A1724" t="s">
        <v>1785</v>
      </c>
      <c r="B1724" s="1">
        <v>45776</v>
      </c>
      <c r="C1724" s="2">
        <v>45776.677083333336</v>
      </c>
      <c r="D1724" t="s">
        <v>24</v>
      </c>
      <c r="E1724" t="s">
        <v>39</v>
      </c>
      <c r="F1724" t="s">
        <v>78</v>
      </c>
      <c r="G1724" t="s">
        <v>18</v>
      </c>
      <c r="H1724" t="s">
        <v>27</v>
      </c>
      <c r="I1724" t="s">
        <v>36</v>
      </c>
      <c r="J1724" t="s">
        <v>21</v>
      </c>
      <c r="K1724">
        <v>24</v>
      </c>
      <c r="L1724">
        <v>16.25</v>
      </c>
      <c r="M1724">
        <v>4.3</v>
      </c>
      <c r="N1724" t="s">
        <v>22</v>
      </c>
      <c r="O1724" t="str">
        <f t="shared" si="26"/>
        <v>No</v>
      </c>
    </row>
    <row r="1725" spans="1:15" x14ac:dyDescent="0.25">
      <c r="A1725" t="s">
        <v>1786</v>
      </c>
      <c r="B1725" s="1">
        <v>45790</v>
      </c>
      <c r="C1725" s="2">
        <v>45790.593333333331</v>
      </c>
      <c r="D1725" t="s">
        <v>15</v>
      </c>
      <c r="E1725" t="s">
        <v>16</v>
      </c>
      <c r="F1725" t="s">
        <v>43</v>
      </c>
      <c r="G1725" t="s">
        <v>34</v>
      </c>
      <c r="H1725" t="s">
        <v>54</v>
      </c>
      <c r="I1725" t="s">
        <v>28</v>
      </c>
      <c r="J1725" t="s">
        <v>21</v>
      </c>
      <c r="K1725">
        <v>48</v>
      </c>
      <c r="L1725">
        <v>14.24</v>
      </c>
      <c r="M1725">
        <v>5</v>
      </c>
      <c r="N1725" t="s">
        <v>22</v>
      </c>
      <c r="O1725" t="str">
        <f t="shared" si="26"/>
        <v>No</v>
      </c>
    </row>
    <row r="1726" spans="1:15" x14ac:dyDescent="0.25">
      <c r="A1726" t="s">
        <v>1787</v>
      </c>
      <c r="B1726" s="1">
        <v>45754</v>
      </c>
      <c r="C1726" s="2">
        <v>45755.340416666666</v>
      </c>
      <c r="D1726" t="s">
        <v>15</v>
      </c>
      <c r="E1726" t="s">
        <v>32</v>
      </c>
      <c r="F1726" t="s">
        <v>80</v>
      </c>
      <c r="G1726" t="s">
        <v>41</v>
      </c>
      <c r="H1726" t="s">
        <v>35</v>
      </c>
      <c r="I1726" t="s">
        <v>36</v>
      </c>
      <c r="J1726" t="s">
        <v>21</v>
      </c>
      <c r="K1726">
        <v>48</v>
      </c>
      <c r="L1726">
        <v>32.17</v>
      </c>
      <c r="M1726">
        <v>4.4000000000000004</v>
      </c>
      <c r="N1726" t="s">
        <v>22</v>
      </c>
      <c r="O1726" t="str">
        <f t="shared" si="26"/>
        <v>No</v>
      </c>
    </row>
    <row r="1727" spans="1:15" x14ac:dyDescent="0.25">
      <c r="A1727" t="s">
        <v>1788</v>
      </c>
      <c r="B1727" s="1">
        <v>45799</v>
      </c>
      <c r="C1727" s="2">
        <v>45799.495416666665</v>
      </c>
      <c r="D1727" t="s">
        <v>38</v>
      </c>
      <c r="E1727" t="s">
        <v>25</v>
      </c>
      <c r="F1727" t="s">
        <v>70</v>
      </c>
      <c r="G1727" t="s">
        <v>56</v>
      </c>
      <c r="H1727" t="s">
        <v>44</v>
      </c>
      <c r="I1727" t="s">
        <v>36</v>
      </c>
      <c r="J1727" t="s">
        <v>46</v>
      </c>
      <c r="K1727">
        <v>8</v>
      </c>
      <c r="L1727">
        <v>11.89</v>
      </c>
      <c r="M1727">
        <v>3.9</v>
      </c>
      <c r="N1727" t="s">
        <v>22</v>
      </c>
      <c r="O1727" t="str">
        <f t="shared" si="26"/>
        <v>Yes</v>
      </c>
    </row>
    <row r="1728" spans="1:15" x14ac:dyDescent="0.25">
      <c r="A1728" t="s">
        <v>1789</v>
      </c>
      <c r="B1728" s="1">
        <v>45829</v>
      </c>
      <c r="C1728" s="2">
        <v>45829.596250000002</v>
      </c>
      <c r="D1728" t="s">
        <v>24</v>
      </c>
      <c r="E1728" t="s">
        <v>45</v>
      </c>
      <c r="F1728" t="s">
        <v>50</v>
      </c>
      <c r="G1728" t="s">
        <v>34</v>
      </c>
      <c r="H1728" t="s">
        <v>27</v>
      </c>
      <c r="I1728" t="s">
        <v>20</v>
      </c>
      <c r="J1728" t="s">
        <v>21</v>
      </c>
      <c r="K1728">
        <v>24</v>
      </c>
      <c r="L1728">
        <v>14.31</v>
      </c>
      <c r="M1728">
        <v>3.7</v>
      </c>
      <c r="N1728" t="s">
        <v>22</v>
      </c>
      <c r="O1728" t="str">
        <f t="shared" si="26"/>
        <v>No</v>
      </c>
    </row>
    <row r="1729" spans="1:15" x14ac:dyDescent="0.25">
      <c r="A1729" t="s">
        <v>1790</v>
      </c>
      <c r="B1729" s="1">
        <v>45761</v>
      </c>
      <c r="C1729" s="2">
        <v>45762.630833333336</v>
      </c>
      <c r="D1729" t="s">
        <v>15</v>
      </c>
      <c r="E1729" t="s">
        <v>25</v>
      </c>
      <c r="F1729" t="s">
        <v>53</v>
      </c>
      <c r="G1729" t="s">
        <v>34</v>
      </c>
      <c r="H1729" t="s">
        <v>54</v>
      </c>
      <c r="I1729" t="s">
        <v>28</v>
      </c>
      <c r="J1729" t="s">
        <v>29</v>
      </c>
      <c r="K1729">
        <v>48</v>
      </c>
      <c r="L1729">
        <v>39.14</v>
      </c>
      <c r="M1729">
        <v>4.5</v>
      </c>
      <c r="N1729" t="s">
        <v>22</v>
      </c>
      <c r="O1729" t="str">
        <f t="shared" si="26"/>
        <v>No</v>
      </c>
    </row>
    <row r="1730" spans="1:15" x14ac:dyDescent="0.25">
      <c r="A1730" t="s">
        <v>1791</v>
      </c>
      <c r="B1730" s="1">
        <v>45738</v>
      </c>
      <c r="C1730" s="2">
        <v>45738.368750000001</v>
      </c>
      <c r="D1730" t="s">
        <v>24</v>
      </c>
      <c r="E1730" t="s">
        <v>25</v>
      </c>
      <c r="F1730" t="s">
        <v>26</v>
      </c>
      <c r="G1730" t="s">
        <v>34</v>
      </c>
      <c r="H1730" t="s">
        <v>54</v>
      </c>
      <c r="I1730" t="s">
        <v>45</v>
      </c>
      <c r="J1730" t="s">
        <v>29</v>
      </c>
      <c r="K1730">
        <v>24</v>
      </c>
      <c r="L1730">
        <v>8.85</v>
      </c>
      <c r="M1730">
        <v>5</v>
      </c>
      <c r="N1730" t="s">
        <v>22</v>
      </c>
      <c r="O1730" t="str">
        <f t="shared" si="26"/>
        <v>No</v>
      </c>
    </row>
    <row r="1731" spans="1:15" x14ac:dyDescent="0.25">
      <c r="A1731" t="s">
        <v>1792</v>
      </c>
      <c r="B1731" s="1">
        <v>45676</v>
      </c>
      <c r="C1731" s="2">
        <v>45676.687083333331</v>
      </c>
      <c r="D1731" t="s">
        <v>15</v>
      </c>
      <c r="E1731" t="s">
        <v>39</v>
      </c>
      <c r="F1731" t="s">
        <v>87</v>
      </c>
      <c r="G1731" t="s">
        <v>51</v>
      </c>
      <c r="H1731" t="s">
        <v>44</v>
      </c>
      <c r="I1731" t="s">
        <v>36</v>
      </c>
      <c r="J1731" t="s">
        <v>29</v>
      </c>
      <c r="K1731">
        <v>48</v>
      </c>
      <c r="L1731">
        <v>16.489999999999998</v>
      </c>
      <c r="M1731">
        <v>3.5</v>
      </c>
      <c r="N1731" t="s">
        <v>22</v>
      </c>
      <c r="O1731" t="str">
        <f t="shared" ref="O1731:O1794" si="27">IF(L1731&gt;K1731,"Yes","No")</f>
        <v>No</v>
      </c>
    </row>
    <row r="1732" spans="1:15" x14ac:dyDescent="0.25">
      <c r="A1732" t="s">
        <v>1793</v>
      </c>
      <c r="B1732" s="1">
        <v>45798</v>
      </c>
      <c r="C1732" s="2">
        <v>45798.026666666665</v>
      </c>
      <c r="D1732" t="s">
        <v>31</v>
      </c>
      <c r="E1732" t="s">
        <v>32</v>
      </c>
      <c r="F1732" t="s">
        <v>75</v>
      </c>
      <c r="G1732" t="s">
        <v>41</v>
      </c>
      <c r="H1732" t="s">
        <v>65</v>
      </c>
      <c r="I1732" t="s">
        <v>45</v>
      </c>
      <c r="J1732" t="s">
        <v>46</v>
      </c>
      <c r="K1732">
        <v>4</v>
      </c>
      <c r="L1732">
        <v>0.64</v>
      </c>
      <c r="M1732">
        <v>5</v>
      </c>
      <c r="N1732" t="s">
        <v>61</v>
      </c>
      <c r="O1732" t="str">
        <f t="shared" si="27"/>
        <v>No</v>
      </c>
    </row>
    <row r="1733" spans="1:15" x14ac:dyDescent="0.25">
      <c r="A1733" t="s">
        <v>1794</v>
      </c>
      <c r="B1733" s="1">
        <v>45821</v>
      </c>
      <c r="C1733" s="2">
        <v>45822.115416666667</v>
      </c>
      <c r="D1733" t="s">
        <v>15</v>
      </c>
      <c r="E1733" t="s">
        <v>25</v>
      </c>
      <c r="F1733" t="s">
        <v>48</v>
      </c>
      <c r="G1733" t="s">
        <v>41</v>
      </c>
      <c r="H1733" t="s">
        <v>27</v>
      </c>
      <c r="I1733" t="s">
        <v>20</v>
      </c>
      <c r="J1733" t="s">
        <v>46</v>
      </c>
      <c r="K1733">
        <v>48</v>
      </c>
      <c r="L1733">
        <v>26.77</v>
      </c>
      <c r="M1733">
        <v>4.5</v>
      </c>
      <c r="N1733" t="s">
        <v>22</v>
      </c>
      <c r="O1733" t="str">
        <f t="shared" si="27"/>
        <v>No</v>
      </c>
    </row>
    <row r="1734" spans="1:15" x14ac:dyDescent="0.25">
      <c r="A1734" t="s">
        <v>1795</v>
      </c>
      <c r="B1734" s="1">
        <v>45784</v>
      </c>
      <c r="C1734" s="2">
        <v>45784.339166666665</v>
      </c>
      <c r="D1734" t="s">
        <v>38</v>
      </c>
      <c r="E1734" t="s">
        <v>16</v>
      </c>
      <c r="F1734" t="s">
        <v>17</v>
      </c>
      <c r="G1734" t="s">
        <v>56</v>
      </c>
      <c r="H1734" t="s">
        <v>54</v>
      </c>
      <c r="I1734" t="s">
        <v>20</v>
      </c>
      <c r="J1734" t="s">
        <v>21</v>
      </c>
      <c r="K1734">
        <v>8</v>
      </c>
      <c r="L1734">
        <v>8.14</v>
      </c>
      <c r="M1734">
        <v>3.6</v>
      </c>
      <c r="N1734" t="s">
        <v>22</v>
      </c>
      <c r="O1734" t="str">
        <f t="shared" si="27"/>
        <v>Yes</v>
      </c>
    </row>
    <row r="1735" spans="1:15" x14ac:dyDescent="0.25">
      <c r="A1735" t="s">
        <v>1796</v>
      </c>
      <c r="B1735" s="1">
        <v>45814</v>
      </c>
      <c r="C1735" s="2">
        <v>45814.261666666665</v>
      </c>
      <c r="D1735" t="s">
        <v>38</v>
      </c>
      <c r="E1735" t="s">
        <v>45</v>
      </c>
      <c r="F1735" t="s">
        <v>50</v>
      </c>
      <c r="G1735" t="s">
        <v>56</v>
      </c>
      <c r="H1735" t="s">
        <v>19</v>
      </c>
      <c r="I1735" t="s">
        <v>36</v>
      </c>
      <c r="J1735" t="s">
        <v>46</v>
      </c>
      <c r="K1735">
        <v>8</v>
      </c>
      <c r="L1735">
        <v>6.28</v>
      </c>
      <c r="M1735">
        <v>3.9</v>
      </c>
      <c r="N1735" t="s">
        <v>22</v>
      </c>
      <c r="O1735" t="str">
        <f t="shared" si="27"/>
        <v>No</v>
      </c>
    </row>
    <row r="1736" spans="1:15" x14ac:dyDescent="0.25">
      <c r="A1736" t="s">
        <v>1797</v>
      </c>
      <c r="B1736" s="1">
        <v>45813</v>
      </c>
      <c r="C1736" s="2">
        <v>45813.682916666665</v>
      </c>
      <c r="D1736" t="s">
        <v>15</v>
      </c>
      <c r="E1736" t="s">
        <v>32</v>
      </c>
      <c r="F1736" t="s">
        <v>33</v>
      </c>
      <c r="G1736" t="s">
        <v>56</v>
      </c>
      <c r="H1736" t="s">
        <v>27</v>
      </c>
      <c r="I1736" t="s">
        <v>20</v>
      </c>
      <c r="J1736" t="s">
        <v>21</v>
      </c>
      <c r="K1736">
        <v>48</v>
      </c>
      <c r="L1736">
        <v>16.39</v>
      </c>
      <c r="M1736">
        <v>3.9</v>
      </c>
      <c r="N1736" t="s">
        <v>22</v>
      </c>
      <c r="O1736" t="str">
        <f t="shared" si="27"/>
        <v>No</v>
      </c>
    </row>
    <row r="1737" spans="1:15" x14ac:dyDescent="0.25">
      <c r="A1737" t="s">
        <v>1798</v>
      </c>
      <c r="B1737" s="1">
        <v>45802</v>
      </c>
      <c r="C1737" s="2">
        <v>45802.79583333333</v>
      </c>
      <c r="D1737" t="s">
        <v>15</v>
      </c>
      <c r="E1737" t="s">
        <v>39</v>
      </c>
      <c r="F1737" t="s">
        <v>87</v>
      </c>
      <c r="G1737" t="s">
        <v>41</v>
      </c>
      <c r="H1737" t="s">
        <v>54</v>
      </c>
      <c r="I1737" t="s">
        <v>45</v>
      </c>
      <c r="J1737" t="s">
        <v>21</v>
      </c>
      <c r="K1737">
        <v>48</v>
      </c>
      <c r="L1737">
        <v>19.100000000000001</v>
      </c>
      <c r="M1737">
        <v>4.9000000000000004</v>
      </c>
      <c r="N1737" t="s">
        <v>22</v>
      </c>
      <c r="O1737" t="str">
        <f t="shared" si="27"/>
        <v>No</v>
      </c>
    </row>
    <row r="1738" spans="1:15" x14ac:dyDescent="0.25">
      <c r="A1738" t="s">
        <v>1799</v>
      </c>
      <c r="B1738" s="1">
        <v>45749</v>
      </c>
      <c r="C1738" s="2">
        <v>45750.500833333332</v>
      </c>
      <c r="D1738" t="s">
        <v>24</v>
      </c>
      <c r="E1738" t="s">
        <v>39</v>
      </c>
      <c r="F1738" t="s">
        <v>40</v>
      </c>
      <c r="G1738" t="s">
        <v>51</v>
      </c>
      <c r="H1738" t="s">
        <v>65</v>
      </c>
      <c r="I1738" t="s">
        <v>36</v>
      </c>
      <c r="J1738" t="s">
        <v>85</v>
      </c>
      <c r="K1738">
        <v>24</v>
      </c>
      <c r="L1738">
        <v>36.020000000000003</v>
      </c>
      <c r="M1738">
        <v>3.4</v>
      </c>
      <c r="N1738" t="s">
        <v>22</v>
      </c>
      <c r="O1738" t="str">
        <f t="shared" si="27"/>
        <v>Yes</v>
      </c>
    </row>
    <row r="1739" spans="1:15" x14ac:dyDescent="0.25">
      <c r="A1739" t="s">
        <v>1800</v>
      </c>
      <c r="B1739" s="1">
        <v>45676</v>
      </c>
      <c r="C1739" s="2">
        <v>45676.239583333336</v>
      </c>
      <c r="D1739" t="s">
        <v>38</v>
      </c>
      <c r="E1739" t="s">
        <v>16</v>
      </c>
      <c r="F1739" t="s">
        <v>58</v>
      </c>
      <c r="G1739" t="s">
        <v>18</v>
      </c>
      <c r="H1739" t="s">
        <v>44</v>
      </c>
      <c r="I1739" t="s">
        <v>36</v>
      </c>
      <c r="J1739" t="s">
        <v>21</v>
      </c>
      <c r="K1739">
        <v>8</v>
      </c>
      <c r="L1739">
        <v>5.75</v>
      </c>
      <c r="M1739">
        <v>4.5</v>
      </c>
      <c r="N1739" t="s">
        <v>22</v>
      </c>
      <c r="O1739" t="str">
        <f t="shared" si="27"/>
        <v>No</v>
      </c>
    </row>
    <row r="1740" spans="1:15" x14ac:dyDescent="0.25">
      <c r="A1740" t="s">
        <v>1801</v>
      </c>
      <c r="B1740" s="1">
        <v>45658</v>
      </c>
      <c r="C1740" s="2">
        <v>45658.879999999997</v>
      </c>
      <c r="D1740" t="s">
        <v>24</v>
      </c>
      <c r="E1740" t="s">
        <v>25</v>
      </c>
      <c r="F1740" t="s">
        <v>26</v>
      </c>
      <c r="G1740" t="s">
        <v>41</v>
      </c>
      <c r="H1740" t="s">
        <v>27</v>
      </c>
      <c r="I1740" t="s">
        <v>36</v>
      </c>
      <c r="J1740" t="s">
        <v>21</v>
      </c>
      <c r="K1740">
        <v>24</v>
      </c>
      <c r="L1740">
        <v>21.12</v>
      </c>
      <c r="M1740">
        <v>4</v>
      </c>
      <c r="N1740" t="s">
        <v>22</v>
      </c>
      <c r="O1740" t="str">
        <f t="shared" si="27"/>
        <v>No</v>
      </c>
    </row>
    <row r="1741" spans="1:15" x14ac:dyDescent="0.25">
      <c r="A1741" t="s">
        <v>1802</v>
      </c>
      <c r="B1741" s="1">
        <v>45694</v>
      </c>
      <c r="C1741" s="2">
        <v>45694.956666666665</v>
      </c>
      <c r="D1741" t="s">
        <v>24</v>
      </c>
      <c r="E1741" t="s">
        <v>45</v>
      </c>
      <c r="F1741" t="s">
        <v>104</v>
      </c>
      <c r="G1741" t="s">
        <v>34</v>
      </c>
      <c r="H1741" t="s">
        <v>27</v>
      </c>
      <c r="I1741" t="s">
        <v>28</v>
      </c>
      <c r="J1741" t="s">
        <v>21</v>
      </c>
      <c r="K1741">
        <v>24</v>
      </c>
      <c r="L1741">
        <v>22.96</v>
      </c>
      <c r="M1741">
        <v>4</v>
      </c>
      <c r="N1741" t="s">
        <v>22</v>
      </c>
      <c r="O1741" t="str">
        <f t="shared" si="27"/>
        <v>No</v>
      </c>
    </row>
    <row r="1742" spans="1:15" x14ac:dyDescent="0.25">
      <c r="A1742" t="s">
        <v>1803</v>
      </c>
      <c r="B1742" s="1">
        <v>45736</v>
      </c>
      <c r="C1742" s="2">
        <v>45736.118333333332</v>
      </c>
      <c r="D1742" t="s">
        <v>38</v>
      </c>
      <c r="E1742" t="s">
        <v>39</v>
      </c>
      <c r="F1742" t="s">
        <v>119</v>
      </c>
      <c r="G1742" t="s">
        <v>18</v>
      </c>
      <c r="H1742" t="s">
        <v>44</v>
      </c>
      <c r="I1742" t="s">
        <v>36</v>
      </c>
      <c r="J1742" t="s">
        <v>21</v>
      </c>
      <c r="K1742">
        <v>8</v>
      </c>
      <c r="L1742">
        <v>2.84</v>
      </c>
      <c r="M1742">
        <v>4.4000000000000004</v>
      </c>
      <c r="N1742" t="s">
        <v>22</v>
      </c>
      <c r="O1742" t="str">
        <f t="shared" si="27"/>
        <v>No</v>
      </c>
    </row>
    <row r="1743" spans="1:15" x14ac:dyDescent="0.25">
      <c r="A1743" t="s">
        <v>1804</v>
      </c>
      <c r="B1743" s="1">
        <v>45792</v>
      </c>
      <c r="C1743" s="2">
        <v>45792.107071759259</v>
      </c>
      <c r="D1743" t="s">
        <v>38</v>
      </c>
      <c r="E1743" t="s">
        <v>16</v>
      </c>
      <c r="F1743" t="s">
        <v>43</v>
      </c>
      <c r="G1743" t="s">
        <v>18</v>
      </c>
      <c r="H1743" t="s">
        <v>35</v>
      </c>
      <c r="I1743" t="s">
        <v>20</v>
      </c>
      <c r="J1743" t="s">
        <v>46</v>
      </c>
      <c r="K1743">
        <v>8</v>
      </c>
      <c r="L1743">
        <v>2.57</v>
      </c>
      <c r="M1743">
        <v>5</v>
      </c>
      <c r="N1743" t="s">
        <v>22</v>
      </c>
      <c r="O1743" t="str">
        <f t="shared" si="27"/>
        <v>No</v>
      </c>
    </row>
    <row r="1744" spans="1:15" x14ac:dyDescent="0.25">
      <c r="A1744" t="s">
        <v>1805</v>
      </c>
      <c r="B1744" s="1">
        <v>45740</v>
      </c>
      <c r="C1744" s="2">
        <v>45740.349583333336</v>
      </c>
      <c r="D1744" t="s">
        <v>24</v>
      </c>
      <c r="E1744" t="s">
        <v>32</v>
      </c>
      <c r="F1744" t="s">
        <v>75</v>
      </c>
      <c r="G1744" t="s">
        <v>56</v>
      </c>
      <c r="H1744" t="s">
        <v>65</v>
      </c>
      <c r="I1744" t="s">
        <v>36</v>
      </c>
      <c r="J1744" t="s">
        <v>29</v>
      </c>
      <c r="K1744">
        <v>24</v>
      </c>
      <c r="L1744">
        <v>8.39</v>
      </c>
      <c r="M1744">
        <v>5</v>
      </c>
      <c r="N1744" t="s">
        <v>22</v>
      </c>
      <c r="O1744" t="str">
        <f t="shared" si="27"/>
        <v>No</v>
      </c>
    </row>
    <row r="1745" spans="1:15" x14ac:dyDescent="0.25">
      <c r="A1745" t="s">
        <v>1806</v>
      </c>
      <c r="B1745" s="1">
        <v>45662</v>
      </c>
      <c r="C1745" s="2">
        <v>45662.314166666663</v>
      </c>
      <c r="D1745" t="s">
        <v>24</v>
      </c>
      <c r="E1745" t="s">
        <v>32</v>
      </c>
      <c r="F1745" t="s">
        <v>64</v>
      </c>
      <c r="G1745" t="s">
        <v>34</v>
      </c>
      <c r="H1745" t="s">
        <v>65</v>
      </c>
      <c r="I1745" t="s">
        <v>20</v>
      </c>
      <c r="J1745" t="s">
        <v>21</v>
      </c>
      <c r="K1745">
        <v>24</v>
      </c>
      <c r="L1745">
        <v>7.54</v>
      </c>
      <c r="M1745">
        <v>4.7</v>
      </c>
      <c r="N1745" t="s">
        <v>22</v>
      </c>
      <c r="O1745" t="str">
        <f t="shared" si="27"/>
        <v>No</v>
      </c>
    </row>
    <row r="1746" spans="1:15" x14ac:dyDescent="0.25">
      <c r="A1746" t="s">
        <v>1807</v>
      </c>
      <c r="B1746" s="1">
        <v>45696</v>
      </c>
      <c r="C1746" s="2">
        <v>45697.301249999997</v>
      </c>
      <c r="D1746" t="s">
        <v>24</v>
      </c>
      <c r="E1746" t="s">
        <v>39</v>
      </c>
      <c r="F1746" t="s">
        <v>119</v>
      </c>
      <c r="G1746" t="s">
        <v>34</v>
      </c>
      <c r="H1746" t="s">
        <v>27</v>
      </c>
      <c r="I1746" t="s">
        <v>45</v>
      </c>
      <c r="J1746" t="s">
        <v>21</v>
      </c>
      <c r="K1746">
        <v>24</v>
      </c>
      <c r="L1746">
        <v>31.23</v>
      </c>
      <c r="M1746">
        <v>3.4</v>
      </c>
      <c r="N1746" t="s">
        <v>22</v>
      </c>
      <c r="O1746" t="str">
        <f t="shared" si="27"/>
        <v>Yes</v>
      </c>
    </row>
    <row r="1747" spans="1:15" x14ac:dyDescent="0.25">
      <c r="A1747" t="s">
        <v>1808</v>
      </c>
      <c r="B1747" s="1">
        <v>45835</v>
      </c>
      <c r="C1747" s="2">
        <v>45835.874583333331</v>
      </c>
      <c r="D1747" t="s">
        <v>15</v>
      </c>
      <c r="E1747" t="s">
        <v>16</v>
      </c>
      <c r="F1747" t="s">
        <v>43</v>
      </c>
      <c r="G1747" t="s">
        <v>41</v>
      </c>
      <c r="H1747" t="s">
        <v>19</v>
      </c>
      <c r="I1747" t="s">
        <v>28</v>
      </c>
      <c r="J1747" t="s">
        <v>21</v>
      </c>
      <c r="K1747">
        <v>48</v>
      </c>
      <c r="L1747">
        <v>20.99</v>
      </c>
      <c r="M1747">
        <v>3.3</v>
      </c>
      <c r="N1747" t="s">
        <v>61</v>
      </c>
      <c r="O1747" t="str">
        <f t="shared" si="27"/>
        <v>No</v>
      </c>
    </row>
    <row r="1748" spans="1:15" x14ac:dyDescent="0.25">
      <c r="A1748" t="s">
        <v>1809</v>
      </c>
      <c r="B1748" s="1">
        <v>45836</v>
      </c>
      <c r="C1748" s="2">
        <v>45836.392083333332</v>
      </c>
      <c r="D1748" t="s">
        <v>38</v>
      </c>
      <c r="E1748" t="s">
        <v>39</v>
      </c>
      <c r="F1748" t="s">
        <v>78</v>
      </c>
      <c r="G1748" t="s">
        <v>51</v>
      </c>
      <c r="H1748" t="s">
        <v>54</v>
      </c>
      <c r="I1748" t="s">
        <v>45</v>
      </c>
      <c r="J1748" t="s">
        <v>46</v>
      </c>
      <c r="K1748">
        <v>8</v>
      </c>
      <c r="L1748">
        <v>9.41</v>
      </c>
      <c r="M1748">
        <v>2.2999999999999998</v>
      </c>
      <c r="N1748" t="s">
        <v>22</v>
      </c>
      <c r="O1748" t="str">
        <f t="shared" si="27"/>
        <v>Yes</v>
      </c>
    </row>
    <row r="1749" spans="1:15" x14ac:dyDescent="0.25">
      <c r="A1749" t="s">
        <v>1810</v>
      </c>
      <c r="B1749" s="1">
        <v>45726</v>
      </c>
      <c r="C1749" s="2">
        <v>45726.898333333331</v>
      </c>
      <c r="D1749" t="s">
        <v>15</v>
      </c>
      <c r="E1749" t="s">
        <v>39</v>
      </c>
      <c r="F1749" t="s">
        <v>119</v>
      </c>
      <c r="G1749" t="s">
        <v>51</v>
      </c>
      <c r="H1749" t="s">
        <v>27</v>
      </c>
      <c r="I1749" t="s">
        <v>20</v>
      </c>
      <c r="J1749" t="s">
        <v>21</v>
      </c>
      <c r="K1749">
        <v>48</v>
      </c>
      <c r="L1749">
        <v>21.56</v>
      </c>
      <c r="M1749">
        <v>4.2</v>
      </c>
      <c r="N1749" t="s">
        <v>22</v>
      </c>
      <c r="O1749" t="str">
        <f t="shared" si="27"/>
        <v>No</v>
      </c>
    </row>
    <row r="1750" spans="1:15" x14ac:dyDescent="0.25">
      <c r="A1750" t="s">
        <v>1811</v>
      </c>
      <c r="B1750" s="1">
        <v>45803</v>
      </c>
      <c r="C1750" s="2">
        <v>45803.942499999997</v>
      </c>
      <c r="D1750" t="s">
        <v>15</v>
      </c>
      <c r="E1750" t="s">
        <v>16</v>
      </c>
      <c r="F1750" t="s">
        <v>60</v>
      </c>
      <c r="G1750" t="s">
        <v>34</v>
      </c>
      <c r="H1750" t="s">
        <v>35</v>
      </c>
      <c r="I1750" t="s">
        <v>45</v>
      </c>
      <c r="J1750" t="s">
        <v>46</v>
      </c>
      <c r="K1750">
        <v>48</v>
      </c>
      <c r="L1750">
        <v>22.62</v>
      </c>
      <c r="M1750">
        <v>5</v>
      </c>
      <c r="N1750" t="s">
        <v>22</v>
      </c>
      <c r="O1750" t="str">
        <f t="shared" si="27"/>
        <v>No</v>
      </c>
    </row>
    <row r="1751" spans="1:15" x14ac:dyDescent="0.25">
      <c r="A1751" t="s">
        <v>1812</v>
      </c>
      <c r="B1751" s="1">
        <v>45788</v>
      </c>
      <c r="C1751" s="2">
        <v>45788.025833333333</v>
      </c>
      <c r="D1751" t="s">
        <v>38</v>
      </c>
      <c r="E1751" t="s">
        <v>25</v>
      </c>
      <c r="F1751" t="s">
        <v>53</v>
      </c>
      <c r="G1751" t="s">
        <v>34</v>
      </c>
      <c r="H1751" t="s">
        <v>44</v>
      </c>
      <c r="I1751" t="s">
        <v>45</v>
      </c>
      <c r="J1751" t="s">
        <v>21</v>
      </c>
      <c r="K1751">
        <v>8</v>
      </c>
      <c r="L1751">
        <v>0.62</v>
      </c>
      <c r="M1751">
        <v>4.4000000000000004</v>
      </c>
      <c r="N1751" t="s">
        <v>22</v>
      </c>
      <c r="O1751" t="str">
        <f t="shared" si="27"/>
        <v>No</v>
      </c>
    </row>
    <row r="1752" spans="1:15" x14ac:dyDescent="0.25">
      <c r="A1752" t="s">
        <v>1813</v>
      </c>
      <c r="B1752" s="1">
        <v>45826</v>
      </c>
      <c r="C1752" s="2">
        <v>45826.333333333336</v>
      </c>
      <c r="D1752" t="s">
        <v>24</v>
      </c>
      <c r="E1752" t="s">
        <v>32</v>
      </c>
      <c r="F1752" t="s">
        <v>64</v>
      </c>
      <c r="G1752" t="s">
        <v>51</v>
      </c>
      <c r="H1752" t="s">
        <v>27</v>
      </c>
      <c r="I1752" t="s">
        <v>28</v>
      </c>
      <c r="J1752" t="s">
        <v>21</v>
      </c>
      <c r="K1752">
        <v>24</v>
      </c>
      <c r="L1752">
        <v>8</v>
      </c>
      <c r="M1752">
        <v>4.2</v>
      </c>
      <c r="N1752" t="s">
        <v>22</v>
      </c>
      <c r="O1752" t="str">
        <f t="shared" si="27"/>
        <v>No</v>
      </c>
    </row>
    <row r="1753" spans="1:15" x14ac:dyDescent="0.25">
      <c r="A1753" t="s">
        <v>1814</v>
      </c>
      <c r="B1753" s="1">
        <v>45818</v>
      </c>
      <c r="C1753" s="2">
        <v>45820.650416666664</v>
      </c>
      <c r="D1753" t="s">
        <v>15</v>
      </c>
      <c r="E1753" t="s">
        <v>39</v>
      </c>
      <c r="F1753" t="s">
        <v>78</v>
      </c>
      <c r="G1753" t="s">
        <v>51</v>
      </c>
      <c r="H1753" t="s">
        <v>54</v>
      </c>
      <c r="I1753" t="s">
        <v>45</v>
      </c>
      <c r="J1753" t="s">
        <v>21</v>
      </c>
      <c r="K1753">
        <v>48</v>
      </c>
      <c r="L1753">
        <v>63.61</v>
      </c>
      <c r="M1753">
        <v>2.8</v>
      </c>
      <c r="N1753" t="s">
        <v>22</v>
      </c>
      <c r="O1753" t="str">
        <f t="shared" si="27"/>
        <v>Yes</v>
      </c>
    </row>
    <row r="1754" spans="1:15" x14ac:dyDescent="0.25">
      <c r="A1754" t="s">
        <v>1815</v>
      </c>
      <c r="B1754" s="1">
        <v>45771</v>
      </c>
      <c r="C1754" s="2">
        <v>45773.583333333336</v>
      </c>
      <c r="D1754" t="s">
        <v>15</v>
      </c>
      <c r="E1754" t="s">
        <v>16</v>
      </c>
      <c r="F1754" t="s">
        <v>17</v>
      </c>
      <c r="G1754" t="s">
        <v>18</v>
      </c>
      <c r="H1754" t="s">
        <v>27</v>
      </c>
      <c r="I1754" t="s">
        <v>20</v>
      </c>
      <c r="J1754" t="s">
        <v>21</v>
      </c>
      <c r="K1754">
        <v>48</v>
      </c>
      <c r="L1754">
        <v>62</v>
      </c>
      <c r="M1754">
        <v>2.6</v>
      </c>
      <c r="N1754" t="s">
        <v>22</v>
      </c>
      <c r="O1754" t="str">
        <f t="shared" si="27"/>
        <v>Yes</v>
      </c>
    </row>
    <row r="1755" spans="1:15" x14ac:dyDescent="0.25">
      <c r="A1755" t="s">
        <v>1816</v>
      </c>
      <c r="B1755" s="1">
        <v>45729</v>
      </c>
      <c r="C1755" s="2">
        <v>45729.326249999998</v>
      </c>
      <c r="D1755" t="s">
        <v>24</v>
      </c>
      <c r="E1755" t="s">
        <v>25</v>
      </c>
      <c r="F1755" t="s">
        <v>48</v>
      </c>
      <c r="G1755" t="s">
        <v>34</v>
      </c>
      <c r="H1755" t="s">
        <v>35</v>
      </c>
      <c r="I1755" t="s">
        <v>36</v>
      </c>
      <c r="J1755" t="s">
        <v>46</v>
      </c>
      <c r="K1755">
        <v>24</v>
      </c>
      <c r="L1755">
        <v>7.83</v>
      </c>
      <c r="M1755">
        <v>4</v>
      </c>
      <c r="N1755" t="s">
        <v>22</v>
      </c>
      <c r="O1755" t="str">
        <f t="shared" si="27"/>
        <v>No</v>
      </c>
    </row>
    <row r="1756" spans="1:15" x14ac:dyDescent="0.25">
      <c r="A1756" t="s">
        <v>1817</v>
      </c>
      <c r="B1756" s="1">
        <v>45771</v>
      </c>
      <c r="C1756" s="2">
        <v>45771.020833333336</v>
      </c>
      <c r="D1756" t="s">
        <v>38</v>
      </c>
      <c r="E1756" t="s">
        <v>25</v>
      </c>
      <c r="F1756" t="s">
        <v>53</v>
      </c>
      <c r="G1756" t="s">
        <v>34</v>
      </c>
      <c r="H1756" t="s">
        <v>35</v>
      </c>
      <c r="I1756" t="s">
        <v>45</v>
      </c>
      <c r="J1756" t="s">
        <v>21</v>
      </c>
      <c r="K1756">
        <v>8</v>
      </c>
      <c r="L1756">
        <v>0.5</v>
      </c>
      <c r="M1756">
        <v>5</v>
      </c>
      <c r="N1756" t="s">
        <v>22</v>
      </c>
      <c r="O1756" t="str">
        <f t="shared" si="27"/>
        <v>No</v>
      </c>
    </row>
    <row r="1757" spans="1:15" x14ac:dyDescent="0.25">
      <c r="A1757" t="s">
        <v>1818</v>
      </c>
      <c r="B1757" s="1">
        <v>45715</v>
      </c>
      <c r="C1757" s="2">
        <v>45715.437083333331</v>
      </c>
      <c r="D1757" t="s">
        <v>15</v>
      </c>
      <c r="E1757" t="s">
        <v>32</v>
      </c>
      <c r="F1757" t="s">
        <v>64</v>
      </c>
      <c r="G1757" t="s">
        <v>34</v>
      </c>
      <c r="H1757" t="s">
        <v>27</v>
      </c>
      <c r="I1757" t="s">
        <v>28</v>
      </c>
      <c r="J1757" t="s">
        <v>85</v>
      </c>
      <c r="K1757">
        <v>48</v>
      </c>
      <c r="L1757">
        <v>10.49</v>
      </c>
      <c r="M1757">
        <v>4.4000000000000004</v>
      </c>
      <c r="N1757" t="s">
        <v>22</v>
      </c>
      <c r="O1757" t="str">
        <f t="shared" si="27"/>
        <v>No</v>
      </c>
    </row>
    <row r="1758" spans="1:15" x14ac:dyDescent="0.25">
      <c r="A1758" t="s">
        <v>1819</v>
      </c>
      <c r="B1758" s="1">
        <v>45721</v>
      </c>
      <c r="C1758" s="2">
        <v>45721.647499999999</v>
      </c>
      <c r="D1758" t="s">
        <v>15</v>
      </c>
      <c r="E1758" t="s">
        <v>16</v>
      </c>
      <c r="F1758" t="s">
        <v>43</v>
      </c>
      <c r="G1758" t="s">
        <v>34</v>
      </c>
      <c r="H1758" t="s">
        <v>19</v>
      </c>
      <c r="I1758" t="s">
        <v>20</v>
      </c>
      <c r="J1758" t="s">
        <v>21</v>
      </c>
      <c r="K1758">
        <v>48</v>
      </c>
      <c r="L1758">
        <v>15.54</v>
      </c>
      <c r="M1758">
        <v>4.3</v>
      </c>
      <c r="N1758" t="s">
        <v>22</v>
      </c>
      <c r="O1758" t="str">
        <f t="shared" si="27"/>
        <v>No</v>
      </c>
    </row>
    <row r="1759" spans="1:15" x14ac:dyDescent="0.25">
      <c r="A1759" t="s">
        <v>1820</v>
      </c>
      <c r="B1759" s="1">
        <v>45768</v>
      </c>
      <c r="C1759" s="2">
        <v>45768.325416666667</v>
      </c>
      <c r="D1759" t="s">
        <v>24</v>
      </c>
      <c r="E1759" t="s">
        <v>45</v>
      </c>
      <c r="F1759" t="s">
        <v>100</v>
      </c>
      <c r="G1759" t="s">
        <v>51</v>
      </c>
      <c r="H1759" t="s">
        <v>19</v>
      </c>
      <c r="I1759" t="s">
        <v>45</v>
      </c>
      <c r="J1759" t="s">
        <v>85</v>
      </c>
      <c r="K1759">
        <v>24</v>
      </c>
      <c r="L1759">
        <v>7.81</v>
      </c>
      <c r="M1759">
        <v>4.2</v>
      </c>
      <c r="N1759" t="s">
        <v>22</v>
      </c>
      <c r="O1759" t="str">
        <f t="shared" si="27"/>
        <v>No</v>
      </c>
    </row>
    <row r="1760" spans="1:15" x14ac:dyDescent="0.25">
      <c r="A1760" t="s">
        <v>1821</v>
      </c>
      <c r="B1760" s="1">
        <v>45761</v>
      </c>
      <c r="C1760" s="2">
        <v>45761.054166666669</v>
      </c>
      <c r="D1760" t="s">
        <v>31</v>
      </c>
      <c r="E1760" t="s">
        <v>39</v>
      </c>
      <c r="F1760" t="s">
        <v>87</v>
      </c>
      <c r="G1760" t="s">
        <v>34</v>
      </c>
      <c r="H1760" t="s">
        <v>27</v>
      </c>
      <c r="I1760" t="s">
        <v>45</v>
      </c>
      <c r="J1760" t="s">
        <v>21</v>
      </c>
      <c r="K1760">
        <v>4</v>
      </c>
      <c r="L1760">
        <v>1.3</v>
      </c>
      <c r="M1760">
        <v>4.8</v>
      </c>
      <c r="N1760" t="s">
        <v>22</v>
      </c>
      <c r="O1760" t="str">
        <f t="shared" si="27"/>
        <v>No</v>
      </c>
    </row>
    <row r="1761" spans="1:15" x14ac:dyDescent="0.25">
      <c r="A1761" t="s">
        <v>1822</v>
      </c>
      <c r="B1761" s="1">
        <v>45763</v>
      </c>
      <c r="C1761" s="2">
        <v>45764.030416666668</v>
      </c>
      <c r="D1761" t="s">
        <v>15</v>
      </c>
      <c r="E1761" t="s">
        <v>39</v>
      </c>
      <c r="F1761" t="s">
        <v>78</v>
      </c>
      <c r="G1761" t="s">
        <v>51</v>
      </c>
      <c r="H1761" t="s">
        <v>19</v>
      </c>
      <c r="I1761" t="s">
        <v>20</v>
      </c>
      <c r="J1761" t="s">
        <v>21</v>
      </c>
      <c r="K1761">
        <v>48</v>
      </c>
      <c r="L1761">
        <v>24.73</v>
      </c>
      <c r="M1761">
        <v>4.5999999999999996</v>
      </c>
      <c r="N1761" t="s">
        <v>22</v>
      </c>
      <c r="O1761" t="str">
        <f t="shared" si="27"/>
        <v>No</v>
      </c>
    </row>
    <row r="1762" spans="1:15" x14ac:dyDescent="0.25">
      <c r="A1762" t="s">
        <v>1823</v>
      </c>
      <c r="B1762" s="1">
        <v>45727</v>
      </c>
      <c r="C1762" s="2">
        <v>45727.032916666663</v>
      </c>
      <c r="D1762" t="s">
        <v>31</v>
      </c>
      <c r="E1762" t="s">
        <v>45</v>
      </c>
      <c r="F1762" t="s">
        <v>112</v>
      </c>
      <c r="G1762" t="s">
        <v>18</v>
      </c>
      <c r="H1762" t="s">
        <v>54</v>
      </c>
      <c r="I1762" t="s">
        <v>36</v>
      </c>
      <c r="J1762" t="s">
        <v>21</v>
      </c>
      <c r="K1762">
        <v>4</v>
      </c>
      <c r="L1762">
        <v>0.79</v>
      </c>
      <c r="M1762">
        <v>3.5</v>
      </c>
      <c r="N1762" t="s">
        <v>22</v>
      </c>
      <c r="O1762" t="str">
        <f t="shared" si="27"/>
        <v>No</v>
      </c>
    </row>
    <row r="1763" spans="1:15" x14ac:dyDescent="0.25">
      <c r="A1763" t="s">
        <v>1824</v>
      </c>
      <c r="B1763" s="1">
        <v>45732</v>
      </c>
      <c r="C1763" s="2">
        <v>45732.152916666666</v>
      </c>
      <c r="D1763" t="s">
        <v>38</v>
      </c>
      <c r="E1763" t="s">
        <v>32</v>
      </c>
      <c r="F1763" t="s">
        <v>33</v>
      </c>
      <c r="G1763" t="s">
        <v>41</v>
      </c>
      <c r="H1763" t="s">
        <v>44</v>
      </c>
      <c r="I1763" t="s">
        <v>28</v>
      </c>
      <c r="J1763" t="s">
        <v>21</v>
      </c>
      <c r="K1763">
        <v>8</v>
      </c>
      <c r="L1763">
        <v>3.67</v>
      </c>
      <c r="M1763">
        <v>4</v>
      </c>
      <c r="N1763" t="s">
        <v>61</v>
      </c>
      <c r="O1763" t="str">
        <f t="shared" si="27"/>
        <v>No</v>
      </c>
    </row>
    <row r="1764" spans="1:15" x14ac:dyDescent="0.25">
      <c r="A1764" t="s">
        <v>1825</v>
      </c>
      <c r="B1764" s="1">
        <v>45659</v>
      </c>
      <c r="C1764" s="2">
        <v>45660.248749999999</v>
      </c>
      <c r="D1764" t="s">
        <v>15</v>
      </c>
      <c r="E1764" t="s">
        <v>16</v>
      </c>
      <c r="F1764" t="s">
        <v>60</v>
      </c>
      <c r="G1764" t="s">
        <v>34</v>
      </c>
      <c r="H1764" t="s">
        <v>44</v>
      </c>
      <c r="I1764" t="s">
        <v>36</v>
      </c>
      <c r="J1764" t="s">
        <v>21</v>
      </c>
      <c r="K1764">
        <v>48</v>
      </c>
      <c r="L1764">
        <v>29.97</v>
      </c>
      <c r="M1764">
        <v>4.2</v>
      </c>
      <c r="N1764" t="s">
        <v>22</v>
      </c>
      <c r="O1764" t="str">
        <f t="shared" si="27"/>
        <v>No</v>
      </c>
    </row>
    <row r="1765" spans="1:15" x14ac:dyDescent="0.25">
      <c r="A1765" t="s">
        <v>1826</v>
      </c>
      <c r="B1765" s="1">
        <v>45766</v>
      </c>
      <c r="C1765" s="2">
        <v>45766.115416666667</v>
      </c>
      <c r="D1765" t="s">
        <v>38</v>
      </c>
      <c r="E1765" t="s">
        <v>25</v>
      </c>
      <c r="F1765" t="s">
        <v>70</v>
      </c>
      <c r="G1765" t="s">
        <v>56</v>
      </c>
      <c r="H1765" t="s">
        <v>44</v>
      </c>
      <c r="I1765" t="s">
        <v>36</v>
      </c>
      <c r="J1765" t="s">
        <v>21</v>
      </c>
      <c r="K1765">
        <v>8</v>
      </c>
      <c r="L1765">
        <v>2.77</v>
      </c>
      <c r="M1765">
        <v>4.9000000000000004</v>
      </c>
      <c r="N1765" t="s">
        <v>22</v>
      </c>
      <c r="O1765" t="str">
        <f t="shared" si="27"/>
        <v>No</v>
      </c>
    </row>
    <row r="1766" spans="1:15" x14ac:dyDescent="0.25">
      <c r="A1766" t="s">
        <v>1827</v>
      </c>
      <c r="B1766" s="1">
        <v>45762</v>
      </c>
      <c r="C1766" s="2">
        <v>45762.534583333334</v>
      </c>
      <c r="D1766" t="s">
        <v>24</v>
      </c>
      <c r="E1766" t="s">
        <v>32</v>
      </c>
      <c r="F1766" t="s">
        <v>64</v>
      </c>
      <c r="G1766" t="s">
        <v>34</v>
      </c>
      <c r="H1766" t="s">
        <v>65</v>
      </c>
      <c r="I1766" t="s">
        <v>20</v>
      </c>
      <c r="J1766" t="s">
        <v>21</v>
      </c>
      <c r="K1766">
        <v>24</v>
      </c>
      <c r="L1766">
        <v>12.83</v>
      </c>
      <c r="M1766">
        <v>4.4000000000000004</v>
      </c>
      <c r="N1766" t="s">
        <v>22</v>
      </c>
      <c r="O1766" t="str">
        <f t="shared" si="27"/>
        <v>No</v>
      </c>
    </row>
    <row r="1767" spans="1:15" x14ac:dyDescent="0.25">
      <c r="A1767" t="s">
        <v>1828</v>
      </c>
      <c r="B1767" s="1">
        <v>45827</v>
      </c>
      <c r="C1767" s="2">
        <v>45828.473333333335</v>
      </c>
      <c r="D1767" t="s">
        <v>24</v>
      </c>
      <c r="E1767" t="s">
        <v>16</v>
      </c>
      <c r="F1767" t="s">
        <v>43</v>
      </c>
      <c r="G1767" t="s">
        <v>18</v>
      </c>
      <c r="H1767" t="s">
        <v>65</v>
      </c>
      <c r="I1767" t="s">
        <v>36</v>
      </c>
      <c r="J1767" t="s">
        <v>46</v>
      </c>
      <c r="K1767">
        <v>24</v>
      </c>
      <c r="L1767">
        <v>35.36</v>
      </c>
      <c r="M1767">
        <v>3.8</v>
      </c>
      <c r="N1767" t="s">
        <v>22</v>
      </c>
      <c r="O1767" t="str">
        <f t="shared" si="27"/>
        <v>Yes</v>
      </c>
    </row>
    <row r="1768" spans="1:15" x14ac:dyDescent="0.25">
      <c r="A1768" t="s">
        <v>1829</v>
      </c>
      <c r="B1768" s="1">
        <v>45749</v>
      </c>
      <c r="C1768" s="2">
        <v>45749.809583333335</v>
      </c>
      <c r="D1768" t="s">
        <v>24</v>
      </c>
      <c r="E1768" t="s">
        <v>39</v>
      </c>
      <c r="F1768" t="s">
        <v>119</v>
      </c>
      <c r="G1768" t="s">
        <v>18</v>
      </c>
      <c r="H1768" t="s">
        <v>44</v>
      </c>
      <c r="I1768" t="s">
        <v>36</v>
      </c>
      <c r="J1768" t="s">
        <v>46</v>
      </c>
      <c r="K1768">
        <v>24</v>
      </c>
      <c r="L1768">
        <v>19.43</v>
      </c>
      <c r="M1768">
        <v>3.1</v>
      </c>
      <c r="N1768" t="s">
        <v>61</v>
      </c>
      <c r="O1768" t="str">
        <f t="shared" si="27"/>
        <v>No</v>
      </c>
    </row>
    <row r="1769" spans="1:15" x14ac:dyDescent="0.25">
      <c r="A1769" t="s">
        <v>1830</v>
      </c>
      <c r="B1769" s="1">
        <v>45742</v>
      </c>
      <c r="C1769" s="2">
        <v>45742.24291666667</v>
      </c>
      <c r="D1769" t="s">
        <v>38</v>
      </c>
      <c r="E1769" t="s">
        <v>25</v>
      </c>
      <c r="F1769" t="s">
        <v>48</v>
      </c>
      <c r="G1769" t="s">
        <v>34</v>
      </c>
      <c r="H1769" t="s">
        <v>54</v>
      </c>
      <c r="I1769" t="s">
        <v>36</v>
      </c>
      <c r="J1769" t="s">
        <v>46</v>
      </c>
      <c r="K1769">
        <v>8</v>
      </c>
      <c r="L1769">
        <v>5.83</v>
      </c>
      <c r="M1769">
        <v>4.4000000000000004</v>
      </c>
      <c r="N1769" t="s">
        <v>61</v>
      </c>
      <c r="O1769" t="str">
        <f t="shared" si="27"/>
        <v>No</v>
      </c>
    </row>
    <row r="1770" spans="1:15" x14ac:dyDescent="0.25">
      <c r="A1770" t="s">
        <v>1831</v>
      </c>
      <c r="B1770" s="1">
        <v>45670</v>
      </c>
      <c r="C1770" s="2">
        <v>45670.123749999999</v>
      </c>
      <c r="D1770" t="s">
        <v>38</v>
      </c>
      <c r="E1770" t="s">
        <v>45</v>
      </c>
      <c r="F1770" t="s">
        <v>50</v>
      </c>
      <c r="G1770" t="s">
        <v>56</v>
      </c>
      <c r="H1770" t="s">
        <v>27</v>
      </c>
      <c r="I1770" t="s">
        <v>28</v>
      </c>
      <c r="J1770" t="s">
        <v>46</v>
      </c>
      <c r="K1770">
        <v>8</v>
      </c>
      <c r="L1770">
        <v>2.97</v>
      </c>
      <c r="M1770">
        <v>5</v>
      </c>
      <c r="N1770" t="s">
        <v>22</v>
      </c>
      <c r="O1770" t="str">
        <f t="shared" si="27"/>
        <v>No</v>
      </c>
    </row>
    <row r="1771" spans="1:15" x14ac:dyDescent="0.25">
      <c r="A1771" t="s">
        <v>1832</v>
      </c>
      <c r="B1771" s="1">
        <v>45693</v>
      </c>
      <c r="C1771" s="2">
        <v>45693.104583333334</v>
      </c>
      <c r="D1771" t="s">
        <v>38</v>
      </c>
      <c r="E1771" t="s">
        <v>25</v>
      </c>
      <c r="F1771" t="s">
        <v>26</v>
      </c>
      <c r="G1771" t="s">
        <v>51</v>
      </c>
      <c r="H1771" t="s">
        <v>54</v>
      </c>
      <c r="I1771" t="s">
        <v>45</v>
      </c>
      <c r="J1771" t="s">
        <v>85</v>
      </c>
      <c r="K1771">
        <v>8</v>
      </c>
      <c r="L1771">
        <v>2.5099999999999998</v>
      </c>
      <c r="M1771">
        <v>4.7</v>
      </c>
      <c r="N1771" t="s">
        <v>22</v>
      </c>
      <c r="O1771" t="str">
        <f t="shared" si="27"/>
        <v>No</v>
      </c>
    </row>
    <row r="1772" spans="1:15" x14ac:dyDescent="0.25">
      <c r="A1772" t="s">
        <v>1833</v>
      </c>
      <c r="B1772" s="1">
        <v>45719</v>
      </c>
      <c r="C1772" s="2">
        <v>45719.08</v>
      </c>
      <c r="D1772" t="s">
        <v>31</v>
      </c>
      <c r="E1772" t="s">
        <v>32</v>
      </c>
      <c r="F1772" t="s">
        <v>33</v>
      </c>
      <c r="G1772" t="s">
        <v>18</v>
      </c>
      <c r="H1772" t="s">
        <v>54</v>
      </c>
      <c r="I1772" t="s">
        <v>28</v>
      </c>
      <c r="J1772" t="s">
        <v>21</v>
      </c>
      <c r="K1772">
        <v>4</v>
      </c>
      <c r="L1772">
        <v>1.92</v>
      </c>
      <c r="M1772">
        <v>4.5</v>
      </c>
      <c r="N1772" t="s">
        <v>61</v>
      </c>
      <c r="O1772" t="str">
        <f t="shared" si="27"/>
        <v>No</v>
      </c>
    </row>
    <row r="1773" spans="1:15" x14ac:dyDescent="0.25">
      <c r="A1773" t="s">
        <v>1834</v>
      </c>
      <c r="B1773" s="1">
        <v>45726</v>
      </c>
      <c r="C1773" s="2">
        <v>45726.717083333337</v>
      </c>
      <c r="D1773" t="s">
        <v>24</v>
      </c>
      <c r="E1773" t="s">
        <v>25</v>
      </c>
      <c r="F1773" t="s">
        <v>70</v>
      </c>
      <c r="G1773" t="s">
        <v>51</v>
      </c>
      <c r="H1773" t="s">
        <v>65</v>
      </c>
      <c r="I1773" t="s">
        <v>36</v>
      </c>
      <c r="J1773" t="s">
        <v>85</v>
      </c>
      <c r="K1773">
        <v>24</v>
      </c>
      <c r="L1773">
        <v>17.21</v>
      </c>
      <c r="M1773">
        <v>4.5</v>
      </c>
      <c r="N1773" t="s">
        <v>22</v>
      </c>
      <c r="O1773" t="str">
        <f t="shared" si="27"/>
        <v>No</v>
      </c>
    </row>
    <row r="1774" spans="1:15" x14ac:dyDescent="0.25">
      <c r="A1774" t="s">
        <v>1835</v>
      </c>
      <c r="B1774" s="1">
        <v>45723</v>
      </c>
      <c r="C1774" s="2">
        <v>45723.197500000002</v>
      </c>
      <c r="D1774" t="s">
        <v>38</v>
      </c>
      <c r="E1774" t="s">
        <v>45</v>
      </c>
      <c r="F1774" t="s">
        <v>104</v>
      </c>
      <c r="G1774" t="s">
        <v>56</v>
      </c>
      <c r="H1774" t="s">
        <v>54</v>
      </c>
      <c r="I1774" t="s">
        <v>36</v>
      </c>
      <c r="J1774" t="s">
        <v>21</v>
      </c>
      <c r="K1774">
        <v>8</v>
      </c>
      <c r="L1774">
        <v>4.74</v>
      </c>
      <c r="M1774">
        <v>3.9</v>
      </c>
      <c r="N1774" t="s">
        <v>22</v>
      </c>
      <c r="O1774" t="str">
        <f t="shared" si="27"/>
        <v>No</v>
      </c>
    </row>
    <row r="1775" spans="1:15" x14ac:dyDescent="0.25">
      <c r="A1775" t="s">
        <v>1836</v>
      </c>
      <c r="B1775" s="1">
        <v>45729</v>
      </c>
      <c r="C1775" s="2">
        <v>45729.182916666665</v>
      </c>
      <c r="D1775" t="s">
        <v>38</v>
      </c>
      <c r="E1775" t="s">
        <v>16</v>
      </c>
      <c r="F1775" t="s">
        <v>43</v>
      </c>
      <c r="G1775" t="s">
        <v>34</v>
      </c>
      <c r="H1775" t="s">
        <v>19</v>
      </c>
      <c r="I1775" t="s">
        <v>36</v>
      </c>
      <c r="J1775" t="s">
        <v>21</v>
      </c>
      <c r="K1775">
        <v>8</v>
      </c>
      <c r="L1775">
        <v>4.3899999999999997</v>
      </c>
      <c r="M1775">
        <v>3.7</v>
      </c>
      <c r="N1775" t="s">
        <v>22</v>
      </c>
      <c r="O1775" t="str">
        <f t="shared" si="27"/>
        <v>No</v>
      </c>
    </row>
    <row r="1776" spans="1:15" x14ac:dyDescent="0.25">
      <c r="A1776" t="s">
        <v>1837</v>
      </c>
      <c r="B1776" s="1">
        <v>45797</v>
      </c>
      <c r="C1776" s="2">
        <v>45798.805833333332</v>
      </c>
      <c r="D1776" t="s">
        <v>15</v>
      </c>
      <c r="E1776" t="s">
        <v>16</v>
      </c>
      <c r="F1776" t="s">
        <v>17</v>
      </c>
      <c r="G1776" t="s">
        <v>56</v>
      </c>
      <c r="H1776" t="s">
        <v>65</v>
      </c>
      <c r="I1776" t="s">
        <v>36</v>
      </c>
      <c r="J1776" t="s">
        <v>21</v>
      </c>
      <c r="K1776">
        <v>48</v>
      </c>
      <c r="L1776">
        <v>43.34</v>
      </c>
      <c r="M1776">
        <v>4</v>
      </c>
      <c r="N1776" t="s">
        <v>22</v>
      </c>
      <c r="O1776" t="str">
        <f t="shared" si="27"/>
        <v>No</v>
      </c>
    </row>
    <row r="1777" spans="1:15" x14ac:dyDescent="0.25">
      <c r="A1777" t="s">
        <v>1838</v>
      </c>
      <c r="B1777" s="1">
        <v>45681</v>
      </c>
      <c r="C1777" s="2">
        <v>45682.375</v>
      </c>
      <c r="D1777" t="s">
        <v>15</v>
      </c>
      <c r="E1777" t="s">
        <v>32</v>
      </c>
      <c r="F1777" t="s">
        <v>75</v>
      </c>
      <c r="G1777" t="s">
        <v>41</v>
      </c>
      <c r="H1777" t="s">
        <v>65</v>
      </c>
      <c r="I1777" t="s">
        <v>36</v>
      </c>
      <c r="J1777" t="s">
        <v>21</v>
      </c>
      <c r="K1777">
        <v>48</v>
      </c>
      <c r="L1777">
        <v>33</v>
      </c>
      <c r="M1777">
        <v>3.1</v>
      </c>
      <c r="N1777" t="s">
        <v>22</v>
      </c>
      <c r="O1777" t="str">
        <f t="shared" si="27"/>
        <v>No</v>
      </c>
    </row>
    <row r="1778" spans="1:15" x14ac:dyDescent="0.25">
      <c r="A1778" t="s">
        <v>1839</v>
      </c>
      <c r="B1778" s="1">
        <v>45718</v>
      </c>
      <c r="C1778" s="2">
        <v>45718.864166666666</v>
      </c>
      <c r="D1778" t="s">
        <v>24</v>
      </c>
      <c r="E1778" t="s">
        <v>25</v>
      </c>
      <c r="F1778" t="s">
        <v>53</v>
      </c>
      <c r="G1778" t="s">
        <v>51</v>
      </c>
      <c r="H1778" t="s">
        <v>54</v>
      </c>
      <c r="I1778" t="s">
        <v>36</v>
      </c>
      <c r="J1778" t="s">
        <v>21</v>
      </c>
      <c r="K1778">
        <v>24</v>
      </c>
      <c r="L1778">
        <v>20.74</v>
      </c>
      <c r="M1778">
        <v>4.2</v>
      </c>
      <c r="N1778" t="s">
        <v>22</v>
      </c>
      <c r="O1778" t="str">
        <f t="shared" si="27"/>
        <v>No</v>
      </c>
    </row>
    <row r="1779" spans="1:15" x14ac:dyDescent="0.25">
      <c r="A1779" t="s">
        <v>1840</v>
      </c>
      <c r="B1779" s="1">
        <v>45687</v>
      </c>
      <c r="C1779" s="2">
        <v>45687.077499999999</v>
      </c>
      <c r="D1779" t="s">
        <v>38</v>
      </c>
      <c r="E1779" t="s">
        <v>32</v>
      </c>
      <c r="F1779" t="s">
        <v>33</v>
      </c>
      <c r="G1779" t="s">
        <v>34</v>
      </c>
      <c r="H1779" t="s">
        <v>35</v>
      </c>
      <c r="I1779" t="s">
        <v>45</v>
      </c>
      <c r="J1779" t="s">
        <v>21</v>
      </c>
      <c r="K1779">
        <v>8</v>
      </c>
      <c r="L1779">
        <v>1.86</v>
      </c>
      <c r="M1779">
        <v>5</v>
      </c>
      <c r="N1779" t="s">
        <v>22</v>
      </c>
      <c r="O1779" t="str">
        <f t="shared" si="27"/>
        <v>No</v>
      </c>
    </row>
    <row r="1780" spans="1:15" x14ac:dyDescent="0.25">
      <c r="A1780" t="s">
        <v>1841</v>
      </c>
      <c r="B1780" s="1">
        <v>45713</v>
      </c>
      <c r="C1780" s="2">
        <v>45713.335416666669</v>
      </c>
      <c r="D1780" t="s">
        <v>15</v>
      </c>
      <c r="E1780" t="s">
        <v>39</v>
      </c>
      <c r="F1780" t="s">
        <v>87</v>
      </c>
      <c r="G1780" t="s">
        <v>34</v>
      </c>
      <c r="H1780" t="s">
        <v>54</v>
      </c>
      <c r="I1780" t="s">
        <v>20</v>
      </c>
      <c r="J1780" t="s">
        <v>46</v>
      </c>
      <c r="K1780">
        <v>48</v>
      </c>
      <c r="L1780">
        <v>8.0500000000000007</v>
      </c>
      <c r="M1780">
        <v>3.8</v>
      </c>
      <c r="N1780" t="s">
        <v>61</v>
      </c>
      <c r="O1780" t="str">
        <f t="shared" si="27"/>
        <v>No</v>
      </c>
    </row>
    <row r="1781" spans="1:15" x14ac:dyDescent="0.25">
      <c r="A1781" t="s">
        <v>1842</v>
      </c>
      <c r="B1781" s="1">
        <v>45781</v>
      </c>
      <c r="C1781" s="2">
        <v>45782.38958333333</v>
      </c>
      <c r="D1781" t="s">
        <v>24</v>
      </c>
      <c r="E1781" t="s">
        <v>45</v>
      </c>
      <c r="F1781" t="s">
        <v>100</v>
      </c>
      <c r="G1781" t="s">
        <v>41</v>
      </c>
      <c r="H1781" t="s">
        <v>35</v>
      </c>
      <c r="I1781" t="s">
        <v>36</v>
      </c>
      <c r="J1781" t="s">
        <v>29</v>
      </c>
      <c r="K1781">
        <v>24</v>
      </c>
      <c r="L1781">
        <v>33.35</v>
      </c>
      <c r="M1781">
        <v>3.4</v>
      </c>
      <c r="N1781" t="s">
        <v>22</v>
      </c>
      <c r="O1781" t="str">
        <f t="shared" si="27"/>
        <v>Yes</v>
      </c>
    </row>
    <row r="1782" spans="1:15" x14ac:dyDescent="0.25">
      <c r="A1782" t="s">
        <v>1843</v>
      </c>
      <c r="B1782" s="1">
        <v>45666</v>
      </c>
      <c r="C1782" s="2">
        <v>45666.082499999997</v>
      </c>
      <c r="D1782" t="s">
        <v>15</v>
      </c>
      <c r="E1782" t="s">
        <v>45</v>
      </c>
      <c r="F1782" t="s">
        <v>104</v>
      </c>
      <c r="G1782" t="s">
        <v>34</v>
      </c>
      <c r="H1782" t="s">
        <v>44</v>
      </c>
      <c r="I1782" t="s">
        <v>45</v>
      </c>
      <c r="J1782" t="s">
        <v>21</v>
      </c>
      <c r="K1782">
        <v>48</v>
      </c>
      <c r="L1782">
        <v>1.98</v>
      </c>
      <c r="M1782">
        <v>4.8</v>
      </c>
      <c r="N1782" t="s">
        <v>22</v>
      </c>
      <c r="O1782" t="str">
        <f t="shared" si="27"/>
        <v>No</v>
      </c>
    </row>
    <row r="1783" spans="1:15" x14ac:dyDescent="0.25">
      <c r="A1783" t="s">
        <v>1844</v>
      </c>
      <c r="B1783" s="1">
        <v>45719</v>
      </c>
      <c r="C1783" s="2">
        <v>45719.188333333332</v>
      </c>
      <c r="D1783" t="s">
        <v>24</v>
      </c>
      <c r="E1783" t="s">
        <v>45</v>
      </c>
      <c r="F1783" t="s">
        <v>100</v>
      </c>
      <c r="G1783" t="s">
        <v>18</v>
      </c>
      <c r="H1783" t="s">
        <v>44</v>
      </c>
      <c r="I1783" t="s">
        <v>36</v>
      </c>
      <c r="J1783" t="s">
        <v>21</v>
      </c>
      <c r="K1783">
        <v>24</v>
      </c>
      <c r="L1783">
        <v>4.5199999999999996</v>
      </c>
      <c r="M1783">
        <v>5</v>
      </c>
      <c r="N1783" t="s">
        <v>22</v>
      </c>
      <c r="O1783" t="str">
        <f t="shared" si="27"/>
        <v>No</v>
      </c>
    </row>
    <row r="1784" spans="1:15" x14ac:dyDescent="0.25">
      <c r="A1784" t="s">
        <v>1845</v>
      </c>
      <c r="B1784" s="1">
        <v>45662</v>
      </c>
      <c r="C1784" s="2">
        <v>45662.368750000001</v>
      </c>
      <c r="D1784" t="s">
        <v>24</v>
      </c>
      <c r="E1784" t="s">
        <v>39</v>
      </c>
      <c r="F1784" t="s">
        <v>40</v>
      </c>
      <c r="G1784" t="s">
        <v>34</v>
      </c>
      <c r="H1784" t="s">
        <v>27</v>
      </c>
      <c r="I1784" t="s">
        <v>45</v>
      </c>
      <c r="J1784" t="s">
        <v>46</v>
      </c>
      <c r="K1784">
        <v>24</v>
      </c>
      <c r="L1784">
        <v>8.85</v>
      </c>
      <c r="M1784">
        <v>5</v>
      </c>
      <c r="N1784" t="s">
        <v>22</v>
      </c>
      <c r="O1784" t="str">
        <f t="shared" si="27"/>
        <v>No</v>
      </c>
    </row>
    <row r="1785" spans="1:15" x14ac:dyDescent="0.25">
      <c r="A1785" t="s">
        <v>1846</v>
      </c>
      <c r="B1785" s="1">
        <v>45830</v>
      </c>
      <c r="C1785" s="2">
        <v>45832.337083333332</v>
      </c>
      <c r="D1785" t="s">
        <v>15</v>
      </c>
      <c r="E1785" t="s">
        <v>32</v>
      </c>
      <c r="F1785" t="s">
        <v>75</v>
      </c>
      <c r="G1785" t="s">
        <v>51</v>
      </c>
      <c r="H1785" t="s">
        <v>65</v>
      </c>
      <c r="I1785" t="s">
        <v>20</v>
      </c>
      <c r="J1785" t="s">
        <v>21</v>
      </c>
      <c r="K1785">
        <v>48</v>
      </c>
      <c r="L1785">
        <v>56.09</v>
      </c>
      <c r="M1785">
        <v>4.0999999999999996</v>
      </c>
      <c r="N1785" t="s">
        <v>22</v>
      </c>
      <c r="O1785" t="str">
        <f t="shared" si="27"/>
        <v>Yes</v>
      </c>
    </row>
    <row r="1786" spans="1:15" x14ac:dyDescent="0.25">
      <c r="A1786" t="s">
        <v>1847</v>
      </c>
      <c r="B1786" s="1">
        <v>45789</v>
      </c>
      <c r="C1786" s="2">
        <v>45789.054166666669</v>
      </c>
      <c r="D1786" t="s">
        <v>38</v>
      </c>
      <c r="E1786" t="s">
        <v>16</v>
      </c>
      <c r="F1786" t="s">
        <v>58</v>
      </c>
      <c r="G1786" t="s">
        <v>34</v>
      </c>
      <c r="H1786" t="s">
        <v>44</v>
      </c>
      <c r="I1786" t="s">
        <v>20</v>
      </c>
      <c r="J1786" t="s">
        <v>21</v>
      </c>
      <c r="K1786">
        <v>8</v>
      </c>
      <c r="L1786">
        <v>1.3</v>
      </c>
      <c r="M1786">
        <v>5</v>
      </c>
      <c r="N1786" t="s">
        <v>22</v>
      </c>
      <c r="O1786" t="str">
        <f t="shared" si="27"/>
        <v>No</v>
      </c>
    </row>
    <row r="1787" spans="1:15" x14ac:dyDescent="0.25">
      <c r="A1787" t="s">
        <v>1848</v>
      </c>
      <c r="B1787" s="1">
        <v>45702</v>
      </c>
      <c r="C1787" s="2">
        <v>45702.16375</v>
      </c>
      <c r="D1787" t="s">
        <v>15</v>
      </c>
      <c r="E1787" t="s">
        <v>32</v>
      </c>
      <c r="F1787" t="s">
        <v>75</v>
      </c>
      <c r="G1787" t="s">
        <v>18</v>
      </c>
      <c r="H1787" t="s">
        <v>65</v>
      </c>
      <c r="I1787" t="s">
        <v>20</v>
      </c>
      <c r="J1787" t="s">
        <v>21</v>
      </c>
      <c r="K1787">
        <v>48</v>
      </c>
      <c r="L1787">
        <v>3.93</v>
      </c>
      <c r="M1787">
        <v>4.7</v>
      </c>
      <c r="N1787" t="s">
        <v>22</v>
      </c>
      <c r="O1787" t="str">
        <f t="shared" si="27"/>
        <v>No</v>
      </c>
    </row>
    <row r="1788" spans="1:15" x14ac:dyDescent="0.25">
      <c r="A1788" t="s">
        <v>1849</v>
      </c>
      <c r="B1788" s="1">
        <v>45693</v>
      </c>
      <c r="C1788" s="2">
        <v>45693.081666666665</v>
      </c>
      <c r="D1788" t="s">
        <v>38</v>
      </c>
      <c r="E1788" t="s">
        <v>25</v>
      </c>
      <c r="F1788" t="s">
        <v>53</v>
      </c>
      <c r="G1788" t="s">
        <v>51</v>
      </c>
      <c r="H1788" t="s">
        <v>65</v>
      </c>
      <c r="I1788" t="s">
        <v>36</v>
      </c>
      <c r="J1788" t="s">
        <v>46</v>
      </c>
      <c r="K1788">
        <v>8</v>
      </c>
      <c r="L1788">
        <v>1.96</v>
      </c>
      <c r="M1788">
        <v>4.9000000000000004</v>
      </c>
      <c r="N1788" t="s">
        <v>22</v>
      </c>
      <c r="O1788" t="str">
        <f t="shared" si="27"/>
        <v>No</v>
      </c>
    </row>
    <row r="1789" spans="1:15" x14ac:dyDescent="0.25">
      <c r="A1789" t="s">
        <v>1850</v>
      </c>
      <c r="B1789" s="1">
        <v>45675</v>
      </c>
      <c r="C1789" s="2">
        <v>45675.668333333335</v>
      </c>
      <c r="D1789" t="s">
        <v>15</v>
      </c>
      <c r="E1789" t="s">
        <v>16</v>
      </c>
      <c r="F1789" t="s">
        <v>43</v>
      </c>
      <c r="G1789" t="s">
        <v>51</v>
      </c>
      <c r="H1789" t="s">
        <v>19</v>
      </c>
      <c r="I1789" t="s">
        <v>45</v>
      </c>
      <c r="J1789" t="s">
        <v>21</v>
      </c>
      <c r="K1789">
        <v>48</v>
      </c>
      <c r="L1789">
        <v>16.04</v>
      </c>
      <c r="M1789">
        <v>4.4000000000000004</v>
      </c>
      <c r="N1789" t="s">
        <v>22</v>
      </c>
      <c r="O1789" t="str">
        <f t="shared" si="27"/>
        <v>No</v>
      </c>
    </row>
    <row r="1790" spans="1:15" x14ac:dyDescent="0.25">
      <c r="A1790" t="s">
        <v>1851</v>
      </c>
      <c r="B1790" s="1">
        <v>45743</v>
      </c>
      <c r="C1790" s="2">
        <v>45743.088333333333</v>
      </c>
      <c r="D1790" t="s">
        <v>31</v>
      </c>
      <c r="E1790" t="s">
        <v>39</v>
      </c>
      <c r="F1790" t="s">
        <v>40</v>
      </c>
      <c r="G1790" t="s">
        <v>41</v>
      </c>
      <c r="H1790" t="s">
        <v>35</v>
      </c>
      <c r="I1790" t="s">
        <v>20</v>
      </c>
      <c r="J1790" t="s">
        <v>21</v>
      </c>
      <c r="K1790">
        <v>4</v>
      </c>
      <c r="L1790">
        <v>2.12</v>
      </c>
      <c r="M1790">
        <v>3.7</v>
      </c>
      <c r="N1790" t="s">
        <v>22</v>
      </c>
      <c r="O1790" t="str">
        <f t="shared" si="27"/>
        <v>No</v>
      </c>
    </row>
    <row r="1791" spans="1:15" x14ac:dyDescent="0.25">
      <c r="A1791" t="s">
        <v>1852</v>
      </c>
      <c r="B1791" s="1">
        <v>45794</v>
      </c>
      <c r="C1791" s="2">
        <v>45794.739583333336</v>
      </c>
      <c r="D1791" t="s">
        <v>24</v>
      </c>
      <c r="E1791" t="s">
        <v>32</v>
      </c>
      <c r="F1791" t="s">
        <v>80</v>
      </c>
      <c r="G1791" t="s">
        <v>51</v>
      </c>
      <c r="H1791" t="s">
        <v>27</v>
      </c>
      <c r="I1791" t="s">
        <v>28</v>
      </c>
      <c r="J1791" t="s">
        <v>21</v>
      </c>
      <c r="K1791">
        <v>24</v>
      </c>
      <c r="L1791">
        <v>17.75</v>
      </c>
      <c r="M1791">
        <v>4.2</v>
      </c>
      <c r="N1791" t="s">
        <v>22</v>
      </c>
      <c r="O1791" t="str">
        <f t="shared" si="27"/>
        <v>No</v>
      </c>
    </row>
    <row r="1792" spans="1:15" x14ac:dyDescent="0.25">
      <c r="A1792" t="s">
        <v>1853</v>
      </c>
      <c r="B1792" s="1">
        <v>45763</v>
      </c>
      <c r="C1792" s="2">
        <v>45764.846666666665</v>
      </c>
      <c r="D1792" t="s">
        <v>15</v>
      </c>
      <c r="E1792" t="s">
        <v>39</v>
      </c>
      <c r="F1792" t="s">
        <v>119</v>
      </c>
      <c r="G1792" t="s">
        <v>41</v>
      </c>
      <c r="H1792" t="s">
        <v>19</v>
      </c>
      <c r="I1792" t="s">
        <v>45</v>
      </c>
      <c r="J1792" t="s">
        <v>21</v>
      </c>
      <c r="K1792">
        <v>48</v>
      </c>
      <c r="L1792">
        <v>44.32</v>
      </c>
      <c r="M1792">
        <v>3.8</v>
      </c>
      <c r="N1792" t="s">
        <v>22</v>
      </c>
      <c r="O1792" t="str">
        <f t="shared" si="27"/>
        <v>No</v>
      </c>
    </row>
    <row r="1793" spans="1:15" x14ac:dyDescent="0.25">
      <c r="A1793" t="s">
        <v>1854</v>
      </c>
      <c r="B1793" s="1">
        <v>45817</v>
      </c>
      <c r="C1793" s="2">
        <v>45817.258333333331</v>
      </c>
      <c r="D1793" t="s">
        <v>15</v>
      </c>
      <c r="E1793" t="s">
        <v>25</v>
      </c>
      <c r="F1793" t="s">
        <v>53</v>
      </c>
      <c r="G1793" t="s">
        <v>34</v>
      </c>
      <c r="H1793" t="s">
        <v>19</v>
      </c>
      <c r="I1793" t="s">
        <v>45</v>
      </c>
      <c r="J1793" t="s">
        <v>21</v>
      </c>
      <c r="K1793">
        <v>48</v>
      </c>
      <c r="L1793">
        <v>6.2</v>
      </c>
      <c r="M1793">
        <v>4.7</v>
      </c>
      <c r="N1793" t="s">
        <v>22</v>
      </c>
      <c r="O1793" t="str">
        <f t="shared" si="27"/>
        <v>No</v>
      </c>
    </row>
    <row r="1794" spans="1:15" x14ac:dyDescent="0.25">
      <c r="A1794" t="s">
        <v>1855</v>
      </c>
      <c r="B1794" s="1">
        <v>45720</v>
      </c>
      <c r="C1794" s="2">
        <v>45720.072083333333</v>
      </c>
      <c r="D1794" t="s">
        <v>15</v>
      </c>
      <c r="E1794" t="s">
        <v>16</v>
      </c>
      <c r="F1794" t="s">
        <v>43</v>
      </c>
      <c r="G1794" t="s">
        <v>41</v>
      </c>
      <c r="H1794" t="s">
        <v>65</v>
      </c>
      <c r="I1794" t="s">
        <v>20</v>
      </c>
      <c r="J1794" t="s">
        <v>21</v>
      </c>
      <c r="K1794">
        <v>48</v>
      </c>
      <c r="L1794">
        <v>1.73</v>
      </c>
      <c r="M1794">
        <v>4.9000000000000004</v>
      </c>
      <c r="N1794" t="s">
        <v>22</v>
      </c>
      <c r="O1794" t="str">
        <f t="shared" si="27"/>
        <v>No</v>
      </c>
    </row>
    <row r="1795" spans="1:15" x14ac:dyDescent="0.25">
      <c r="A1795" t="s">
        <v>1856</v>
      </c>
      <c r="B1795" s="1">
        <v>45708</v>
      </c>
      <c r="C1795" s="2">
        <v>45708.516250000001</v>
      </c>
      <c r="D1795" t="s">
        <v>24</v>
      </c>
      <c r="E1795" t="s">
        <v>32</v>
      </c>
      <c r="F1795" t="s">
        <v>80</v>
      </c>
      <c r="G1795" t="s">
        <v>41</v>
      </c>
      <c r="H1795" t="s">
        <v>27</v>
      </c>
      <c r="I1795" t="s">
        <v>28</v>
      </c>
      <c r="J1795" t="s">
        <v>29</v>
      </c>
      <c r="K1795">
        <v>24</v>
      </c>
      <c r="L1795">
        <v>12.39</v>
      </c>
      <c r="M1795">
        <v>4.4000000000000004</v>
      </c>
      <c r="N1795" t="s">
        <v>22</v>
      </c>
      <c r="O1795" t="str">
        <f t="shared" ref="O1795:O1858" si="28">IF(L1795&gt;K1795,"Yes","No")</f>
        <v>No</v>
      </c>
    </row>
    <row r="1796" spans="1:15" x14ac:dyDescent="0.25">
      <c r="A1796" t="s">
        <v>1857</v>
      </c>
      <c r="B1796" s="1">
        <v>45744</v>
      </c>
      <c r="C1796" s="2">
        <v>45744.052916666667</v>
      </c>
      <c r="D1796" t="s">
        <v>38</v>
      </c>
      <c r="E1796" t="s">
        <v>32</v>
      </c>
      <c r="F1796" t="s">
        <v>33</v>
      </c>
      <c r="G1796" t="s">
        <v>56</v>
      </c>
      <c r="H1796" t="s">
        <v>19</v>
      </c>
      <c r="I1796" t="s">
        <v>36</v>
      </c>
      <c r="J1796" t="s">
        <v>21</v>
      </c>
      <c r="K1796">
        <v>8</v>
      </c>
      <c r="L1796">
        <v>1.27</v>
      </c>
      <c r="M1796">
        <v>5</v>
      </c>
      <c r="N1796" t="s">
        <v>22</v>
      </c>
      <c r="O1796" t="str">
        <f t="shared" si="28"/>
        <v>No</v>
      </c>
    </row>
    <row r="1797" spans="1:15" x14ac:dyDescent="0.25">
      <c r="A1797" t="s">
        <v>1858</v>
      </c>
      <c r="B1797" s="1">
        <v>45694</v>
      </c>
      <c r="C1797" s="2">
        <v>45694.30541666667</v>
      </c>
      <c r="D1797" t="s">
        <v>24</v>
      </c>
      <c r="E1797" t="s">
        <v>39</v>
      </c>
      <c r="F1797" t="s">
        <v>87</v>
      </c>
      <c r="G1797" t="s">
        <v>41</v>
      </c>
      <c r="H1797" t="s">
        <v>27</v>
      </c>
      <c r="I1797" t="s">
        <v>36</v>
      </c>
      <c r="J1797" t="s">
        <v>21</v>
      </c>
      <c r="K1797">
        <v>24</v>
      </c>
      <c r="L1797">
        <v>7.33</v>
      </c>
      <c r="M1797">
        <v>4.3</v>
      </c>
      <c r="N1797" t="s">
        <v>22</v>
      </c>
      <c r="O1797" t="str">
        <f t="shared" si="28"/>
        <v>No</v>
      </c>
    </row>
    <row r="1798" spans="1:15" x14ac:dyDescent="0.25">
      <c r="A1798" t="s">
        <v>1859</v>
      </c>
      <c r="B1798" s="1">
        <v>45834</v>
      </c>
      <c r="C1798" s="2">
        <v>45834.386250000003</v>
      </c>
      <c r="D1798" t="s">
        <v>24</v>
      </c>
      <c r="E1798" t="s">
        <v>32</v>
      </c>
      <c r="F1798" t="s">
        <v>80</v>
      </c>
      <c r="G1798" t="s">
        <v>41</v>
      </c>
      <c r="H1798" t="s">
        <v>27</v>
      </c>
      <c r="I1798" t="s">
        <v>20</v>
      </c>
      <c r="J1798" t="s">
        <v>21</v>
      </c>
      <c r="K1798">
        <v>24</v>
      </c>
      <c r="L1798">
        <v>9.27</v>
      </c>
      <c r="M1798">
        <v>3.7</v>
      </c>
      <c r="N1798" t="s">
        <v>22</v>
      </c>
      <c r="O1798" t="str">
        <f t="shared" si="28"/>
        <v>No</v>
      </c>
    </row>
    <row r="1799" spans="1:15" x14ac:dyDescent="0.25">
      <c r="A1799" t="s">
        <v>1860</v>
      </c>
      <c r="B1799" s="1">
        <v>45691</v>
      </c>
      <c r="C1799" s="2">
        <v>45691.324583333335</v>
      </c>
      <c r="D1799" t="s">
        <v>24</v>
      </c>
      <c r="E1799" t="s">
        <v>45</v>
      </c>
      <c r="F1799" t="s">
        <v>104</v>
      </c>
      <c r="G1799" t="s">
        <v>41</v>
      </c>
      <c r="H1799" t="s">
        <v>19</v>
      </c>
      <c r="I1799" t="s">
        <v>20</v>
      </c>
      <c r="J1799" t="s">
        <v>85</v>
      </c>
      <c r="K1799">
        <v>24</v>
      </c>
      <c r="L1799">
        <v>7.79</v>
      </c>
      <c r="M1799">
        <v>5</v>
      </c>
      <c r="N1799" t="s">
        <v>22</v>
      </c>
      <c r="O1799" t="str">
        <f t="shared" si="28"/>
        <v>No</v>
      </c>
    </row>
    <row r="1800" spans="1:15" x14ac:dyDescent="0.25">
      <c r="A1800" t="s">
        <v>1861</v>
      </c>
      <c r="B1800" s="1">
        <v>45744</v>
      </c>
      <c r="C1800" s="2">
        <v>45744.070833333331</v>
      </c>
      <c r="D1800" t="s">
        <v>24</v>
      </c>
      <c r="E1800" t="s">
        <v>16</v>
      </c>
      <c r="F1800" t="s">
        <v>17</v>
      </c>
      <c r="G1800" t="s">
        <v>18</v>
      </c>
      <c r="H1800" t="s">
        <v>54</v>
      </c>
      <c r="I1800" t="s">
        <v>36</v>
      </c>
      <c r="J1800" t="s">
        <v>21</v>
      </c>
      <c r="K1800">
        <v>24</v>
      </c>
      <c r="L1800">
        <v>1.7</v>
      </c>
      <c r="M1800">
        <v>5</v>
      </c>
      <c r="N1800" t="s">
        <v>22</v>
      </c>
      <c r="O1800" t="str">
        <f t="shared" si="28"/>
        <v>No</v>
      </c>
    </row>
    <row r="1801" spans="1:15" x14ac:dyDescent="0.25">
      <c r="A1801" t="s">
        <v>1862</v>
      </c>
      <c r="B1801" s="1">
        <v>45752</v>
      </c>
      <c r="C1801" s="2">
        <v>45752.557500000003</v>
      </c>
      <c r="D1801" t="s">
        <v>24</v>
      </c>
      <c r="E1801" t="s">
        <v>32</v>
      </c>
      <c r="F1801" t="s">
        <v>80</v>
      </c>
      <c r="G1801" t="s">
        <v>56</v>
      </c>
      <c r="H1801" t="s">
        <v>27</v>
      </c>
      <c r="I1801" t="s">
        <v>36</v>
      </c>
      <c r="J1801" t="s">
        <v>46</v>
      </c>
      <c r="K1801">
        <v>24</v>
      </c>
      <c r="L1801">
        <v>13.38</v>
      </c>
      <c r="M1801">
        <v>4.5999999999999996</v>
      </c>
      <c r="N1801" t="s">
        <v>22</v>
      </c>
      <c r="O1801" t="str">
        <f t="shared" si="28"/>
        <v>No</v>
      </c>
    </row>
    <row r="1802" spans="1:15" x14ac:dyDescent="0.25">
      <c r="A1802" t="s">
        <v>1863</v>
      </c>
      <c r="B1802" s="1">
        <v>45668</v>
      </c>
      <c r="C1802" s="2">
        <v>45669.73541666667</v>
      </c>
      <c r="D1802" t="s">
        <v>24</v>
      </c>
      <c r="E1802" t="s">
        <v>25</v>
      </c>
      <c r="F1802" t="s">
        <v>48</v>
      </c>
      <c r="G1802" t="s">
        <v>41</v>
      </c>
      <c r="H1802" t="s">
        <v>19</v>
      </c>
      <c r="I1802" t="s">
        <v>45</v>
      </c>
      <c r="J1802" t="s">
        <v>29</v>
      </c>
      <c r="K1802">
        <v>24</v>
      </c>
      <c r="L1802">
        <v>41.65</v>
      </c>
      <c r="M1802">
        <v>2.2000000000000002</v>
      </c>
      <c r="N1802" t="s">
        <v>22</v>
      </c>
      <c r="O1802" t="str">
        <f t="shared" si="28"/>
        <v>Yes</v>
      </c>
    </row>
    <row r="1803" spans="1:15" x14ac:dyDescent="0.25">
      <c r="A1803" t="s">
        <v>1864</v>
      </c>
      <c r="B1803" s="1">
        <v>45742</v>
      </c>
      <c r="C1803" s="2">
        <v>45742.460416666669</v>
      </c>
      <c r="D1803" t="s">
        <v>24</v>
      </c>
      <c r="E1803" t="s">
        <v>39</v>
      </c>
      <c r="F1803" t="s">
        <v>40</v>
      </c>
      <c r="G1803" t="s">
        <v>41</v>
      </c>
      <c r="H1803" t="s">
        <v>35</v>
      </c>
      <c r="I1803" t="s">
        <v>20</v>
      </c>
      <c r="J1803" t="s">
        <v>85</v>
      </c>
      <c r="K1803">
        <v>24</v>
      </c>
      <c r="L1803">
        <v>11.05</v>
      </c>
      <c r="M1803">
        <v>4.4000000000000004</v>
      </c>
      <c r="N1803" t="s">
        <v>22</v>
      </c>
      <c r="O1803" t="str">
        <f t="shared" si="28"/>
        <v>No</v>
      </c>
    </row>
    <row r="1804" spans="1:15" x14ac:dyDescent="0.25">
      <c r="A1804" t="s">
        <v>1865</v>
      </c>
      <c r="B1804" s="1">
        <v>45740</v>
      </c>
      <c r="C1804" s="2">
        <v>45740.320416666669</v>
      </c>
      <c r="D1804" t="s">
        <v>31</v>
      </c>
      <c r="E1804" t="s">
        <v>32</v>
      </c>
      <c r="F1804" t="s">
        <v>80</v>
      </c>
      <c r="G1804" t="s">
        <v>51</v>
      </c>
      <c r="H1804" t="s">
        <v>27</v>
      </c>
      <c r="I1804" t="s">
        <v>20</v>
      </c>
      <c r="J1804" t="s">
        <v>29</v>
      </c>
      <c r="K1804">
        <v>4</v>
      </c>
      <c r="L1804">
        <v>7.69</v>
      </c>
      <c r="M1804">
        <v>2.9</v>
      </c>
      <c r="N1804" t="s">
        <v>22</v>
      </c>
      <c r="O1804" t="str">
        <f t="shared" si="28"/>
        <v>Yes</v>
      </c>
    </row>
    <row r="1805" spans="1:15" x14ac:dyDescent="0.25">
      <c r="A1805" t="s">
        <v>1866</v>
      </c>
      <c r="B1805" s="1">
        <v>45704</v>
      </c>
      <c r="C1805" s="2">
        <v>45704.040416666663</v>
      </c>
      <c r="D1805" t="s">
        <v>24</v>
      </c>
      <c r="E1805" t="s">
        <v>16</v>
      </c>
      <c r="F1805" t="s">
        <v>60</v>
      </c>
      <c r="G1805" t="s">
        <v>18</v>
      </c>
      <c r="H1805" t="s">
        <v>27</v>
      </c>
      <c r="I1805" t="s">
        <v>36</v>
      </c>
      <c r="J1805" t="s">
        <v>21</v>
      </c>
      <c r="K1805">
        <v>24</v>
      </c>
      <c r="L1805">
        <v>0.97</v>
      </c>
      <c r="M1805">
        <v>4.3</v>
      </c>
      <c r="N1805" t="s">
        <v>22</v>
      </c>
      <c r="O1805" t="str">
        <f t="shared" si="28"/>
        <v>No</v>
      </c>
    </row>
    <row r="1806" spans="1:15" x14ac:dyDescent="0.25">
      <c r="A1806" t="s">
        <v>1867</v>
      </c>
      <c r="B1806" s="1">
        <v>45681</v>
      </c>
      <c r="C1806" s="2">
        <v>45681.481249999997</v>
      </c>
      <c r="D1806" t="s">
        <v>15</v>
      </c>
      <c r="E1806" t="s">
        <v>32</v>
      </c>
      <c r="F1806" t="s">
        <v>80</v>
      </c>
      <c r="G1806" t="s">
        <v>51</v>
      </c>
      <c r="H1806" t="s">
        <v>44</v>
      </c>
      <c r="I1806" t="s">
        <v>36</v>
      </c>
      <c r="J1806" t="s">
        <v>21</v>
      </c>
      <c r="K1806">
        <v>48</v>
      </c>
      <c r="L1806">
        <v>11.55</v>
      </c>
      <c r="M1806">
        <v>4.2</v>
      </c>
      <c r="N1806" t="s">
        <v>22</v>
      </c>
      <c r="O1806" t="str">
        <f t="shared" si="28"/>
        <v>No</v>
      </c>
    </row>
    <row r="1807" spans="1:15" x14ac:dyDescent="0.25">
      <c r="A1807" t="s">
        <v>1868</v>
      </c>
      <c r="B1807" s="1">
        <v>45666</v>
      </c>
      <c r="C1807" s="2">
        <v>45669.099583333336</v>
      </c>
      <c r="D1807" t="s">
        <v>15</v>
      </c>
      <c r="E1807" t="s">
        <v>39</v>
      </c>
      <c r="F1807" t="s">
        <v>87</v>
      </c>
      <c r="G1807" t="s">
        <v>34</v>
      </c>
      <c r="H1807" t="s">
        <v>44</v>
      </c>
      <c r="I1807" t="s">
        <v>20</v>
      </c>
      <c r="J1807" t="s">
        <v>85</v>
      </c>
      <c r="K1807">
        <v>48</v>
      </c>
      <c r="L1807">
        <v>74.39</v>
      </c>
      <c r="M1807">
        <v>3</v>
      </c>
      <c r="N1807" t="s">
        <v>22</v>
      </c>
      <c r="O1807" t="str">
        <f t="shared" si="28"/>
        <v>Yes</v>
      </c>
    </row>
    <row r="1808" spans="1:15" x14ac:dyDescent="0.25">
      <c r="A1808" t="s">
        <v>1869</v>
      </c>
      <c r="B1808" s="1">
        <v>45659</v>
      </c>
      <c r="C1808" s="2">
        <v>45659.234166666669</v>
      </c>
      <c r="D1808" t="s">
        <v>24</v>
      </c>
      <c r="E1808" t="s">
        <v>25</v>
      </c>
      <c r="F1808" t="s">
        <v>48</v>
      </c>
      <c r="G1808" t="s">
        <v>41</v>
      </c>
      <c r="H1808" t="s">
        <v>19</v>
      </c>
      <c r="I1808" t="s">
        <v>36</v>
      </c>
      <c r="J1808" t="s">
        <v>46</v>
      </c>
      <c r="K1808">
        <v>24</v>
      </c>
      <c r="L1808">
        <v>5.62</v>
      </c>
      <c r="M1808">
        <v>5</v>
      </c>
      <c r="N1808" t="s">
        <v>22</v>
      </c>
      <c r="O1808" t="str">
        <f t="shared" si="28"/>
        <v>No</v>
      </c>
    </row>
    <row r="1809" spans="1:15" x14ac:dyDescent="0.25">
      <c r="A1809" t="s">
        <v>1870</v>
      </c>
      <c r="B1809" s="1">
        <v>45745</v>
      </c>
      <c r="C1809" s="2">
        <v>45745.588333333333</v>
      </c>
      <c r="D1809" t="s">
        <v>24</v>
      </c>
      <c r="E1809" t="s">
        <v>45</v>
      </c>
      <c r="F1809" t="s">
        <v>104</v>
      </c>
      <c r="G1809" t="s">
        <v>34</v>
      </c>
      <c r="H1809" t="s">
        <v>44</v>
      </c>
      <c r="I1809" t="s">
        <v>45</v>
      </c>
      <c r="J1809" t="s">
        <v>46</v>
      </c>
      <c r="K1809">
        <v>24</v>
      </c>
      <c r="L1809">
        <v>14.12</v>
      </c>
      <c r="M1809">
        <v>4.4000000000000004</v>
      </c>
      <c r="N1809" t="s">
        <v>22</v>
      </c>
      <c r="O1809" t="str">
        <f t="shared" si="28"/>
        <v>No</v>
      </c>
    </row>
    <row r="1810" spans="1:15" x14ac:dyDescent="0.25">
      <c r="A1810" t="s">
        <v>1871</v>
      </c>
      <c r="B1810" s="1">
        <v>45674</v>
      </c>
      <c r="C1810" s="2">
        <v>45674.15625</v>
      </c>
      <c r="D1810" t="s">
        <v>38</v>
      </c>
      <c r="E1810" t="s">
        <v>39</v>
      </c>
      <c r="F1810" t="s">
        <v>87</v>
      </c>
      <c r="G1810" t="s">
        <v>51</v>
      </c>
      <c r="H1810" t="s">
        <v>19</v>
      </c>
      <c r="I1810" t="s">
        <v>45</v>
      </c>
      <c r="J1810" t="s">
        <v>29</v>
      </c>
      <c r="K1810">
        <v>8</v>
      </c>
      <c r="L1810">
        <v>3.75</v>
      </c>
      <c r="M1810">
        <v>4.0999999999999996</v>
      </c>
      <c r="N1810" t="s">
        <v>22</v>
      </c>
      <c r="O1810" t="str">
        <f t="shared" si="28"/>
        <v>No</v>
      </c>
    </row>
    <row r="1811" spans="1:15" x14ac:dyDescent="0.25">
      <c r="A1811" t="s">
        <v>1872</v>
      </c>
      <c r="B1811" s="1">
        <v>45831</v>
      </c>
      <c r="C1811" s="2">
        <v>45831.375416666669</v>
      </c>
      <c r="D1811" t="s">
        <v>24</v>
      </c>
      <c r="E1811" t="s">
        <v>16</v>
      </c>
      <c r="F1811" t="s">
        <v>43</v>
      </c>
      <c r="G1811" t="s">
        <v>34</v>
      </c>
      <c r="H1811" t="s">
        <v>65</v>
      </c>
      <c r="I1811" t="s">
        <v>36</v>
      </c>
      <c r="J1811" t="s">
        <v>46</v>
      </c>
      <c r="K1811">
        <v>24</v>
      </c>
      <c r="L1811">
        <v>9.01</v>
      </c>
      <c r="M1811">
        <v>4.4000000000000004</v>
      </c>
      <c r="N1811" t="s">
        <v>22</v>
      </c>
      <c r="O1811" t="str">
        <f t="shared" si="28"/>
        <v>No</v>
      </c>
    </row>
    <row r="1812" spans="1:15" x14ac:dyDescent="0.25">
      <c r="A1812" t="s">
        <v>1873</v>
      </c>
      <c r="B1812" s="1">
        <v>45702</v>
      </c>
      <c r="C1812" s="2">
        <v>45702.930833333332</v>
      </c>
      <c r="D1812" t="s">
        <v>24</v>
      </c>
      <c r="E1812" t="s">
        <v>32</v>
      </c>
      <c r="F1812" t="s">
        <v>80</v>
      </c>
      <c r="G1812" t="s">
        <v>56</v>
      </c>
      <c r="H1812" t="s">
        <v>54</v>
      </c>
      <c r="I1812" t="s">
        <v>20</v>
      </c>
      <c r="J1812" t="s">
        <v>46</v>
      </c>
      <c r="K1812">
        <v>24</v>
      </c>
      <c r="L1812">
        <v>22.34</v>
      </c>
      <c r="M1812">
        <v>3.4</v>
      </c>
      <c r="N1812" t="s">
        <v>22</v>
      </c>
      <c r="O1812" t="str">
        <f t="shared" si="28"/>
        <v>No</v>
      </c>
    </row>
    <row r="1813" spans="1:15" x14ac:dyDescent="0.25">
      <c r="A1813" t="s">
        <v>1874</v>
      </c>
      <c r="B1813" s="1">
        <v>45776</v>
      </c>
      <c r="C1813" s="2">
        <v>45776.160416666666</v>
      </c>
      <c r="D1813" t="s">
        <v>38</v>
      </c>
      <c r="E1813" t="s">
        <v>16</v>
      </c>
      <c r="F1813" t="s">
        <v>60</v>
      </c>
      <c r="G1813" t="s">
        <v>41</v>
      </c>
      <c r="H1813" t="s">
        <v>35</v>
      </c>
      <c r="I1813" t="s">
        <v>36</v>
      </c>
      <c r="J1813" t="s">
        <v>21</v>
      </c>
      <c r="K1813">
        <v>8</v>
      </c>
      <c r="L1813">
        <v>3.85</v>
      </c>
      <c r="M1813">
        <v>4.2</v>
      </c>
      <c r="N1813" t="s">
        <v>22</v>
      </c>
      <c r="O1813" t="str">
        <f t="shared" si="28"/>
        <v>No</v>
      </c>
    </row>
    <row r="1814" spans="1:15" x14ac:dyDescent="0.25">
      <c r="A1814" t="s">
        <v>1875</v>
      </c>
      <c r="B1814" s="1">
        <v>45779</v>
      </c>
      <c r="C1814" s="2">
        <v>45780.636250000003</v>
      </c>
      <c r="D1814" t="s">
        <v>15</v>
      </c>
      <c r="E1814" t="s">
        <v>32</v>
      </c>
      <c r="F1814" t="s">
        <v>64</v>
      </c>
      <c r="G1814" t="s">
        <v>34</v>
      </c>
      <c r="H1814" t="s">
        <v>19</v>
      </c>
      <c r="I1814" t="s">
        <v>20</v>
      </c>
      <c r="J1814" t="s">
        <v>21</v>
      </c>
      <c r="K1814">
        <v>48</v>
      </c>
      <c r="L1814">
        <v>39.270000000000003</v>
      </c>
      <c r="M1814">
        <v>4.5</v>
      </c>
      <c r="N1814" t="s">
        <v>22</v>
      </c>
      <c r="O1814" t="str">
        <f t="shared" si="28"/>
        <v>No</v>
      </c>
    </row>
    <row r="1815" spans="1:15" x14ac:dyDescent="0.25">
      <c r="A1815" t="s">
        <v>1876</v>
      </c>
      <c r="B1815" s="1">
        <v>45747</v>
      </c>
      <c r="C1815" s="2">
        <v>45747.525416666664</v>
      </c>
      <c r="D1815" t="s">
        <v>38</v>
      </c>
      <c r="E1815" t="s">
        <v>16</v>
      </c>
      <c r="F1815" t="s">
        <v>43</v>
      </c>
      <c r="G1815" t="s">
        <v>56</v>
      </c>
      <c r="H1815" t="s">
        <v>27</v>
      </c>
      <c r="I1815" t="s">
        <v>45</v>
      </c>
      <c r="J1815" t="s">
        <v>21</v>
      </c>
      <c r="K1815">
        <v>8</v>
      </c>
      <c r="L1815">
        <v>12.61</v>
      </c>
      <c r="M1815">
        <v>1.9</v>
      </c>
      <c r="N1815" t="s">
        <v>22</v>
      </c>
      <c r="O1815" t="str">
        <f t="shared" si="28"/>
        <v>Yes</v>
      </c>
    </row>
    <row r="1816" spans="1:15" x14ac:dyDescent="0.25">
      <c r="A1816" t="s">
        <v>1877</v>
      </c>
      <c r="B1816" s="1">
        <v>45817</v>
      </c>
      <c r="C1816" s="2">
        <v>45818.902083333334</v>
      </c>
      <c r="D1816" t="s">
        <v>15</v>
      </c>
      <c r="E1816" t="s">
        <v>32</v>
      </c>
      <c r="F1816" t="s">
        <v>33</v>
      </c>
      <c r="G1816" t="s">
        <v>41</v>
      </c>
      <c r="H1816" t="s">
        <v>19</v>
      </c>
      <c r="I1816" t="s">
        <v>45</v>
      </c>
      <c r="J1816" t="s">
        <v>46</v>
      </c>
      <c r="K1816">
        <v>48</v>
      </c>
      <c r="L1816">
        <v>45.65</v>
      </c>
      <c r="M1816">
        <v>4.7</v>
      </c>
      <c r="N1816" t="s">
        <v>22</v>
      </c>
      <c r="O1816" t="str">
        <f t="shared" si="28"/>
        <v>No</v>
      </c>
    </row>
    <row r="1817" spans="1:15" x14ac:dyDescent="0.25">
      <c r="A1817" t="s">
        <v>1878</v>
      </c>
      <c r="B1817" s="1">
        <v>45678</v>
      </c>
      <c r="C1817" s="2">
        <v>45678.186666666668</v>
      </c>
      <c r="D1817" t="s">
        <v>24</v>
      </c>
      <c r="E1817" t="s">
        <v>45</v>
      </c>
      <c r="F1817" t="s">
        <v>104</v>
      </c>
      <c r="G1817" t="s">
        <v>41</v>
      </c>
      <c r="H1817" t="s">
        <v>27</v>
      </c>
      <c r="I1817" t="s">
        <v>20</v>
      </c>
      <c r="J1817" t="s">
        <v>85</v>
      </c>
      <c r="K1817">
        <v>24</v>
      </c>
      <c r="L1817">
        <v>4.4800000000000004</v>
      </c>
      <c r="M1817">
        <v>5</v>
      </c>
      <c r="N1817" t="s">
        <v>22</v>
      </c>
      <c r="O1817" t="str">
        <f t="shared" si="28"/>
        <v>No</v>
      </c>
    </row>
    <row r="1818" spans="1:15" x14ac:dyDescent="0.25">
      <c r="A1818" t="s">
        <v>1879</v>
      </c>
      <c r="B1818" s="1">
        <v>45700</v>
      </c>
      <c r="C1818" s="2">
        <v>45700.732488425929</v>
      </c>
      <c r="D1818" t="s">
        <v>38</v>
      </c>
      <c r="E1818" t="s">
        <v>45</v>
      </c>
      <c r="F1818" t="s">
        <v>50</v>
      </c>
      <c r="G1818" t="s">
        <v>18</v>
      </c>
      <c r="H1818" t="s">
        <v>19</v>
      </c>
      <c r="I1818" t="s">
        <v>36</v>
      </c>
      <c r="J1818" t="s">
        <v>29</v>
      </c>
      <c r="K1818">
        <v>8</v>
      </c>
      <c r="L1818">
        <v>17.579999999999998</v>
      </c>
      <c r="M1818">
        <v>2.5</v>
      </c>
      <c r="N1818" t="s">
        <v>22</v>
      </c>
      <c r="O1818" t="str">
        <f t="shared" si="28"/>
        <v>Yes</v>
      </c>
    </row>
    <row r="1819" spans="1:15" x14ac:dyDescent="0.25">
      <c r="A1819" t="s">
        <v>1880</v>
      </c>
      <c r="B1819" s="1">
        <v>45703</v>
      </c>
      <c r="C1819" s="2">
        <v>45703.240416666667</v>
      </c>
      <c r="D1819" t="s">
        <v>38</v>
      </c>
      <c r="E1819" t="s">
        <v>39</v>
      </c>
      <c r="F1819" t="s">
        <v>40</v>
      </c>
      <c r="G1819" t="s">
        <v>18</v>
      </c>
      <c r="H1819" t="s">
        <v>44</v>
      </c>
      <c r="I1819" t="s">
        <v>20</v>
      </c>
      <c r="J1819" t="s">
        <v>21</v>
      </c>
      <c r="K1819">
        <v>8</v>
      </c>
      <c r="L1819">
        <v>5.77</v>
      </c>
      <c r="M1819">
        <v>3.6</v>
      </c>
      <c r="N1819" t="s">
        <v>22</v>
      </c>
      <c r="O1819" t="str">
        <f t="shared" si="28"/>
        <v>No</v>
      </c>
    </row>
    <row r="1820" spans="1:15" x14ac:dyDescent="0.25">
      <c r="A1820" t="s">
        <v>1881</v>
      </c>
      <c r="B1820" s="1">
        <v>45682</v>
      </c>
      <c r="C1820" s="2">
        <v>45682.135000000002</v>
      </c>
      <c r="D1820" t="s">
        <v>38</v>
      </c>
      <c r="E1820" t="s">
        <v>25</v>
      </c>
      <c r="F1820" t="s">
        <v>70</v>
      </c>
      <c r="G1820" t="s">
        <v>56</v>
      </c>
      <c r="H1820" t="s">
        <v>65</v>
      </c>
      <c r="I1820" t="s">
        <v>36</v>
      </c>
      <c r="J1820" t="s">
        <v>46</v>
      </c>
      <c r="K1820">
        <v>8</v>
      </c>
      <c r="L1820">
        <v>3.24</v>
      </c>
      <c r="M1820">
        <v>5</v>
      </c>
      <c r="N1820" t="s">
        <v>22</v>
      </c>
      <c r="O1820" t="str">
        <f t="shared" si="28"/>
        <v>No</v>
      </c>
    </row>
    <row r="1821" spans="1:15" x14ac:dyDescent="0.25">
      <c r="A1821" t="s">
        <v>1882</v>
      </c>
      <c r="B1821" s="1">
        <v>45711</v>
      </c>
      <c r="C1821" s="2">
        <v>45711.15625</v>
      </c>
      <c r="D1821" t="s">
        <v>24</v>
      </c>
      <c r="E1821" t="s">
        <v>32</v>
      </c>
      <c r="F1821" t="s">
        <v>80</v>
      </c>
      <c r="G1821" t="s">
        <v>56</v>
      </c>
      <c r="H1821" t="s">
        <v>54</v>
      </c>
      <c r="I1821" t="s">
        <v>28</v>
      </c>
      <c r="J1821" t="s">
        <v>21</v>
      </c>
      <c r="K1821">
        <v>24</v>
      </c>
      <c r="L1821">
        <v>3.75</v>
      </c>
      <c r="M1821">
        <v>5</v>
      </c>
      <c r="N1821" t="s">
        <v>22</v>
      </c>
      <c r="O1821" t="str">
        <f t="shared" si="28"/>
        <v>No</v>
      </c>
    </row>
    <row r="1822" spans="1:15" x14ac:dyDescent="0.25">
      <c r="A1822" t="s">
        <v>1883</v>
      </c>
      <c r="B1822" s="1">
        <v>45714</v>
      </c>
      <c r="C1822" s="2">
        <v>45714.168333333335</v>
      </c>
      <c r="D1822" t="s">
        <v>38</v>
      </c>
      <c r="E1822" t="s">
        <v>25</v>
      </c>
      <c r="F1822" t="s">
        <v>53</v>
      </c>
      <c r="G1822" t="s">
        <v>34</v>
      </c>
      <c r="H1822" t="s">
        <v>35</v>
      </c>
      <c r="I1822" t="s">
        <v>36</v>
      </c>
      <c r="J1822" t="s">
        <v>21</v>
      </c>
      <c r="K1822">
        <v>8</v>
      </c>
      <c r="L1822">
        <v>4.04</v>
      </c>
      <c r="M1822">
        <v>4.0999999999999996</v>
      </c>
      <c r="N1822" t="s">
        <v>22</v>
      </c>
      <c r="O1822" t="str">
        <f t="shared" si="28"/>
        <v>No</v>
      </c>
    </row>
    <row r="1823" spans="1:15" x14ac:dyDescent="0.25">
      <c r="A1823" t="s">
        <v>1884</v>
      </c>
      <c r="B1823" s="1">
        <v>45796</v>
      </c>
      <c r="C1823" s="2">
        <v>45796.2575</v>
      </c>
      <c r="D1823" t="s">
        <v>24</v>
      </c>
      <c r="E1823" t="s">
        <v>39</v>
      </c>
      <c r="F1823" t="s">
        <v>78</v>
      </c>
      <c r="G1823" t="s">
        <v>34</v>
      </c>
      <c r="H1823" t="s">
        <v>35</v>
      </c>
      <c r="I1823" t="s">
        <v>45</v>
      </c>
      <c r="J1823" t="s">
        <v>85</v>
      </c>
      <c r="K1823">
        <v>24</v>
      </c>
      <c r="L1823">
        <v>6.18</v>
      </c>
      <c r="M1823">
        <v>4.0999999999999996</v>
      </c>
      <c r="N1823" t="s">
        <v>22</v>
      </c>
      <c r="O1823" t="str">
        <f t="shared" si="28"/>
        <v>No</v>
      </c>
    </row>
    <row r="1824" spans="1:15" x14ac:dyDescent="0.25">
      <c r="A1824" t="s">
        <v>1885</v>
      </c>
      <c r="B1824" s="1">
        <v>45712</v>
      </c>
      <c r="C1824" s="2">
        <v>45712.119166666664</v>
      </c>
      <c r="D1824" t="s">
        <v>24</v>
      </c>
      <c r="E1824" t="s">
        <v>32</v>
      </c>
      <c r="F1824" t="s">
        <v>33</v>
      </c>
      <c r="G1824" t="s">
        <v>51</v>
      </c>
      <c r="H1824" t="s">
        <v>27</v>
      </c>
      <c r="I1824" t="s">
        <v>36</v>
      </c>
      <c r="J1824" t="s">
        <v>85</v>
      </c>
      <c r="K1824">
        <v>24</v>
      </c>
      <c r="L1824">
        <v>2.86</v>
      </c>
      <c r="M1824">
        <v>4.5999999999999996</v>
      </c>
      <c r="N1824" t="s">
        <v>22</v>
      </c>
      <c r="O1824" t="str">
        <f t="shared" si="28"/>
        <v>No</v>
      </c>
    </row>
    <row r="1825" spans="1:15" x14ac:dyDescent="0.25">
      <c r="A1825" t="s">
        <v>1886</v>
      </c>
      <c r="B1825" s="1">
        <v>45816</v>
      </c>
      <c r="C1825" s="2">
        <v>45816.342499999999</v>
      </c>
      <c r="D1825" t="s">
        <v>15</v>
      </c>
      <c r="E1825" t="s">
        <v>16</v>
      </c>
      <c r="F1825" t="s">
        <v>43</v>
      </c>
      <c r="G1825" t="s">
        <v>51</v>
      </c>
      <c r="H1825" t="s">
        <v>54</v>
      </c>
      <c r="I1825" t="s">
        <v>36</v>
      </c>
      <c r="J1825" t="s">
        <v>46</v>
      </c>
      <c r="K1825">
        <v>48</v>
      </c>
      <c r="L1825">
        <v>8.2200000000000006</v>
      </c>
      <c r="M1825">
        <v>4.9000000000000004</v>
      </c>
      <c r="N1825" t="s">
        <v>22</v>
      </c>
      <c r="O1825" t="str">
        <f t="shared" si="28"/>
        <v>No</v>
      </c>
    </row>
    <row r="1826" spans="1:15" x14ac:dyDescent="0.25">
      <c r="A1826" t="s">
        <v>1887</v>
      </c>
      <c r="B1826" s="1">
        <v>45797</v>
      </c>
      <c r="C1826" s="2">
        <v>45797.196666666663</v>
      </c>
      <c r="D1826" t="s">
        <v>15</v>
      </c>
      <c r="E1826" t="s">
        <v>39</v>
      </c>
      <c r="F1826" t="s">
        <v>40</v>
      </c>
      <c r="G1826" t="s">
        <v>34</v>
      </c>
      <c r="H1826" t="s">
        <v>54</v>
      </c>
      <c r="I1826" t="s">
        <v>36</v>
      </c>
      <c r="J1826" t="s">
        <v>46</v>
      </c>
      <c r="K1826">
        <v>48</v>
      </c>
      <c r="L1826">
        <v>4.72</v>
      </c>
      <c r="M1826">
        <v>5</v>
      </c>
      <c r="N1826" t="s">
        <v>22</v>
      </c>
      <c r="O1826" t="str">
        <f t="shared" si="28"/>
        <v>No</v>
      </c>
    </row>
    <row r="1827" spans="1:15" x14ac:dyDescent="0.25">
      <c r="A1827" t="s">
        <v>1888</v>
      </c>
      <c r="B1827" s="1">
        <v>45821</v>
      </c>
      <c r="C1827" s="2">
        <v>45821.356666666667</v>
      </c>
      <c r="D1827" t="s">
        <v>24</v>
      </c>
      <c r="E1827" t="s">
        <v>16</v>
      </c>
      <c r="F1827" t="s">
        <v>58</v>
      </c>
      <c r="G1827" t="s">
        <v>18</v>
      </c>
      <c r="H1827" t="s">
        <v>19</v>
      </c>
      <c r="I1827" t="s">
        <v>36</v>
      </c>
      <c r="J1827" t="s">
        <v>21</v>
      </c>
      <c r="K1827">
        <v>24</v>
      </c>
      <c r="L1827">
        <v>8.56</v>
      </c>
      <c r="M1827">
        <v>4.8</v>
      </c>
      <c r="N1827" t="s">
        <v>22</v>
      </c>
      <c r="O1827" t="str">
        <f t="shared" si="28"/>
        <v>No</v>
      </c>
    </row>
    <row r="1828" spans="1:15" x14ac:dyDescent="0.25">
      <c r="A1828" t="s">
        <v>1889</v>
      </c>
      <c r="B1828" s="1">
        <v>45677</v>
      </c>
      <c r="C1828" s="2">
        <v>45677.872499999998</v>
      </c>
      <c r="D1828" t="s">
        <v>15</v>
      </c>
      <c r="E1828" t="s">
        <v>16</v>
      </c>
      <c r="F1828" t="s">
        <v>17</v>
      </c>
      <c r="G1828" t="s">
        <v>56</v>
      </c>
      <c r="H1828" t="s">
        <v>44</v>
      </c>
      <c r="I1828" t="s">
        <v>36</v>
      </c>
      <c r="J1828" t="s">
        <v>46</v>
      </c>
      <c r="K1828">
        <v>48</v>
      </c>
      <c r="L1828">
        <v>20.94</v>
      </c>
      <c r="M1828">
        <v>4.8</v>
      </c>
      <c r="N1828" t="s">
        <v>22</v>
      </c>
      <c r="O1828" t="str">
        <f t="shared" si="28"/>
        <v>No</v>
      </c>
    </row>
    <row r="1829" spans="1:15" x14ac:dyDescent="0.25">
      <c r="A1829" t="s">
        <v>1890</v>
      </c>
      <c r="B1829" s="1">
        <v>45836</v>
      </c>
      <c r="C1829" s="2">
        <v>45836.217083333337</v>
      </c>
      <c r="D1829" t="s">
        <v>38</v>
      </c>
      <c r="E1829" t="s">
        <v>32</v>
      </c>
      <c r="F1829" t="s">
        <v>33</v>
      </c>
      <c r="G1829" t="s">
        <v>51</v>
      </c>
      <c r="H1829" t="s">
        <v>44</v>
      </c>
      <c r="I1829" t="s">
        <v>36</v>
      </c>
      <c r="J1829" t="s">
        <v>21</v>
      </c>
      <c r="K1829">
        <v>8</v>
      </c>
      <c r="L1829">
        <v>5.21</v>
      </c>
      <c r="M1829">
        <v>4</v>
      </c>
      <c r="N1829" t="s">
        <v>22</v>
      </c>
      <c r="O1829" t="str">
        <f t="shared" si="28"/>
        <v>No</v>
      </c>
    </row>
    <row r="1830" spans="1:15" x14ac:dyDescent="0.25">
      <c r="A1830" t="s">
        <v>1891</v>
      </c>
      <c r="B1830" s="1">
        <v>45769</v>
      </c>
      <c r="C1830" s="2">
        <v>45769.23541666667</v>
      </c>
      <c r="D1830" t="s">
        <v>38</v>
      </c>
      <c r="E1830" t="s">
        <v>32</v>
      </c>
      <c r="F1830" t="s">
        <v>64</v>
      </c>
      <c r="G1830" t="s">
        <v>18</v>
      </c>
      <c r="H1830" t="s">
        <v>54</v>
      </c>
      <c r="I1830" t="s">
        <v>20</v>
      </c>
      <c r="J1830" t="s">
        <v>21</v>
      </c>
      <c r="K1830">
        <v>8</v>
      </c>
      <c r="L1830">
        <v>5.65</v>
      </c>
      <c r="M1830">
        <v>4.7</v>
      </c>
      <c r="N1830" t="s">
        <v>22</v>
      </c>
      <c r="O1830" t="str">
        <f t="shared" si="28"/>
        <v>No</v>
      </c>
    </row>
    <row r="1831" spans="1:15" x14ac:dyDescent="0.25">
      <c r="A1831" t="s">
        <v>1892</v>
      </c>
      <c r="B1831" s="1">
        <v>45835</v>
      </c>
      <c r="C1831" s="2">
        <v>45835.102916666663</v>
      </c>
      <c r="D1831" t="s">
        <v>38</v>
      </c>
      <c r="E1831" t="s">
        <v>16</v>
      </c>
      <c r="F1831" t="s">
        <v>43</v>
      </c>
      <c r="G1831" t="s">
        <v>34</v>
      </c>
      <c r="H1831" t="s">
        <v>44</v>
      </c>
      <c r="I1831" t="s">
        <v>45</v>
      </c>
      <c r="J1831" t="s">
        <v>46</v>
      </c>
      <c r="K1831">
        <v>8</v>
      </c>
      <c r="L1831">
        <v>2.4700000000000002</v>
      </c>
      <c r="M1831">
        <v>4.5</v>
      </c>
      <c r="N1831" t="s">
        <v>22</v>
      </c>
      <c r="O1831" t="str">
        <f t="shared" si="28"/>
        <v>No</v>
      </c>
    </row>
    <row r="1832" spans="1:15" x14ac:dyDescent="0.25">
      <c r="A1832" t="s">
        <v>1893</v>
      </c>
      <c r="B1832" s="1">
        <v>45722</v>
      </c>
      <c r="C1832" s="2">
        <v>45722.6875</v>
      </c>
      <c r="D1832" t="s">
        <v>15</v>
      </c>
      <c r="E1832" t="s">
        <v>16</v>
      </c>
      <c r="F1832" t="s">
        <v>17</v>
      </c>
      <c r="G1832" t="s">
        <v>18</v>
      </c>
      <c r="H1832" t="s">
        <v>65</v>
      </c>
      <c r="I1832" t="s">
        <v>36</v>
      </c>
      <c r="J1832" t="s">
        <v>21</v>
      </c>
      <c r="K1832">
        <v>48</v>
      </c>
      <c r="L1832">
        <v>16.5</v>
      </c>
      <c r="M1832">
        <v>5</v>
      </c>
      <c r="N1832" t="s">
        <v>22</v>
      </c>
      <c r="O1832" t="str">
        <f t="shared" si="28"/>
        <v>No</v>
      </c>
    </row>
    <row r="1833" spans="1:15" x14ac:dyDescent="0.25">
      <c r="A1833" t="s">
        <v>1894</v>
      </c>
      <c r="B1833" s="1">
        <v>45830</v>
      </c>
      <c r="C1833" s="2">
        <v>45830.1875</v>
      </c>
      <c r="D1833" t="s">
        <v>38</v>
      </c>
      <c r="E1833" t="s">
        <v>32</v>
      </c>
      <c r="F1833" t="s">
        <v>33</v>
      </c>
      <c r="G1833" t="s">
        <v>41</v>
      </c>
      <c r="H1833" t="s">
        <v>54</v>
      </c>
      <c r="I1833" t="s">
        <v>28</v>
      </c>
      <c r="J1833" t="s">
        <v>46</v>
      </c>
      <c r="K1833">
        <v>8</v>
      </c>
      <c r="L1833">
        <v>4.5</v>
      </c>
      <c r="M1833">
        <v>3.9</v>
      </c>
      <c r="N1833" t="s">
        <v>61</v>
      </c>
      <c r="O1833" t="str">
        <f t="shared" si="28"/>
        <v>No</v>
      </c>
    </row>
    <row r="1834" spans="1:15" x14ac:dyDescent="0.25">
      <c r="A1834" t="s">
        <v>1895</v>
      </c>
      <c r="B1834" s="1">
        <v>45764</v>
      </c>
      <c r="C1834" s="2">
        <v>45764.36</v>
      </c>
      <c r="D1834" t="s">
        <v>15</v>
      </c>
      <c r="E1834" t="s">
        <v>39</v>
      </c>
      <c r="F1834" t="s">
        <v>40</v>
      </c>
      <c r="G1834" t="s">
        <v>18</v>
      </c>
      <c r="H1834" t="s">
        <v>65</v>
      </c>
      <c r="I1834" t="s">
        <v>45</v>
      </c>
      <c r="J1834" t="s">
        <v>21</v>
      </c>
      <c r="K1834">
        <v>48</v>
      </c>
      <c r="L1834">
        <v>8.64</v>
      </c>
      <c r="M1834">
        <v>5</v>
      </c>
      <c r="N1834" t="s">
        <v>22</v>
      </c>
      <c r="O1834" t="str">
        <f t="shared" si="28"/>
        <v>No</v>
      </c>
    </row>
    <row r="1835" spans="1:15" x14ac:dyDescent="0.25">
      <c r="A1835" t="s">
        <v>1896</v>
      </c>
      <c r="B1835" s="1">
        <v>45670</v>
      </c>
      <c r="C1835" s="2">
        <v>45670.794999999998</v>
      </c>
      <c r="D1835" t="s">
        <v>24</v>
      </c>
      <c r="E1835" t="s">
        <v>16</v>
      </c>
      <c r="F1835" t="s">
        <v>17</v>
      </c>
      <c r="G1835" t="s">
        <v>34</v>
      </c>
      <c r="H1835" t="s">
        <v>65</v>
      </c>
      <c r="I1835" t="s">
        <v>36</v>
      </c>
      <c r="J1835" t="s">
        <v>21</v>
      </c>
      <c r="K1835">
        <v>24</v>
      </c>
      <c r="L1835">
        <v>19.079999999999998</v>
      </c>
      <c r="M1835">
        <v>5</v>
      </c>
      <c r="N1835" t="s">
        <v>22</v>
      </c>
      <c r="O1835" t="str">
        <f t="shared" si="28"/>
        <v>No</v>
      </c>
    </row>
    <row r="1836" spans="1:15" x14ac:dyDescent="0.25">
      <c r="A1836" t="s">
        <v>1897</v>
      </c>
      <c r="B1836" s="1">
        <v>45732</v>
      </c>
      <c r="C1836" s="2">
        <v>45732.122916666667</v>
      </c>
      <c r="D1836" t="s">
        <v>38</v>
      </c>
      <c r="E1836" t="s">
        <v>16</v>
      </c>
      <c r="F1836" t="s">
        <v>17</v>
      </c>
      <c r="G1836" t="s">
        <v>18</v>
      </c>
      <c r="H1836" t="s">
        <v>27</v>
      </c>
      <c r="I1836" t="s">
        <v>36</v>
      </c>
      <c r="J1836" t="s">
        <v>21</v>
      </c>
      <c r="K1836">
        <v>8</v>
      </c>
      <c r="L1836">
        <v>2.95</v>
      </c>
      <c r="M1836">
        <v>5</v>
      </c>
      <c r="N1836" t="s">
        <v>61</v>
      </c>
      <c r="O1836" t="str">
        <f t="shared" si="28"/>
        <v>No</v>
      </c>
    </row>
    <row r="1837" spans="1:15" x14ac:dyDescent="0.25">
      <c r="A1837" t="s">
        <v>1898</v>
      </c>
      <c r="B1837" s="1">
        <v>45682</v>
      </c>
      <c r="C1837" s="2">
        <v>45683.785416666666</v>
      </c>
      <c r="D1837" t="s">
        <v>15</v>
      </c>
      <c r="E1837" t="s">
        <v>25</v>
      </c>
      <c r="F1837" t="s">
        <v>70</v>
      </c>
      <c r="G1837" t="s">
        <v>18</v>
      </c>
      <c r="H1837" t="s">
        <v>35</v>
      </c>
      <c r="I1837" t="s">
        <v>45</v>
      </c>
      <c r="J1837" t="s">
        <v>21</v>
      </c>
      <c r="K1837">
        <v>48</v>
      </c>
      <c r="L1837">
        <v>42.85</v>
      </c>
      <c r="M1837">
        <v>4.4000000000000004</v>
      </c>
      <c r="N1837" t="s">
        <v>22</v>
      </c>
      <c r="O1837" t="str">
        <f t="shared" si="28"/>
        <v>No</v>
      </c>
    </row>
    <row r="1838" spans="1:15" x14ac:dyDescent="0.25">
      <c r="A1838" t="s">
        <v>1899</v>
      </c>
      <c r="B1838" s="1">
        <v>45828</v>
      </c>
      <c r="C1838" s="2">
        <v>45829.044999999998</v>
      </c>
      <c r="D1838" t="s">
        <v>15</v>
      </c>
      <c r="E1838" t="s">
        <v>39</v>
      </c>
      <c r="F1838" t="s">
        <v>78</v>
      </c>
      <c r="G1838" t="s">
        <v>34</v>
      </c>
      <c r="H1838" t="s">
        <v>27</v>
      </c>
      <c r="I1838" t="s">
        <v>45</v>
      </c>
      <c r="J1838" t="s">
        <v>21</v>
      </c>
      <c r="K1838">
        <v>48</v>
      </c>
      <c r="L1838">
        <v>25.08</v>
      </c>
      <c r="M1838">
        <v>4.5999999999999996</v>
      </c>
      <c r="N1838" t="s">
        <v>22</v>
      </c>
      <c r="O1838" t="str">
        <f t="shared" si="28"/>
        <v>No</v>
      </c>
    </row>
    <row r="1839" spans="1:15" x14ac:dyDescent="0.25">
      <c r="A1839" t="s">
        <v>1900</v>
      </c>
      <c r="B1839" s="1">
        <v>45713</v>
      </c>
      <c r="C1839" s="2">
        <v>45713.807083333333</v>
      </c>
      <c r="D1839" t="s">
        <v>15</v>
      </c>
      <c r="E1839" t="s">
        <v>16</v>
      </c>
      <c r="F1839" t="s">
        <v>43</v>
      </c>
      <c r="G1839" t="s">
        <v>41</v>
      </c>
      <c r="H1839" t="s">
        <v>35</v>
      </c>
      <c r="I1839" t="s">
        <v>20</v>
      </c>
      <c r="J1839" t="s">
        <v>46</v>
      </c>
      <c r="K1839">
        <v>48</v>
      </c>
      <c r="L1839">
        <v>19.37</v>
      </c>
      <c r="M1839">
        <v>4.5999999999999996</v>
      </c>
      <c r="N1839" t="s">
        <v>22</v>
      </c>
      <c r="O1839" t="str">
        <f t="shared" si="28"/>
        <v>No</v>
      </c>
    </row>
    <row r="1840" spans="1:15" x14ac:dyDescent="0.25">
      <c r="A1840" t="s">
        <v>1901</v>
      </c>
      <c r="B1840" s="1">
        <v>45698</v>
      </c>
      <c r="C1840" s="2">
        <v>45699.073333333334</v>
      </c>
      <c r="D1840" t="s">
        <v>24</v>
      </c>
      <c r="E1840" t="s">
        <v>16</v>
      </c>
      <c r="F1840" t="s">
        <v>60</v>
      </c>
      <c r="G1840" t="s">
        <v>41</v>
      </c>
      <c r="H1840" t="s">
        <v>44</v>
      </c>
      <c r="I1840" t="s">
        <v>45</v>
      </c>
      <c r="J1840" t="s">
        <v>21</v>
      </c>
      <c r="K1840">
        <v>24</v>
      </c>
      <c r="L1840">
        <v>25.76</v>
      </c>
      <c r="M1840">
        <v>3.6</v>
      </c>
      <c r="N1840" t="s">
        <v>22</v>
      </c>
      <c r="O1840" t="str">
        <f t="shared" si="28"/>
        <v>Yes</v>
      </c>
    </row>
    <row r="1841" spans="1:15" x14ac:dyDescent="0.25">
      <c r="A1841" t="s">
        <v>1902</v>
      </c>
      <c r="B1841" s="1">
        <v>45758</v>
      </c>
      <c r="C1841" s="2">
        <v>45758.037499999999</v>
      </c>
      <c r="D1841" t="s">
        <v>38</v>
      </c>
      <c r="E1841" t="s">
        <v>39</v>
      </c>
      <c r="F1841" t="s">
        <v>119</v>
      </c>
      <c r="G1841" t="s">
        <v>34</v>
      </c>
      <c r="H1841" t="s">
        <v>44</v>
      </c>
      <c r="I1841" t="s">
        <v>28</v>
      </c>
      <c r="J1841" t="s">
        <v>21</v>
      </c>
      <c r="K1841">
        <v>8</v>
      </c>
      <c r="L1841">
        <v>0.9</v>
      </c>
      <c r="M1841">
        <v>4.5</v>
      </c>
      <c r="N1841" t="s">
        <v>61</v>
      </c>
      <c r="O1841" t="str">
        <f t="shared" si="28"/>
        <v>No</v>
      </c>
    </row>
    <row r="1842" spans="1:15" x14ac:dyDescent="0.25">
      <c r="A1842" t="s">
        <v>1903</v>
      </c>
      <c r="B1842" s="1">
        <v>45734</v>
      </c>
      <c r="C1842" s="2">
        <v>45735.259583333333</v>
      </c>
      <c r="D1842" t="s">
        <v>15</v>
      </c>
      <c r="E1842" t="s">
        <v>32</v>
      </c>
      <c r="F1842" t="s">
        <v>64</v>
      </c>
      <c r="G1842" t="s">
        <v>18</v>
      </c>
      <c r="H1842" t="s">
        <v>44</v>
      </c>
      <c r="I1842" t="s">
        <v>20</v>
      </c>
      <c r="J1842" t="s">
        <v>46</v>
      </c>
      <c r="K1842">
        <v>48</v>
      </c>
      <c r="L1842">
        <v>30.23</v>
      </c>
      <c r="M1842">
        <v>3.2</v>
      </c>
      <c r="N1842" t="s">
        <v>22</v>
      </c>
      <c r="O1842" t="str">
        <f t="shared" si="28"/>
        <v>No</v>
      </c>
    </row>
    <row r="1843" spans="1:15" x14ac:dyDescent="0.25">
      <c r="A1843" t="s">
        <v>1904</v>
      </c>
      <c r="B1843" s="1">
        <v>45675</v>
      </c>
      <c r="C1843" s="2">
        <v>45677.780833333331</v>
      </c>
      <c r="D1843" t="s">
        <v>15</v>
      </c>
      <c r="E1843" t="s">
        <v>32</v>
      </c>
      <c r="F1843" t="s">
        <v>33</v>
      </c>
      <c r="G1843" t="s">
        <v>41</v>
      </c>
      <c r="H1843" t="s">
        <v>19</v>
      </c>
      <c r="I1843" t="s">
        <v>28</v>
      </c>
      <c r="J1843" t="s">
        <v>46</v>
      </c>
      <c r="K1843">
        <v>48</v>
      </c>
      <c r="L1843">
        <v>66.739999999999995</v>
      </c>
      <c r="M1843">
        <v>3.7</v>
      </c>
      <c r="N1843" t="s">
        <v>22</v>
      </c>
      <c r="O1843" t="str">
        <f t="shared" si="28"/>
        <v>Yes</v>
      </c>
    </row>
    <row r="1844" spans="1:15" x14ac:dyDescent="0.25">
      <c r="A1844" t="s">
        <v>1905</v>
      </c>
      <c r="B1844" s="1">
        <v>45805</v>
      </c>
      <c r="C1844" s="2">
        <v>45805.540416666663</v>
      </c>
      <c r="D1844" t="s">
        <v>24</v>
      </c>
      <c r="E1844" t="s">
        <v>25</v>
      </c>
      <c r="F1844" t="s">
        <v>53</v>
      </c>
      <c r="G1844" t="s">
        <v>56</v>
      </c>
      <c r="H1844" t="s">
        <v>65</v>
      </c>
      <c r="I1844" t="s">
        <v>45</v>
      </c>
      <c r="J1844" t="s">
        <v>46</v>
      </c>
      <c r="K1844">
        <v>24</v>
      </c>
      <c r="L1844">
        <v>12.97</v>
      </c>
      <c r="M1844">
        <v>3.4</v>
      </c>
      <c r="N1844" t="s">
        <v>22</v>
      </c>
      <c r="O1844" t="str">
        <f t="shared" si="28"/>
        <v>No</v>
      </c>
    </row>
    <row r="1845" spans="1:15" x14ac:dyDescent="0.25">
      <c r="A1845" t="s">
        <v>1906</v>
      </c>
      <c r="B1845" s="1">
        <v>45811</v>
      </c>
      <c r="C1845" s="2">
        <v>45811.922500000001</v>
      </c>
      <c r="D1845" t="s">
        <v>15</v>
      </c>
      <c r="E1845" t="s">
        <v>32</v>
      </c>
      <c r="F1845" t="s">
        <v>75</v>
      </c>
      <c r="G1845" t="s">
        <v>51</v>
      </c>
      <c r="H1845" t="s">
        <v>44</v>
      </c>
      <c r="I1845" t="s">
        <v>45</v>
      </c>
      <c r="J1845" t="s">
        <v>21</v>
      </c>
      <c r="K1845">
        <v>48</v>
      </c>
      <c r="L1845">
        <v>22.14</v>
      </c>
      <c r="M1845">
        <v>4.9000000000000004</v>
      </c>
      <c r="N1845" t="s">
        <v>22</v>
      </c>
      <c r="O1845" t="str">
        <f t="shared" si="28"/>
        <v>No</v>
      </c>
    </row>
    <row r="1846" spans="1:15" x14ac:dyDescent="0.25">
      <c r="A1846" t="s">
        <v>1907</v>
      </c>
      <c r="B1846" s="1">
        <v>45792</v>
      </c>
      <c r="C1846" s="2">
        <v>45792.302916666667</v>
      </c>
      <c r="D1846" t="s">
        <v>38</v>
      </c>
      <c r="E1846" t="s">
        <v>16</v>
      </c>
      <c r="F1846" t="s">
        <v>43</v>
      </c>
      <c r="G1846" t="s">
        <v>51</v>
      </c>
      <c r="H1846" t="s">
        <v>65</v>
      </c>
      <c r="I1846" t="s">
        <v>20</v>
      </c>
      <c r="J1846" t="s">
        <v>46</v>
      </c>
      <c r="K1846">
        <v>8</v>
      </c>
      <c r="L1846">
        <v>7.27</v>
      </c>
      <c r="M1846">
        <v>3.7</v>
      </c>
      <c r="N1846" t="s">
        <v>22</v>
      </c>
      <c r="O1846" t="str">
        <f t="shared" si="28"/>
        <v>No</v>
      </c>
    </row>
    <row r="1847" spans="1:15" x14ac:dyDescent="0.25">
      <c r="A1847" t="s">
        <v>1908</v>
      </c>
      <c r="B1847" s="1">
        <v>45769</v>
      </c>
      <c r="C1847" s="2">
        <v>45769.102500000001</v>
      </c>
      <c r="D1847" t="s">
        <v>38</v>
      </c>
      <c r="E1847" t="s">
        <v>16</v>
      </c>
      <c r="F1847" t="s">
        <v>17</v>
      </c>
      <c r="G1847" t="s">
        <v>41</v>
      </c>
      <c r="H1847" t="s">
        <v>35</v>
      </c>
      <c r="I1847" t="s">
        <v>20</v>
      </c>
      <c r="J1847" t="s">
        <v>21</v>
      </c>
      <c r="K1847">
        <v>8</v>
      </c>
      <c r="L1847">
        <v>2.46</v>
      </c>
      <c r="M1847">
        <v>4</v>
      </c>
      <c r="N1847" t="s">
        <v>22</v>
      </c>
      <c r="O1847" t="str">
        <f t="shared" si="28"/>
        <v>No</v>
      </c>
    </row>
    <row r="1848" spans="1:15" x14ac:dyDescent="0.25">
      <c r="A1848" t="s">
        <v>1909</v>
      </c>
      <c r="B1848" s="1">
        <v>45730</v>
      </c>
      <c r="C1848" s="2">
        <v>45730.127916666665</v>
      </c>
      <c r="D1848" t="s">
        <v>38</v>
      </c>
      <c r="E1848" t="s">
        <v>39</v>
      </c>
      <c r="F1848" t="s">
        <v>40</v>
      </c>
      <c r="G1848" t="s">
        <v>18</v>
      </c>
      <c r="H1848" t="s">
        <v>27</v>
      </c>
      <c r="I1848" t="s">
        <v>36</v>
      </c>
      <c r="J1848" t="s">
        <v>21</v>
      </c>
      <c r="K1848">
        <v>8</v>
      </c>
      <c r="L1848">
        <v>3.07</v>
      </c>
      <c r="M1848">
        <v>5</v>
      </c>
      <c r="N1848" t="s">
        <v>22</v>
      </c>
      <c r="O1848" t="str">
        <f t="shared" si="28"/>
        <v>No</v>
      </c>
    </row>
    <row r="1849" spans="1:15" x14ac:dyDescent="0.25">
      <c r="A1849" t="s">
        <v>1910</v>
      </c>
      <c r="B1849" s="1">
        <v>45756</v>
      </c>
      <c r="C1849" s="2">
        <v>45756.052083333336</v>
      </c>
      <c r="D1849" t="s">
        <v>38</v>
      </c>
      <c r="E1849" t="s">
        <v>25</v>
      </c>
      <c r="F1849" t="s">
        <v>26</v>
      </c>
      <c r="G1849" t="s">
        <v>51</v>
      </c>
      <c r="H1849" t="s">
        <v>27</v>
      </c>
      <c r="I1849" t="s">
        <v>36</v>
      </c>
      <c r="J1849" t="s">
        <v>21</v>
      </c>
      <c r="K1849">
        <v>8</v>
      </c>
      <c r="L1849">
        <v>1.25</v>
      </c>
      <c r="M1849">
        <v>3.9</v>
      </c>
      <c r="N1849" t="s">
        <v>22</v>
      </c>
      <c r="O1849" t="str">
        <f t="shared" si="28"/>
        <v>No</v>
      </c>
    </row>
    <row r="1850" spans="1:15" x14ac:dyDescent="0.25">
      <c r="A1850" t="s">
        <v>1911</v>
      </c>
      <c r="B1850" s="1">
        <v>45752</v>
      </c>
      <c r="C1850" s="2">
        <v>45752.291666666664</v>
      </c>
      <c r="D1850" t="s">
        <v>24</v>
      </c>
      <c r="E1850" t="s">
        <v>16</v>
      </c>
      <c r="F1850" t="s">
        <v>60</v>
      </c>
      <c r="G1850" t="s">
        <v>51</v>
      </c>
      <c r="H1850" t="s">
        <v>44</v>
      </c>
      <c r="I1850" t="s">
        <v>36</v>
      </c>
      <c r="J1850" t="s">
        <v>46</v>
      </c>
      <c r="K1850">
        <v>24</v>
      </c>
      <c r="L1850">
        <v>7</v>
      </c>
      <c r="M1850">
        <v>4.2</v>
      </c>
      <c r="N1850" t="s">
        <v>22</v>
      </c>
      <c r="O1850" t="str">
        <f t="shared" si="28"/>
        <v>No</v>
      </c>
    </row>
    <row r="1851" spans="1:15" x14ac:dyDescent="0.25">
      <c r="A1851" t="s">
        <v>1912</v>
      </c>
      <c r="B1851" s="1">
        <v>45687</v>
      </c>
      <c r="C1851" s="2">
        <v>45687.252083333333</v>
      </c>
      <c r="D1851" t="s">
        <v>38</v>
      </c>
      <c r="E1851" t="s">
        <v>32</v>
      </c>
      <c r="F1851" t="s">
        <v>33</v>
      </c>
      <c r="G1851" t="s">
        <v>51</v>
      </c>
      <c r="H1851" t="s">
        <v>35</v>
      </c>
      <c r="I1851" t="s">
        <v>36</v>
      </c>
      <c r="J1851" t="s">
        <v>21</v>
      </c>
      <c r="K1851">
        <v>8</v>
      </c>
      <c r="L1851">
        <v>6.05</v>
      </c>
      <c r="M1851">
        <v>3.7</v>
      </c>
      <c r="N1851" t="s">
        <v>22</v>
      </c>
      <c r="O1851" t="str">
        <f t="shared" si="28"/>
        <v>No</v>
      </c>
    </row>
    <row r="1852" spans="1:15" x14ac:dyDescent="0.25">
      <c r="A1852" t="s">
        <v>1913</v>
      </c>
      <c r="B1852" s="1">
        <v>45672</v>
      </c>
      <c r="C1852" s="2">
        <v>45672.783333333333</v>
      </c>
      <c r="D1852" t="s">
        <v>15</v>
      </c>
      <c r="E1852" t="s">
        <v>25</v>
      </c>
      <c r="F1852" t="s">
        <v>48</v>
      </c>
      <c r="G1852" t="s">
        <v>18</v>
      </c>
      <c r="H1852" t="s">
        <v>65</v>
      </c>
      <c r="I1852" t="s">
        <v>28</v>
      </c>
      <c r="J1852" t="s">
        <v>85</v>
      </c>
      <c r="K1852">
        <v>48</v>
      </c>
      <c r="L1852">
        <v>18.8</v>
      </c>
      <c r="M1852">
        <v>4.5999999999999996</v>
      </c>
      <c r="N1852" t="s">
        <v>61</v>
      </c>
      <c r="O1852" t="str">
        <f t="shared" si="28"/>
        <v>No</v>
      </c>
    </row>
    <row r="1853" spans="1:15" x14ac:dyDescent="0.25">
      <c r="A1853" t="s">
        <v>1914</v>
      </c>
      <c r="B1853" s="1">
        <v>45703</v>
      </c>
      <c r="C1853" s="2">
        <v>45703.437083333331</v>
      </c>
      <c r="D1853" t="s">
        <v>15</v>
      </c>
      <c r="E1853" t="s">
        <v>16</v>
      </c>
      <c r="F1853" t="s">
        <v>60</v>
      </c>
      <c r="G1853" t="s">
        <v>34</v>
      </c>
      <c r="H1853" t="s">
        <v>44</v>
      </c>
      <c r="I1853" t="s">
        <v>20</v>
      </c>
      <c r="J1853" t="s">
        <v>21</v>
      </c>
      <c r="K1853">
        <v>48</v>
      </c>
      <c r="L1853">
        <v>10.49</v>
      </c>
      <c r="M1853">
        <v>4.3</v>
      </c>
      <c r="N1853" t="s">
        <v>22</v>
      </c>
      <c r="O1853" t="str">
        <f t="shared" si="28"/>
        <v>No</v>
      </c>
    </row>
    <row r="1854" spans="1:15" x14ac:dyDescent="0.25">
      <c r="A1854" t="s">
        <v>1915</v>
      </c>
      <c r="B1854" s="1">
        <v>45740</v>
      </c>
      <c r="C1854" s="2">
        <v>45741.106249999997</v>
      </c>
      <c r="D1854" t="s">
        <v>24</v>
      </c>
      <c r="E1854" t="s">
        <v>39</v>
      </c>
      <c r="F1854" t="s">
        <v>40</v>
      </c>
      <c r="G1854" t="s">
        <v>41</v>
      </c>
      <c r="H1854" t="s">
        <v>35</v>
      </c>
      <c r="I1854" t="s">
        <v>36</v>
      </c>
      <c r="J1854" t="s">
        <v>21</v>
      </c>
      <c r="K1854">
        <v>24</v>
      </c>
      <c r="L1854">
        <v>26.55</v>
      </c>
      <c r="M1854">
        <v>4.5999999999999996</v>
      </c>
      <c r="N1854" t="s">
        <v>22</v>
      </c>
      <c r="O1854" t="str">
        <f t="shared" si="28"/>
        <v>Yes</v>
      </c>
    </row>
    <row r="1855" spans="1:15" x14ac:dyDescent="0.25">
      <c r="A1855" t="s">
        <v>1916</v>
      </c>
      <c r="B1855" s="1">
        <v>45687</v>
      </c>
      <c r="C1855" s="2">
        <v>45689.010833333334</v>
      </c>
      <c r="D1855" t="s">
        <v>15</v>
      </c>
      <c r="E1855" t="s">
        <v>25</v>
      </c>
      <c r="F1855" t="s">
        <v>53</v>
      </c>
      <c r="G1855" t="s">
        <v>34</v>
      </c>
      <c r="H1855" t="s">
        <v>19</v>
      </c>
      <c r="I1855" t="s">
        <v>36</v>
      </c>
      <c r="J1855" t="s">
        <v>21</v>
      </c>
      <c r="K1855">
        <v>48</v>
      </c>
      <c r="L1855">
        <v>48.26</v>
      </c>
      <c r="M1855">
        <v>2.9</v>
      </c>
      <c r="N1855" t="s">
        <v>22</v>
      </c>
      <c r="O1855" t="str">
        <f t="shared" si="28"/>
        <v>Yes</v>
      </c>
    </row>
    <row r="1856" spans="1:15" x14ac:dyDescent="0.25">
      <c r="A1856" t="s">
        <v>1917</v>
      </c>
      <c r="B1856" s="1">
        <v>45677</v>
      </c>
      <c r="C1856" s="2">
        <v>45677.081250000003</v>
      </c>
      <c r="D1856" t="s">
        <v>38</v>
      </c>
      <c r="E1856" t="s">
        <v>16</v>
      </c>
      <c r="F1856" t="s">
        <v>43</v>
      </c>
      <c r="G1856" t="s">
        <v>34</v>
      </c>
      <c r="H1856" t="s">
        <v>54</v>
      </c>
      <c r="I1856" t="s">
        <v>36</v>
      </c>
      <c r="J1856" t="s">
        <v>46</v>
      </c>
      <c r="K1856">
        <v>8</v>
      </c>
      <c r="L1856">
        <v>1.95</v>
      </c>
      <c r="M1856">
        <v>5</v>
      </c>
      <c r="N1856" t="s">
        <v>22</v>
      </c>
      <c r="O1856" t="str">
        <f t="shared" si="28"/>
        <v>No</v>
      </c>
    </row>
    <row r="1857" spans="1:15" x14ac:dyDescent="0.25">
      <c r="A1857" t="s">
        <v>1918</v>
      </c>
      <c r="B1857" s="1">
        <v>45812</v>
      </c>
      <c r="C1857" s="2">
        <v>45812.999583333331</v>
      </c>
      <c r="D1857" t="s">
        <v>24</v>
      </c>
      <c r="E1857" t="s">
        <v>39</v>
      </c>
      <c r="F1857" t="s">
        <v>87</v>
      </c>
      <c r="G1857" t="s">
        <v>51</v>
      </c>
      <c r="H1857" t="s">
        <v>19</v>
      </c>
      <c r="I1857" t="s">
        <v>20</v>
      </c>
      <c r="J1857" t="s">
        <v>21</v>
      </c>
      <c r="K1857">
        <v>24</v>
      </c>
      <c r="L1857">
        <v>23.99</v>
      </c>
      <c r="M1857">
        <v>3.1</v>
      </c>
      <c r="N1857" t="s">
        <v>22</v>
      </c>
      <c r="O1857" t="str">
        <f t="shared" si="28"/>
        <v>No</v>
      </c>
    </row>
    <row r="1858" spans="1:15" x14ac:dyDescent="0.25">
      <c r="A1858" t="s">
        <v>1919</v>
      </c>
      <c r="B1858" s="1">
        <v>45725</v>
      </c>
      <c r="C1858" s="2">
        <v>45725.123749999999</v>
      </c>
      <c r="D1858" t="s">
        <v>31</v>
      </c>
      <c r="E1858" t="s">
        <v>45</v>
      </c>
      <c r="F1858" t="s">
        <v>112</v>
      </c>
      <c r="G1858" t="s">
        <v>56</v>
      </c>
      <c r="H1858" t="s">
        <v>27</v>
      </c>
      <c r="I1858" t="s">
        <v>28</v>
      </c>
      <c r="J1858" t="s">
        <v>46</v>
      </c>
      <c r="K1858">
        <v>4</v>
      </c>
      <c r="L1858">
        <v>2.97</v>
      </c>
      <c r="M1858">
        <v>5</v>
      </c>
      <c r="N1858" t="s">
        <v>22</v>
      </c>
      <c r="O1858" t="str">
        <f t="shared" si="28"/>
        <v>No</v>
      </c>
    </row>
    <row r="1859" spans="1:15" x14ac:dyDescent="0.25">
      <c r="A1859" t="s">
        <v>1920</v>
      </c>
      <c r="B1859" s="1">
        <v>45763</v>
      </c>
      <c r="C1859" s="2">
        <v>45763.564166666663</v>
      </c>
      <c r="D1859" t="s">
        <v>24</v>
      </c>
      <c r="E1859" t="s">
        <v>16</v>
      </c>
      <c r="F1859" t="s">
        <v>43</v>
      </c>
      <c r="G1859" t="s">
        <v>18</v>
      </c>
      <c r="H1859" t="s">
        <v>54</v>
      </c>
      <c r="I1859" t="s">
        <v>36</v>
      </c>
      <c r="J1859" t="s">
        <v>21</v>
      </c>
      <c r="K1859">
        <v>24</v>
      </c>
      <c r="L1859">
        <v>13.54</v>
      </c>
      <c r="M1859">
        <v>5</v>
      </c>
      <c r="N1859" t="s">
        <v>22</v>
      </c>
      <c r="O1859" t="str">
        <f t="shared" ref="O1859:O1922" si="29">IF(L1859&gt;K1859,"Yes","No")</f>
        <v>No</v>
      </c>
    </row>
    <row r="1860" spans="1:15" x14ac:dyDescent="0.25">
      <c r="A1860" t="s">
        <v>1921</v>
      </c>
      <c r="B1860" s="1">
        <v>45752</v>
      </c>
      <c r="C1860" s="2">
        <v>45753.451249999998</v>
      </c>
      <c r="D1860" t="s">
        <v>24</v>
      </c>
      <c r="E1860" t="s">
        <v>16</v>
      </c>
      <c r="F1860" t="s">
        <v>60</v>
      </c>
      <c r="G1860" t="s">
        <v>56</v>
      </c>
      <c r="H1860" t="s">
        <v>27</v>
      </c>
      <c r="I1860" t="s">
        <v>36</v>
      </c>
      <c r="J1860" t="s">
        <v>21</v>
      </c>
      <c r="K1860">
        <v>24</v>
      </c>
      <c r="L1860">
        <v>34.83</v>
      </c>
      <c r="M1860">
        <v>3.2</v>
      </c>
      <c r="N1860" t="s">
        <v>61</v>
      </c>
      <c r="O1860" t="str">
        <f t="shared" si="29"/>
        <v>Yes</v>
      </c>
    </row>
    <row r="1861" spans="1:15" x14ac:dyDescent="0.25">
      <c r="A1861" t="s">
        <v>1922</v>
      </c>
      <c r="B1861" s="1">
        <v>45791</v>
      </c>
      <c r="C1861" s="2">
        <v>45791.208749999998</v>
      </c>
      <c r="D1861" t="s">
        <v>38</v>
      </c>
      <c r="E1861" t="s">
        <v>32</v>
      </c>
      <c r="F1861" t="s">
        <v>75</v>
      </c>
      <c r="G1861" t="s">
        <v>41</v>
      </c>
      <c r="H1861" t="s">
        <v>54</v>
      </c>
      <c r="I1861" t="s">
        <v>28</v>
      </c>
      <c r="J1861" t="s">
        <v>46</v>
      </c>
      <c r="K1861">
        <v>8</v>
      </c>
      <c r="L1861">
        <v>5.01</v>
      </c>
      <c r="M1861">
        <v>4.4000000000000004</v>
      </c>
      <c r="N1861" t="s">
        <v>22</v>
      </c>
      <c r="O1861" t="str">
        <f t="shared" si="29"/>
        <v>No</v>
      </c>
    </row>
    <row r="1862" spans="1:15" x14ac:dyDescent="0.25">
      <c r="A1862" t="s">
        <v>1923</v>
      </c>
      <c r="B1862" s="1">
        <v>45791</v>
      </c>
      <c r="C1862" s="2">
        <v>45791.526250000003</v>
      </c>
      <c r="D1862" t="s">
        <v>15</v>
      </c>
      <c r="E1862" t="s">
        <v>32</v>
      </c>
      <c r="F1862" t="s">
        <v>33</v>
      </c>
      <c r="G1862" t="s">
        <v>18</v>
      </c>
      <c r="H1862" t="s">
        <v>19</v>
      </c>
      <c r="I1862" t="s">
        <v>45</v>
      </c>
      <c r="J1862" t="s">
        <v>46</v>
      </c>
      <c r="K1862">
        <v>48</v>
      </c>
      <c r="L1862">
        <v>12.63</v>
      </c>
      <c r="M1862">
        <v>4.4000000000000004</v>
      </c>
      <c r="N1862" t="s">
        <v>22</v>
      </c>
      <c r="O1862" t="str">
        <f t="shared" si="29"/>
        <v>No</v>
      </c>
    </row>
    <row r="1863" spans="1:15" x14ac:dyDescent="0.25">
      <c r="A1863" t="s">
        <v>1924</v>
      </c>
      <c r="B1863" s="1">
        <v>45711</v>
      </c>
      <c r="C1863" s="2">
        <v>45711.360833333332</v>
      </c>
      <c r="D1863" t="s">
        <v>24</v>
      </c>
      <c r="E1863" t="s">
        <v>39</v>
      </c>
      <c r="F1863" t="s">
        <v>78</v>
      </c>
      <c r="G1863" t="s">
        <v>51</v>
      </c>
      <c r="H1863" t="s">
        <v>54</v>
      </c>
      <c r="I1863" t="s">
        <v>20</v>
      </c>
      <c r="J1863" t="s">
        <v>46</v>
      </c>
      <c r="K1863">
        <v>24</v>
      </c>
      <c r="L1863">
        <v>8.66</v>
      </c>
      <c r="M1863">
        <v>4.8</v>
      </c>
      <c r="N1863" t="s">
        <v>22</v>
      </c>
      <c r="O1863" t="str">
        <f t="shared" si="29"/>
        <v>No</v>
      </c>
    </row>
    <row r="1864" spans="1:15" x14ac:dyDescent="0.25">
      <c r="A1864" t="s">
        <v>1925</v>
      </c>
      <c r="B1864" s="1">
        <v>45811</v>
      </c>
      <c r="C1864" s="2">
        <v>45811.105000000003</v>
      </c>
      <c r="D1864" t="s">
        <v>24</v>
      </c>
      <c r="E1864" t="s">
        <v>16</v>
      </c>
      <c r="F1864" t="s">
        <v>17</v>
      </c>
      <c r="G1864" t="s">
        <v>56</v>
      </c>
      <c r="H1864" t="s">
        <v>44</v>
      </c>
      <c r="I1864" t="s">
        <v>36</v>
      </c>
      <c r="J1864" t="s">
        <v>21</v>
      </c>
      <c r="K1864">
        <v>24</v>
      </c>
      <c r="L1864">
        <v>2.52</v>
      </c>
      <c r="M1864">
        <v>4.4000000000000004</v>
      </c>
      <c r="N1864" t="s">
        <v>22</v>
      </c>
      <c r="O1864" t="str">
        <f t="shared" si="29"/>
        <v>No</v>
      </c>
    </row>
    <row r="1865" spans="1:15" x14ac:dyDescent="0.25">
      <c r="A1865" t="s">
        <v>1926</v>
      </c>
      <c r="B1865" s="1">
        <v>45725</v>
      </c>
      <c r="C1865" s="2">
        <v>45725.120833333334</v>
      </c>
      <c r="D1865" t="s">
        <v>31</v>
      </c>
      <c r="E1865" t="s">
        <v>16</v>
      </c>
      <c r="F1865" t="s">
        <v>60</v>
      </c>
      <c r="G1865" t="s">
        <v>56</v>
      </c>
      <c r="H1865" t="s">
        <v>54</v>
      </c>
      <c r="I1865" t="s">
        <v>36</v>
      </c>
      <c r="J1865" t="s">
        <v>46</v>
      </c>
      <c r="K1865">
        <v>4</v>
      </c>
      <c r="L1865">
        <v>2.9</v>
      </c>
      <c r="M1865">
        <v>4.5999999999999996</v>
      </c>
      <c r="N1865" t="s">
        <v>22</v>
      </c>
      <c r="O1865" t="str">
        <f t="shared" si="29"/>
        <v>No</v>
      </c>
    </row>
    <row r="1866" spans="1:15" x14ac:dyDescent="0.25">
      <c r="A1866" t="s">
        <v>1927</v>
      </c>
      <c r="B1866" s="1">
        <v>45809</v>
      </c>
      <c r="C1866" s="2">
        <v>45809.478750000002</v>
      </c>
      <c r="D1866" t="s">
        <v>38</v>
      </c>
      <c r="E1866" t="s">
        <v>25</v>
      </c>
      <c r="F1866" t="s">
        <v>53</v>
      </c>
      <c r="G1866" t="s">
        <v>56</v>
      </c>
      <c r="H1866" t="s">
        <v>27</v>
      </c>
      <c r="I1866" t="s">
        <v>45</v>
      </c>
      <c r="J1866" t="s">
        <v>46</v>
      </c>
      <c r="K1866">
        <v>8</v>
      </c>
      <c r="L1866">
        <v>11.49</v>
      </c>
      <c r="M1866">
        <v>3.4</v>
      </c>
      <c r="N1866" t="s">
        <v>22</v>
      </c>
      <c r="O1866" t="str">
        <f t="shared" si="29"/>
        <v>Yes</v>
      </c>
    </row>
    <row r="1867" spans="1:15" x14ac:dyDescent="0.25">
      <c r="A1867" t="s">
        <v>1928</v>
      </c>
      <c r="B1867" s="1">
        <v>45731</v>
      </c>
      <c r="C1867" s="2">
        <v>45732.263333333336</v>
      </c>
      <c r="D1867" t="s">
        <v>15</v>
      </c>
      <c r="E1867" t="s">
        <v>32</v>
      </c>
      <c r="F1867" t="s">
        <v>33</v>
      </c>
      <c r="G1867" t="s">
        <v>41</v>
      </c>
      <c r="H1867" t="s">
        <v>54</v>
      </c>
      <c r="I1867" t="s">
        <v>36</v>
      </c>
      <c r="J1867" t="s">
        <v>29</v>
      </c>
      <c r="K1867">
        <v>48</v>
      </c>
      <c r="L1867">
        <v>30.32</v>
      </c>
      <c r="M1867">
        <v>3.6</v>
      </c>
      <c r="N1867" t="s">
        <v>22</v>
      </c>
      <c r="O1867" t="str">
        <f t="shared" si="29"/>
        <v>No</v>
      </c>
    </row>
    <row r="1868" spans="1:15" x14ac:dyDescent="0.25">
      <c r="A1868" t="s">
        <v>1929</v>
      </c>
      <c r="B1868" s="1">
        <v>45678</v>
      </c>
      <c r="C1868" s="2">
        <v>45678.565000000002</v>
      </c>
      <c r="D1868" t="s">
        <v>24</v>
      </c>
      <c r="E1868" t="s">
        <v>16</v>
      </c>
      <c r="F1868" t="s">
        <v>58</v>
      </c>
      <c r="G1868" t="s">
        <v>34</v>
      </c>
      <c r="H1868" t="s">
        <v>54</v>
      </c>
      <c r="I1868" t="s">
        <v>20</v>
      </c>
      <c r="J1868" t="s">
        <v>21</v>
      </c>
      <c r="K1868">
        <v>24</v>
      </c>
      <c r="L1868">
        <v>13.56</v>
      </c>
      <c r="M1868">
        <v>4.5999999999999996</v>
      </c>
      <c r="N1868" t="s">
        <v>22</v>
      </c>
      <c r="O1868" t="str">
        <f t="shared" si="29"/>
        <v>No</v>
      </c>
    </row>
    <row r="1869" spans="1:15" x14ac:dyDescent="0.25">
      <c r="A1869" t="s">
        <v>1930</v>
      </c>
      <c r="B1869" s="1">
        <v>45795</v>
      </c>
      <c r="C1869" s="2">
        <v>45795.89</v>
      </c>
      <c r="D1869" t="s">
        <v>24</v>
      </c>
      <c r="E1869" t="s">
        <v>25</v>
      </c>
      <c r="F1869" t="s">
        <v>26</v>
      </c>
      <c r="G1869" t="s">
        <v>34</v>
      </c>
      <c r="H1869" t="s">
        <v>54</v>
      </c>
      <c r="I1869" t="s">
        <v>20</v>
      </c>
      <c r="J1869" t="s">
        <v>29</v>
      </c>
      <c r="K1869">
        <v>24</v>
      </c>
      <c r="L1869">
        <v>21.36</v>
      </c>
      <c r="M1869">
        <v>4.2</v>
      </c>
      <c r="N1869" t="s">
        <v>22</v>
      </c>
      <c r="O1869" t="str">
        <f t="shared" si="29"/>
        <v>No</v>
      </c>
    </row>
    <row r="1870" spans="1:15" x14ac:dyDescent="0.25">
      <c r="A1870" t="s">
        <v>1931</v>
      </c>
      <c r="B1870" s="1">
        <v>45663</v>
      </c>
      <c r="C1870" s="2">
        <v>45664.583333333336</v>
      </c>
      <c r="D1870" t="s">
        <v>15</v>
      </c>
      <c r="E1870" t="s">
        <v>25</v>
      </c>
      <c r="F1870" t="s">
        <v>26</v>
      </c>
      <c r="G1870" t="s">
        <v>18</v>
      </c>
      <c r="H1870" t="s">
        <v>19</v>
      </c>
      <c r="I1870" t="s">
        <v>36</v>
      </c>
      <c r="J1870" t="s">
        <v>29</v>
      </c>
      <c r="K1870">
        <v>48</v>
      </c>
      <c r="L1870">
        <v>38</v>
      </c>
      <c r="M1870">
        <v>3.6</v>
      </c>
      <c r="N1870" t="s">
        <v>22</v>
      </c>
      <c r="O1870" t="str">
        <f t="shared" si="29"/>
        <v>No</v>
      </c>
    </row>
    <row r="1871" spans="1:15" x14ac:dyDescent="0.25">
      <c r="A1871" t="s">
        <v>1932</v>
      </c>
      <c r="B1871" s="1">
        <v>45797</v>
      </c>
      <c r="C1871" s="2">
        <v>45798.125833333332</v>
      </c>
      <c r="D1871" t="s">
        <v>24</v>
      </c>
      <c r="E1871" t="s">
        <v>25</v>
      </c>
      <c r="F1871" t="s">
        <v>53</v>
      </c>
      <c r="G1871" t="s">
        <v>18</v>
      </c>
      <c r="H1871" t="s">
        <v>19</v>
      </c>
      <c r="I1871" t="s">
        <v>45</v>
      </c>
      <c r="J1871" t="s">
        <v>21</v>
      </c>
      <c r="K1871">
        <v>24</v>
      </c>
      <c r="L1871">
        <v>27.02</v>
      </c>
      <c r="M1871">
        <v>3.4</v>
      </c>
      <c r="N1871" t="s">
        <v>22</v>
      </c>
      <c r="O1871" t="str">
        <f t="shared" si="29"/>
        <v>Yes</v>
      </c>
    </row>
    <row r="1872" spans="1:15" x14ac:dyDescent="0.25">
      <c r="A1872" t="s">
        <v>1933</v>
      </c>
      <c r="B1872" s="1">
        <v>45665</v>
      </c>
      <c r="C1872" s="2">
        <v>45665.958333333336</v>
      </c>
      <c r="D1872" t="s">
        <v>15</v>
      </c>
      <c r="E1872" t="s">
        <v>45</v>
      </c>
      <c r="F1872" t="s">
        <v>112</v>
      </c>
      <c r="G1872" t="s">
        <v>51</v>
      </c>
      <c r="H1872" t="s">
        <v>19</v>
      </c>
      <c r="I1872" t="s">
        <v>20</v>
      </c>
      <c r="J1872" t="s">
        <v>46</v>
      </c>
      <c r="K1872">
        <v>48</v>
      </c>
      <c r="L1872">
        <v>23</v>
      </c>
      <c r="M1872">
        <v>4.8</v>
      </c>
      <c r="N1872" t="s">
        <v>22</v>
      </c>
      <c r="O1872" t="str">
        <f t="shared" si="29"/>
        <v>No</v>
      </c>
    </row>
    <row r="1873" spans="1:15" x14ac:dyDescent="0.25">
      <c r="A1873" t="s">
        <v>1934</v>
      </c>
      <c r="B1873" s="1">
        <v>45695</v>
      </c>
      <c r="C1873" s="2">
        <v>45696.350416666668</v>
      </c>
      <c r="D1873" t="s">
        <v>15</v>
      </c>
      <c r="E1873" t="s">
        <v>32</v>
      </c>
      <c r="F1873" t="s">
        <v>33</v>
      </c>
      <c r="G1873" t="s">
        <v>41</v>
      </c>
      <c r="H1873" t="s">
        <v>54</v>
      </c>
      <c r="I1873" t="s">
        <v>28</v>
      </c>
      <c r="J1873" t="s">
        <v>21</v>
      </c>
      <c r="K1873">
        <v>48</v>
      </c>
      <c r="L1873">
        <v>32.409999999999997</v>
      </c>
      <c r="M1873">
        <v>4.9000000000000004</v>
      </c>
      <c r="N1873" t="s">
        <v>22</v>
      </c>
      <c r="O1873" t="str">
        <f t="shared" si="29"/>
        <v>No</v>
      </c>
    </row>
    <row r="1874" spans="1:15" x14ac:dyDescent="0.25">
      <c r="A1874" t="s">
        <v>1935</v>
      </c>
      <c r="B1874" s="1">
        <v>45767</v>
      </c>
      <c r="C1874" s="2">
        <v>45767.459583333337</v>
      </c>
      <c r="D1874" t="s">
        <v>24</v>
      </c>
      <c r="E1874" t="s">
        <v>16</v>
      </c>
      <c r="F1874" t="s">
        <v>58</v>
      </c>
      <c r="G1874" t="s">
        <v>41</v>
      </c>
      <c r="H1874" t="s">
        <v>65</v>
      </c>
      <c r="I1874" t="s">
        <v>36</v>
      </c>
      <c r="J1874" t="s">
        <v>21</v>
      </c>
      <c r="K1874">
        <v>24</v>
      </c>
      <c r="L1874">
        <v>11.03</v>
      </c>
      <c r="M1874">
        <v>4.4000000000000004</v>
      </c>
      <c r="N1874" t="s">
        <v>22</v>
      </c>
      <c r="O1874" t="str">
        <f t="shared" si="29"/>
        <v>No</v>
      </c>
    </row>
    <row r="1875" spans="1:15" x14ac:dyDescent="0.25">
      <c r="A1875" t="s">
        <v>1936</v>
      </c>
      <c r="B1875" s="1">
        <v>45828</v>
      </c>
      <c r="C1875" s="2">
        <v>45828.307083333333</v>
      </c>
      <c r="D1875" t="s">
        <v>15</v>
      </c>
      <c r="E1875" t="s">
        <v>45</v>
      </c>
      <c r="F1875" t="s">
        <v>50</v>
      </c>
      <c r="G1875" t="s">
        <v>34</v>
      </c>
      <c r="H1875" t="s">
        <v>65</v>
      </c>
      <c r="I1875" t="s">
        <v>20</v>
      </c>
      <c r="J1875" t="s">
        <v>46</v>
      </c>
      <c r="K1875">
        <v>48</v>
      </c>
      <c r="L1875">
        <v>7.37</v>
      </c>
      <c r="M1875">
        <v>5</v>
      </c>
      <c r="N1875" t="s">
        <v>22</v>
      </c>
      <c r="O1875" t="str">
        <f t="shared" si="29"/>
        <v>No</v>
      </c>
    </row>
    <row r="1876" spans="1:15" x14ac:dyDescent="0.25">
      <c r="A1876" t="s">
        <v>1937</v>
      </c>
      <c r="B1876" s="1">
        <v>45731</v>
      </c>
      <c r="C1876" s="2">
        <v>45731.188333333332</v>
      </c>
      <c r="D1876" t="s">
        <v>24</v>
      </c>
      <c r="E1876" t="s">
        <v>16</v>
      </c>
      <c r="F1876" t="s">
        <v>17</v>
      </c>
      <c r="G1876" t="s">
        <v>41</v>
      </c>
      <c r="H1876" t="s">
        <v>19</v>
      </c>
      <c r="I1876" t="s">
        <v>36</v>
      </c>
      <c r="J1876" t="s">
        <v>21</v>
      </c>
      <c r="K1876">
        <v>24</v>
      </c>
      <c r="L1876">
        <v>4.5199999999999996</v>
      </c>
      <c r="M1876">
        <v>5</v>
      </c>
      <c r="N1876" t="s">
        <v>22</v>
      </c>
      <c r="O1876" t="str">
        <f t="shared" si="29"/>
        <v>No</v>
      </c>
    </row>
    <row r="1877" spans="1:15" x14ac:dyDescent="0.25">
      <c r="A1877" t="s">
        <v>1938</v>
      </c>
      <c r="B1877" s="1">
        <v>45679</v>
      </c>
      <c r="C1877" s="2">
        <v>45679.558333333334</v>
      </c>
      <c r="D1877" t="s">
        <v>15</v>
      </c>
      <c r="E1877" t="s">
        <v>32</v>
      </c>
      <c r="F1877" t="s">
        <v>33</v>
      </c>
      <c r="G1877" t="s">
        <v>56</v>
      </c>
      <c r="H1877" t="s">
        <v>19</v>
      </c>
      <c r="I1877" t="s">
        <v>28</v>
      </c>
      <c r="J1877" t="s">
        <v>21</v>
      </c>
      <c r="K1877">
        <v>48</v>
      </c>
      <c r="L1877">
        <v>13.4</v>
      </c>
      <c r="M1877">
        <v>5</v>
      </c>
      <c r="N1877" t="s">
        <v>22</v>
      </c>
      <c r="O1877" t="str">
        <f t="shared" si="29"/>
        <v>No</v>
      </c>
    </row>
    <row r="1878" spans="1:15" x14ac:dyDescent="0.25">
      <c r="A1878" t="s">
        <v>1939</v>
      </c>
      <c r="B1878" s="1">
        <v>45700</v>
      </c>
      <c r="C1878" s="2">
        <v>45700.049583333333</v>
      </c>
      <c r="D1878" t="s">
        <v>38</v>
      </c>
      <c r="E1878" t="s">
        <v>45</v>
      </c>
      <c r="F1878" t="s">
        <v>50</v>
      </c>
      <c r="G1878" t="s">
        <v>34</v>
      </c>
      <c r="H1878" t="s">
        <v>44</v>
      </c>
      <c r="I1878" t="s">
        <v>45</v>
      </c>
      <c r="J1878" t="s">
        <v>46</v>
      </c>
      <c r="K1878">
        <v>8</v>
      </c>
      <c r="L1878">
        <v>1.19</v>
      </c>
      <c r="M1878">
        <v>5</v>
      </c>
      <c r="N1878" t="s">
        <v>22</v>
      </c>
      <c r="O1878" t="str">
        <f t="shared" si="29"/>
        <v>No</v>
      </c>
    </row>
    <row r="1879" spans="1:15" x14ac:dyDescent="0.25">
      <c r="A1879" t="s">
        <v>1940</v>
      </c>
      <c r="B1879" s="1">
        <v>45820</v>
      </c>
      <c r="C1879" s="2">
        <v>45821.101666666669</v>
      </c>
      <c r="D1879" t="s">
        <v>15</v>
      </c>
      <c r="E1879" t="s">
        <v>32</v>
      </c>
      <c r="F1879" t="s">
        <v>33</v>
      </c>
      <c r="G1879" t="s">
        <v>51</v>
      </c>
      <c r="H1879" t="s">
        <v>65</v>
      </c>
      <c r="I1879" t="s">
        <v>36</v>
      </c>
      <c r="J1879" t="s">
        <v>85</v>
      </c>
      <c r="K1879">
        <v>48</v>
      </c>
      <c r="L1879">
        <v>26.44</v>
      </c>
      <c r="M1879">
        <v>3.8</v>
      </c>
      <c r="N1879" t="s">
        <v>61</v>
      </c>
      <c r="O1879" t="str">
        <f t="shared" si="29"/>
        <v>No</v>
      </c>
    </row>
    <row r="1880" spans="1:15" x14ac:dyDescent="0.25">
      <c r="A1880" t="s">
        <v>1941</v>
      </c>
      <c r="B1880" s="1">
        <v>45789</v>
      </c>
      <c r="C1880" s="2">
        <v>45789.310833333337</v>
      </c>
      <c r="D1880" t="s">
        <v>38</v>
      </c>
      <c r="E1880" t="s">
        <v>39</v>
      </c>
      <c r="F1880" t="s">
        <v>119</v>
      </c>
      <c r="G1880" t="s">
        <v>18</v>
      </c>
      <c r="H1880" t="s">
        <v>35</v>
      </c>
      <c r="I1880" t="s">
        <v>20</v>
      </c>
      <c r="J1880" t="s">
        <v>21</v>
      </c>
      <c r="K1880">
        <v>8</v>
      </c>
      <c r="L1880">
        <v>7.46</v>
      </c>
      <c r="M1880">
        <v>4.5</v>
      </c>
      <c r="N1880" t="s">
        <v>22</v>
      </c>
      <c r="O1880" t="str">
        <f t="shared" si="29"/>
        <v>No</v>
      </c>
    </row>
    <row r="1881" spans="1:15" x14ac:dyDescent="0.25">
      <c r="A1881" t="s">
        <v>1942</v>
      </c>
      <c r="B1881" s="1">
        <v>45676</v>
      </c>
      <c r="C1881" s="2">
        <v>45676.62</v>
      </c>
      <c r="D1881" t="s">
        <v>15</v>
      </c>
      <c r="E1881" t="s">
        <v>32</v>
      </c>
      <c r="F1881" t="s">
        <v>80</v>
      </c>
      <c r="G1881" t="s">
        <v>41</v>
      </c>
      <c r="H1881" t="s">
        <v>44</v>
      </c>
      <c r="I1881" t="s">
        <v>20</v>
      </c>
      <c r="J1881" t="s">
        <v>21</v>
      </c>
      <c r="K1881">
        <v>48</v>
      </c>
      <c r="L1881">
        <v>14.88</v>
      </c>
      <c r="M1881">
        <v>4.5</v>
      </c>
      <c r="N1881" t="s">
        <v>22</v>
      </c>
      <c r="O1881" t="str">
        <f t="shared" si="29"/>
        <v>No</v>
      </c>
    </row>
    <row r="1882" spans="1:15" x14ac:dyDescent="0.25">
      <c r="A1882" t="s">
        <v>1943</v>
      </c>
      <c r="B1882" s="1">
        <v>45727</v>
      </c>
      <c r="C1882" s="2">
        <v>45727.084166666667</v>
      </c>
      <c r="D1882" t="s">
        <v>24</v>
      </c>
      <c r="E1882" t="s">
        <v>39</v>
      </c>
      <c r="F1882" t="s">
        <v>40</v>
      </c>
      <c r="G1882" t="s">
        <v>51</v>
      </c>
      <c r="H1882" t="s">
        <v>44</v>
      </c>
      <c r="I1882" t="s">
        <v>20</v>
      </c>
      <c r="J1882" t="s">
        <v>21</v>
      </c>
      <c r="K1882">
        <v>24</v>
      </c>
      <c r="L1882">
        <v>2.02</v>
      </c>
      <c r="M1882">
        <v>5</v>
      </c>
      <c r="N1882" t="s">
        <v>22</v>
      </c>
      <c r="O1882" t="str">
        <f t="shared" si="29"/>
        <v>No</v>
      </c>
    </row>
    <row r="1883" spans="1:15" x14ac:dyDescent="0.25">
      <c r="A1883" t="s">
        <v>1944</v>
      </c>
      <c r="B1883" s="1">
        <v>45705</v>
      </c>
      <c r="C1883" s="2">
        <v>45705.254999999997</v>
      </c>
      <c r="D1883" t="s">
        <v>24</v>
      </c>
      <c r="E1883" t="s">
        <v>39</v>
      </c>
      <c r="F1883" t="s">
        <v>78</v>
      </c>
      <c r="G1883" t="s">
        <v>56</v>
      </c>
      <c r="H1883" t="s">
        <v>19</v>
      </c>
      <c r="I1883" t="s">
        <v>36</v>
      </c>
      <c r="J1883" t="s">
        <v>21</v>
      </c>
      <c r="K1883">
        <v>24</v>
      </c>
      <c r="L1883">
        <v>6.12</v>
      </c>
      <c r="M1883">
        <v>4.3</v>
      </c>
      <c r="N1883" t="s">
        <v>22</v>
      </c>
      <c r="O1883" t="str">
        <f t="shared" si="29"/>
        <v>No</v>
      </c>
    </row>
    <row r="1884" spans="1:15" x14ac:dyDescent="0.25">
      <c r="A1884" t="s">
        <v>1945</v>
      </c>
      <c r="B1884" s="1">
        <v>45690</v>
      </c>
      <c r="C1884" s="2">
        <v>45690.787916666668</v>
      </c>
      <c r="D1884" t="s">
        <v>15</v>
      </c>
      <c r="E1884" t="s">
        <v>16</v>
      </c>
      <c r="F1884" t="s">
        <v>43</v>
      </c>
      <c r="G1884" t="s">
        <v>34</v>
      </c>
      <c r="H1884" t="s">
        <v>44</v>
      </c>
      <c r="I1884" t="s">
        <v>20</v>
      </c>
      <c r="J1884" t="s">
        <v>29</v>
      </c>
      <c r="K1884">
        <v>48</v>
      </c>
      <c r="L1884">
        <v>18.91</v>
      </c>
      <c r="M1884">
        <v>4.0999999999999996</v>
      </c>
      <c r="N1884" t="s">
        <v>61</v>
      </c>
      <c r="O1884" t="str">
        <f t="shared" si="29"/>
        <v>No</v>
      </c>
    </row>
    <row r="1885" spans="1:15" x14ac:dyDescent="0.25">
      <c r="A1885" t="s">
        <v>1946</v>
      </c>
      <c r="B1885" s="1">
        <v>45811</v>
      </c>
      <c r="C1885" s="2">
        <v>45811.885833333334</v>
      </c>
      <c r="D1885" t="s">
        <v>24</v>
      </c>
      <c r="E1885" t="s">
        <v>45</v>
      </c>
      <c r="F1885" t="s">
        <v>112</v>
      </c>
      <c r="G1885" t="s">
        <v>51</v>
      </c>
      <c r="H1885" t="s">
        <v>65</v>
      </c>
      <c r="I1885" t="s">
        <v>20</v>
      </c>
      <c r="J1885" t="s">
        <v>21</v>
      </c>
      <c r="K1885">
        <v>24</v>
      </c>
      <c r="L1885">
        <v>21.26</v>
      </c>
      <c r="M1885">
        <v>3.5</v>
      </c>
      <c r="N1885" t="s">
        <v>22</v>
      </c>
      <c r="O1885" t="str">
        <f t="shared" si="29"/>
        <v>No</v>
      </c>
    </row>
    <row r="1886" spans="1:15" x14ac:dyDescent="0.25">
      <c r="A1886" t="s">
        <v>1947</v>
      </c>
      <c r="B1886" s="1">
        <v>45769</v>
      </c>
      <c r="C1886" s="2">
        <v>45769.170416666668</v>
      </c>
      <c r="D1886" t="s">
        <v>38</v>
      </c>
      <c r="E1886" t="s">
        <v>39</v>
      </c>
      <c r="F1886" t="s">
        <v>87</v>
      </c>
      <c r="G1886" t="s">
        <v>41</v>
      </c>
      <c r="H1886" t="s">
        <v>19</v>
      </c>
      <c r="I1886" t="s">
        <v>36</v>
      </c>
      <c r="J1886" t="s">
        <v>46</v>
      </c>
      <c r="K1886">
        <v>8</v>
      </c>
      <c r="L1886">
        <v>4.09</v>
      </c>
      <c r="M1886">
        <v>3.5</v>
      </c>
      <c r="N1886" t="s">
        <v>22</v>
      </c>
      <c r="O1886" t="str">
        <f t="shared" si="29"/>
        <v>No</v>
      </c>
    </row>
    <row r="1887" spans="1:15" x14ac:dyDescent="0.25">
      <c r="A1887" t="s">
        <v>1948</v>
      </c>
      <c r="B1887" s="1">
        <v>45690</v>
      </c>
      <c r="C1887" s="2">
        <v>45690.170416666668</v>
      </c>
      <c r="D1887" t="s">
        <v>38</v>
      </c>
      <c r="E1887" t="s">
        <v>16</v>
      </c>
      <c r="F1887" t="s">
        <v>60</v>
      </c>
      <c r="G1887" t="s">
        <v>18</v>
      </c>
      <c r="H1887" t="s">
        <v>44</v>
      </c>
      <c r="I1887" t="s">
        <v>36</v>
      </c>
      <c r="J1887" t="s">
        <v>21</v>
      </c>
      <c r="K1887">
        <v>8</v>
      </c>
      <c r="L1887">
        <v>4.09</v>
      </c>
      <c r="M1887">
        <v>4</v>
      </c>
      <c r="N1887" t="s">
        <v>22</v>
      </c>
      <c r="O1887" t="str">
        <f t="shared" si="29"/>
        <v>No</v>
      </c>
    </row>
    <row r="1888" spans="1:15" x14ac:dyDescent="0.25">
      <c r="A1888" t="s">
        <v>1949</v>
      </c>
      <c r="B1888" s="1">
        <v>45775</v>
      </c>
      <c r="C1888" s="2">
        <v>45775.698750000003</v>
      </c>
      <c r="D1888" t="s">
        <v>24</v>
      </c>
      <c r="E1888" t="s">
        <v>45</v>
      </c>
      <c r="F1888" t="s">
        <v>112</v>
      </c>
      <c r="G1888" t="s">
        <v>51</v>
      </c>
      <c r="H1888" t="s">
        <v>35</v>
      </c>
      <c r="I1888" t="s">
        <v>20</v>
      </c>
      <c r="J1888" t="s">
        <v>85</v>
      </c>
      <c r="K1888">
        <v>24</v>
      </c>
      <c r="L1888">
        <v>16.77</v>
      </c>
      <c r="M1888">
        <v>3.5</v>
      </c>
      <c r="N1888" t="s">
        <v>22</v>
      </c>
      <c r="O1888" t="str">
        <f t="shared" si="29"/>
        <v>No</v>
      </c>
    </row>
    <row r="1889" spans="1:15" x14ac:dyDescent="0.25">
      <c r="A1889" t="s">
        <v>1950</v>
      </c>
      <c r="B1889" s="1">
        <v>45732</v>
      </c>
      <c r="C1889" s="2">
        <v>45733.972083333334</v>
      </c>
      <c r="D1889" t="s">
        <v>15</v>
      </c>
      <c r="E1889" t="s">
        <v>25</v>
      </c>
      <c r="F1889" t="s">
        <v>53</v>
      </c>
      <c r="G1889" t="s">
        <v>51</v>
      </c>
      <c r="H1889" t="s">
        <v>54</v>
      </c>
      <c r="I1889" t="s">
        <v>45</v>
      </c>
      <c r="J1889" t="s">
        <v>21</v>
      </c>
      <c r="K1889">
        <v>48</v>
      </c>
      <c r="L1889">
        <v>47.33</v>
      </c>
      <c r="M1889">
        <v>4.2</v>
      </c>
      <c r="N1889" t="s">
        <v>22</v>
      </c>
      <c r="O1889" t="str">
        <f t="shared" si="29"/>
        <v>No</v>
      </c>
    </row>
    <row r="1890" spans="1:15" x14ac:dyDescent="0.25">
      <c r="A1890" t="s">
        <v>1951</v>
      </c>
      <c r="B1890" s="1">
        <v>45669</v>
      </c>
      <c r="C1890" s="2">
        <v>45669.466249999998</v>
      </c>
      <c r="D1890" t="s">
        <v>38</v>
      </c>
      <c r="E1890" t="s">
        <v>32</v>
      </c>
      <c r="F1890" t="s">
        <v>80</v>
      </c>
      <c r="G1890" t="s">
        <v>51</v>
      </c>
      <c r="H1890" t="s">
        <v>54</v>
      </c>
      <c r="I1890" t="s">
        <v>45</v>
      </c>
      <c r="J1890" t="s">
        <v>85</v>
      </c>
      <c r="K1890">
        <v>8</v>
      </c>
      <c r="L1890">
        <v>11.19</v>
      </c>
      <c r="M1890">
        <v>2.6</v>
      </c>
      <c r="N1890" t="s">
        <v>22</v>
      </c>
      <c r="O1890" t="str">
        <f t="shared" si="29"/>
        <v>Yes</v>
      </c>
    </row>
    <row r="1891" spans="1:15" x14ac:dyDescent="0.25">
      <c r="A1891" t="s">
        <v>1952</v>
      </c>
      <c r="B1891" s="1">
        <v>45739</v>
      </c>
      <c r="C1891" s="2">
        <v>45739.310833333337</v>
      </c>
      <c r="D1891" t="s">
        <v>24</v>
      </c>
      <c r="E1891" t="s">
        <v>32</v>
      </c>
      <c r="F1891" t="s">
        <v>33</v>
      </c>
      <c r="G1891" t="s">
        <v>18</v>
      </c>
      <c r="H1891" t="s">
        <v>35</v>
      </c>
      <c r="I1891" t="s">
        <v>20</v>
      </c>
      <c r="J1891" t="s">
        <v>46</v>
      </c>
      <c r="K1891">
        <v>24</v>
      </c>
      <c r="L1891">
        <v>7.46</v>
      </c>
      <c r="M1891">
        <v>4.2</v>
      </c>
      <c r="N1891" t="s">
        <v>61</v>
      </c>
      <c r="O1891" t="str">
        <f t="shared" si="29"/>
        <v>No</v>
      </c>
    </row>
    <row r="1892" spans="1:15" x14ac:dyDescent="0.25">
      <c r="A1892" t="s">
        <v>1953</v>
      </c>
      <c r="B1892" s="1">
        <v>45691</v>
      </c>
      <c r="C1892" s="2">
        <v>45691.958749999998</v>
      </c>
      <c r="D1892" t="s">
        <v>15</v>
      </c>
      <c r="E1892" t="s">
        <v>16</v>
      </c>
      <c r="F1892" t="s">
        <v>43</v>
      </c>
      <c r="G1892" t="s">
        <v>18</v>
      </c>
      <c r="H1892" t="s">
        <v>44</v>
      </c>
      <c r="I1892" t="s">
        <v>36</v>
      </c>
      <c r="J1892" t="s">
        <v>85</v>
      </c>
      <c r="K1892">
        <v>48</v>
      </c>
      <c r="L1892">
        <v>23.01</v>
      </c>
      <c r="M1892">
        <v>4.4000000000000004</v>
      </c>
      <c r="N1892" t="s">
        <v>22</v>
      </c>
      <c r="O1892" t="str">
        <f t="shared" si="29"/>
        <v>No</v>
      </c>
    </row>
    <row r="1893" spans="1:15" x14ac:dyDescent="0.25">
      <c r="A1893" t="s">
        <v>1954</v>
      </c>
      <c r="B1893" s="1">
        <v>45702</v>
      </c>
      <c r="C1893" s="2">
        <v>45702.103333333333</v>
      </c>
      <c r="D1893" t="s">
        <v>38</v>
      </c>
      <c r="E1893" t="s">
        <v>25</v>
      </c>
      <c r="F1893" t="s">
        <v>70</v>
      </c>
      <c r="G1893" t="s">
        <v>18</v>
      </c>
      <c r="H1893" t="s">
        <v>44</v>
      </c>
      <c r="I1893" t="s">
        <v>20</v>
      </c>
      <c r="J1893" t="s">
        <v>21</v>
      </c>
      <c r="K1893">
        <v>8</v>
      </c>
      <c r="L1893">
        <v>2.48</v>
      </c>
      <c r="M1893">
        <v>5</v>
      </c>
      <c r="N1893" t="s">
        <v>22</v>
      </c>
      <c r="O1893" t="str">
        <f t="shared" si="29"/>
        <v>No</v>
      </c>
    </row>
    <row r="1894" spans="1:15" x14ac:dyDescent="0.25">
      <c r="A1894" t="s">
        <v>1955</v>
      </c>
      <c r="B1894" s="1">
        <v>45817</v>
      </c>
      <c r="C1894" s="2">
        <v>45817.672083333331</v>
      </c>
      <c r="D1894" t="s">
        <v>24</v>
      </c>
      <c r="E1894" t="s">
        <v>16</v>
      </c>
      <c r="F1894" t="s">
        <v>43</v>
      </c>
      <c r="G1894" t="s">
        <v>51</v>
      </c>
      <c r="H1894" t="s">
        <v>65</v>
      </c>
      <c r="I1894" t="s">
        <v>45</v>
      </c>
      <c r="J1894" t="s">
        <v>29</v>
      </c>
      <c r="K1894">
        <v>24</v>
      </c>
      <c r="L1894">
        <v>16.13</v>
      </c>
      <c r="M1894">
        <v>3.7</v>
      </c>
      <c r="N1894" t="s">
        <v>22</v>
      </c>
      <c r="O1894" t="str">
        <f t="shared" si="29"/>
        <v>No</v>
      </c>
    </row>
    <row r="1895" spans="1:15" x14ac:dyDescent="0.25">
      <c r="A1895" t="s">
        <v>1956</v>
      </c>
      <c r="B1895" s="1">
        <v>45786</v>
      </c>
      <c r="C1895" s="2">
        <v>45786.083333333336</v>
      </c>
      <c r="D1895" t="s">
        <v>24</v>
      </c>
      <c r="E1895" t="s">
        <v>32</v>
      </c>
      <c r="F1895" t="s">
        <v>75</v>
      </c>
      <c r="G1895" t="s">
        <v>41</v>
      </c>
      <c r="H1895" t="s">
        <v>27</v>
      </c>
      <c r="I1895" t="s">
        <v>36</v>
      </c>
      <c r="J1895" t="s">
        <v>21</v>
      </c>
      <c r="K1895">
        <v>24</v>
      </c>
      <c r="L1895">
        <v>2</v>
      </c>
      <c r="M1895">
        <v>4</v>
      </c>
      <c r="N1895" t="s">
        <v>22</v>
      </c>
      <c r="O1895" t="str">
        <f t="shared" si="29"/>
        <v>No</v>
      </c>
    </row>
    <row r="1896" spans="1:15" x14ac:dyDescent="0.25">
      <c r="A1896" t="s">
        <v>1957</v>
      </c>
      <c r="B1896" s="1">
        <v>45682</v>
      </c>
      <c r="C1896" s="2">
        <v>45683.658750000002</v>
      </c>
      <c r="D1896" t="s">
        <v>24</v>
      </c>
      <c r="E1896" t="s">
        <v>25</v>
      </c>
      <c r="F1896" t="s">
        <v>53</v>
      </c>
      <c r="G1896" t="s">
        <v>34</v>
      </c>
      <c r="H1896" t="s">
        <v>19</v>
      </c>
      <c r="I1896" t="s">
        <v>28</v>
      </c>
      <c r="J1896" t="s">
        <v>46</v>
      </c>
      <c r="K1896">
        <v>24</v>
      </c>
      <c r="L1896">
        <v>39.81</v>
      </c>
      <c r="M1896">
        <v>2.2000000000000002</v>
      </c>
      <c r="N1896" t="s">
        <v>22</v>
      </c>
      <c r="O1896" t="str">
        <f t="shared" si="29"/>
        <v>Yes</v>
      </c>
    </row>
    <row r="1897" spans="1:15" x14ac:dyDescent="0.25">
      <c r="A1897" t="s">
        <v>1958</v>
      </c>
      <c r="B1897" s="1">
        <v>45812</v>
      </c>
      <c r="C1897" s="2">
        <v>45812.726666666669</v>
      </c>
      <c r="D1897" t="s">
        <v>24</v>
      </c>
      <c r="E1897" t="s">
        <v>16</v>
      </c>
      <c r="F1897" t="s">
        <v>43</v>
      </c>
      <c r="G1897" t="s">
        <v>18</v>
      </c>
      <c r="H1897" t="s">
        <v>44</v>
      </c>
      <c r="I1897" t="s">
        <v>20</v>
      </c>
      <c r="J1897" t="s">
        <v>46</v>
      </c>
      <c r="K1897">
        <v>24</v>
      </c>
      <c r="L1897">
        <v>17.440000000000001</v>
      </c>
      <c r="M1897">
        <v>3.6</v>
      </c>
      <c r="N1897" t="s">
        <v>22</v>
      </c>
      <c r="O1897" t="str">
        <f t="shared" si="29"/>
        <v>No</v>
      </c>
    </row>
    <row r="1898" spans="1:15" x14ac:dyDescent="0.25">
      <c r="A1898" t="s">
        <v>1959</v>
      </c>
      <c r="B1898" s="1">
        <v>45761</v>
      </c>
      <c r="C1898" s="2">
        <v>45762.291250000002</v>
      </c>
      <c r="D1898" t="s">
        <v>15</v>
      </c>
      <c r="E1898" t="s">
        <v>16</v>
      </c>
      <c r="F1898" t="s">
        <v>43</v>
      </c>
      <c r="G1898" t="s">
        <v>56</v>
      </c>
      <c r="H1898" t="s">
        <v>27</v>
      </c>
      <c r="I1898" t="s">
        <v>36</v>
      </c>
      <c r="J1898" t="s">
        <v>21</v>
      </c>
      <c r="K1898">
        <v>48</v>
      </c>
      <c r="L1898">
        <v>30.99</v>
      </c>
      <c r="M1898">
        <v>3.8</v>
      </c>
      <c r="N1898" t="s">
        <v>61</v>
      </c>
      <c r="O1898" t="str">
        <f t="shared" si="29"/>
        <v>No</v>
      </c>
    </row>
    <row r="1899" spans="1:15" x14ac:dyDescent="0.25">
      <c r="A1899" t="s">
        <v>1960</v>
      </c>
      <c r="B1899" s="1">
        <v>45816</v>
      </c>
      <c r="C1899" s="2">
        <v>45816.087083333332</v>
      </c>
      <c r="D1899" t="s">
        <v>38</v>
      </c>
      <c r="E1899" t="s">
        <v>25</v>
      </c>
      <c r="F1899" t="s">
        <v>53</v>
      </c>
      <c r="G1899" t="s">
        <v>18</v>
      </c>
      <c r="H1899" t="s">
        <v>27</v>
      </c>
      <c r="I1899" t="s">
        <v>28</v>
      </c>
      <c r="J1899" t="s">
        <v>21</v>
      </c>
      <c r="K1899">
        <v>8</v>
      </c>
      <c r="L1899">
        <v>2.09</v>
      </c>
      <c r="M1899">
        <v>5</v>
      </c>
      <c r="N1899" t="s">
        <v>22</v>
      </c>
      <c r="O1899" t="str">
        <f t="shared" si="29"/>
        <v>No</v>
      </c>
    </row>
    <row r="1900" spans="1:15" x14ac:dyDescent="0.25">
      <c r="A1900" t="s">
        <v>1961</v>
      </c>
      <c r="B1900" s="1">
        <v>45793</v>
      </c>
      <c r="C1900" s="2">
        <v>45793.705833333333</v>
      </c>
      <c r="D1900" t="s">
        <v>15</v>
      </c>
      <c r="E1900" t="s">
        <v>25</v>
      </c>
      <c r="F1900" t="s">
        <v>70</v>
      </c>
      <c r="G1900" t="s">
        <v>56</v>
      </c>
      <c r="H1900" t="s">
        <v>65</v>
      </c>
      <c r="I1900" t="s">
        <v>28</v>
      </c>
      <c r="J1900" t="s">
        <v>21</v>
      </c>
      <c r="K1900">
        <v>48</v>
      </c>
      <c r="L1900">
        <v>16.940000000000001</v>
      </c>
      <c r="M1900">
        <v>5</v>
      </c>
      <c r="N1900" t="s">
        <v>22</v>
      </c>
      <c r="O1900" t="str">
        <f t="shared" si="29"/>
        <v>No</v>
      </c>
    </row>
    <row r="1901" spans="1:15" x14ac:dyDescent="0.25">
      <c r="A1901" t="s">
        <v>1962</v>
      </c>
      <c r="B1901" s="1">
        <v>45719</v>
      </c>
      <c r="C1901" s="2">
        <v>45719.049583333333</v>
      </c>
      <c r="D1901" t="s">
        <v>38</v>
      </c>
      <c r="E1901" t="s">
        <v>16</v>
      </c>
      <c r="F1901" t="s">
        <v>43</v>
      </c>
      <c r="G1901" t="s">
        <v>51</v>
      </c>
      <c r="H1901" t="s">
        <v>27</v>
      </c>
      <c r="I1901" t="s">
        <v>20</v>
      </c>
      <c r="J1901" t="s">
        <v>29</v>
      </c>
      <c r="K1901">
        <v>8</v>
      </c>
      <c r="L1901">
        <v>1.19</v>
      </c>
      <c r="M1901">
        <v>4.5999999999999996</v>
      </c>
      <c r="N1901" t="s">
        <v>22</v>
      </c>
      <c r="O1901" t="str">
        <f t="shared" si="29"/>
        <v>No</v>
      </c>
    </row>
    <row r="1902" spans="1:15" x14ac:dyDescent="0.25">
      <c r="A1902" t="s">
        <v>1963</v>
      </c>
      <c r="B1902" s="1">
        <v>45754</v>
      </c>
      <c r="C1902" s="2">
        <v>45754.082916666666</v>
      </c>
      <c r="D1902" t="s">
        <v>38</v>
      </c>
      <c r="E1902" t="s">
        <v>16</v>
      </c>
      <c r="F1902" t="s">
        <v>43</v>
      </c>
      <c r="G1902" t="s">
        <v>41</v>
      </c>
      <c r="H1902" t="s">
        <v>65</v>
      </c>
      <c r="I1902" t="s">
        <v>36</v>
      </c>
      <c r="J1902" t="s">
        <v>21</v>
      </c>
      <c r="K1902">
        <v>8</v>
      </c>
      <c r="L1902">
        <v>1.99</v>
      </c>
      <c r="M1902">
        <v>5</v>
      </c>
      <c r="N1902" t="s">
        <v>61</v>
      </c>
      <c r="O1902" t="str">
        <f t="shared" si="29"/>
        <v>No</v>
      </c>
    </row>
    <row r="1903" spans="1:15" x14ac:dyDescent="0.25">
      <c r="A1903" t="s">
        <v>1964</v>
      </c>
      <c r="B1903" s="1">
        <v>45754</v>
      </c>
      <c r="C1903" s="2">
        <v>45754.328750000001</v>
      </c>
      <c r="D1903" t="s">
        <v>38</v>
      </c>
      <c r="E1903" t="s">
        <v>16</v>
      </c>
      <c r="F1903" t="s">
        <v>60</v>
      </c>
      <c r="G1903" t="s">
        <v>56</v>
      </c>
      <c r="H1903" t="s">
        <v>44</v>
      </c>
      <c r="I1903" t="s">
        <v>36</v>
      </c>
      <c r="J1903" t="s">
        <v>21</v>
      </c>
      <c r="K1903">
        <v>8</v>
      </c>
      <c r="L1903">
        <v>7.89</v>
      </c>
      <c r="M1903">
        <v>3.4</v>
      </c>
      <c r="N1903" t="s">
        <v>22</v>
      </c>
      <c r="O1903" t="str">
        <f t="shared" si="29"/>
        <v>No</v>
      </c>
    </row>
    <row r="1904" spans="1:15" x14ac:dyDescent="0.25">
      <c r="A1904" t="s">
        <v>1965</v>
      </c>
      <c r="B1904" s="1">
        <v>45788</v>
      </c>
      <c r="C1904" s="2">
        <v>45788.209166666667</v>
      </c>
      <c r="D1904" t="s">
        <v>15</v>
      </c>
      <c r="E1904" t="s">
        <v>16</v>
      </c>
      <c r="F1904" t="s">
        <v>58</v>
      </c>
      <c r="G1904" t="s">
        <v>41</v>
      </c>
      <c r="H1904" t="s">
        <v>54</v>
      </c>
      <c r="I1904" t="s">
        <v>20</v>
      </c>
      <c r="J1904" t="s">
        <v>46</v>
      </c>
      <c r="K1904">
        <v>48</v>
      </c>
      <c r="L1904">
        <v>5.0199999999999996</v>
      </c>
      <c r="M1904">
        <v>4.5999999999999996</v>
      </c>
      <c r="N1904" t="s">
        <v>22</v>
      </c>
      <c r="O1904" t="str">
        <f t="shared" si="29"/>
        <v>No</v>
      </c>
    </row>
    <row r="1905" spans="1:15" x14ac:dyDescent="0.25">
      <c r="A1905" t="s">
        <v>1966</v>
      </c>
      <c r="B1905" s="1">
        <v>45702</v>
      </c>
      <c r="C1905" s="2">
        <v>45705.783750000002</v>
      </c>
      <c r="D1905" t="s">
        <v>15</v>
      </c>
      <c r="E1905" t="s">
        <v>39</v>
      </c>
      <c r="F1905" t="s">
        <v>119</v>
      </c>
      <c r="G1905" t="s">
        <v>41</v>
      </c>
      <c r="H1905" t="s">
        <v>19</v>
      </c>
      <c r="I1905" t="s">
        <v>28</v>
      </c>
      <c r="J1905" t="s">
        <v>46</v>
      </c>
      <c r="K1905">
        <v>48</v>
      </c>
      <c r="L1905">
        <v>90.81</v>
      </c>
      <c r="M1905">
        <v>2.4</v>
      </c>
      <c r="N1905" t="s">
        <v>22</v>
      </c>
      <c r="O1905" t="str">
        <f t="shared" si="29"/>
        <v>Yes</v>
      </c>
    </row>
    <row r="1906" spans="1:15" x14ac:dyDescent="0.25">
      <c r="A1906" t="s">
        <v>1967</v>
      </c>
      <c r="B1906" s="1">
        <v>45718</v>
      </c>
      <c r="C1906" s="2">
        <v>45719.122916666667</v>
      </c>
      <c r="D1906" t="s">
        <v>24</v>
      </c>
      <c r="E1906" t="s">
        <v>16</v>
      </c>
      <c r="F1906" t="s">
        <v>43</v>
      </c>
      <c r="G1906" t="s">
        <v>51</v>
      </c>
      <c r="H1906" t="s">
        <v>27</v>
      </c>
      <c r="I1906" t="s">
        <v>36</v>
      </c>
      <c r="J1906" t="s">
        <v>21</v>
      </c>
      <c r="K1906">
        <v>24</v>
      </c>
      <c r="L1906">
        <v>26.95</v>
      </c>
      <c r="M1906">
        <v>4.3</v>
      </c>
      <c r="N1906" t="s">
        <v>22</v>
      </c>
      <c r="O1906" t="str">
        <f t="shared" si="29"/>
        <v>Yes</v>
      </c>
    </row>
    <row r="1907" spans="1:15" x14ac:dyDescent="0.25">
      <c r="A1907" t="s">
        <v>1968</v>
      </c>
      <c r="B1907" s="1">
        <v>45702</v>
      </c>
      <c r="C1907" s="2">
        <v>45702.635416666664</v>
      </c>
      <c r="D1907" t="s">
        <v>24</v>
      </c>
      <c r="E1907" t="s">
        <v>16</v>
      </c>
      <c r="F1907" t="s">
        <v>60</v>
      </c>
      <c r="G1907" t="s">
        <v>56</v>
      </c>
      <c r="H1907" t="s">
        <v>54</v>
      </c>
      <c r="I1907" t="s">
        <v>45</v>
      </c>
      <c r="J1907" t="s">
        <v>21</v>
      </c>
      <c r="K1907">
        <v>24</v>
      </c>
      <c r="L1907">
        <v>15.25</v>
      </c>
      <c r="M1907">
        <v>4.2</v>
      </c>
      <c r="N1907" t="s">
        <v>22</v>
      </c>
      <c r="O1907" t="str">
        <f t="shared" si="29"/>
        <v>No</v>
      </c>
    </row>
    <row r="1908" spans="1:15" x14ac:dyDescent="0.25">
      <c r="A1908" t="s">
        <v>1969</v>
      </c>
      <c r="B1908" s="1">
        <v>45711</v>
      </c>
      <c r="C1908" s="2">
        <v>45711.077499999999</v>
      </c>
      <c r="D1908" t="s">
        <v>38</v>
      </c>
      <c r="E1908" t="s">
        <v>16</v>
      </c>
      <c r="F1908" t="s">
        <v>60</v>
      </c>
      <c r="G1908" t="s">
        <v>51</v>
      </c>
      <c r="H1908" t="s">
        <v>35</v>
      </c>
      <c r="I1908" t="s">
        <v>36</v>
      </c>
      <c r="J1908" t="s">
        <v>21</v>
      </c>
      <c r="K1908">
        <v>8</v>
      </c>
      <c r="L1908">
        <v>1.86</v>
      </c>
      <c r="M1908">
        <v>5</v>
      </c>
      <c r="N1908" t="s">
        <v>22</v>
      </c>
      <c r="O1908" t="str">
        <f t="shared" si="29"/>
        <v>No</v>
      </c>
    </row>
    <row r="1909" spans="1:15" x14ac:dyDescent="0.25">
      <c r="A1909" t="s">
        <v>1970</v>
      </c>
      <c r="B1909" s="1">
        <v>45687</v>
      </c>
      <c r="C1909" s="2">
        <v>45687.819166666668</v>
      </c>
      <c r="D1909" t="s">
        <v>24</v>
      </c>
      <c r="E1909" t="s">
        <v>32</v>
      </c>
      <c r="F1909" t="s">
        <v>64</v>
      </c>
      <c r="G1909" t="s">
        <v>18</v>
      </c>
      <c r="H1909" t="s">
        <v>19</v>
      </c>
      <c r="I1909" t="s">
        <v>45</v>
      </c>
      <c r="J1909" t="s">
        <v>46</v>
      </c>
      <c r="K1909">
        <v>24</v>
      </c>
      <c r="L1909">
        <v>19.66</v>
      </c>
      <c r="M1909">
        <v>4.3</v>
      </c>
      <c r="N1909" t="s">
        <v>22</v>
      </c>
      <c r="O1909" t="str">
        <f t="shared" si="29"/>
        <v>No</v>
      </c>
    </row>
    <row r="1910" spans="1:15" x14ac:dyDescent="0.25">
      <c r="A1910" t="s">
        <v>1971</v>
      </c>
      <c r="B1910" s="1">
        <v>45664</v>
      </c>
      <c r="C1910" s="2">
        <v>45664.254583333335</v>
      </c>
      <c r="D1910" t="s">
        <v>38</v>
      </c>
      <c r="E1910" t="s">
        <v>16</v>
      </c>
      <c r="F1910" t="s">
        <v>60</v>
      </c>
      <c r="G1910" t="s">
        <v>18</v>
      </c>
      <c r="H1910" t="s">
        <v>35</v>
      </c>
      <c r="I1910" t="s">
        <v>45</v>
      </c>
      <c r="J1910" t="s">
        <v>21</v>
      </c>
      <c r="K1910">
        <v>8</v>
      </c>
      <c r="L1910">
        <v>6.11</v>
      </c>
      <c r="M1910">
        <v>4.7</v>
      </c>
      <c r="N1910" t="s">
        <v>22</v>
      </c>
      <c r="O1910" t="str">
        <f t="shared" si="29"/>
        <v>No</v>
      </c>
    </row>
    <row r="1911" spans="1:15" x14ac:dyDescent="0.25">
      <c r="A1911" t="s">
        <v>1972</v>
      </c>
      <c r="B1911" s="1">
        <v>45828</v>
      </c>
      <c r="C1911" s="2">
        <v>45828.611250000002</v>
      </c>
      <c r="D1911" t="s">
        <v>15</v>
      </c>
      <c r="E1911" t="s">
        <v>16</v>
      </c>
      <c r="F1911" t="s">
        <v>43</v>
      </c>
      <c r="G1911" t="s">
        <v>56</v>
      </c>
      <c r="H1911" t="s">
        <v>19</v>
      </c>
      <c r="I1911" t="s">
        <v>36</v>
      </c>
      <c r="J1911" t="s">
        <v>21</v>
      </c>
      <c r="K1911">
        <v>48</v>
      </c>
      <c r="L1911">
        <v>14.67</v>
      </c>
      <c r="M1911">
        <v>3.5</v>
      </c>
      <c r="N1911" t="s">
        <v>22</v>
      </c>
      <c r="O1911" t="str">
        <f t="shared" si="29"/>
        <v>No</v>
      </c>
    </row>
    <row r="1912" spans="1:15" x14ac:dyDescent="0.25">
      <c r="A1912" t="s">
        <v>1973</v>
      </c>
      <c r="B1912" s="1">
        <v>45671</v>
      </c>
      <c r="C1912" s="2">
        <v>45671.714583333334</v>
      </c>
      <c r="D1912" t="s">
        <v>24</v>
      </c>
      <c r="E1912" t="s">
        <v>39</v>
      </c>
      <c r="F1912" t="s">
        <v>78</v>
      </c>
      <c r="G1912" t="s">
        <v>41</v>
      </c>
      <c r="H1912" t="s">
        <v>35</v>
      </c>
      <c r="I1912" t="s">
        <v>45</v>
      </c>
      <c r="J1912" t="s">
        <v>46</v>
      </c>
      <c r="K1912">
        <v>24</v>
      </c>
      <c r="L1912">
        <v>17.149999999999999</v>
      </c>
      <c r="M1912">
        <v>3</v>
      </c>
      <c r="N1912" t="s">
        <v>22</v>
      </c>
      <c r="O1912" t="str">
        <f t="shared" si="29"/>
        <v>No</v>
      </c>
    </row>
    <row r="1913" spans="1:15" x14ac:dyDescent="0.25">
      <c r="A1913" t="s">
        <v>1974</v>
      </c>
      <c r="B1913" s="1">
        <v>45818</v>
      </c>
      <c r="C1913" s="2">
        <v>45818.785416666666</v>
      </c>
      <c r="D1913" t="s">
        <v>15</v>
      </c>
      <c r="E1913" t="s">
        <v>39</v>
      </c>
      <c r="F1913" t="s">
        <v>119</v>
      </c>
      <c r="G1913" t="s">
        <v>34</v>
      </c>
      <c r="H1913" t="s">
        <v>19</v>
      </c>
      <c r="I1913" t="s">
        <v>45</v>
      </c>
      <c r="J1913" t="s">
        <v>21</v>
      </c>
      <c r="K1913">
        <v>48</v>
      </c>
      <c r="L1913">
        <v>18.850000000000001</v>
      </c>
      <c r="M1913">
        <v>3.4</v>
      </c>
      <c r="N1913" t="s">
        <v>22</v>
      </c>
      <c r="O1913" t="str">
        <f t="shared" si="29"/>
        <v>No</v>
      </c>
    </row>
    <row r="1914" spans="1:15" x14ac:dyDescent="0.25">
      <c r="A1914" t="s">
        <v>1975</v>
      </c>
      <c r="B1914" s="1">
        <v>45658</v>
      </c>
      <c r="C1914" s="2">
        <v>45658.025416666664</v>
      </c>
      <c r="D1914" t="s">
        <v>38</v>
      </c>
      <c r="E1914" t="s">
        <v>32</v>
      </c>
      <c r="F1914" t="s">
        <v>33</v>
      </c>
      <c r="G1914" t="s">
        <v>18</v>
      </c>
      <c r="H1914" t="s">
        <v>19</v>
      </c>
      <c r="I1914" t="s">
        <v>45</v>
      </c>
      <c r="J1914" t="s">
        <v>29</v>
      </c>
      <c r="K1914">
        <v>8</v>
      </c>
      <c r="L1914">
        <v>0.61</v>
      </c>
      <c r="M1914">
        <v>4.5999999999999996</v>
      </c>
      <c r="N1914" t="s">
        <v>22</v>
      </c>
      <c r="O1914" t="str">
        <f t="shared" si="29"/>
        <v>No</v>
      </c>
    </row>
    <row r="1915" spans="1:15" x14ac:dyDescent="0.25">
      <c r="A1915" t="s">
        <v>1976</v>
      </c>
      <c r="B1915" s="1">
        <v>45798</v>
      </c>
      <c r="C1915" s="2">
        <v>45798.317916666667</v>
      </c>
      <c r="D1915" t="s">
        <v>15</v>
      </c>
      <c r="E1915" t="s">
        <v>45</v>
      </c>
      <c r="F1915" t="s">
        <v>112</v>
      </c>
      <c r="G1915" t="s">
        <v>51</v>
      </c>
      <c r="H1915" t="s">
        <v>35</v>
      </c>
      <c r="I1915" t="s">
        <v>20</v>
      </c>
      <c r="J1915" t="s">
        <v>46</v>
      </c>
      <c r="K1915">
        <v>48</v>
      </c>
      <c r="L1915">
        <v>7.63</v>
      </c>
      <c r="M1915">
        <v>3.8</v>
      </c>
      <c r="N1915" t="s">
        <v>22</v>
      </c>
      <c r="O1915" t="str">
        <f t="shared" si="29"/>
        <v>No</v>
      </c>
    </row>
    <row r="1916" spans="1:15" x14ac:dyDescent="0.25">
      <c r="A1916" t="s">
        <v>1977</v>
      </c>
      <c r="B1916" s="1">
        <v>45717</v>
      </c>
      <c r="C1916" s="2">
        <v>45719.19</v>
      </c>
      <c r="D1916" t="s">
        <v>15</v>
      </c>
      <c r="E1916" t="s">
        <v>25</v>
      </c>
      <c r="F1916" t="s">
        <v>48</v>
      </c>
      <c r="G1916" t="s">
        <v>41</v>
      </c>
      <c r="H1916" t="s">
        <v>27</v>
      </c>
      <c r="I1916" t="s">
        <v>36</v>
      </c>
      <c r="J1916" t="s">
        <v>29</v>
      </c>
      <c r="K1916">
        <v>48</v>
      </c>
      <c r="L1916">
        <v>52.56</v>
      </c>
      <c r="M1916">
        <v>4.5</v>
      </c>
      <c r="N1916" t="s">
        <v>22</v>
      </c>
      <c r="O1916" t="str">
        <f t="shared" si="29"/>
        <v>Yes</v>
      </c>
    </row>
    <row r="1917" spans="1:15" x14ac:dyDescent="0.25">
      <c r="A1917" t="s">
        <v>1978</v>
      </c>
      <c r="B1917" s="1">
        <v>45751</v>
      </c>
      <c r="C1917" s="2">
        <v>45751.113333333335</v>
      </c>
      <c r="D1917" t="s">
        <v>38</v>
      </c>
      <c r="E1917" t="s">
        <v>16</v>
      </c>
      <c r="F1917" t="s">
        <v>17</v>
      </c>
      <c r="G1917" t="s">
        <v>51</v>
      </c>
      <c r="H1917" t="s">
        <v>65</v>
      </c>
      <c r="I1917" t="s">
        <v>36</v>
      </c>
      <c r="J1917" t="s">
        <v>21</v>
      </c>
      <c r="K1917">
        <v>8</v>
      </c>
      <c r="L1917">
        <v>2.72</v>
      </c>
      <c r="M1917">
        <v>4.5</v>
      </c>
      <c r="N1917" t="s">
        <v>22</v>
      </c>
      <c r="O1917" t="str">
        <f t="shared" si="29"/>
        <v>No</v>
      </c>
    </row>
    <row r="1918" spans="1:15" x14ac:dyDescent="0.25">
      <c r="A1918" t="s">
        <v>1979</v>
      </c>
      <c r="B1918" s="1">
        <v>45709</v>
      </c>
      <c r="C1918" s="2">
        <v>45709.272083333337</v>
      </c>
      <c r="D1918" t="s">
        <v>24</v>
      </c>
      <c r="E1918" t="s">
        <v>39</v>
      </c>
      <c r="F1918" t="s">
        <v>78</v>
      </c>
      <c r="G1918" t="s">
        <v>18</v>
      </c>
      <c r="H1918" t="s">
        <v>54</v>
      </c>
      <c r="I1918" t="s">
        <v>45</v>
      </c>
      <c r="J1918" t="s">
        <v>21</v>
      </c>
      <c r="K1918">
        <v>24</v>
      </c>
      <c r="L1918">
        <v>6.53</v>
      </c>
      <c r="M1918">
        <v>5</v>
      </c>
      <c r="N1918" t="s">
        <v>22</v>
      </c>
      <c r="O1918" t="str">
        <f t="shared" si="29"/>
        <v>No</v>
      </c>
    </row>
    <row r="1919" spans="1:15" x14ac:dyDescent="0.25">
      <c r="A1919" t="s">
        <v>1980</v>
      </c>
      <c r="B1919" s="1">
        <v>45746</v>
      </c>
      <c r="C1919" s="2">
        <v>45747.097500000003</v>
      </c>
      <c r="D1919" t="s">
        <v>15</v>
      </c>
      <c r="E1919" t="s">
        <v>25</v>
      </c>
      <c r="F1919" t="s">
        <v>26</v>
      </c>
      <c r="G1919" t="s">
        <v>18</v>
      </c>
      <c r="H1919" t="s">
        <v>35</v>
      </c>
      <c r="I1919" t="s">
        <v>45</v>
      </c>
      <c r="J1919" t="s">
        <v>21</v>
      </c>
      <c r="K1919">
        <v>48</v>
      </c>
      <c r="L1919">
        <v>26.34</v>
      </c>
      <c r="M1919">
        <v>4</v>
      </c>
      <c r="N1919" t="s">
        <v>22</v>
      </c>
      <c r="O1919" t="str">
        <f t="shared" si="29"/>
        <v>No</v>
      </c>
    </row>
    <row r="1920" spans="1:15" x14ac:dyDescent="0.25">
      <c r="A1920" t="s">
        <v>1981</v>
      </c>
      <c r="B1920" s="1">
        <v>45739</v>
      </c>
      <c r="C1920" s="2">
        <v>45739.097916666666</v>
      </c>
      <c r="D1920" t="s">
        <v>15</v>
      </c>
      <c r="E1920" t="s">
        <v>16</v>
      </c>
      <c r="F1920" t="s">
        <v>43</v>
      </c>
      <c r="G1920" t="s">
        <v>56</v>
      </c>
      <c r="H1920" t="s">
        <v>35</v>
      </c>
      <c r="I1920" t="s">
        <v>36</v>
      </c>
      <c r="J1920" t="s">
        <v>21</v>
      </c>
      <c r="K1920">
        <v>48</v>
      </c>
      <c r="L1920">
        <v>2.35</v>
      </c>
      <c r="M1920">
        <v>5</v>
      </c>
      <c r="N1920" t="s">
        <v>22</v>
      </c>
      <c r="O1920" t="str">
        <f t="shared" si="29"/>
        <v>No</v>
      </c>
    </row>
    <row r="1921" spans="1:15" x14ac:dyDescent="0.25">
      <c r="A1921" t="s">
        <v>1982</v>
      </c>
      <c r="B1921" s="1">
        <v>45753</v>
      </c>
      <c r="C1921" s="2">
        <v>45753.503333333334</v>
      </c>
      <c r="D1921" t="s">
        <v>24</v>
      </c>
      <c r="E1921" t="s">
        <v>45</v>
      </c>
      <c r="F1921" t="s">
        <v>50</v>
      </c>
      <c r="G1921" t="s">
        <v>41</v>
      </c>
      <c r="H1921" t="s">
        <v>54</v>
      </c>
      <c r="I1921" t="s">
        <v>28</v>
      </c>
      <c r="J1921" t="s">
        <v>21</v>
      </c>
      <c r="K1921">
        <v>24</v>
      </c>
      <c r="L1921">
        <v>12.08</v>
      </c>
      <c r="M1921">
        <v>3.1</v>
      </c>
      <c r="N1921" t="s">
        <v>22</v>
      </c>
      <c r="O1921" t="str">
        <f t="shared" si="29"/>
        <v>No</v>
      </c>
    </row>
    <row r="1922" spans="1:15" x14ac:dyDescent="0.25">
      <c r="A1922" t="s">
        <v>1983</v>
      </c>
      <c r="B1922" s="1">
        <v>45729</v>
      </c>
      <c r="C1922" s="2">
        <v>45729.576249999998</v>
      </c>
      <c r="D1922" t="s">
        <v>24</v>
      </c>
      <c r="E1922" t="s">
        <v>32</v>
      </c>
      <c r="F1922" t="s">
        <v>33</v>
      </c>
      <c r="G1922" t="s">
        <v>41</v>
      </c>
      <c r="H1922" t="s">
        <v>44</v>
      </c>
      <c r="I1922" t="s">
        <v>36</v>
      </c>
      <c r="J1922" t="s">
        <v>21</v>
      </c>
      <c r="K1922">
        <v>24</v>
      </c>
      <c r="L1922">
        <v>13.83</v>
      </c>
      <c r="M1922">
        <v>4.3</v>
      </c>
      <c r="N1922" t="s">
        <v>61</v>
      </c>
      <c r="O1922" t="str">
        <f t="shared" si="29"/>
        <v>No</v>
      </c>
    </row>
    <row r="1923" spans="1:15" x14ac:dyDescent="0.25">
      <c r="A1923" t="s">
        <v>1984</v>
      </c>
      <c r="B1923" s="1">
        <v>45755</v>
      </c>
      <c r="C1923" s="2">
        <v>45756.605000000003</v>
      </c>
      <c r="D1923" t="s">
        <v>15</v>
      </c>
      <c r="E1923" t="s">
        <v>32</v>
      </c>
      <c r="F1923" t="s">
        <v>80</v>
      </c>
      <c r="G1923" t="s">
        <v>51</v>
      </c>
      <c r="H1923" t="s">
        <v>65</v>
      </c>
      <c r="I1923" t="s">
        <v>36</v>
      </c>
      <c r="J1923" t="s">
        <v>21</v>
      </c>
      <c r="K1923">
        <v>48</v>
      </c>
      <c r="L1923">
        <v>38.520000000000003</v>
      </c>
      <c r="M1923">
        <v>4.4000000000000004</v>
      </c>
      <c r="N1923" t="s">
        <v>22</v>
      </c>
      <c r="O1923" t="str">
        <f t="shared" ref="O1923:O1986" si="30">IF(L1923&gt;K1923,"Yes","No")</f>
        <v>No</v>
      </c>
    </row>
    <row r="1924" spans="1:15" x14ac:dyDescent="0.25">
      <c r="A1924" t="s">
        <v>1985</v>
      </c>
      <c r="B1924" s="1">
        <v>45807</v>
      </c>
      <c r="C1924" s="2">
        <v>45807.19</v>
      </c>
      <c r="D1924" t="s">
        <v>24</v>
      </c>
      <c r="E1924" t="s">
        <v>16</v>
      </c>
      <c r="F1924" t="s">
        <v>43</v>
      </c>
      <c r="G1924" t="s">
        <v>18</v>
      </c>
      <c r="H1924" t="s">
        <v>54</v>
      </c>
      <c r="I1924" t="s">
        <v>20</v>
      </c>
      <c r="J1924" t="s">
        <v>21</v>
      </c>
      <c r="K1924">
        <v>24</v>
      </c>
      <c r="L1924">
        <v>4.5599999999999996</v>
      </c>
      <c r="M1924">
        <v>5</v>
      </c>
      <c r="N1924" t="s">
        <v>22</v>
      </c>
      <c r="O1924" t="str">
        <f t="shared" si="30"/>
        <v>No</v>
      </c>
    </row>
    <row r="1925" spans="1:15" x14ac:dyDescent="0.25">
      <c r="A1925" t="s">
        <v>1986</v>
      </c>
      <c r="B1925" s="1">
        <v>45736</v>
      </c>
      <c r="C1925" s="2">
        <v>45736.601666666669</v>
      </c>
      <c r="D1925" t="s">
        <v>15</v>
      </c>
      <c r="E1925" t="s">
        <v>32</v>
      </c>
      <c r="F1925" t="s">
        <v>33</v>
      </c>
      <c r="G1925" t="s">
        <v>56</v>
      </c>
      <c r="H1925" t="s">
        <v>27</v>
      </c>
      <c r="I1925" t="s">
        <v>28</v>
      </c>
      <c r="J1925" t="s">
        <v>21</v>
      </c>
      <c r="K1925">
        <v>48</v>
      </c>
      <c r="L1925">
        <v>14.44</v>
      </c>
      <c r="M1925">
        <v>4.4000000000000004</v>
      </c>
      <c r="N1925" t="s">
        <v>22</v>
      </c>
      <c r="O1925" t="str">
        <f t="shared" si="30"/>
        <v>No</v>
      </c>
    </row>
    <row r="1926" spans="1:15" x14ac:dyDescent="0.25">
      <c r="A1926" t="s">
        <v>1987</v>
      </c>
      <c r="B1926" s="1">
        <v>45723</v>
      </c>
      <c r="C1926" s="2">
        <v>45723.566250000003</v>
      </c>
      <c r="D1926" t="s">
        <v>24</v>
      </c>
      <c r="E1926" t="s">
        <v>16</v>
      </c>
      <c r="F1926" t="s">
        <v>60</v>
      </c>
      <c r="G1926" t="s">
        <v>51</v>
      </c>
      <c r="H1926" t="s">
        <v>27</v>
      </c>
      <c r="I1926" t="s">
        <v>45</v>
      </c>
      <c r="J1926" t="s">
        <v>21</v>
      </c>
      <c r="K1926">
        <v>24</v>
      </c>
      <c r="L1926">
        <v>13.59</v>
      </c>
      <c r="M1926">
        <v>3.2</v>
      </c>
      <c r="N1926" t="s">
        <v>22</v>
      </c>
      <c r="O1926" t="str">
        <f t="shared" si="30"/>
        <v>No</v>
      </c>
    </row>
    <row r="1927" spans="1:15" x14ac:dyDescent="0.25">
      <c r="A1927" t="s">
        <v>1988</v>
      </c>
      <c r="B1927" s="1">
        <v>45681</v>
      </c>
      <c r="C1927" s="2">
        <v>45681.207083333335</v>
      </c>
      <c r="D1927" t="s">
        <v>24</v>
      </c>
      <c r="E1927" t="s">
        <v>25</v>
      </c>
      <c r="F1927" t="s">
        <v>26</v>
      </c>
      <c r="G1927" t="s">
        <v>51</v>
      </c>
      <c r="H1927" t="s">
        <v>65</v>
      </c>
      <c r="I1927" t="s">
        <v>36</v>
      </c>
      <c r="J1927" t="s">
        <v>46</v>
      </c>
      <c r="K1927">
        <v>24</v>
      </c>
      <c r="L1927">
        <v>4.97</v>
      </c>
      <c r="M1927">
        <v>5</v>
      </c>
      <c r="N1927" t="s">
        <v>22</v>
      </c>
      <c r="O1927" t="str">
        <f t="shared" si="30"/>
        <v>No</v>
      </c>
    </row>
    <row r="1928" spans="1:15" x14ac:dyDescent="0.25">
      <c r="A1928" t="s">
        <v>1989</v>
      </c>
      <c r="B1928" s="1">
        <v>45723</v>
      </c>
      <c r="C1928" s="2">
        <v>45724.204583333332</v>
      </c>
      <c r="D1928" t="s">
        <v>15</v>
      </c>
      <c r="E1928" t="s">
        <v>32</v>
      </c>
      <c r="F1928" t="s">
        <v>64</v>
      </c>
      <c r="G1928" t="s">
        <v>51</v>
      </c>
      <c r="H1928" t="s">
        <v>44</v>
      </c>
      <c r="I1928" t="s">
        <v>36</v>
      </c>
      <c r="J1928" t="s">
        <v>21</v>
      </c>
      <c r="K1928">
        <v>48</v>
      </c>
      <c r="L1928">
        <v>28.91</v>
      </c>
      <c r="M1928">
        <v>4</v>
      </c>
      <c r="N1928" t="s">
        <v>22</v>
      </c>
      <c r="O1928" t="str">
        <f t="shared" si="30"/>
        <v>No</v>
      </c>
    </row>
    <row r="1929" spans="1:15" x14ac:dyDescent="0.25">
      <c r="A1929" t="s">
        <v>1990</v>
      </c>
      <c r="B1929" s="1">
        <v>45680</v>
      </c>
      <c r="C1929" s="2">
        <v>45681.095000000001</v>
      </c>
      <c r="D1929" t="s">
        <v>15</v>
      </c>
      <c r="E1929" t="s">
        <v>39</v>
      </c>
      <c r="F1929" t="s">
        <v>87</v>
      </c>
      <c r="G1929" t="s">
        <v>34</v>
      </c>
      <c r="H1929" t="s">
        <v>27</v>
      </c>
      <c r="I1929" t="s">
        <v>36</v>
      </c>
      <c r="J1929" t="s">
        <v>46</v>
      </c>
      <c r="K1929">
        <v>48</v>
      </c>
      <c r="L1929">
        <v>26.28</v>
      </c>
      <c r="M1929">
        <v>4.0999999999999996</v>
      </c>
      <c r="N1929" t="s">
        <v>22</v>
      </c>
      <c r="O1929" t="str">
        <f t="shared" si="30"/>
        <v>No</v>
      </c>
    </row>
    <row r="1930" spans="1:15" x14ac:dyDescent="0.25">
      <c r="A1930" t="s">
        <v>1991</v>
      </c>
      <c r="B1930" s="1">
        <v>45691</v>
      </c>
      <c r="C1930" s="2">
        <v>45691.087916666664</v>
      </c>
      <c r="D1930" t="s">
        <v>15</v>
      </c>
      <c r="E1930" t="s">
        <v>16</v>
      </c>
      <c r="F1930" t="s">
        <v>60</v>
      </c>
      <c r="G1930" t="s">
        <v>51</v>
      </c>
      <c r="H1930" t="s">
        <v>27</v>
      </c>
      <c r="I1930" t="s">
        <v>45</v>
      </c>
      <c r="J1930" t="s">
        <v>46</v>
      </c>
      <c r="K1930">
        <v>48</v>
      </c>
      <c r="L1930">
        <v>2.11</v>
      </c>
      <c r="M1930">
        <v>5</v>
      </c>
      <c r="N1930" t="s">
        <v>22</v>
      </c>
      <c r="O1930" t="str">
        <f t="shared" si="30"/>
        <v>No</v>
      </c>
    </row>
    <row r="1931" spans="1:15" x14ac:dyDescent="0.25">
      <c r="A1931" t="s">
        <v>1992</v>
      </c>
      <c r="B1931" s="1">
        <v>45830</v>
      </c>
      <c r="C1931" s="2">
        <v>45831.940405092595</v>
      </c>
      <c r="D1931" t="s">
        <v>15</v>
      </c>
      <c r="E1931" t="s">
        <v>25</v>
      </c>
      <c r="F1931" t="s">
        <v>26</v>
      </c>
      <c r="G1931" t="s">
        <v>18</v>
      </c>
      <c r="H1931" t="s">
        <v>35</v>
      </c>
      <c r="I1931" t="s">
        <v>45</v>
      </c>
      <c r="J1931" t="s">
        <v>46</v>
      </c>
      <c r="K1931">
        <v>48</v>
      </c>
      <c r="L1931">
        <v>46.57</v>
      </c>
      <c r="M1931">
        <v>3.9</v>
      </c>
      <c r="N1931" t="s">
        <v>22</v>
      </c>
      <c r="O1931" t="str">
        <f t="shared" si="30"/>
        <v>No</v>
      </c>
    </row>
    <row r="1932" spans="1:15" x14ac:dyDescent="0.25">
      <c r="A1932" t="s">
        <v>1993</v>
      </c>
      <c r="B1932" s="1">
        <v>45674</v>
      </c>
      <c r="C1932" s="2">
        <v>45674.212500000001</v>
      </c>
      <c r="D1932" t="s">
        <v>24</v>
      </c>
      <c r="E1932" t="s">
        <v>16</v>
      </c>
      <c r="F1932" t="s">
        <v>43</v>
      </c>
      <c r="G1932" t="s">
        <v>18</v>
      </c>
      <c r="H1932" t="s">
        <v>44</v>
      </c>
      <c r="I1932" t="s">
        <v>36</v>
      </c>
      <c r="J1932" t="s">
        <v>29</v>
      </c>
      <c r="K1932">
        <v>24</v>
      </c>
      <c r="L1932">
        <v>5.0999999999999996</v>
      </c>
      <c r="M1932">
        <v>4.4000000000000004</v>
      </c>
      <c r="N1932" t="s">
        <v>22</v>
      </c>
      <c r="O1932" t="str">
        <f t="shared" si="30"/>
        <v>No</v>
      </c>
    </row>
    <row r="1933" spans="1:15" x14ac:dyDescent="0.25">
      <c r="A1933" t="s">
        <v>1994</v>
      </c>
      <c r="B1933" s="1">
        <v>45745</v>
      </c>
      <c r="C1933" s="2">
        <v>45745.171249999999</v>
      </c>
      <c r="D1933" t="s">
        <v>38</v>
      </c>
      <c r="E1933" t="s">
        <v>32</v>
      </c>
      <c r="F1933" t="s">
        <v>80</v>
      </c>
      <c r="G1933" t="s">
        <v>34</v>
      </c>
      <c r="H1933" t="s">
        <v>27</v>
      </c>
      <c r="I1933" t="s">
        <v>45</v>
      </c>
      <c r="J1933" t="s">
        <v>85</v>
      </c>
      <c r="K1933">
        <v>8</v>
      </c>
      <c r="L1933">
        <v>4.1100000000000003</v>
      </c>
      <c r="M1933">
        <v>4</v>
      </c>
      <c r="N1933" t="s">
        <v>22</v>
      </c>
      <c r="O1933" t="str">
        <f t="shared" si="30"/>
        <v>No</v>
      </c>
    </row>
    <row r="1934" spans="1:15" x14ac:dyDescent="0.25">
      <c r="A1934" t="s">
        <v>1995</v>
      </c>
      <c r="B1934" s="1">
        <v>45809</v>
      </c>
      <c r="C1934" s="2">
        <v>45809.558333333334</v>
      </c>
      <c r="D1934" t="s">
        <v>38</v>
      </c>
      <c r="E1934" t="s">
        <v>16</v>
      </c>
      <c r="F1934" t="s">
        <v>17</v>
      </c>
      <c r="G1934" t="s">
        <v>56</v>
      </c>
      <c r="H1934" t="s">
        <v>19</v>
      </c>
      <c r="I1934" t="s">
        <v>20</v>
      </c>
      <c r="J1934" t="s">
        <v>21</v>
      </c>
      <c r="K1934">
        <v>8</v>
      </c>
      <c r="L1934">
        <v>13.4</v>
      </c>
      <c r="M1934">
        <v>3.4</v>
      </c>
      <c r="N1934" t="s">
        <v>22</v>
      </c>
      <c r="O1934" t="str">
        <f t="shared" si="30"/>
        <v>Yes</v>
      </c>
    </row>
    <row r="1935" spans="1:15" x14ac:dyDescent="0.25">
      <c r="A1935" t="s">
        <v>1996</v>
      </c>
      <c r="B1935" s="1">
        <v>45830</v>
      </c>
      <c r="C1935" s="2">
        <v>45830.235000000001</v>
      </c>
      <c r="D1935" t="s">
        <v>24</v>
      </c>
      <c r="E1935" t="s">
        <v>39</v>
      </c>
      <c r="F1935" t="s">
        <v>40</v>
      </c>
      <c r="G1935" t="s">
        <v>56</v>
      </c>
      <c r="H1935" t="s">
        <v>65</v>
      </c>
      <c r="I1935" t="s">
        <v>36</v>
      </c>
      <c r="J1935" t="s">
        <v>21</v>
      </c>
      <c r="K1935">
        <v>24</v>
      </c>
      <c r="L1935">
        <v>5.64</v>
      </c>
      <c r="M1935">
        <v>4.2</v>
      </c>
      <c r="N1935" t="s">
        <v>22</v>
      </c>
      <c r="O1935" t="str">
        <f t="shared" si="30"/>
        <v>No</v>
      </c>
    </row>
    <row r="1936" spans="1:15" x14ac:dyDescent="0.25">
      <c r="A1936" t="s">
        <v>1997</v>
      </c>
      <c r="B1936" s="1">
        <v>45684</v>
      </c>
      <c r="C1936" s="2">
        <v>45684.70208333333</v>
      </c>
      <c r="D1936" t="s">
        <v>24</v>
      </c>
      <c r="E1936" t="s">
        <v>25</v>
      </c>
      <c r="F1936" t="s">
        <v>48</v>
      </c>
      <c r="G1936" t="s">
        <v>34</v>
      </c>
      <c r="H1936" t="s">
        <v>65</v>
      </c>
      <c r="I1936" t="s">
        <v>36</v>
      </c>
      <c r="J1936" t="s">
        <v>46</v>
      </c>
      <c r="K1936">
        <v>24</v>
      </c>
      <c r="L1936">
        <v>16.850000000000001</v>
      </c>
      <c r="M1936">
        <v>4.5</v>
      </c>
      <c r="N1936" t="s">
        <v>22</v>
      </c>
      <c r="O1936" t="str">
        <f t="shared" si="30"/>
        <v>No</v>
      </c>
    </row>
    <row r="1937" spans="1:15" x14ac:dyDescent="0.25">
      <c r="A1937" t="s">
        <v>1998</v>
      </c>
      <c r="B1937" s="1">
        <v>45687</v>
      </c>
      <c r="C1937" s="2">
        <v>45688.96125</v>
      </c>
      <c r="D1937" t="s">
        <v>24</v>
      </c>
      <c r="E1937" t="s">
        <v>16</v>
      </c>
      <c r="F1937" t="s">
        <v>58</v>
      </c>
      <c r="G1937" t="s">
        <v>18</v>
      </c>
      <c r="H1937" t="s">
        <v>44</v>
      </c>
      <c r="I1937" t="s">
        <v>20</v>
      </c>
      <c r="J1937" t="s">
        <v>46</v>
      </c>
      <c r="K1937">
        <v>24</v>
      </c>
      <c r="L1937">
        <v>47.07</v>
      </c>
      <c r="M1937">
        <v>3.4</v>
      </c>
      <c r="N1937" t="s">
        <v>22</v>
      </c>
      <c r="O1937" t="str">
        <f t="shared" si="30"/>
        <v>Yes</v>
      </c>
    </row>
    <row r="1938" spans="1:15" x14ac:dyDescent="0.25">
      <c r="A1938" t="s">
        <v>1999</v>
      </c>
      <c r="B1938" s="1">
        <v>45725</v>
      </c>
      <c r="C1938" s="2">
        <v>45725.260416666664</v>
      </c>
      <c r="D1938" t="s">
        <v>38</v>
      </c>
      <c r="E1938" t="s">
        <v>32</v>
      </c>
      <c r="F1938" t="s">
        <v>64</v>
      </c>
      <c r="G1938" t="s">
        <v>18</v>
      </c>
      <c r="H1938" t="s">
        <v>54</v>
      </c>
      <c r="I1938" t="s">
        <v>36</v>
      </c>
      <c r="J1938" t="s">
        <v>21</v>
      </c>
      <c r="K1938">
        <v>8</v>
      </c>
      <c r="L1938">
        <v>6.25</v>
      </c>
      <c r="M1938">
        <v>4</v>
      </c>
      <c r="N1938" t="s">
        <v>22</v>
      </c>
      <c r="O1938" t="str">
        <f t="shared" si="30"/>
        <v>No</v>
      </c>
    </row>
    <row r="1939" spans="1:15" x14ac:dyDescent="0.25">
      <c r="A1939" t="s">
        <v>2000</v>
      </c>
      <c r="B1939" s="1">
        <v>45758</v>
      </c>
      <c r="C1939" s="2">
        <v>45760.234166666669</v>
      </c>
      <c r="D1939" t="s">
        <v>15</v>
      </c>
      <c r="E1939" t="s">
        <v>25</v>
      </c>
      <c r="F1939" t="s">
        <v>48</v>
      </c>
      <c r="G1939" t="s">
        <v>41</v>
      </c>
      <c r="H1939" t="s">
        <v>19</v>
      </c>
      <c r="I1939" t="s">
        <v>36</v>
      </c>
      <c r="J1939" t="s">
        <v>85</v>
      </c>
      <c r="K1939">
        <v>48</v>
      </c>
      <c r="L1939">
        <v>53.62</v>
      </c>
      <c r="M1939">
        <v>4.3</v>
      </c>
      <c r="N1939" t="s">
        <v>61</v>
      </c>
      <c r="O1939" t="str">
        <f t="shared" si="30"/>
        <v>Yes</v>
      </c>
    </row>
    <row r="1940" spans="1:15" x14ac:dyDescent="0.25">
      <c r="A1940" t="s">
        <v>2001</v>
      </c>
      <c r="B1940" s="1">
        <v>45831</v>
      </c>
      <c r="C1940" s="2">
        <v>45831.341249999998</v>
      </c>
      <c r="D1940" t="s">
        <v>15</v>
      </c>
      <c r="E1940" t="s">
        <v>16</v>
      </c>
      <c r="F1940" t="s">
        <v>17</v>
      </c>
      <c r="G1940" t="s">
        <v>41</v>
      </c>
      <c r="H1940" t="s">
        <v>27</v>
      </c>
      <c r="I1940" t="s">
        <v>36</v>
      </c>
      <c r="J1940" t="s">
        <v>29</v>
      </c>
      <c r="K1940">
        <v>48</v>
      </c>
      <c r="L1940">
        <v>8.19</v>
      </c>
      <c r="M1940">
        <v>4.8</v>
      </c>
      <c r="N1940" t="s">
        <v>22</v>
      </c>
      <c r="O1940" t="str">
        <f t="shared" si="30"/>
        <v>No</v>
      </c>
    </row>
    <row r="1941" spans="1:15" x14ac:dyDescent="0.25">
      <c r="A1941" t="s">
        <v>2002</v>
      </c>
      <c r="B1941" s="1">
        <v>45695</v>
      </c>
      <c r="C1941" s="2">
        <v>45696.391250000001</v>
      </c>
      <c r="D1941" t="s">
        <v>24</v>
      </c>
      <c r="E1941" t="s">
        <v>32</v>
      </c>
      <c r="F1941" t="s">
        <v>80</v>
      </c>
      <c r="G1941" t="s">
        <v>51</v>
      </c>
      <c r="H1941" t="s">
        <v>27</v>
      </c>
      <c r="I1941" t="s">
        <v>45</v>
      </c>
      <c r="J1941" t="s">
        <v>29</v>
      </c>
      <c r="K1941">
        <v>24</v>
      </c>
      <c r="L1941">
        <v>33.39</v>
      </c>
      <c r="M1941">
        <v>2.9</v>
      </c>
      <c r="N1941" t="s">
        <v>22</v>
      </c>
      <c r="O1941" t="str">
        <f t="shared" si="30"/>
        <v>Yes</v>
      </c>
    </row>
    <row r="1942" spans="1:15" x14ac:dyDescent="0.25">
      <c r="A1942" t="s">
        <v>2003</v>
      </c>
      <c r="B1942" s="1">
        <v>45687</v>
      </c>
      <c r="C1942" s="2">
        <v>45687.155416666668</v>
      </c>
      <c r="D1942" t="s">
        <v>15</v>
      </c>
      <c r="E1942" t="s">
        <v>16</v>
      </c>
      <c r="F1942" t="s">
        <v>58</v>
      </c>
      <c r="G1942" t="s">
        <v>56</v>
      </c>
      <c r="H1942" t="s">
        <v>35</v>
      </c>
      <c r="I1942" t="s">
        <v>45</v>
      </c>
      <c r="J1942" t="s">
        <v>21</v>
      </c>
      <c r="K1942">
        <v>48</v>
      </c>
      <c r="L1942">
        <v>3.73</v>
      </c>
      <c r="M1942">
        <v>3.8</v>
      </c>
      <c r="N1942" t="s">
        <v>61</v>
      </c>
      <c r="O1942" t="str">
        <f t="shared" si="30"/>
        <v>No</v>
      </c>
    </row>
    <row r="1943" spans="1:15" x14ac:dyDescent="0.25">
      <c r="A1943" t="s">
        <v>2004</v>
      </c>
      <c r="B1943" s="1">
        <v>45703</v>
      </c>
      <c r="C1943" s="2">
        <v>45703.742083333331</v>
      </c>
      <c r="D1943" t="s">
        <v>24</v>
      </c>
      <c r="E1943" t="s">
        <v>45</v>
      </c>
      <c r="F1943" t="s">
        <v>104</v>
      </c>
      <c r="G1943" t="s">
        <v>18</v>
      </c>
      <c r="H1943" t="s">
        <v>27</v>
      </c>
      <c r="I1943" t="s">
        <v>45</v>
      </c>
      <c r="J1943" t="s">
        <v>21</v>
      </c>
      <c r="K1943">
        <v>24</v>
      </c>
      <c r="L1943">
        <v>17.809999999999999</v>
      </c>
      <c r="M1943">
        <v>4.3</v>
      </c>
      <c r="N1943" t="s">
        <v>22</v>
      </c>
      <c r="O1943" t="str">
        <f t="shared" si="30"/>
        <v>No</v>
      </c>
    </row>
    <row r="1944" spans="1:15" x14ac:dyDescent="0.25">
      <c r="A1944" t="s">
        <v>2005</v>
      </c>
      <c r="B1944" s="1">
        <v>45816</v>
      </c>
      <c r="C1944" s="2">
        <v>45816.165833333333</v>
      </c>
      <c r="D1944" t="s">
        <v>38</v>
      </c>
      <c r="E1944" t="s">
        <v>16</v>
      </c>
      <c r="F1944" t="s">
        <v>17</v>
      </c>
      <c r="G1944" t="s">
        <v>18</v>
      </c>
      <c r="H1944" t="s">
        <v>27</v>
      </c>
      <c r="I1944" t="s">
        <v>36</v>
      </c>
      <c r="J1944" t="s">
        <v>21</v>
      </c>
      <c r="K1944">
        <v>8</v>
      </c>
      <c r="L1944">
        <v>3.98</v>
      </c>
      <c r="M1944">
        <v>4.5999999999999996</v>
      </c>
      <c r="N1944" t="s">
        <v>22</v>
      </c>
      <c r="O1944" t="str">
        <f t="shared" si="30"/>
        <v>No</v>
      </c>
    </row>
    <row r="1945" spans="1:15" x14ac:dyDescent="0.25">
      <c r="A1945" t="s">
        <v>2006</v>
      </c>
      <c r="B1945" s="1">
        <v>45663</v>
      </c>
      <c r="C1945" s="2">
        <v>45663.127916666665</v>
      </c>
      <c r="D1945" t="s">
        <v>38</v>
      </c>
      <c r="E1945" t="s">
        <v>39</v>
      </c>
      <c r="F1945" t="s">
        <v>119</v>
      </c>
      <c r="G1945" t="s">
        <v>51</v>
      </c>
      <c r="H1945" t="s">
        <v>35</v>
      </c>
      <c r="I1945" t="s">
        <v>45</v>
      </c>
      <c r="J1945" t="s">
        <v>21</v>
      </c>
      <c r="K1945">
        <v>8</v>
      </c>
      <c r="L1945">
        <v>3.07</v>
      </c>
      <c r="M1945">
        <v>5</v>
      </c>
      <c r="N1945" t="s">
        <v>22</v>
      </c>
      <c r="O1945" t="str">
        <f t="shared" si="30"/>
        <v>No</v>
      </c>
    </row>
    <row r="1946" spans="1:15" x14ac:dyDescent="0.25">
      <c r="A1946" t="s">
        <v>2007</v>
      </c>
      <c r="B1946" s="1">
        <v>45726</v>
      </c>
      <c r="C1946" s="2">
        <v>45726.659166666665</v>
      </c>
      <c r="D1946" t="s">
        <v>15</v>
      </c>
      <c r="E1946" t="s">
        <v>16</v>
      </c>
      <c r="F1946" t="s">
        <v>58</v>
      </c>
      <c r="G1946" t="s">
        <v>41</v>
      </c>
      <c r="H1946" t="s">
        <v>65</v>
      </c>
      <c r="I1946" t="s">
        <v>36</v>
      </c>
      <c r="J1946" t="s">
        <v>21</v>
      </c>
      <c r="K1946">
        <v>48</v>
      </c>
      <c r="L1946">
        <v>15.82</v>
      </c>
      <c r="M1946">
        <v>5</v>
      </c>
      <c r="N1946" t="s">
        <v>22</v>
      </c>
      <c r="O1946" t="str">
        <f t="shared" si="30"/>
        <v>No</v>
      </c>
    </row>
    <row r="1947" spans="1:15" x14ac:dyDescent="0.25">
      <c r="A1947" t="s">
        <v>2008</v>
      </c>
      <c r="B1947" s="1">
        <v>45679</v>
      </c>
      <c r="C1947" s="2">
        <v>45679.794166666667</v>
      </c>
      <c r="D1947" t="s">
        <v>24</v>
      </c>
      <c r="E1947" t="s">
        <v>39</v>
      </c>
      <c r="F1947" t="s">
        <v>40</v>
      </c>
      <c r="G1947" t="s">
        <v>51</v>
      </c>
      <c r="H1947" t="s">
        <v>19</v>
      </c>
      <c r="I1947" t="s">
        <v>20</v>
      </c>
      <c r="J1947" t="s">
        <v>21</v>
      </c>
      <c r="K1947">
        <v>24</v>
      </c>
      <c r="L1947">
        <v>19.059999999999999</v>
      </c>
      <c r="M1947">
        <v>5</v>
      </c>
      <c r="N1947" t="s">
        <v>22</v>
      </c>
      <c r="O1947" t="str">
        <f t="shared" si="30"/>
        <v>No</v>
      </c>
    </row>
    <row r="1948" spans="1:15" x14ac:dyDescent="0.25">
      <c r="A1948" t="s">
        <v>2009</v>
      </c>
      <c r="B1948" s="1">
        <v>45686</v>
      </c>
      <c r="C1948" s="2">
        <v>45686.261666666665</v>
      </c>
      <c r="D1948" t="s">
        <v>24</v>
      </c>
      <c r="E1948" t="s">
        <v>16</v>
      </c>
      <c r="F1948" t="s">
        <v>17</v>
      </c>
      <c r="G1948" t="s">
        <v>34</v>
      </c>
      <c r="H1948" t="s">
        <v>65</v>
      </c>
      <c r="I1948" t="s">
        <v>28</v>
      </c>
      <c r="J1948" t="s">
        <v>29</v>
      </c>
      <c r="K1948">
        <v>24</v>
      </c>
      <c r="L1948">
        <v>6.28</v>
      </c>
      <c r="M1948">
        <v>4.3</v>
      </c>
      <c r="N1948" t="s">
        <v>22</v>
      </c>
      <c r="O1948" t="str">
        <f t="shared" si="30"/>
        <v>No</v>
      </c>
    </row>
    <row r="1949" spans="1:15" x14ac:dyDescent="0.25">
      <c r="A1949" t="s">
        <v>2010</v>
      </c>
      <c r="B1949" s="1">
        <v>45823</v>
      </c>
      <c r="C1949" s="2">
        <v>45823.345000000001</v>
      </c>
      <c r="D1949" t="s">
        <v>24</v>
      </c>
      <c r="E1949" t="s">
        <v>16</v>
      </c>
      <c r="F1949" t="s">
        <v>43</v>
      </c>
      <c r="G1949" t="s">
        <v>56</v>
      </c>
      <c r="H1949" t="s">
        <v>54</v>
      </c>
      <c r="I1949" t="s">
        <v>45</v>
      </c>
      <c r="J1949" t="s">
        <v>21</v>
      </c>
      <c r="K1949">
        <v>24</v>
      </c>
      <c r="L1949">
        <v>8.2799999999999994</v>
      </c>
      <c r="M1949">
        <v>4.8</v>
      </c>
      <c r="N1949" t="s">
        <v>22</v>
      </c>
      <c r="O1949" t="str">
        <f t="shared" si="30"/>
        <v>No</v>
      </c>
    </row>
    <row r="1950" spans="1:15" x14ac:dyDescent="0.25">
      <c r="A1950" t="s">
        <v>2011</v>
      </c>
      <c r="B1950" s="1">
        <v>45658</v>
      </c>
      <c r="C1950" s="2">
        <v>45658.746249999997</v>
      </c>
      <c r="D1950" t="s">
        <v>24</v>
      </c>
      <c r="E1950" t="s">
        <v>32</v>
      </c>
      <c r="F1950" t="s">
        <v>33</v>
      </c>
      <c r="G1950" t="s">
        <v>56</v>
      </c>
      <c r="H1950" t="s">
        <v>65</v>
      </c>
      <c r="I1950" t="s">
        <v>36</v>
      </c>
      <c r="J1950" t="s">
        <v>46</v>
      </c>
      <c r="K1950">
        <v>24</v>
      </c>
      <c r="L1950">
        <v>17.91</v>
      </c>
      <c r="M1950">
        <v>3.7</v>
      </c>
      <c r="N1950" t="s">
        <v>22</v>
      </c>
      <c r="O1950" t="str">
        <f t="shared" si="30"/>
        <v>No</v>
      </c>
    </row>
    <row r="1951" spans="1:15" x14ac:dyDescent="0.25">
      <c r="A1951" t="s">
        <v>2012</v>
      </c>
      <c r="B1951" s="1">
        <v>45716</v>
      </c>
      <c r="C1951" s="2">
        <v>45718.171666666669</v>
      </c>
      <c r="D1951" t="s">
        <v>15</v>
      </c>
      <c r="E1951" t="s">
        <v>39</v>
      </c>
      <c r="F1951" t="s">
        <v>87</v>
      </c>
      <c r="G1951" t="s">
        <v>56</v>
      </c>
      <c r="H1951" t="s">
        <v>54</v>
      </c>
      <c r="I1951" t="s">
        <v>20</v>
      </c>
      <c r="J1951" t="s">
        <v>21</v>
      </c>
      <c r="K1951">
        <v>48</v>
      </c>
      <c r="L1951">
        <v>52.12</v>
      </c>
      <c r="M1951">
        <v>4.3</v>
      </c>
      <c r="N1951" t="s">
        <v>22</v>
      </c>
      <c r="O1951" t="str">
        <f t="shared" si="30"/>
        <v>Yes</v>
      </c>
    </row>
    <row r="1952" spans="1:15" x14ac:dyDescent="0.25">
      <c r="A1952" t="s">
        <v>2013</v>
      </c>
      <c r="B1952" s="1">
        <v>45823</v>
      </c>
      <c r="C1952" s="2">
        <v>45823.151666666665</v>
      </c>
      <c r="D1952" t="s">
        <v>38</v>
      </c>
      <c r="E1952" t="s">
        <v>45</v>
      </c>
      <c r="F1952" t="s">
        <v>50</v>
      </c>
      <c r="G1952" t="s">
        <v>41</v>
      </c>
      <c r="H1952" t="s">
        <v>27</v>
      </c>
      <c r="I1952" t="s">
        <v>36</v>
      </c>
      <c r="J1952" t="s">
        <v>85</v>
      </c>
      <c r="K1952">
        <v>8</v>
      </c>
      <c r="L1952">
        <v>3.64</v>
      </c>
      <c r="M1952">
        <v>3.9</v>
      </c>
      <c r="N1952" t="s">
        <v>22</v>
      </c>
      <c r="O1952" t="str">
        <f t="shared" si="30"/>
        <v>No</v>
      </c>
    </row>
    <row r="1953" spans="1:15" x14ac:dyDescent="0.25">
      <c r="A1953" t="s">
        <v>2014</v>
      </c>
      <c r="B1953" s="1">
        <v>45768</v>
      </c>
      <c r="C1953" s="2">
        <v>45768.238333333335</v>
      </c>
      <c r="D1953" t="s">
        <v>31</v>
      </c>
      <c r="E1953" t="s">
        <v>32</v>
      </c>
      <c r="F1953" t="s">
        <v>64</v>
      </c>
      <c r="G1953" t="s">
        <v>51</v>
      </c>
      <c r="H1953" t="s">
        <v>65</v>
      </c>
      <c r="I1953" t="s">
        <v>36</v>
      </c>
      <c r="J1953" t="s">
        <v>85</v>
      </c>
      <c r="K1953">
        <v>4</v>
      </c>
      <c r="L1953">
        <v>5.72</v>
      </c>
      <c r="M1953">
        <v>3.9</v>
      </c>
      <c r="N1953" t="s">
        <v>22</v>
      </c>
      <c r="O1953" t="str">
        <f t="shared" si="30"/>
        <v>Yes</v>
      </c>
    </row>
    <row r="1954" spans="1:15" x14ac:dyDescent="0.25">
      <c r="A1954" t="s">
        <v>2015</v>
      </c>
      <c r="B1954" s="1">
        <v>45670</v>
      </c>
      <c r="C1954" s="2">
        <v>45670.573750000003</v>
      </c>
      <c r="D1954" t="s">
        <v>24</v>
      </c>
      <c r="E1954" t="s">
        <v>25</v>
      </c>
      <c r="F1954" t="s">
        <v>48</v>
      </c>
      <c r="G1954" t="s">
        <v>18</v>
      </c>
      <c r="H1954" t="s">
        <v>35</v>
      </c>
      <c r="I1954" t="s">
        <v>28</v>
      </c>
      <c r="J1954" t="s">
        <v>46</v>
      </c>
      <c r="K1954">
        <v>24</v>
      </c>
      <c r="L1954">
        <v>13.77</v>
      </c>
      <c r="M1954">
        <v>3.8</v>
      </c>
      <c r="N1954" t="s">
        <v>22</v>
      </c>
      <c r="O1954" t="str">
        <f t="shared" si="30"/>
        <v>No</v>
      </c>
    </row>
    <row r="1955" spans="1:15" x14ac:dyDescent="0.25">
      <c r="A1955" t="s">
        <v>2016</v>
      </c>
      <c r="B1955" s="1">
        <v>45742</v>
      </c>
      <c r="C1955" s="2">
        <v>45742.532083333332</v>
      </c>
      <c r="D1955" t="s">
        <v>24</v>
      </c>
      <c r="E1955" t="s">
        <v>16</v>
      </c>
      <c r="F1955" t="s">
        <v>60</v>
      </c>
      <c r="G1955" t="s">
        <v>56</v>
      </c>
      <c r="H1955" t="s">
        <v>19</v>
      </c>
      <c r="I1955" t="s">
        <v>36</v>
      </c>
      <c r="J1955" t="s">
        <v>21</v>
      </c>
      <c r="K1955">
        <v>24</v>
      </c>
      <c r="L1955">
        <v>12.77</v>
      </c>
      <c r="M1955">
        <v>4.9000000000000004</v>
      </c>
      <c r="N1955" t="s">
        <v>22</v>
      </c>
      <c r="O1955" t="str">
        <f t="shared" si="30"/>
        <v>No</v>
      </c>
    </row>
    <row r="1956" spans="1:15" x14ac:dyDescent="0.25">
      <c r="A1956" t="s">
        <v>2017</v>
      </c>
      <c r="B1956" s="1">
        <v>45833</v>
      </c>
      <c r="C1956" s="2">
        <v>45835.64166666667</v>
      </c>
      <c r="D1956" t="s">
        <v>24</v>
      </c>
      <c r="E1956" t="s">
        <v>16</v>
      </c>
      <c r="F1956" t="s">
        <v>60</v>
      </c>
      <c r="G1956" t="s">
        <v>41</v>
      </c>
      <c r="H1956" t="s">
        <v>44</v>
      </c>
      <c r="I1956" t="s">
        <v>36</v>
      </c>
      <c r="J1956" t="s">
        <v>21</v>
      </c>
      <c r="K1956">
        <v>24</v>
      </c>
      <c r="L1956">
        <v>63.4</v>
      </c>
      <c r="M1956">
        <v>2.6</v>
      </c>
      <c r="N1956" t="s">
        <v>22</v>
      </c>
      <c r="O1956" t="str">
        <f t="shared" si="30"/>
        <v>Yes</v>
      </c>
    </row>
    <row r="1957" spans="1:15" x14ac:dyDescent="0.25">
      <c r="A1957" t="s">
        <v>2018</v>
      </c>
      <c r="B1957" s="1">
        <v>45730</v>
      </c>
      <c r="C1957" s="2">
        <v>45730.667916666665</v>
      </c>
      <c r="D1957" t="s">
        <v>24</v>
      </c>
      <c r="E1957" t="s">
        <v>32</v>
      </c>
      <c r="F1957" t="s">
        <v>64</v>
      </c>
      <c r="G1957" t="s">
        <v>34</v>
      </c>
      <c r="H1957" t="s">
        <v>54</v>
      </c>
      <c r="I1957" t="s">
        <v>45</v>
      </c>
      <c r="J1957" t="s">
        <v>21</v>
      </c>
      <c r="K1957">
        <v>24</v>
      </c>
      <c r="L1957">
        <v>16.03</v>
      </c>
      <c r="M1957">
        <v>3.2</v>
      </c>
      <c r="N1957" t="s">
        <v>22</v>
      </c>
      <c r="O1957" t="str">
        <f t="shared" si="30"/>
        <v>No</v>
      </c>
    </row>
    <row r="1958" spans="1:15" x14ac:dyDescent="0.25">
      <c r="A1958" t="s">
        <v>2019</v>
      </c>
      <c r="B1958" s="1">
        <v>45753</v>
      </c>
      <c r="C1958" s="2">
        <v>45756.594583333332</v>
      </c>
      <c r="D1958" t="s">
        <v>15</v>
      </c>
      <c r="E1958" t="s">
        <v>32</v>
      </c>
      <c r="F1958" t="s">
        <v>64</v>
      </c>
      <c r="G1958" t="s">
        <v>18</v>
      </c>
      <c r="H1958" t="s">
        <v>35</v>
      </c>
      <c r="I1958" t="s">
        <v>45</v>
      </c>
      <c r="J1958" t="s">
        <v>46</v>
      </c>
      <c r="K1958">
        <v>48</v>
      </c>
      <c r="L1958">
        <v>86.27</v>
      </c>
      <c r="M1958">
        <v>2</v>
      </c>
      <c r="N1958" t="s">
        <v>22</v>
      </c>
      <c r="O1958" t="str">
        <f t="shared" si="30"/>
        <v>Yes</v>
      </c>
    </row>
    <row r="1959" spans="1:15" x14ac:dyDescent="0.25">
      <c r="A1959" t="s">
        <v>2020</v>
      </c>
      <c r="B1959" s="1">
        <v>45754</v>
      </c>
      <c r="C1959" s="2">
        <v>45756.494583333333</v>
      </c>
      <c r="D1959" t="s">
        <v>24</v>
      </c>
      <c r="E1959" t="s">
        <v>32</v>
      </c>
      <c r="F1959" t="s">
        <v>75</v>
      </c>
      <c r="G1959" t="s">
        <v>41</v>
      </c>
      <c r="H1959" t="s">
        <v>35</v>
      </c>
      <c r="I1959" t="s">
        <v>45</v>
      </c>
      <c r="J1959" t="s">
        <v>85</v>
      </c>
      <c r="K1959">
        <v>24</v>
      </c>
      <c r="L1959">
        <v>59.87</v>
      </c>
      <c r="M1959">
        <v>2.2000000000000002</v>
      </c>
      <c r="N1959" t="s">
        <v>22</v>
      </c>
      <c r="O1959" t="str">
        <f t="shared" si="30"/>
        <v>Yes</v>
      </c>
    </row>
    <row r="1960" spans="1:15" x14ac:dyDescent="0.25">
      <c r="A1960" t="s">
        <v>2021</v>
      </c>
      <c r="B1960" s="1">
        <v>45777</v>
      </c>
      <c r="C1960" s="2">
        <v>45777.354166666664</v>
      </c>
      <c r="D1960" t="s">
        <v>15</v>
      </c>
      <c r="E1960" t="s">
        <v>16</v>
      </c>
      <c r="F1960" t="s">
        <v>43</v>
      </c>
      <c r="G1960" t="s">
        <v>51</v>
      </c>
      <c r="H1960" t="s">
        <v>65</v>
      </c>
      <c r="I1960" t="s">
        <v>36</v>
      </c>
      <c r="J1960" t="s">
        <v>21</v>
      </c>
      <c r="K1960">
        <v>48</v>
      </c>
      <c r="L1960">
        <v>8.5</v>
      </c>
      <c r="M1960">
        <v>4.9000000000000004</v>
      </c>
      <c r="N1960" t="s">
        <v>22</v>
      </c>
      <c r="O1960" t="str">
        <f t="shared" si="30"/>
        <v>No</v>
      </c>
    </row>
    <row r="1961" spans="1:15" x14ac:dyDescent="0.25">
      <c r="A1961" t="s">
        <v>2022</v>
      </c>
      <c r="B1961" s="1">
        <v>45691</v>
      </c>
      <c r="C1961" s="2">
        <v>45691.085833333331</v>
      </c>
      <c r="D1961" t="s">
        <v>38</v>
      </c>
      <c r="E1961" t="s">
        <v>45</v>
      </c>
      <c r="F1961" t="s">
        <v>100</v>
      </c>
      <c r="G1961" t="s">
        <v>34</v>
      </c>
      <c r="H1961" t="s">
        <v>44</v>
      </c>
      <c r="I1961" t="s">
        <v>20</v>
      </c>
      <c r="J1961" t="s">
        <v>21</v>
      </c>
      <c r="K1961">
        <v>8</v>
      </c>
      <c r="L1961">
        <v>2.06</v>
      </c>
      <c r="M1961">
        <v>4.5</v>
      </c>
      <c r="N1961" t="s">
        <v>22</v>
      </c>
      <c r="O1961" t="str">
        <f t="shared" si="30"/>
        <v>No</v>
      </c>
    </row>
    <row r="1962" spans="1:15" x14ac:dyDescent="0.25">
      <c r="A1962" t="s">
        <v>2023</v>
      </c>
      <c r="B1962" s="1">
        <v>45809</v>
      </c>
      <c r="C1962" s="2">
        <v>45809.098333333335</v>
      </c>
      <c r="D1962" t="s">
        <v>24</v>
      </c>
      <c r="E1962" t="s">
        <v>25</v>
      </c>
      <c r="F1962" t="s">
        <v>70</v>
      </c>
      <c r="G1962" t="s">
        <v>56</v>
      </c>
      <c r="H1962" t="s">
        <v>54</v>
      </c>
      <c r="I1962" t="s">
        <v>36</v>
      </c>
      <c r="J1962" t="s">
        <v>21</v>
      </c>
      <c r="K1962">
        <v>24</v>
      </c>
      <c r="L1962">
        <v>2.36</v>
      </c>
      <c r="M1962">
        <v>4.5999999999999996</v>
      </c>
      <c r="N1962" t="s">
        <v>22</v>
      </c>
      <c r="O1962" t="str">
        <f t="shared" si="30"/>
        <v>No</v>
      </c>
    </row>
    <row r="1963" spans="1:15" x14ac:dyDescent="0.25">
      <c r="A1963" t="s">
        <v>2024</v>
      </c>
      <c r="B1963" s="1">
        <v>45836</v>
      </c>
      <c r="C1963" s="2">
        <v>45836.837083333332</v>
      </c>
      <c r="D1963" t="s">
        <v>24</v>
      </c>
      <c r="E1963" t="s">
        <v>32</v>
      </c>
      <c r="F1963" t="s">
        <v>33</v>
      </c>
      <c r="G1963" t="s">
        <v>41</v>
      </c>
      <c r="H1963" t="s">
        <v>54</v>
      </c>
      <c r="I1963" t="s">
        <v>28</v>
      </c>
      <c r="J1963" t="s">
        <v>21</v>
      </c>
      <c r="K1963">
        <v>24</v>
      </c>
      <c r="L1963">
        <v>20.09</v>
      </c>
      <c r="M1963">
        <v>3.4</v>
      </c>
      <c r="N1963" t="s">
        <v>22</v>
      </c>
      <c r="O1963" t="str">
        <f t="shared" si="30"/>
        <v>No</v>
      </c>
    </row>
    <row r="1964" spans="1:15" x14ac:dyDescent="0.25">
      <c r="A1964" t="s">
        <v>2025</v>
      </c>
      <c r="B1964" s="1">
        <v>45683</v>
      </c>
      <c r="C1964" s="2">
        <v>45683.846666666665</v>
      </c>
      <c r="D1964" t="s">
        <v>24</v>
      </c>
      <c r="E1964" t="s">
        <v>32</v>
      </c>
      <c r="F1964" t="s">
        <v>64</v>
      </c>
      <c r="G1964" t="s">
        <v>34</v>
      </c>
      <c r="H1964" t="s">
        <v>65</v>
      </c>
      <c r="I1964" t="s">
        <v>36</v>
      </c>
      <c r="J1964" t="s">
        <v>46</v>
      </c>
      <c r="K1964">
        <v>24</v>
      </c>
      <c r="L1964">
        <v>20.32</v>
      </c>
      <c r="M1964">
        <v>4.2</v>
      </c>
      <c r="N1964" t="s">
        <v>22</v>
      </c>
      <c r="O1964" t="str">
        <f t="shared" si="30"/>
        <v>No</v>
      </c>
    </row>
    <row r="1965" spans="1:15" x14ac:dyDescent="0.25">
      <c r="A1965" t="s">
        <v>2026</v>
      </c>
      <c r="B1965" s="1">
        <v>45806</v>
      </c>
      <c r="C1965" s="2">
        <v>45806.052083333336</v>
      </c>
      <c r="D1965" t="s">
        <v>31</v>
      </c>
      <c r="E1965" t="s">
        <v>32</v>
      </c>
      <c r="F1965" t="s">
        <v>80</v>
      </c>
      <c r="G1965" t="s">
        <v>18</v>
      </c>
      <c r="H1965" t="s">
        <v>27</v>
      </c>
      <c r="I1965" t="s">
        <v>36</v>
      </c>
      <c r="J1965" t="s">
        <v>21</v>
      </c>
      <c r="K1965">
        <v>4</v>
      </c>
      <c r="L1965">
        <v>1.25</v>
      </c>
      <c r="M1965">
        <v>4</v>
      </c>
      <c r="N1965" t="s">
        <v>22</v>
      </c>
      <c r="O1965" t="str">
        <f t="shared" si="30"/>
        <v>No</v>
      </c>
    </row>
    <row r="1966" spans="1:15" x14ac:dyDescent="0.25">
      <c r="A1966" t="s">
        <v>2027</v>
      </c>
      <c r="B1966" s="1">
        <v>45805</v>
      </c>
      <c r="C1966" s="2">
        <v>45805.079583333332</v>
      </c>
      <c r="D1966" t="s">
        <v>15</v>
      </c>
      <c r="E1966" t="s">
        <v>45</v>
      </c>
      <c r="F1966" t="s">
        <v>100</v>
      </c>
      <c r="G1966" t="s">
        <v>18</v>
      </c>
      <c r="H1966" t="s">
        <v>54</v>
      </c>
      <c r="I1966" t="s">
        <v>45</v>
      </c>
      <c r="J1966" t="s">
        <v>29</v>
      </c>
      <c r="K1966">
        <v>48</v>
      </c>
      <c r="L1966">
        <v>1.91</v>
      </c>
      <c r="M1966">
        <v>5</v>
      </c>
      <c r="N1966" t="s">
        <v>22</v>
      </c>
      <c r="O1966" t="str">
        <f t="shared" si="30"/>
        <v>No</v>
      </c>
    </row>
    <row r="1967" spans="1:15" x14ac:dyDescent="0.25">
      <c r="A1967" t="s">
        <v>2028</v>
      </c>
      <c r="B1967" s="1">
        <v>45792</v>
      </c>
      <c r="C1967" s="2">
        <v>45793.385833333334</v>
      </c>
      <c r="D1967" t="s">
        <v>15</v>
      </c>
      <c r="E1967" t="s">
        <v>32</v>
      </c>
      <c r="F1967" t="s">
        <v>33</v>
      </c>
      <c r="G1967" t="s">
        <v>51</v>
      </c>
      <c r="H1967" t="s">
        <v>27</v>
      </c>
      <c r="I1967" t="s">
        <v>36</v>
      </c>
      <c r="J1967" t="s">
        <v>21</v>
      </c>
      <c r="K1967">
        <v>48</v>
      </c>
      <c r="L1967">
        <v>33.26</v>
      </c>
      <c r="M1967">
        <v>3.8</v>
      </c>
      <c r="N1967" t="s">
        <v>22</v>
      </c>
      <c r="O1967" t="str">
        <f t="shared" si="30"/>
        <v>No</v>
      </c>
    </row>
    <row r="1968" spans="1:15" x14ac:dyDescent="0.25">
      <c r="A1968" t="s">
        <v>2029</v>
      </c>
      <c r="B1968" s="1">
        <v>45725</v>
      </c>
      <c r="C1968" s="2">
        <v>45725.217916666668</v>
      </c>
      <c r="D1968" t="s">
        <v>15</v>
      </c>
      <c r="E1968" t="s">
        <v>32</v>
      </c>
      <c r="F1968" t="s">
        <v>75</v>
      </c>
      <c r="G1968" t="s">
        <v>18</v>
      </c>
      <c r="H1968" t="s">
        <v>27</v>
      </c>
      <c r="I1968" t="s">
        <v>45</v>
      </c>
      <c r="J1968" t="s">
        <v>21</v>
      </c>
      <c r="K1968">
        <v>48</v>
      </c>
      <c r="L1968">
        <v>5.23</v>
      </c>
      <c r="M1968">
        <v>4.5999999999999996</v>
      </c>
      <c r="N1968" t="s">
        <v>22</v>
      </c>
      <c r="O1968" t="str">
        <f t="shared" si="30"/>
        <v>No</v>
      </c>
    </row>
    <row r="1969" spans="1:15" x14ac:dyDescent="0.25">
      <c r="A1969" t="s">
        <v>2030</v>
      </c>
      <c r="B1969" s="1">
        <v>45742</v>
      </c>
      <c r="C1969" s="2">
        <v>45742.426249999997</v>
      </c>
      <c r="D1969" t="s">
        <v>24</v>
      </c>
      <c r="E1969" t="s">
        <v>16</v>
      </c>
      <c r="F1969" t="s">
        <v>43</v>
      </c>
      <c r="G1969" t="s">
        <v>41</v>
      </c>
      <c r="H1969" t="s">
        <v>35</v>
      </c>
      <c r="I1969" t="s">
        <v>36</v>
      </c>
      <c r="J1969" t="s">
        <v>21</v>
      </c>
      <c r="K1969">
        <v>24</v>
      </c>
      <c r="L1969">
        <v>10.23</v>
      </c>
      <c r="M1969">
        <v>5</v>
      </c>
      <c r="N1969" t="s">
        <v>22</v>
      </c>
      <c r="O1969" t="str">
        <f t="shared" si="30"/>
        <v>No</v>
      </c>
    </row>
    <row r="1970" spans="1:15" x14ac:dyDescent="0.25">
      <c r="A1970" t="s">
        <v>2031</v>
      </c>
      <c r="B1970" s="1">
        <v>45809</v>
      </c>
      <c r="C1970" s="2">
        <v>45809.145416666666</v>
      </c>
      <c r="D1970" t="s">
        <v>31</v>
      </c>
      <c r="E1970" t="s">
        <v>16</v>
      </c>
      <c r="F1970" t="s">
        <v>17</v>
      </c>
      <c r="G1970" t="s">
        <v>51</v>
      </c>
      <c r="H1970" t="s">
        <v>19</v>
      </c>
      <c r="I1970" t="s">
        <v>36</v>
      </c>
      <c r="J1970" t="s">
        <v>46</v>
      </c>
      <c r="K1970">
        <v>4</v>
      </c>
      <c r="L1970">
        <v>3.49</v>
      </c>
      <c r="M1970">
        <v>4.5999999999999996</v>
      </c>
      <c r="N1970" t="s">
        <v>22</v>
      </c>
      <c r="O1970" t="str">
        <f t="shared" si="30"/>
        <v>No</v>
      </c>
    </row>
    <row r="1971" spans="1:15" x14ac:dyDescent="0.25">
      <c r="A1971" t="s">
        <v>2032</v>
      </c>
      <c r="B1971" s="1">
        <v>45685</v>
      </c>
      <c r="C1971" s="2">
        <v>45686.123749999999</v>
      </c>
      <c r="D1971" t="s">
        <v>15</v>
      </c>
      <c r="E1971" t="s">
        <v>32</v>
      </c>
      <c r="F1971" t="s">
        <v>33</v>
      </c>
      <c r="G1971" t="s">
        <v>18</v>
      </c>
      <c r="H1971" t="s">
        <v>35</v>
      </c>
      <c r="I1971" t="s">
        <v>36</v>
      </c>
      <c r="J1971" t="s">
        <v>46</v>
      </c>
      <c r="K1971">
        <v>48</v>
      </c>
      <c r="L1971">
        <v>26.97</v>
      </c>
      <c r="M1971">
        <v>3.7</v>
      </c>
      <c r="N1971" t="s">
        <v>22</v>
      </c>
      <c r="O1971" t="str">
        <f t="shared" si="30"/>
        <v>No</v>
      </c>
    </row>
    <row r="1972" spans="1:15" x14ac:dyDescent="0.25">
      <c r="A1972" t="s">
        <v>2033</v>
      </c>
      <c r="B1972" s="1">
        <v>45808</v>
      </c>
      <c r="C1972" s="2">
        <v>45808.359583333331</v>
      </c>
      <c r="D1972" t="s">
        <v>38</v>
      </c>
      <c r="E1972" t="s">
        <v>16</v>
      </c>
      <c r="F1972" t="s">
        <v>58</v>
      </c>
      <c r="G1972" t="s">
        <v>34</v>
      </c>
      <c r="H1972" t="s">
        <v>44</v>
      </c>
      <c r="I1972" t="s">
        <v>36</v>
      </c>
      <c r="J1972" t="s">
        <v>29</v>
      </c>
      <c r="K1972">
        <v>8</v>
      </c>
      <c r="L1972">
        <v>8.6300000000000008</v>
      </c>
      <c r="M1972">
        <v>3.1</v>
      </c>
      <c r="N1972" t="s">
        <v>22</v>
      </c>
      <c r="O1972" t="str">
        <f t="shared" si="30"/>
        <v>Yes</v>
      </c>
    </row>
    <row r="1973" spans="1:15" x14ac:dyDescent="0.25">
      <c r="A1973" t="s">
        <v>2034</v>
      </c>
      <c r="B1973" s="1">
        <v>45824</v>
      </c>
      <c r="C1973" s="2">
        <v>45824.812083333331</v>
      </c>
      <c r="D1973" t="s">
        <v>15</v>
      </c>
      <c r="E1973" t="s">
        <v>32</v>
      </c>
      <c r="F1973" t="s">
        <v>75</v>
      </c>
      <c r="G1973" t="s">
        <v>41</v>
      </c>
      <c r="H1973" t="s">
        <v>27</v>
      </c>
      <c r="I1973" t="s">
        <v>36</v>
      </c>
      <c r="J1973" t="s">
        <v>21</v>
      </c>
      <c r="K1973">
        <v>48</v>
      </c>
      <c r="L1973">
        <v>19.489999999999998</v>
      </c>
      <c r="M1973">
        <v>5</v>
      </c>
      <c r="N1973" t="s">
        <v>22</v>
      </c>
      <c r="O1973" t="str">
        <f t="shared" si="30"/>
        <v>No</v>
      </c>
    </row>
    <row r="1974" spans="1:15" x14ac:dyDescent="0.25">
      <c r="A1974" t="s">
        <v>2035</v>
      </c>
      <c r="B1974" s="1">
        <v>45781</v>
      </c>
      <c r="C1974" s="2">
        <v>45781.268750000003</v>
      </c>
      <c r="D1974" t="s">
        <v>24</v>
      </c>
      <c r="E1974" t="s">
        <v>32</v>
      </c>
      <c r="F1974" t="s">
        <v>80</v>
      </c>
      <c r="G1974" t="s">
        <v>34</v>
      </c>
      <c r="H1974" t="s">
        <v>44</v>
      </c>
      <c r="I1974" t="s">
        <v>36</v>
      </c>
      <c r="J1974" t="s">
        <v>21</v>
      </c>
      <c r="K1974">
        <v>24</v>
      </c>
      <c r="L1974">
        <v>6.45</v>
      </c>
      <c r="M1974">
        <v>3.7</v>
      </c>
      <c r="N1974" t="s">
        <v>22</v>
      </c>
      <c r="O1974" t="str">
        <f t="shared" si="30"/>
        <v>No</v>
      </c>
    </row>
    <row r="1975" spans="1:15" x14ac:dyDescent="0.25">
      <c r="A1975" t="s">
        <v>2036</v>
      </c>
      <c r="B1975" s="1">
        <v>45719</v>
      </c>
      <c r="C1975" s="2">
        <v>45719.447500000002</v>
      </c>
      <c r="D1975" t="s">
        <v>15</v>
      </c>
      <c r="E1975" t="s">
        <v>32</v>
      </c>
      <c r="F1975" t="s">
        <v>33</v>
      </c>
      <c r="G1975" t="s">
        <v>51</v>
      </c>
      <c r="H1975" t="s">
        <v>19</v>
      </c>
      <c r="I1975" t="s">
        <v>36</v>
      </c>
      <c r="J1975" t="s">
        <v>46</v>
      </c>
      <c r="K1975">
        <v>48</v>
      </c>
      <c r="L1975">
        <v>10.74</v>
      </c>
      <c r="M1975">
        <v>5</v>
      </c>
      <c r="N1975" t="s">
        <v>22</v>
      </c>
      <c r="O1975" t="str">
        <f t="shared" si="30"/>
        <v>No</v>
      </c>
    </row>
    <row r="1976" spans="1:15" x14ac:dyDescent="0.25">
      <c r="A1976" t="s">
        <v>2037</v>
      </c>
      <c r="B1976" s="1">
        <v>45759</v>
      </c>
      <c r="C1976" s="2">
        <v>45759.854583333334</v>
      </c>
      <c r="D1976" t="s">
        <v>24</v>
      </c>
      <c r="E1976" t="s">
        <v>39</v>
      </c>
      <c r="F1976" t="s">
        <v>78</v>
      </c>
      <c r="G1976" t="s">
        <v>18</v>
      </c>
      <c r="H1976" t="s">
        <v>54</v>
      </c>
      <c r="I1976" t="s">
        <v>20</v>
      </c>
      <c r="J1976" t="s">
        <v>85</v>
      </c>
      <c r="K1976">
        <v>24</v>
      </c>
      <c r="L1976">
        <v>20.51</v>
      </c>
      <c r="M1976">
        <v>4.0999999999999996</v>
      </c>
      <c r="N1976" t="s">
        <v>22</v>
      </c>
      <c r="O1976" t="str">
        <f t="shared" si="30"/>
        <v>No</v>
      </c>
    </row>
    <row r="1977" spans="1:15" x14ac:dyDescent="0.25">
      <c r="A1977" t="s">
        <v>2038</v>
      </c>
      <c r="B1977" s="1">
        <v>45667</v>
      </c>
      <c r="C1977" s="2">
        <v>45667.47</v>
      </c>
      <c r="D1977" t="s">
        <v>24</v>
      </c>
      <c r="E1977" t="s">
        <v>45</v>
      </c>
      <c r="F1977" t="s">
        <v>112</v>
      </c>
      <c r="G1977" t="s">
        <v>56</v>
      </c>
      <c r="H1977" t="s">
        <v>65</v>
      </c>
      <c r="I1977" t="s">
        <v>20</v>
      </c>
      <c r="J1977" t="s">
        <v>21</v>
      </c>
      <c r="K1977">
        <v>24</v>
      </c>
      <c r="L1977">
        <v>11.28</v>
      </c>
      <c r="M1977">
        <v>4.0999999999999996</v>
      </c>
      <c r="N1977" t="s">
        <v>22</v>
      </c>
      <c r="O1977" t="str">
        <f t="shared" si="30"/>
        <v>No</v>
      </c>
    </row>
    <row r="1978" spans="1:15" x14ac:dyDescent="0.25">
      <c r="A1978" t="s">
        <v>2039</v>
      </c>
      <c r="B1978" s="1">
        <v>45826</v>
      </c>
      <c r="C1978" s="2">
        <v>45826.256666666668</v>
      </c>
      <c r="D1978" t="s">
        <v>24</v>
      </c>
      <c r="E1978" t="s">
        <v>16</v>
      </c>
      <c r="F1978" t="s">
        <v>43</v>
      </c>
      <c r="G1978" t="s">
        <v>34</v>
      </c>
      <c r="H1978" t="s">
        <v>19</v>
      </c>
      <c r="I1978" t="s">
        <v>36</v>
      </c>
      <c r="J1978" t="s">
        <v>21</v>
      </c>
      <c r="K1978">
        <v>24</v>
      </c>
      <c r="L1978">
        <v>6.16</v>
      </c>
      <c r="M1978">
        <v>4.7</v>
      </c>
      <c r="N1978" t="s">
        <v>22</v>
      </c>
      <c r="O1978" t="str">
        <f t="shared" si="30"/>
        <v>No</v>
      </c>
    </row>
    <row r="1979" spans="1:15" x14ac:dyDescent="0.25">
      <c r="A1979" t="s">
        <v>2040</v>
      </c>
      <c r="B1979" s="1">
        <v>45719</v>
      </c>
      <c r="C1979" s="2">
        <v>45720.33666666667</v>
      </c>
      <c r="D1979" t="s">
        <v>15</v>
      </c>
      <c r="E1979" t="s">
        <v>25</v>
      </c>
      <c r="F1979" t="s">
        <v>26</v>
      </c>
      <c r="G1979" t="s">
        <v>41</v>
      </c>
      <c r="H1979" t="s">
        <v>54</v>
      </c>
      <c r="I1979" t="s">
        <v>36</v>
      </c>
      <c r="J1979" t="s">
        <v>21</v>
      </c>
      <c r="K1979">
        <v>48</v>
      </c>
      <c r="L1979">
        <v>32.08</v>
      </c>
      <c r="M1979">
        <v>5</v>
      </c>
      <c r="N1979" t="s">
        <v>22</v>
      </c>
      <c r="O1979" t="str">
        <f t="shared" si="30"/>
        <v>No</v>
      </c>
    </row>
    <row r="1980" spans="1:15" x14ac:dyDescent="0.25">
      <c r="A1980" t="s">
        <v>2041</v>
      </c>
      <c r="B1980" s="1">
        <v>45668</v>
      </c>
      <c r="C1980" s="2">
        <v>45668.029166666667</v>
      </c>
      <c r="D1980" t="s">
        <v>38</v>
      </c>
      <c r="E1980" t="s">
        <v>39</v>
      </c>
      <c r="F1980" t="s">
        <v>40</v>
      </c>
      <c r="G1980" t="s">
        <v>34</v>
      </c>
      <c r="H1980" t="s">
        <v>44</v>
      </c>
      <c r="I1980" t="s">
        <v>36</v>
      </c>
      <c r="J1980" t="s">
        <v>46</v>
      </c>
      <c r="K1980">
        <v>8</v>
      </c>
      <c r="L1980">
        <v>0.7</v>
      </c>
      <c r="M1980">
        <v>3.5</v>
      </c>
      <c r="N1980" t="s">
        <v>22</v>
      </c>
      <c r="O1980" t="str">
        <f t="shared" si="30"/>
        <v>No</v>
      </c>
    </row>
    <row r="1981" spans="1:15" x14ac:dyDescent="0.25">
      <c r="A1981" t="s">
        <v>2042</v>
      </c>
      <c r="B1981" s="1">
        <v>45801</v>
      </c>
      <c r="C1981" s="2">
        <v>45801.087500000001</v>
      </c>
      <c r="D1981" t="s">
        <v>31</v>
      </c>
      <c r="E1981" t="s">
        <v>16</v>
      </c>
      <c r="F1981" t="s">
        <v>17</v>
      </c>
      <c r="G1981" t="s">
        <v>56</v>
      </c>
      <c r="H1981" t="s">
        <v>44</v>
      </c>
      <c r="I1981" t="s">
        <v>36</v>
      </c>
      <c r="J1981" t="s">
        <v>21</v>
      </c>
      <c r="K1981">
        <v>4</v>
      </c>
      <c r="L1981">
        <v>2.1</v>
      </c>
      <c r="M1981">
        <v>5</v>
      </c>
      <c r="N1981" t="s">
        <v>22</v>
      </c>
      <c r="O1981" t="str">
        <f t="shared" si="30"/>
        <v>No</v>
      </c>
    </row>
    <row r="1982" spans="1:15" x14ac:dyDescent="0.25">
      <c r="A1982" t="s">
        <v>2043</v>
      </c>
      <c r="B1982" s="1">
        <v>45777</v>
      </c>
      <c r="C1982" s="2">
        <v>45777.62</v>
      </c>
      <c r="D1982" t="s">
        <v>24</v>
      </c>
      <c r="E1982" t="s">
        <v>45</v>
      </c>
      <c r="F1982" t="s">
        <v>100</v>
      </c>
      <c r="G1982" t="s">
        <v>34</v>
      </c>
      <c r="H1982" t="s">
        <v>35</v>
      </c>
      <c r="I1982" t="s">
        <v>45</v>
      </c>
      <c r="J1982" t="s">
        <v>21</v>
      </c>
      <c r="K1982">
        <v>24</v>
      </c>
      <c r="L1982">
        <v>14.88</v>
      </c>
      <c r="M1982">
        <v>5</v>
      </c>
      <c r="N1982" t="s">
        <v>22</v>
      </c>
      <c r="O1982" t="str">
        <f t="shared" si="30"/>
        <v>No</v>
      </c>
    </row>
    <row r="1983" spans="1:15" x14ac:dyDescent="0.25">
      <c r="A1983" t="s">
        <v>2044</v>
      </c>
      <c r="B1983" s="1">
        <v>45770</v>
      </c>
      <c r="C1983" s="2">
        <v>45770.686249999999</v>
      </c>
      <c r="D1983" t="s">
        <v>24</v>
      </c>
      <c r="E1983" t="s">
        <v>39</v>
      </c>
      <c r="F1983" t="s">
        <v>40</v>
      </c>
      <c r="G1983" t="s">
        <v>18</v>
      </c>
      <c r="H1983" t="s">
        <v>65</v>
      </c>
      <c r="I1983" t="s">
        <v>36</v>
      </c>
      <c r="J1983" t="s">
        <v>21</v>
      </c>
      <c r="K1983">
        <v>24</v>
      </c>
      <c r="L1983">
        <v>16.47</v>
      </c>
      <c r="M1983">
        <v>4</v>
      </c>
      <c r="N1983" t="s">
        <v>22</v>
      </c>
      <c r="O1983" t="str">
        <f t="shared" si="30"/>
        <v>No</v>
      </c>
    </row>
    <row r="1984" spans="1:15" x14ac:dyDescent="0.25">
      <c r="A1984" t="s">
        <v>2045</v>
      </c>
      <c r="B1984" s="1">
        <v>45667</v>
      </c>
      <c r="C1984" s="2">
        <v>45667.478750000002</v>
      </c>
      <c r="D1984" t="s">
        <v>38</v>
      </c>
      <c r="E1984" t="s">
        <v>45</v>
      </c>
      <c r="F1984" t="s">
        <v>112</v>
      </c>
      <c r="G1984" t="s">
        <v>51</v>
      </c>
      <c r="H1984" t="s">
        <v>54</v>
      </c>
      <c r="I1984" t="s">
        <v>28</v>
      </c>
      <c r="J1984" t="s">
        <v>46</v>
      </c>
      <c r="K1984">
        <v>8</v>
      </c>
      <c r="L1984">
        <v>11.49</v>
      </c>
      <c r="M1984">
        <v>3.2</v>
      </c>
      <c r="N1984" t="s">
        <v>22</v>
      </c>
      <c r="O1984" t="str">
        <f t="shared" si="30"/>
        <v>Yes</v>
      </c>
    </row>
    <row r="1985" spans="1:15" x14ac:dyDescent="0.25">
      <c r="A1985" t="s">
        <v>2046</v>
      </c>
      <c r="B1985" s="1">
        <v>45793</v>
      </c>
      <c r="C1985" s="2">
        <v>45793.775833333333</v>
      </c>
      <c r="D1985" t="s">
        <v>15</v>
      </c>
      <c r="E1985" t="s">
        <v>16</v>
      </c>
      <c r="F1985" t="s">
        <v>17</v>
      </c>
      <c r="G1985" t="s">
        <v>34</v>
      </c>
      <c r="H1985" t="s">
        <v>19</v>
      </c>
      <c r="I1985" t="s">
        <v>20</v>
      </c>
      <c r="J1985" t="s">
        <v>21</v>
      </c>
      <c r="K1985">
        <v>48</v>
      </c>
      <c r="L1985">
        <v>18.62</v>
      </c>
      <c r="M1985">
        <v>4.5999999999999996</v>
      </c>
      <c r="N1985" t="s">
        <v>22</v>
      </c>
      <c r="O1985" t="str">
        <f t="shared" si="30"/>
        <v>No</v>
      </c>
    </row>
    <row r="1986" spans="1:15" x14ac:dyDescent="0.25">
      <c r="A1986" t="s">
        <v>2047</v>
      </c>
      <c r="B1986" s="1">
        <v>45773</v>
      </c>
      <c r="C1986" s="2">
        <v>45773.209166666667</v>
      </c>
      <c r="D1986" t="s">
        <v>38</v>
      </c>
      <c r="E1986" t="s">
        <v>25</v>
      </c>
      <c r="F1986" t="s">
        <v>26</v>
      </c>
      <c r="G1986" t="s">
        <v>18</v>
      </c>
      <c r="H1986" t="s">
        <v>65</v>
      </c>
      <c r="I1986" t="s">
        <v>36</v>
      </c>
      <c r="J1986" t="s">
        <v>21</v>
      </c>
      <c r="K1986">
        <v>8</v>
      </c>
      <c r="L1986">
        <v>5.0199999999999996</v>
      </c>
      <c r="M1986">
        <v>4.7</v>
      </c>
      <c r="N1986" t="s">
        <v>22</v>
      </c>
      <c r="O1986" t="str">
        <f t="shared" si="30"/>
        <v>No</v>
      </c>
    </row>
    <row r="1987" spans="1:15" x14ac:dyDescent="0.25">
      <c r="A1987" t="s">
        <v>2048</v>
      </c>
      <c r="B1987" s="1">
        <v>45801</v>
      </c>
      <c r="C1987" s="2">
        <v>45802.412499999999</v>
      </c>
      <c r="D1987" t="s">
        <v>15</v>
      </c>
      <c r="E1987" t="s">
        <v>32</v>
      </c>
      <c r="F1987" t="s">
        <v>75</v>
      </c>
      <c r="G1987" t="s">
        <v>41</v>
      </c>
      <c r="H1987" t="s">
        <v>44</v>
      </c>
      <c r="I1987" t="s">
        <v>36</v>
      </c>
      <c r="J1987" t="s">
        <v>46</v>
      </c>
      <c r="K1987">
        <v>48</v>
      </c>
      <c r="L1987">
        <v>33.9</v>
      </c>
      <c r="M1987">
        <v>3.7</v>
      </c>
      <c r="N1987" t="s">
        <v>22</v>
      </c>
      <c r="O1987" t="str">
        <f t="shared" ref="O1987:O2050" si="31">IF(L1987&gt;K1987,"Yes","No")</f>
        <v>No</v>
      </c>
    </row>
    <row r="1988" spans="1:15" x14ac:dyDescent="0.25">
      <c r="A1988" t="s">
        <v>2049</v>
      </c>
      <c r="B1988" s="1">
        <v>45807</v>
      </c>
      <c r="C1988" s="2">
        <v>45807.158333333333</v>
      </c>
      <c r="D1988" t="s">
        <v>38</v>
      </c>
      <c r="E1988" t="s">
        <v>16</v>
      </c>
      <c r="F1988" t="s">
        <v>17</v>
      </c>
      <c r="G1988" t="s">
        <v>18</v>
      </c>
      <c r="H1988" t="s">
        <v>44</v>
      </c>
      <c r="I1988" t="s">
        <v>36</v>
      </c>
      <c r="J1988" t="s">
        <v>21</v>
      </c>
      <c r="K1988">
        <v>8</v>
      </c>
      <c r="L1988">
        <v>3.8</v>
      </c>
      <c r="M1988">
        <v>4.4000000000000004</v>
      </c>
      <c r="N1988" t="s">
        <v>22</v>
      </c>
      <c r="O1988" t="str">
        <f t="shared" si="31"/>
        <v>No</v>
      </c>
    </row>
    <row r="1989" spans="1:15" x14ac:dyDescent="0.25">
      <c r="A1989" t="s">
        <v>2050</v>
      </c>
      <c r="B1989" s="1">
        <v>45696</v>
      </c>
      <c r="C1989" s="2">
        <v>45696.315821759257</v>
      </c>
      <c r="D1989" t="s">
        <v>15</v>
      </c>
      <c r="E1989" t="s">
        <v>16</v>
      </c>
      <c r="F1989" t="s">
        <v>60</v>
      </c>
      <c r="G1989" t="s">
        <v>56</v>
      </c>
      <c r="H1989" t="s">
        <v>19</v>
      </c>
      <c r="I1989" t="s">
        <v>36</v>
      </c>
      <c r="J1989" t="s">
        <v>21</v>
      </c>
      <c r="K1989">
        <v>48</v>
      </c>
      <c r="L1989">
        <v>7.58</v>
      </c>
      <c r="M1989">
        <v>4.7</v>
      </c>
      <c r="N1989" t="s">
        <v>22</v>
      </c>
      <c r="O1989" t="str">
        <f t="shared" si="31"/>
        <v>No</v>
      </c>
    </row>
    <row r="1990" spans="1:15" x14ac:dyDescent="0.25">
      <c r="A1990" t="s">
        <v>2051</v>
      </c>
      <c r="B1990" s="1">
        <v>45696</v>
      </c>
      <c r="C1990" s="2">
        <v>45697.83</v>
      </c>
      <c r="D1990" t="s">
        <v>15</v>
      </c>
      <c r="E1990" t="s">
        <v>45</v>
      </c>
      <c r="F1990" t="s">
        <v>50</v>
      </c>
      <c r="G1990" t="s">
        <v>51</v>
      </c>
      <c r="H1990" t="s">
        <v>54</v>
      </c>
      <c r="I1990" t="s">
        <v>45</v>
      </c>
      <c r="J1990" t="s">
        <v>21</v>
      </c>
      <c r="K1990">
        <v>48</v>
      </c>
      <c r="L1990">
        <v>43.92</v>
      </c>
      <c r="M1990">
        <v>4.3</v>
      </c>
      <c r="N1990" t="s">
        <v>22</v>
      </c>
      <c r="O1990" t="str">
        <f t="shared" si="31"/>
        <v>No</v>
      </c>
    </row>
    <row r="1991" spans="1:15" x14ac:dyDescent="0.25">
      <c r="A1991" t="s">
        <v>2052</v>
      </c>
      <c r="B1991" s="1">
        <v>45825</v>
      </c>
      <c r="C1991" s="2">
        <v>45825.039166666669</v>
      </c>
      <c r="D1991" t="s">
        <v>24</v>
      </c>
      <c r="E1991" t="s">
        <v>45</v>
      </c>
      <c r="F1991" t="s">
        <v>104</v>
      </c>
      <c r="G1991" t="s">
        <v>56</v>
      </c>
      <c r="H1991" t="s">
        <v>65</v>
      </c>
      <c r="I1991" t="s">
        <v>36</v>
      </c>
      <c r="J1991" t="s">
        <v>21</v>
      </c>
      <c r="K1991">
        <v>24</v>
      </c>
      <c r="L1991">
        <v>0.94</v>
      </c>
      <c r="M1991">
        <v>5</v>
      </c>
      <c r="N1991" t="s">
        <v>22</v>
      </c>
      <c r="O1991" t="str">
        <f t="shared" si="31"/>
        <v>No</v>
      </c>
    </row>
    <row r="1992" spans="1:15" x14ac:dyDescent="0.25">
      <c r="A1992" t="s">
        <v>2053</v>
      </c>
      <c r="B1992" s="1">
        <v>45754</v>
      </c>
      <c r="C1992" s="2">
        <v>45754.168333333335</v>
      </c>
      <c r="D1992" t="s">
        <v>24</v>
      </c>
      <c r="E1992" t="s">
        <v>39</v>
      </c>
      <c r="F1992" t="s">
        <v>119</v>
      </c>
      <c r="G1992" t="s">
        <v>34</v>
      </c>
      <c r="H1992" t="s">
        <v>44</v>
      </c>
      <c r="I1992" t="s">
        <v>36</v>
      </c>
      <c r="J1992" t="s">
        <v>21</v>
      </c>
      <c r="K1992">
        <v>24</v>
      </c>
      <c r="L1992">
        <v>4.04</v>
      </c>
      <c r="M1992">
        <v>4.3</v>
      </c>
      <c r="N1992" t="s">
        <v>22</v>
      </c>
      <c r="O1992" t="str">
        <f t="shared" si="31"/>
        <v>No</v>
      </c>
    </row>
    <row r="1993" spans="1:15" x14ac:dyDescent="0.25">
      <c r="A1993" t="s">
        <v>2054</v>
      </c>
      <c r="B1993" s="1">
        <v>45737</v>
      </c>
      <c r="C1993" s="2">
        <v>45737.126250000001</v>
      </c>
      <c r="D1993" t="s">
        <v>38</v>
      </c>
      <c r="E1993" t="s">
        <v>45</v>
      </c>
      <c r="F1993" t="s">
        <v>50</v>
      </c>
      <c r="G1993" t="s">
        <v>56</v>
      </c>
      <c r="H1993" t="s">
        <v>35</v>
      </c>
      <c r="I1993" t="s">
        <v>36</v>
      </c>
      <c r="J1993" t="s">
        <v>21</v>
      </c>
      <c r="K1993">
        <v>8</v>
      </c>
      <c r="L1993">
        <v>3.03</v>
      </c>
      <c r="M1993">
        <v>4.5999999999999996</v>
      </c>
      <c r="N1993" t="s">
        <v>22</v>
      </c>
      <c r="O1993" t="str">
        <f t="shared" si="31"/>
        <v>No</v>
      </c>
    </row>
    <row r="1994" spans="1:15" x14ac:dyDescent="0.25">
      <c r="A1994" t="s">
        <v>2055</v>
      </c>
      <c r="B1994" s="1">
        <v>45709</v>
      </c>
      <c r="C1994" s="2">
        <v>45709.027916666666</v>
      </c>
      <c r="D1994" t="s">
        <v>31</v>
      </c>
      <c r="E1994" t="s">
        <v>45</v>
      </c>
      <c r="F1994" t="s">
        <v>50</v>
      </c>
      <c r="G1994" t="s">
        <v>51</v>
      </c>
      <c r="H1994" t="s">
        <v>44</v>
      </c>
      <c r="I1994" t="s">
        <v>45</v>
      </c>
      <c r="J1994" t="s">
        <v>21</v>
      </c>
      <c r="K1994">
        <v>4</v>
      </c>
      <c r="L1994">
        <v>0.67</v>
      </c>
      <c r="M1994">
        <v>4.3</v>
      </c>
      <c r="N1994" t="s">
        <v>22</v>
      </c>
      <c r="O1994" t="str">
        <f t="shared" si="31"/>
        <v>No</v>
      </c>
    </row>
    <row r="1995" spans="1:15" x14ac:dyDescent="0.25">
      <c r="A1995" t="s">
        <v>2056</v>
      </c>
      <c r="B1995" s="1">
        <v>45773</v>
      </c>
      <c r="C1995" s="2">
        <v>45774.04791666667</v>
      </c>
      <c r="D1995" t="s">
        <v>15</v>
      </c>
      <c r="E1995" t="s">
        <v>16</v>
      </c>
      <c r="F1995" t="s">
        <v>60</v>
      </c>
      <c r="G1995" t="s">
        <v>34</v>
      </c>
      <c r="H1995" t="s">
        <v>44</v>
      </c>
      <c r="I1995" t="s">
        <v>36</v>
      </c>
      <c r="J1995" t="s">
        <v>46</v>
      </c>
      <c r="K1995">
        <v>48</v>
      </c>
      <c r="L1995">
        <v>25.15</v>
      </c>
      <c r="M1995">
        <v>4.0999999999999996</v>
      </c>
      <c r="N1995" t="s">
        <v>22</v>
      </c>
      <c r="O1995" t="str">
        <f t="shared" si="31"/>
        <v>No</v>
      </c>
    </row>
    <row r="1996" spans="1:15" x14ac:dyDescent="0.25">
      <c r="A1996" t="s">
        <v>2057</v>
      </c>
      <c r="B1996" s="1">
        <v>45794</v>
      </c>
      <c r="C1996" s="2">
        <v>45796.310416666667</v>
      </c>
      <c r="D1996" t="s">
        <v>15</v>
      </c>
      <c r="E1996" t="s">
        <v>32</v>
      </c>
      <c r="F1996" t="s">
        <v>64</v>
      </c>
      <c r="G1996" t="s">
        <v>34</v>
      </c>
      <c r="H1996" t="s">
        <v>54</v>
      </c>
      <c r="I1996" t="s">
        <v>28</v>
      </c>
      <c r="J1996" t="s">
        <v>46</v>
      </c>
      <c r="K1996">
        <v>48</v>
      </c>
      <c r="L1996">
        <v>55.45</v>
      </c>
      <c r="M1996">
        <v>2.9</v>
      </c>
      <c r="N1996" t="s">
        <v>61</v>
      </c>
      <c r="O1996" t="str">
        <f t="shared" si="31"/>
        <v>Yes</v>
      </c>
    </row>
    <row r="1997" spans="1:15" x14ac:dyDescent="0.25">
      <c r="A1997" t="s">
        <v>2058</v>
      </c>
      <c r="B1997" s="1">
        <v>45658</v>
      </c>
      <c r="C1997" s="2">
        <v>45659.842083333337</v>
      </c>
      <c r="D1997" t="s">
        <v>24</v>
      </c>
      <c r="E1997" t="s">
        <v>32</v>
      </c>
      <c r="F1997" t="s">
        <v>33</v>
      </c>
      <c r="G1997" t="s">
        <v>18</v>
      </c>
      <c r="H1997" t="s">
        <v>54</v>
      </c>
      <c r="I1997" t="s">
        <v>36</v>
      </c>
      <c r="J1997" t="s">
        <v>21</v>
      </c>
      <c r="K1997">
        <v>24</v>
      </c>
      <c r="L1997">
        <v>44.21</v>
      </c>
      <c r="M1997">
        <v>1.8</v>
      </c>
      <c r="N1997" t="s">
        <v>22</v>
      </c>
      <c r="O1997" t="str">
        <f t="shared" si="31"/>
        <v>Yes</v>
      </c>
    </row>
    <row r="1998" spans="1:15" x14ac:dyDescent="0.25">
      <c r="A1998" t="s">
        <v>2059</v>
      </c>
      <c r="B1998" s="1">
        <v>45758</v>
      </c>
      <c r="C1998" s="2">
        <v>45758.481666666667</v>
      </c>
      <c r="D1998" t="s">
        <v>24</v>
      </c>
      <c r="E1998" t="s">
        <v>32</v>
      </c>
      <c r="F1998" t="s">
        <v>33</v>
      </c>
      <c r="G1998" t="s">
        <v>18</v>
      </c>
      <c r="H1998" t="s">
        <v>54</v>
      </c>
      <c r="I1998" t="s">
        <v>36</v>
      </c>
      <c r="J1998" t="s">
        <v>46</v>
      </c>
      <c r="K1998">
        <v>24</v>
      </c>
      <c r="L1998">
        <v>11.56</v>
      </c>
      <c r="M1998">
        <v>5</v>
      </c>
      <c r="N1998" t="s">
        <v>22</v>
      </c>
      <c r="O1998" t="str">
        <f t="shared" si="31"/>
        <v>No</v>
      </c>
    </row>
    <row r="1999" spans="1:15" x14ac:dyDescent="0.25">
      <c r="A1999" t="s">
        <v>2060</v>
      </c>
      <c r="B1999" s="1">
        <v>45837</v>
      </c>
      <c r="C1999" s="2">
        <v>45837.664583333331</v>
      </c>
      <c r="D1999" t="s">
        <v>24</v>
      </c>
      <c r="E1999" t="s">
        <v>32</v>
      </c>
      <c r="F1999" t="s">
        <v>80</v>
      </c>
      <c r="G1999" t="s">
        <v>51</v>
      </c>
      <c r="H1999" t="s">
        <v>19</v>
      </c>
      <c r="I1999" t="s">
        <v>45</v>
      </c>
      <c r="J1999" t="s">
        <v>21</v>
      </c>
      <c r="K1999">
        <v>24</v>
      </c>
      <c r="L1999">
        <v>15.95</v>
      </c>
      <c r="M1999">
        <v>4.4000000000000004</v>
      </c>
      <c r="N1999" t="s">
        <v>22</v>
      </c>
      <c r="O1999" t="str">
        <f t="shared" si="31"/>
        <v>No</v>
      </c>
    </row>
    <row r="2000" spans="1:15" x14ac:dyDescent="0.25">
      <c r="A2000" t="s">
        <v>2061</v>
      </c>
      <c r="B2000" s="1">
        <v>45708</v>
      </c>
      <c r="C2000" s="2">
        <v>45708.173750000002</v>
      </c>
      <c r="D2000" t="s">
        <v>38</v>
      </c>
      <c r="E2000" t="s">
        <v>45</v>
      </c>
      <c r="F2000" t="s">
        <v>100</v>
      </c>
      <c r="G2000" t="s">
        <v>56</v>
      </c>
      <c r="H2000" t="s">
        <v>65</v>
      </c>
      <c r="I2000" t="s">
        <v>45</v>
      </c>
      <c r="J2000" t="s">
        <v>29</v>
      </c>
      <c r="K2000">
        <v>8</v>
      </c>
      <c r="L2000">
        <v>4.17</v>
      </c>
      <c r="M2000">
        <v>4.4000000000000004</v>
      </c>
      <c r="N2000" t="s">
        <v>22</v>
      </c>
      <c r="O2000" t="str">
        <f t="shared" si="31"/>
        <v>No</v>
      </c>
    </row>
    <row r="2001" spans="1:15" x14ac:dyDescent="0.25">
      <c r="A2001" t="s">
        <v>2062</v>
      </c>
      <c r="B2001" s="1">
        <v>45708</v>
      </c>
      <c r="C2001" s="2">
        <v>45708.153333333335</v>
      </c>
      <c r="D2001" t="s">
        <v>38</v>
      </c>
      <c r="E2001" t="s">
        <v>32</v>
      </c>
      <c r="F2001" t="s">
        <v>64</v>
      </c>
      <c r="G2001" t="s">
        <v>56</v>
      </c>
      <c r="H2001" t="s">
        <v>54</v>
      </c>
      <c r="I2001" t="s">
        <v>36</v>
      </c>
      <c r="J2001" t="s">
        <v>21</v>
      </c>
      <c r="K2001">
        <v>8</v>
      </c>
      <c r="L2001">
        <v>3.68</v>
      </c>
      <c r="M2001">
        <v>3.9</v>
      </c>
      <c r="N2001" t="s">
        <v>22</v>
      </c>
      <c r="O2001" t="str">
        <f t="shared" si="31"/>
        <v>No</v>
      </c>
    </row>
    <row r="2002" spans="1:15" x14ac:dyDescent="0.25">
      <c r="A2002" t="s">
        <v>2063</v>
      </c>
      <c r="B2002" s="1">
        <v>45816</v>
      </c>
      <c r="C2002" s="2">
        <v>45816.925416666665</v>
      </c>
      <c r="D2002" t="s">
        <v>15</v>
      </c>
      <c r="E2002" t="s">
        <v>16</v>
      </c>
      <c r="F2002" t="s">
        <v>17</v>
      </c>
      <c r="G2002" t="s">
        <v>51</v>
      </c>
      <c r="H2002" t="s">
        <v>65</v>
      </c>
      <c r="I2002" t="s">
        <v>45</v>
      </c>
      <c r="J2002" t="s">
        <v>21</v>
      </c>
      <c r="K2002">
        <v>48</v>
      </c>
      <c r="L2002">
        <v>22.21</v>
      </c>
      <c r="M2002">
        <v>4.4000000000000004</v>
      </c>
      <c r="N2002" t="s">
        <v>61</v>
      </c>
      <c r="O2002" t="str">
        <f t="shared" si="31"/>
        <v>No</v>
      </c>
    </row>
    <row r="2003" spans="1:15" x14ac:dyDescent="0.25">
      <c r="A2003" t="s">
        <v>2064</v>
      </c>
      <c r="B2003" s="1">
        <v>45669</v>
      </c>
      <c r="C2003" s="2">
        <v>45670.614166666666</v>
      </c>
      <c r="D2003" t="s">
        <v>24</v>
      </c>
      <c r="E2003" t="s">
        <v>16</v>
      </c>
      <c r="F2003" t="s">
        <v>17</v>
      </c>
      <c r="G2003" t="s">
        <v>51</v>
      </c>
      <c r="H2003" t="s">
        <v>27</v>
      </c>
      <c r="I2003" t="s">
        <v>36</v>
      </c>
      <c r="J2003" t="s">
        <v>21</v>
      </c>
      <c r="K2003">
        <v>24</v>
      </c>
      <c r="L2003">
        <v>38.74</v>
      </c>
      <c r="M2003">
        <v>2.2999999999999998</v>
      </c>
      <c r="N2003" t="s">
        <v>22</v>
      </c>
      <c r="O2003" t="str">
        <f t="shared" si="31"/>
        <v>Yes</v>
      </c>
    </row>
    <row r="2004" spans="1:15" x14ac:dyDescent="0.25">
      <c r="A2004" t="s">
        <v>2065</v>
      </c>
      <c r="B2004" s="1">
        <v>45729</v>
      </c>
      <c r="C2004" s="2">
        <v>45729.053333333337</v>
      </c>
      <c r="D2004" t="s">
        <v>24</v>
      </c>
      <c r="E2004" t="s">
        <v>16</v>
      </c>
      <c r="F2004" t="s">
        <v>58</v>
      </c>
      <c r="G2004" t="s">
        <v>34</v>
      </c>
      <c r="H2004" t="s">
        <v>44</v>
      </c>
      <c r="I2004" t="s">
        <v>36</v>
      </c>
      <c r="J2004" t="s">
        <v>21</v>
      </c>
      <c r="K2004">
        <v>24</v>
      </c>
      <c r="L2004">
        <v>1.28</v>
      </c>
      <c r="M2004">
        <v>4.9000000000000004</v>
      </c>
      <c r="N2004" t="s">
        <v>22</v>
      </c>
      <c r="O2004" t="str">
        <f t="shared" si="31"/>
        <v>No</v>
      </c>
    </row>
    <row r="2005" spans="1:15" x14ac:dyDescent="0.25">
      <c r="A2005" t="s">
        <v>2066</v>
      </c>
      <c r="B2005" s="1">
        <v>45740</v>
      </c>
      <c r="C2005" s="2">
        <v>45740.972083333334</v>
      </c>
      <c r="D2005" t="s">
        <v>24</v>
      </c>
      <c r="E2005" t="s">
        <v>32</v>
      </c>
      <c r="F2005" t="s">
        <v>33</v>
      </c>
      <c r="G2005" t="s">
        <v>18</v>
      </c>
      <c r="H2005" t="s">
        <v>35</v>
      </c>
      <c r="I2005" t="s">
        <v>36</v>
      </c>
      <c r="J2005" t="s">
        <v>21</v>
      </c>
      <c r="K2005">
        <v>24</v>
      </c>
      <c r="L2005">
        <v>23.33</v>
      </c>
      <c r="M2005">
        <v>4.0999999999999996</v>
      </c>
      <c r="N2005" t="s">
        <v>22</v>
      </c>
      <c r="O2005" t="str">
        <f t="shared" si="31"/>
        <v>No</v>
      </c>
    </row>
    <row r="2006" spans="1:15" x14ac:dyDescent="0.25">
      <c r="A2006" t="s">
        <v>2067</v>
      </c>
      <c r="B2006" s="1">
        <v>45802</v>
      </c>
      <c r="C2006" s="2">
        <v>45802.464583333334</v>
      </c>
      <c r="D2006" t="s">
        <v>15</v>
      </c>
      <c r="E2006" t="s">
        <v>16</v>
      </c>
      <c r="F2006" t="s">
        <v>58</v>
      </c>
      <c r="G2006" t="s">
        <v>51</v>
      </c>
      <c r="H2006" t="s">
        <v>35</v>
      </c>
      <c r="I2006" t="s">
        <v>45</v>
      </c>
      <c r="J2006" t="s">
        <v>21</v>
      </c>
      <c r="K2006">
        <v>48</v>
      </c>
      <c r="L2006">
        <v>11.15</v>
      </c>
      <c r="M2006">
        <v>4.4000000000000004</v>
      </c>
      <c r="N2006" t="s">
        <v>22</v>
      </c>
      <c r="O2006" t="str">
        <f t="shared" si="31"/>
        <v>No</v>
      </c>
    </row>
    <row r="2007" spans="1:15" x14ac:dyDescent="0.25">
      <c r="A2007" t="s">
        <v>2068</v>
      </c>
      <c r="B2007" s="1">
        <v>45681</v>
      </c>
      <c r="C2007" s="2">
        <v>45681.41333333333</v>
      </c>
      <c r="D2007" t="s">
        <v>24</v>
      </c>
      <c r="E2007" t="s">
        <v>16</v>
      </c>
      <c r="F2007" t="s">
        <v>58</v>
      </c>
      <c r="G2007" t="s">
        <v>18</v>
      </c>
      <c r="H2007" t="s">
        <v>35</v>
      </c>
      <c r="I2007" t="s">
        <v>45</v>
      </c>
      <c r="J2007" t="s">
        <v>46</v>
      </c>
      <c r="K2007">
        <v>24</v>
      </c>
      <c r="L2007">
        <v>9.92</v>
      </c>
      <c r="M2007">
        <v>4</v>
      </c>
      <c r="N2007" t="s">
        <v>22</v>
      </c>
      <c r="O2007" t="str">
        <f t="shared" si="31"/>
        <v>No</v>
      </c>
    </row>
    <row r="2008" spans="1:15" x14ac:dyDescent="0.25">
      <c r="A2008" t="s">
        <v>2069</v>
      </c>
      <c r="B2008" s="1">
        <v>45736</v>
      </c>
      <c r="C2008" s="2">
        <v>45736.160000000003</v>
      </c>
      <c r="D2008" t="s">
        <v>24</v>
      </c>
      <c r="E2008" t="s">
        <v>16</v>
      </c>
      <c r="F2008" t="s">
        <v>17</v>
      </c>
      <c r="G2008" t="s">
        <v>34</v>
      </c>
      <c r="H2008" t="s">
        <v>44</v>
      </c>
      <c r="I2008" t="s">
        <v>45</v>
      </c>
      <c r="J2008" t="s">
        <v>21</v>
      </c>
      <c r="K2008">
        <v>24</v>
      </c>
      <c r="L2008">
        <v>3.84</v>
      </c>
      <c r="M2008">
        <v>4.5</v>
      </c>
      <c r="N2008" t="s">
        <v>22</v>
      </c>
      <c r="O2008" t="str">
        <f t="shared" si="31"/>
        <v>No</v>
      </c>
    </row>
    <row r="2009" spans="1:15" x14ac:dyDescent="0.25">
      <c r="A2009" t="s">
        <v>2070</v>
      </c>
      <c r="B2009" s="1">
        <v>45685</v>
      </c>
      <c r="C2009" s="2">
        <v>45685.293749999997</v>
      </c>
      <c r="D2009" t="s">
        <v>15</v>
      </c>
      <c r="E2009" t="s">
        <v>32</v>
      </c>
      <c r="F2009" t="s">
        <v>80</v>
      </c>
      <c r="G2009" t="s">
        <v>41</v>
      </c>
      <c r="H2009" t="s">
        <v>44</v>
      </c>
      <c r="I2009" t="s">
        <v>28</v>
      </c>
      <c r="J2009" t="s">
        <v>21</v>
      </c>
      <c r="K2009">
        <v>48</v>
      </c>
      <c r="L2009">
        <v>7.05</v>
      </c>
      <c r="M2009">
        <v>5</v>
      </c>
      <c r="N2009" t="s">
        <v>22</v>
      </c>
      <c r="O2009" t="str">
        <f t="shared" si="31"/>
        <v>No</v>
      </c>
    </row>
    <row r="2010" spans="1:15" x14ac:dyDescent="0.25">
      <c r="A2010" t="s">
        <v>2071</v>
      </c>
      <c r="B2010" s="1">
        <v>45800</v>
      </c>
      <c r="C2010" s="2">
        <v>45800.361250000002</v>
      </c>
      <c r="D2010" t="s">
        <v>38</v>
      </c>
      <c r="E2010" t="s">
        <v>25</v>
      </c>
      <c r="F2010" t="s">
        <v>48</v>
      </c>
      <c r="G2010" t="s">
        <v>51</v>
      </c>
      <c r="H2010" t="s">
        <v>35</v>
      </c>
      <c r="I2010" t="s">
        <v>45</v>
      </c>
      <c r="J2010" t="s">
        <v>29</v>
      </c>
      <c r="K2010">
        <v>8</v>
      </c>
      <c r="L2010">
        <v>8.67</v>
      </c>
      <c r="M2010">
        <v>3.8</v>
      </c>
      <c r="N2010" t="s">
        <v>22</v>
      </c>
      <c r="O2010" t="str">
        <f t="shared" si="31"/>
        <v>Yes</v>
      </c>
    </row>
    <row r="2011" spans="1:15" x14ac:dyDescent="0.25">
      <c r="A2011" t="s">
        <v>2072</v>
      </c>
      <c r="B2011" s="1">
        <v>45772</v>
      </c>
      <c r="C2011" s="2">
        <v>45772.282083333332</v>
      </c>
      <c r="D2011" t="s">
        <v>24</v>
      </c>
      <c r="E2011" t="s">
        <v>32</v>
      </c>
      <c r="F2011" t="s">
        <v>80</v>
      </c>
      <c r="G2011" t="s">
        <v>41</v>
      </c>
      <c r="H2011" t="s">
        <v>54</v>
      </c>
      <c r="I2011" t="s">
        <v>20</v>
      </c>
      <c r="J2011" t="s">
        <v>21</v>
      </c>
      <c r="K2011">
        <v>24</v>
      </c>
      <c r="L2011">
        <v>6.77</v>
      </c>
      <c r="M2011">
        <v>3.6</v>
      </c>
      <c r="N2011" t="s">
        <v>61</v>
      </c>
      <c r="O2011" t="str">
        <f t="shared" si="31"/>
        <v>No</v>
      </c>
    </row>
    <row r="2012" spans="1:15" x14ac:dyDescent="0.25">
      <c r="A2012" t="s">
        <v>2073</v>
      </c>
      <c r="B2012" s="1">
        <v>45747</v>
      </c>
      <c r="C2012" s="2">
        <v>45747.508333333331</v>
      </c>
      <c r="D2012" t="s">
        <v>24</v>
      </c>
      <c r="E2012" t="s">
        <v>16</v>
      </c>
      <c r="F2012" t="s">
        <v>43</v>
      </c>
      <c r="G2012" t="s">
        <v>34</v>
      </c>
      <c r="H2012" t="s">
        <v>44</v>
      </c>
      <c r="I2012" t="s">
        <v>36</v>
      </c>
      <c r="J2012" t="s">
        <v>21</v>
      </c>
      <c r="K2012">
        <v>24</v>
      </c>
      <c r="L2012">
        <v>12.2</v>
      </c>
      <c r="M2012">
        <v>4.9000000000000004</v>
      </c>
      <c r="N2012" t="s">
        <v>22</v>
      </c>
      <c r="O2012" t="str">
        <f t="shared" si="31"/>
        <v>No</v>
      </c>
    </row>
    <row r="2013" spans="1:15" x14ac:dyDescent="0.25">
      <c r="A2013" t="s">
        <v>2074</v>
      </c>
      <c r="B2013" s="1">
        <v>45729</v>
      </c>
      <c r="C2013" s="2">
        <v>45729.730833333335</v>
      </c>
      <c r="D2013" t="s">
        <v>24</v>
      </c>
      <c r="E2013" t="s">
        <v>39</v>
      </c>
      <c r="F2013" t="s">
        <v>119</v>
      </c>
      <c r="G2013" t="s">
        <v>34</v>
      </c>
      <c r="H2013" t="s">
        <v>54</v>
      </c>
      <c r="I2013" t="s">
        <v>45</v>
      </c>
      <c r="J2013" t="s">
        <v>21</v>
      </c>
      <c r="K2013">
        <v>24</v>
      </c>
      <c r="L2013">
        <v>17.54</v>
      </c>
      <c r="M2013">
        <v>4.5</v>
      </c>
      <c r="N2013" t="s">
        <v>22</v>
      </c>
      <c r="O2013" t="str">
        <f t="shared" si="31"/>
        <v>No</v>
      </c>
    </row>
    <row r="2014" spans="1:15" x14ac:dyDescent="0.25">
      <c r="A2014" t="s">
        <v>2075</v>
      </c>
      <c r="B2014" s="1">
        <v>45685</v>
      </c>
      <c r="C2014" s="2">
        <v>45685.477500000001</v>
      </c>
      <c r="D2014" t="s">
        <v>38</v>
      </c>
      <c r="E2014" t="s">
        <v>32</v>
      </c>
      <c r="F2014" t="s">
        <v>80</v>
      </c>
      <c r="G2014" t="s">
        <v>34</v>
      </c>
      <c r="H2014" t="s">
        <v>19</v>
      </c>
      <c r="I2014" t="s">
        <v>45</v>
      </c>
      <c r="J2014" t="s">
        <v>21</v>
      </c>
      <c r="K2014">
        <v>8</v>
      </c>
      <c r="L2014">
        <v>11.46</v>
      </c>
      <c r="M2014">
        <v>3.4</v>
      </c>
      <c r="N2014" t="s">
        <v>22</v>
      </c>
      <c r="O2014" t="str">
        <f t="shared" si="31"/>
        <v>Yes</v>
      </c>
    </row>
    <row r="2015" spans="1:15" x14ac:dyDescent="0.25">
      <c r="A2015" t="s">
        <v>2076</v>
      </c>
      <c r="B2015" s="1">
        <v>45824</v>
      </c>
      <c r="C2015" s="2">
        <v>45824.304583333331</v>
      </c>
      <c r="D2015" t="s">
        <v>15</v>
      </c>
      <c r="E2015" t="s">
        <v>25</v>
      </c>
      <c r="F2015" t="s">
        <v>48</v>
      </c>
      <c r="G2015" t="s">
        <v>51</v>
      </c>
      <c r="H2015" t="s">
        <v>35</v>
      </c>
      <c r="I2015" t="s">
        <v>36</v>
      </c>
      <c r="J2015" t="s">
        <v>46</v>
      </c>
      <c r="K2015">
        <v>48</v>
      </c>
      <c r="L2015">
        <v>7.31</v>
      </c>
      <c r="M2015">
        <v>5</v>
      </c>
      <c r="N2015" t="s">
        <v>61</v>
      </c>
      <c r="O2015" t="str">
        <f t="shared" si="31"/>
        <v>No</v>
      </c>
    </row>
    <row r="2016" spans="1:15" x14ac:dyDescent="0.25">
      <c r="A2016" t="s">
        <v>2077</v>
      </c>
      <c r="B2016" s="1">
        <v>45775</v>
      </c>
      <c r="C2016" s="2">
        <v>45777.997499999998</v>
      </c>
      <c r="D2016" t="s">
        <v>15</v>
      </c>
      <c r="E2016" t="s">
        <v>32</v>
      </c>
      <c r="F2016" t="s">
        <v>33</v>
      </c>
      <c r="G2016" t="s">
        <v>56</v>
      </c>
      <c r="H2016" t="s">
        <v>65</v>
      </c>
      <c r="I2016" t="s">
        <v>36</v>
      </c>
      <c r="J2016" t="s">
        <v>21</v>
      </c>
      <c r="K2016">
        <v>48</v>
      </c>
      <c r="L2016">
        <v>71.94</v>
      </c>
      <c r="M2016">
        <v>3.2</v>
      </c>
      <c r="N2016" t="s">
        <v>22</v>
      </c>
      <c r="O2016" t="str">
        <f t="shared" si="31"/>
        <v>Yes</v>
      </c>
    </row>
    <row r="2017" spans="1:15" x14ac:dyDescent="0.25">
      <c r="A2017" t="s">
        <v>2078</v>
      </c>
      <c r="B2017" s="1">
        <v>45715</v>
      </c>
      <c r="C2017" s="2">
        <v>45715.608749999999</v>
      </c>
      <c r="D2017" t="s">
        <v>24</v>
      </c>
      <c r="E2017" t="s">
        <v>45</v>
      </c>
      <c r="F2017" t="s">
        <v>100</v>
      </c>
      <c r="G2017" t="s">
        <v>18</v>
      </c>
      <c r="H2017" t="s">
        <v>65</v>
      </c>
      <c r="I2017" t="s">
        <v>45</v>
      </c>
      <c r="J2017" t="s">
        <v>21</v>
      </c>
      <c r="K2017">
        <v>24</v>
      </c>
      <c r="L2017">
        <v>14.61</v>
      </c>
      <c r="M2017">
        <v>4.5</v>
      </c>
      <c r="N2017" t="s">
        <v>22</v>
      </c>
      <c r="O2017" t="str">
        <f t="shared" si="31"/>
        <v>No</v>
      </c>
    </row>
    <row r="2018" spans="1:15" x14ac:dyDescent="0.25">
      <c r="A2018" t="s">
        <v>2079</v>
      </c>
      <c r="B2018" s="1">
        <v>45732</v>
      </c>
      <c r="C2018" s="2">
        <v>45732.588333333333</v>
      </c>
      <c r="D2018" t="s">
        <v>24</v>
      </c>
      <c r="E2018" t="s">
        <v>45</v>
      </c>
      <c r="F2018" t="s">
        <v>50</v>
      </c>
      <c r="G2018" t="s">
        <v>34</v>
      </c>
      <c r="H2018" t="s">
        <v>35</v>
      </c>
      <c r="I2018" t="s">
        <v>36</v>
      </c>
      <c r="J2018" t="s">
        <v>46</v>
      </c>
      <c r="K2018">
        <v>24</v>
      </c>
      <c r="L2018">
        <v>14.12</v>
      </c>
      <c r="M2018">
        <v>4.5999999999999996</v>
      </c>
      <c r="N2018" t="s">
        <v>22</v>
      </c>
      <c r="O2018" t="str">
        <f t="shared" si="31"/>
        <v>No</v>
      </c>
    </row>
    <row r="2019" spans="1:15" x14ac:dyDescent="0.25">
      <c r="A2019" t="s">
        <v>2080</v>
      </c>
      <c r="B2019" s="1">
        <v>45789</v>
      </c>
      <c r="C2019" s="2">
        <v>45789.769166666665</v>
      </c>
      <c r="D2019" t="s">
        <v>15</v>
      </c>
      <c r="E2019" t="s">
        <v>39</v>
      </c>
      <c r="F2019" t="s">
        <v>87</v>
      </c>
      <c r="G2019" t="s">
        <v>56</v>
      </c>
      <c r="H2019" t="s">
        <v>27</v>
      </c>
      <c r="I2019" t="s">
        <v>36</v>
      </c>
      <c r="J2019" t="s">
        <v>46</v>
      </c>
      <c r="K2019">
        <v>48</v>
      </c>
      <c r="L2019">
        <v>18.46</v>
      </c>
      <c r="M2019">
        <v>5</v>
      </c>
      <c r="N2019" t="s">
        <v>22</v>
      </c>
      <c r="O2019" t="str">
        <f t="shared" si="31"/>
        <v>No</v>
      </c>
    </row>
    <row r="2020" spans="1:15" x14ac:dyDescent="0.25">
      <c r="A2020" t="s">
        <v>2081</v>
      </c>
      <c r="B2020" s="1">
        <v>45788</v>
      </c>
      <c r="C2020" s="2">
        <v>45788.112083333333</v>
      </c>
      <c r="D2020" t="s">
        <v>38</v>
      </c>
      <c r="E2020" t="s">
        <v>39</v>
      </c>
      <c r="F2020" t="s">
        <v>87</v>
      </c>
      <c r="G2020" t="s">
        <v>34</v>
      </c>
      <c r="H2020" t="s">
        <v>35</v>
      </c>
      <c r="I2020" t="s">
        <v>20</v>
      </c>
      <c r="J2020" t="s">
        <v>46</v>
      </c>
      <c r="K2020">
        <v>8</v>
      </c>
      <c r="L2020">
        <v>2.69</v>
      </c>
      <c r="M2020">
        <v>4.5</v>
      </c>
      <c r="N2020" t="s">
        <v>22</v>
      </c>
      <c r="O2020" t="str">
        <f t="shared" si="31"/>
        <v>No</v>
      </c>
    </row>
    <row r="2021" spans="1:15" x14ac:dyDescent="0.25">
      <c r="A2021" t="s">
        <v>2082</v>
      </c>
      <c r="B2021" s="1">
        <v>45741</v>
      </c>
      <c r="C2021" s="2">
        <v>45741.186249999999</v>
      </c>
      <c r="D2021" t="s">
        <v>15</v>
      </c>
      <c r="E2021" t="s">
        <v>32</v>
      </c>
      <c r="F2021" t="s">
        <v>75</v>
      </c>
      <c r="G2021" t="s">
        <v>51</v>
      </c>
      <c r="H2021" t="s">
        <v>19</v>
      </c>
      <c r="I2021" t="s">
        <v>45</v>
      </c>
      <c r="J2021" t="s">
        <v>21</v>
      </c>
      <c r="K2021">
        <v>48</v>
      </c>
      <c r="L2021">
        <v>4.47</v>
      </c>
      <c r="M2021">
        <v>4.5</v>
      </c>
      <c r="N2021" t="s">
        <v>61</v>
      </c>
      <c r="O2021" t="str">
        <f t="shared" si="31"/>
        <v>No</v>
      </c>
    </row>
    <row r="2022" spans="1:15" x14ac:dyDescent="0.25">
      <c r="A2022" t="s">
        <v>2083</v>
      </c>
      <c r="B2022" s="1">
        <v>45712</v>
      </c>
      <c r="C2022" s="2">
        <v>45714.435416666667</v>
      </c>
      <c r="D2022" t="s">
        <v>15</v>
      </c>
      <c r="E2022" t="s">
        <v>45</v>
      </c>
      <c r="F2022" t="s">
        <v>50</v>
      </c>
      <c r="G2022" t="s">
        <v>51</v>
      </c>
      <c r="H2022" t="s">
        <v>27</v>
      </c>
      <c r="I2022" t="s">
        <v>36</v>
      </c>
      <c r="J2022" t="s">
        <v>21</v>
      </c>
      <c r="K2022">
        <v>48</v>
      </c>
      <c r="L2022">
        <v>58.45</v>
      </c>
      <c r="M2022">
        <v>4.2</v>
      </c>
      <c r="N2022" t="s">
        <v>22</v>
      </c>
      <c r="O2022" t="str">
        <f t="shared" si="31"/>
        <v>Yes</v>
      </c>
    </row>
    <row r="2023" spans="1:15" x14ac:dyDescent="0.25">
      <c r="A2023" t="s">
        <v>2084</v>
      </c>
      <c r="B2023" s="1">
        <v>45777</v>
      </c>
      <c r="C2023" s="2">
        <v>45777.139166666668</v>
      </c>
      <c r="D2023" t="s">
        <v>24</v>
      </c>
      <c r="E2023" t="s">
        <v>16</v>
      </c>
      <c r="F2023" t="s">
        <v>60</v>
      </c>
      <c r="G2023" t="s">
        <v>18</v>
      </c>
      <c r="H2023" t="s">
        <v>54</v>
      </c>
      <c r="I2023" t="s">
        <v>36</v>
      </c>
      <c r="J2023" t="s">
        <v>85</v>
      </c>
      <c r="K2023">
        <v>24</v>
      </c>
      <c r="L2023">
        <v>3.34</v>
      </c>
      <c r="M2023">
        <v>5</v>
      </c>
      <c r="N2023" t="s">
        <v>22</v>
      </c>
      <c r="O2023" t="str">
        <f t="shared" si="31"/>
        <v>No</v>
      </c>
    </row>
    <row r="2024" spans="1:15" x14ac:dyDescent="0.25">
      <c r="A2024" t="s">
        <v>2085</v>
      </c>
      <c r="B2024" s="1">
        <v>45777</v>
      </c>
      <c r="C2024" s="2">
        <v>45777.1</v>
      </c>
      <c r="D2024" t="s">
        <v>38</v>
      </c>
      <c r="E2024" t="s">
        <v>32</v>
      </c>
      <c r="F2024" t="s">
        <v>75</v>
      </c>
      <c r="G2024" t="s">
        <v>56</v>
      </c>
      <c r="H2024" t="s">
        <v>27</v>
      </c>
      <c r="I2024" t="s">
        <v>28</v>
      </c>
      <c r="J2024" t="s">
        <v>21</v>
      </c>
      <c r="K2024">
        <v>8</v>
      </c>
      <c r="L2024">
        <v>2.4</v>
      </c>
      <c r="M2024">
        <v>5</v>
      </c>
      <c r="N2024" t="s">
        <v>22</v>
      </c>
      <c r="O2024" t="str">
        <f t="shared" si="31"/>
        <v>No</v>
      </c>
    </row>
    <row r="2025" spans="1:15" x14ac:dyDescent="0.25">
      <c r="A2025" t="s">
        <v>2086</v>
      </c>
      <c r="B2025" s="1">
        <v>45766</v>
      </c>
      <c r="C2025" s="2">
        <v>45766.362083333333</v>
      </c>
      <c r="D2025" t="s">
        <v>38</v>
      </c>
      <c r="E2025" t="s">
        <v>16</v>
      </c>
      <c r="F2025" t="s">
        <v>60</v>
      </c>
      <c r="G2025" t="s">
        <v>56</v>
      </c>
      <c r="H2025" t="s">
        <v>54</v>
      </c>
      <c r="I2025" t="s">
        <v>28</v>
      </c>
      <c r="J2025" t="s">
        <v>85</v>
      </c>
      <c r="K2025">
        <v>8</v>
      </c>
      <c r="L2025">
        <v>8.69</v>
      </c>
      <c r="M2025">
        <v>4</v>
      </c>
      <c r="N2025" t="s">
        <v>22</v>
      </c>
      <c r="O2025" t="str">
        <f t="shared" si="31"/>
        <v>Yes</v>
      </c>
    </row>
    <row r="2026" spans="1:15" x14ac:dyDescent="0.25">
      <c r="A2026" t="s">
        <v>2087</v>
      </c>
      <c r="B2026" s="1">
        <v>45671</v>
      </c>
      <c r="C2026" s="2">
        <v>45671.151250000003</v>
      </c>
      <c r="D2026" t="s">
        <v>38</v>
      </c>
      <c r="E2026" t="s">
        <v>32</v>
      </c>
      <c r="F2026" t="s">
        <v>33</v>
      </c>
      <c r="G2026" t="s">
        <v>51</v>
      </c>
      <c r="H2026" t="s">
        <v>44</v>
      </c>
      <c r="I2026" t="s">
        <v>45</v>
      </c>
      <c r="J2026" t="s">
        <v>46</v>
      </c>
      <c r="K2026">
        <v>8</v>
      </c>
      <c r="L2026">
        <v>3.63</v>
      </c>
      <c r="M2026">
        <v>3.4</v>
      </c>
      <c r="N2026" t="s">
        <v>22</v>
      </c>
      <c r="O2026" t="str">
        <f t="shared" si="31"/>
        <v>No</v>
      </c>
    </row>
    <row r="2027" spans="1:15" x14ac:dyDescent="0.25">
      <c r="A2027" t="s">
        <v>2088</v>
      </c>
      <c r="B2027" s="1">
        <v>45743</v>
      </c>
      <c r="C2027" s="2">
        <v>45743.178738425922</v>
      </c>
      <c r="D2027" t="s">
        <v>24</v>
      </c>
      <c r="E2027" t="s">
        <v>16</v>
      </c>
      <c r="F2027" t="s">
        <v>17</v>
      </c>
      <c r="G2027" t="s">
        <v>51</v>
      </c>
      <c r="H2027" t="s">
        <v>19</v>
      </c>
      <c r="I2027" t="s">
        <v>36</v>
      </c>
      <c r="J2027" t="s">
        <v>46</v>
      </c>
      <c r="K2027">
        <v>24</v>
      </c>
      <c r="L2027">
        <v>4.29</v>
      </c>
      <c r="M2027">
        <v>4.9000000000000004</v>
      </c>
      <c r="N2027" t="s">
        <v>22</v>
      </c>
      <c r="O2027" t="str">
        <f t="shared" si="31"/>
        <v>No</v>
      </c>
    </row>
    <row r="2028" spans="1:15" x14ac:dyDescent="0.25">
      <c r="A2028" t="s">
        <v>2089</v>
      </c>
      <c r="B2028" s="1">
        <v>45769</v>
      </c>
      <c r="C2028" s="2">
        <v>45769.308333333334</v>
      </c>
      <c r="D2028" t="s">
        <v>38</v>
      </c>
      <c r="E2028" t="s">
        <v>16</v>
      </c>
      <c r="F2028" t="s">
        <v>60</v>
      </c>
      <c r="G2028" t="s">
        <v>41</v>
      </c>
      <c r="H2028" t="s">
        <v>54</v>
      </c>
      <c r="I2028" t="s">
        <v>36</v>
      </c>
      <c r="J2028" t="s">
        <v>21</v>
      </c>
      <c r="K2028">
        <v>8</v>
      </c>
      <c r="L2028">
        <v>7.4</v>
      </c>
      <c r="M2028">
        <v>3.9</v>
      </c>
      <c r="N2028" t="s">
        <v>22</v>
      </c>
      <c r="O2028" t="str">
        <f t="shared" si="31"/>
        <v>No</v>
      </c>
    </row>
    <row r="2029" spans="1:15" x14ac:dyDescent="0.25">
      <c r="A2029" t="s">
        <v>2090</v>
      </c>
      <c r="B2029" s="1">
        <v>45829</v>
      </c>
      <c r="C2029" s="2">
        <v>45829.339166666665</v>
      </c>
      <c r="D2029" t="s">
        <v>24</v>
      </c>
      <c r="E2029" t="s">
        <v>32</v>
      </c>
      <c r="F2029" t="s">
        <v>64</v>
      </c>
      <c r="G2029" t="s">
        <v>18</v>
      </c>
      <c r="H2029" t="s">
        <v>65</v>
      </c>
      <c r="I2029" t="s">
        <v>36</v>
      </c>
      <c r="J2029" t="s">
        <v>29</v>
      </c>
      <c r="K2029">
        <v>24</v>
      </c>
      <c r="L2029">
        <v>8.14</v>
      </c>
      <c r="M2029">
        <v>5</v>
      </c>
      <c r="N2029" t="s">
        <v>22</v>
      </c>
      <c r="O2029" t="str">
        <f t="shared" si="31"/>
        <v>No</v>
      </c>
    </row>
    <row r="2030" spans="1:15" x14ac:dyDescent="0.25">
      <c r="A2030" t="s">
        <v>2091</v>
      </c>
      <c r="B2030" s="1">
        <v>45753</v>
      </c>
      <c r="C2030" s="2">
        <v>45753.591666666667</v>
      </c>
      <c r="D2030" t="s">
        <v>15</v>
      </c>
      <c r="E2030" t="s">
        <v>25</v>
      </c>
      <c r="F2030" t="s">
        <v>26</v>
      </c>
      <c r="G2030" t="s">
        <v>41</v>
      </c>
      <c r="H2030" t="s">
        <v>54</v>
      </c>
      <c r="I2030" t="s">
        <v>20</v>
      </c>
      <c r="J2030" t="s">
        <v>29</v>
      </c>
      <c r="K2030">
        <v>48</v>
      </c>
      <c r="L2030">
        <v>14.2</v>
      </c>
      <c r="M2030">
        <v>5</v>
      </c>
      <c r="N2030" t="s">
        <v>22</v>
      </c>
      <c r="O2030" t="str">
        <f t="shared" si="31"/>
        <v>No</v>
      </c>
    </row>
    <row r="2031" spans="1:15" x14ac:dyDescent="0.25">
      <c r="A2031" t="s">
        <v>2092</v>
      </c>
      <c r="B2031" s="1">
        <v>45720</v>
      </c>
      <c r="C2031" s="2">
        <v>45720.145416666666</v>
      </c>
      <c r="D2031" t="s">
        <v>24</v>
      </c>
      <c r="E2031" t="s">
        <v>32</v>
      </c>
      <c r="F2031" t="s">
        <v>80</v>
      </c>
      <c r="G2031" t="s">
        <v>56</v>
      </c>
      <c r="H2031" t="s">
        <v>27</v>
      </c>
      <c r="I2031" t="s">
        <v>45</v>
      </c>
      <c r="J2031" t="s">
        <v>46</v>
      </c>
      <c r="K2031">
        <v>24</v>
      </c>
      <c r="L2031">
        <v>3.49</v>
      </c>
      <c r="M2031">
        <v>5</v>
      </c>
      <c r="N2031" t="s">
        <v>22</v>
      </c>
      <c r="O2031" t="str">
        <f t="shared" si="31"/>
        <v>No</v>
      </c>
    </row>
    <row r="2032" spans="1:15" x14ac:dyDescent="0.25">
      <c r="A2032" t="s">
        <v>2093</v>
      </c>
      <c r="B2032" s="1">
        <v>45758</v>
      </c>
      <c r="C2032" s="2">
        <v>45758.106249999997</v>
      </c>
      <c r="D2032" t="s">
        <v>38</v>
      </c>
      <c r="E2032" t="s">
        <v>16</v>
      </c>
      <c r="F2032" t="s">
        <v>43</v>
      </c>
      <c r="G2032" t="s">
        <v>51</v>
      </c>
      <c r="H2032" t="s">
        <v>35</v>
      </c>
      <c r="I2032" t="s">
        <v>20</v>
      </c>
      <c r="J2032" t="s">
        <v>85</v>
      </c>
      <c r="K2032">
        <v>8</v>
      </c>
      <c r="L2032">
        <v>2.5499999999999998</v>
      </c>
      <c r="M2032">
        <v>3.3</v>
      </c>
      <c r="N2032" t="s">
        <v>22</v>
      </c>
      <c r="O2032" t="str">
        <f t="shared" si="31"/>
        <v>No</v>
      </c>
    </row>
    <row r="2033" spans="1:15" x14ac:dyDescent="0.25">
      <c r="A2033" t="s">
        <v>2094</v>
      </c>
      <c r="B2033" s="1">
        <v>45690</v>
      </c>
      <c r="C2033" s="2">
        <v>45690.375833333332</v>
      </c>
      <c r="D2033" t="s">
        <v>24</v>
      </c>
      <c r="E2033" t="s">
        <v>16</v>
      </c>
      <c r="F2033" t="s">
        <v>17</v>
      </c>
      <c r="G2033" t="s">
        <v>18</v>
      </c>
      <c r="H2033" t="s">
        <v>35</v>
      </c>
      <c r="I2033" t="s">
        <v>36</v>
      </c>
      <c r="J2033" t="s">
        <v>46</v>
      </c>
      <c r="K2033">
        <v>24</v>
      </c>
      <c r="L2033">
        <v>9.02</v>
      </c>
      <c r="M2033">
        <v>4</v>
      </c>
      <c r="N2033" t="s">
        <v>22</v>
      </c>
      <c r="O2033" t="str">
        <f t="shared" si="31"/>
        <v>No</v>
      </c>
    </row>
    <row r="2034" spans="1:15" x14ac:dyDescent="0.25">
      <c r="A2034" t="s">
        <v>2095</v>
      </c>
      <c r="B2034" s="1">
        <v>45674</v>
      </c>
      <c r="C2034" s="2">
        <v>45674.719583333332</v>
      </c>
      <c r="D2034" t="s">
        <v>24</v>
      </c>
      <c r="E2034" t="s">
        <v>45</v>
      </c>
      <c r="F2034" t="s">
        <v>50</v>
      </c>
      <c r="G2034" t="s">
        <v>51</v>
      </c>
      <c r="H2034" t="s">
        <v>27</v>
      </c>
      <c r="I2034" t="s">
        <v>20</v>
      </c>
      <c r="J2034" t="s">
        <v>21</v>
      </c>
      <c r="K2034">
        <v>24</v>
      </c>
      <c r="L2034">
        <v>17.27</v>
      </c>
      <c r="M2034">
        <v>3.9</v>
      </c>
      <c r="N2034" t="s">
        <v>22</v>
      </c>
      <c r="O2034" t="str">
        <f t="shared" si="31"/>
        <v>No</v>
      </c>
    </row>
    <row r="2035" spans="1:15" x14ac:dyDescent="0.25">
      <c r="A2035" t="s">
        <v>2096</v>
      </c>
      <c r="B2035" s="1">
        <v>45780</v>
      </c>
      <c r="C2035" s="2">
        <v>45780.251666666663</v>
      </c>
      <c r="D2035" t="s">
        <v>24</v>
      </c>
      <c r="E2035" t="s">
        <v>16</v>
      </c>
      <c r="F2035" t="s">
        <v>60</v>
      </c>
      <c r="G2035" t="s">
        <v>41</v>
      </c>
      <c r="H2035" t="s">
        <v>35</v>
      </c>
      <c r="I2035" t="s">
        <v>36</v>
      </c>
      <c r="J2035" t="s">
        <v>46</v>
      </c>
      <c r="K2035">
        <v>24</v>
      </c>
      <c r="L2035">
        <v>6.04</v>
      </c>
      <c r="M2035">
        <v>4.5</v>
      </c>
      <c r="N2035" t="s">
        <v>22</v>
      </c>
      <c r="O2035" t="str">
        <f t="shared" si="31"/>
        <v>No</v>
      </c>
    </row>
    <row r="2036" spans="1:15" x14ac:dyDescent="0.25">
      <c r="A2036" t="s">
        <v>2097</v>
      </c>
      <c r="B2036" s="1">
        <v>45836</v>
      </c>
      <c r="C2036" s="2">
        <v>45837.24291666667</v>
      </c>
      <c r="D2036" t="s">
        <v>24</v>
      </c>
      <c r="E2036" t="s">
        <v>45</v>
      </c>
      <c r="F2036" t="s">
        <v>104</v>
      </c>
      <c r="G2036" t="s">
        <v>34</v>
      </c>
      <c r="H2036" t="s">
        <v>44</v>
      </c>
      <c r="I2036" t="s">
        <v>36</v>
      </c>
      <c r="J2036" t="s">
        <v>46</v>
      </c>
      <c r="K2036">
        <v>24</v>
      </c>
      <c r="L2036">
        <v>29.83</v>
      </c>
      <c r="M2036">
        <v>3.6</v>
      </c>
      <c r="N2036" t="s">
        <v>22</v>
      </c>
      <c r="O2036" t="str">
        <f t="shared" si="31"/>
        <v>Yes</v>
      </c>
    </row>
    <row r="2037" spans="1:15" x14ac:dyDescent="0.25">
      <c r="A2037" t="s">
        <v>2098</v>
      </c>
      <c r="B2037" s="1">
        <v>45811</v>
      </c>
      <c r="C2037" s="2">
        <v>45813.213750000003</v>
      </c>
      <c r="D2037" t="s">
        <v>15</v>
      </c>
      <c r="E2037" t="s">
        <v>39</v>
      </c>
      <c r="F2037" t="s">
        <v>40</v>
      </c>
      <c r="G2037" t="s">
        <v>51</v>
      </c>
      <c r="H2037" t="s">
        <v>19</v>
      </c>
      <c r="I2037" t="s">
        <v>45</v>
      </c>
      <c r="J2037" t="s">
        <v>46</v>
      </c>
      <c r="K2037">
        <v>48</v>
      </c>
      <c r="L2037">
        <v>53.13</v>
      </c>
      <c r="M2037">
        <v>4.5999999999999996</v>
      </c>
      <c r="N2037" t="s">
        <v>22</v>
      </c>
      <c r="O2037" t="str">
        <f t="shared" si="31"/>
        <v>Yes</v>
      </c>
    </row>
    <row r="2038" spans="1:15" x14ac:dyDescent="0.25">
      <c r="A2038" t="s">
        <v>2099</v>
      </c>
      <c r="B2038" s="1">
        <v>45763</v>
      </c>
      <c r="C2038" s="2">
        <v>45764.106666666667</v>
      </c>
      <c r="D2038" t="s">
        <v>24</v>
      </c>
      <c r="E2038" t="s">
        <v>25</v>
      </c>
      <c r="F2038" t="s">
        <v>48</v>
      </c>
      <c r="G2038" t="s">
        <v>51</v>
      </c>
      <c r="H2038" t="s">
        <v>54</v>
      </c>
      <c r="I2038" t="s">
        <v>45</v>
      </c>
      <c r="J2038" t="s">
        <v>21</v>
      </c>
      <c r="K2038">
        <v>24</v>
      </c>
      <c r="L2038">
        <v>26.56</v>
      </c>
      <c r="M2038">
        <v>4.2</v>
      </c>
      <c r="N2038" t="s">
        <v>22</v>
      </c>
      <c r="O2038" t="str">
        <f t="shared" si="31"/>
        <v>Yes</v>
      </c>
    </row>
    <row r="2039" spans="1:15" x14ac:dyDescent="0.25">
      <c r="A2039" t="s">
        <v>2100</v>
      </c>
      <c r="B2039" s="1">
        <v>45665</v>
      </c>
      <c r="C2039" s="2">
        <v>45665.191666666666</v>
      </c>
      <c r="D2039" t="s">
        <v>38</v>
      </c>
      <c r="E2039" t="s">
        <v>32</v>
      </c>
      <c r="F2039" t="s">
        <v>33</v>
      </c>
      <c r="G2039" t="s">
        <v>51</v>
      </c>
      <c r="H2039" t="s">
        <v>54</v>
      </c>
      <c r="I2039" t="s">
        <v>20</v>
      </c>
      <c r="J2039" t="s">
        <v>21</v>
      </c>
      <c r="K2039">
        <v>8</v>
      </c>
      <c r="L2039">
        <v>4.5999999999999996</v>
      </c>
      <c r="M2039">
        <v>3.7</v>
      </c>
      <c r="N2039" t="s">
        <v>22</v>
      </c>
      <c r="O2039" t="str">
        <f t="shared" si="31"/>
        <v>No</v>
      </c>
    </row>
    <row r="2040" spans="1:15" x14ac:dyDescent="0.25">
      <c r="A2040" t="s">
        <v>2101</v>
      </c>
      <c r="B2040" s="1">
        <v>45836</v>
      </c>
      <c r="C2040" s="2">
        <v>45837.763333333336</v>
      </c>
      <c r="D2040" t="s">
        <v>15</v>
      </c>
      <c r="E2040" t="s">
        <v>16</v>
      </c>
      <c r="F2040" t="s">
        <v>17</v>
      </c>
      <c r="G2040" t="s">
        <v>18</v>
      </c>
      <c r="H2040" t="s">
        <v>54</v>
      </c>
      <c r="I2040" t="s">
        <v>45</v>
      </c>
      <c r="J2040" t="s">
        <v>29</v>
      </c>
      <c r="K2040">
        <v>48</v>
      </c>
      <c r="L2040">
        <v>42.32</v>
      </c>
      <c r="M2040">
        <v>3.4</v>
      </c>
      <c r="N2040" t="s">
        <v>22</v>
      </c>
      <c r="O2040" t="str">
        <f t="shared" si="31"/>
        <v>No</v>
      </c>
    </row>
    <row r="2041" spans="1:15" x14ac:dyDescent="0.25">
      <c r="A2041" t="s">
        <v>2102</v>
      </c>
      <c r="B2041" s="1">
        <v>45739</v>
      </c>
      <c r="C2041" s="2">
        <v>45739.823333333334</v>
      </c>
      <c r="D2041" t="s">
        <v>24</v>
      </c>
      <c r="E2041" t="s">
        <v>32</v>
      </c>
      <c r="F2041" t="s">
        <v>64</v>
      </c>
      <c r="G2041" t="s">
        <v>34</v>
      </c>
      <c r="H2041" t="s">
        <v>65</v>
      </c>
      <c r="I2041" t="s">
        <v>28</v>
      </c>
      <c r="J2041" t="s">
        <v>21</v>
      </c>
      <c r="K2041">
        <v>24</v>
      </c>
      <c r="L2041">
        <v>19.760000000000002</v>
      </c>
      <c r="M2041">
        <v>3.4</v>
      </c>
      <c r="N2041" t="s">
        <v>22</v>
      </c>
      <c r="O2041" t="str">
        <f t="shared" si="31"/>
        <v>No</v>
      </c>
    </row>
    <row r="2042" spans="1:15" x14ac:dyDescent="0.25">
      <c r="A2042" t="s">
        <v>2103</v>
      </c>
      <c r="B2042" s="1">
        <v>45710</v>
      </c>
      <c r="C2042" s="2">
        <v>45712.046249999999</v>
      </c>
      <c r="D2042" t="s">
        <v>15</v>
      </c>
      <c r="E2042" t="s">
        <v>45</v>
      </c>
      <c r="F2042" t="s">
        <v>104</v>
      </c>
      <c r="G2042" t="s">
        <v>51</v>
      </c>
      <c r="H2042" t="s">
        <v>35</v>
      </c>
      <c r="I2042" t="s">
        <v>36</v>
      </c>
      <c r="J2042" t="s">
        <v>46</v>
      </c>
      <c r="K2042">
        <v>48</v>
      </c>
      <c r="L2042">
        <v>49.11</v>
      </c>
      <c r="M2042">
        <v>3.7</v>
      </c>
      <c r="N2042" t="s">
        <v>22</v>
      </c>
      <c r="O2042" t="str">
        <f t="shared" si="31"/>
        <v>Yes</v>
      </c>
    </row>
    <row r="2043" spans="1:15" x14ac:dyDescent="0.25">
      <c r="A2043" t="s">
        <v>2104</v>
      </c>
      <c r="B2043" s="1">
        <v>45819</v>
      </c>
      <c r="C2043" s="2">
        <v>45821.184999999998</v>
      </c>
      <c r="D2043" t="s">
        <v>15</v>
      </c>
      <c r="E2043" t="s">
        <v>45</v>
      </c>
      <c r="F2043" t="s">
        <v>104</v>
      </c>
      <c r="G2043" t="s">
        <v>41</v>
      </c>
      <c r="H2043" t="s">
        <v>27</v>
      </c>
      <c r="I2043" t="s">
        <v>36</v>
      </c>
      <c r="J2043" t="s">
        <v>21</v>
      </c>
      <c r="K2043">
        <v>48</v>
      </c>
      <c r="L2043">
        <v>52.44</v>
      </c>
      <c r="M2043">
        <v>4.2</v>
      </c>
      <c r="N2043" t="s">
        <v>22</v>
      </c>
      <c r="O2043" t="str">
        <f t="shared" si="31"/>
        <v>Yes</v>
      </c>
    </row>
    <row r="2044" spans="1:15" x14ac:dyDescent="0.25">
      <c r="A2044" t="s">
        <v>2105</v>
      </c>
      <c r="B2044" s="1">
        <v>45793</v>
      </c>
      <c r="C2044" s="2">
        <v>45793.14166666667</v>
      </c>
      <c r="D2044" t="s">
        <v>31</v>
      </c>
      <c r="E2044" t="s">
        <v>39</v>
      </c>
      <c r="F2044" t="s">
        <v>78</v>
      </c>
      <c r="G2044" t="s">
        <v>34</v>
      </c>
      <c r="H2044" t="s">
        <v>35</v>
      </c>
      <c r="I2044" t="s">
        <v>36</v>
      </c>
      <c r="J2044" t="s">
        <v>46</v>
      </c>
      <c r="K2044">
        <v>4</v>
      </c>
      <c r="L2044">
        <v>3.4</v>
      </c>
      <c r="M2044">
        <v>4.5999999999999996</v>
      </c>
      <c r="N2044" t="s">
        <v>22</v>
      </c>
      <c r="O2044" t="str">
        <f t="shared" si="31"/>
        <v>No</v>
      </c>
    </row>
    <row r="2045" spans="1:15" x14ac:dyDescent="0.25">
      <c r="A2045" t="s">
        <v>2106</v>
      </c>
      <c r="B2045" s="1">
        <v>45793</v>
      </c>
      <c r="C2045" s="2">
        <v>45793.862916666665</v>
      </c>
      <c r="D2045" t="s">
        <v>24</v>
      </c>
      <c r="E2045" t="s">
        <v>16</v>
      </c>
      <c r="F2045" t="s">
        <v>17</v>
      </c>
      <c r="G2045" t="s">
        <v>51</v>
      </c>
      <c r="H2045" t="s">
        <v>44</v>
      </c>
      <c r="I2045" t="s">
        <v>36</v>
      </c>
      <c r="J2045" t="s">
        <v>21</v>
      </c>
      <c r="K2045">
        <v>24</v>
      </c>
      <c r="L2045">
        <v>20.71</v>
      </c>
      <c r="M2045">
        <v>3.7</v>
      </c>
      <c r="N2045" t="s">
        <v>22</v>
      </c>
      <c r="O2045" t="str">
        <f t="shared" si="31"/>
        <v>No</v>
      </c>
    </row>
    <row r="2046" spans="1:15" x14ac:dyDescent="0.25">
      <c r="A2046" t="s">
        <v>2107</v>
      </c>
      <c r="B2046" s="1">
        <v>45708</v>
      </c>
      <c r="C2046" s="2">
        <v>45708.805833333332</v>
      </c>
      <c r="D2046" t="s">
        <v>24</v>
      </c>
      <c r="E2046" t="s">
        <v>16</v>
      </c>
      <c r="F2046" t="s">
        <v>43</v>
      </c>
      <c r="G2046" t="s">
        <v>18</v>
      </c>
      <c r="H2046" t="s">
        <v>44</v>
      </c>
      <c r="I2046" t="s">
        <v>20</v>
      </c>
      <c r="J2046" t="s">
        <v>21</v>
      </c>
      <c r="K2046">
        <v>24</v>
      </c>
      <c r="L2046">
        <v>19.34</v>
      </c>
      <c r="M2046">
        <v>4</v>
      </c>
      <c r="N2046" t="s">
        <v>22</v>
      </c>
      <c r="O2046" t="str">
        <f t="shared" si="31"/>
        <v>No</v>
      </c>
    </row>
    <row r="2047" spans="1:15" x14ac:dyDescent="0.25">
      <c r="A2047" t="s">
        <v>2108</v>
      </c>
      <c r="B2047" s="1">
        <v>45837</v>
      </c>
      <c r="C2047" s="2">
        <v>45838.727916666663</v>
      </c>
      <c r="D2047" t="s">
        <v>15</v>
      </c>
      <c r="E2047" t="s">
        <v>32</v>
      </c>
      <c r="F2047" t="s">
        <v>64</v>
      </c>
      <c r="G2047" t="s">
        <v>34</v>
      </c>
      <c r="H2047" t="s">
        <v>19</v>
      </c>
      <c r="I2047" t="s">
        <v>36</v>
      </c>
      <c r="J2047" t="s">
        <v>21</v>
      </c>
      <c r="K2047">
        <v>48</v>
      </c>
      <c r="L2047">
        <v>41.47</v>
      </c>
      <c r="M2047">
        <v>5</v>
      </c>
      <c r="N2047" t="s">
        <v>22</v>
      </c>
      <c r="O2047" t="str">
        <f t="shared" si="31"/>
        <v>No</v>
      </c>
    </row>
    <row r="2048" spans="1:15" x14ac:dyDescent="0.25">
      <c r="A2048" t="s">
        <v>2109</v>
      </c>
      <c r="B2048" s="1">
        <v>45739</v>
      </c>
      <c r="C2048" s="2">
        <v>45739.089166666665</v>
      </c>
      <c r="D2048" t="s">
        <v>31</v>
      </c>
      <c r="E2048" t="s">
        <v>16</v>
      </c>
      <c r="F2048" t="s">
        <v>58</v>
      </c>
      <c r="G2048" t="s">
        <v>18</v>
      </c>
      <c r="H2048" t="s">
        <v>35</v>
      </c>
      <c r="I2048" t="s">
        <v>36</v>
      </c>
      <c r="J2048" t="s">
        <v>46</v>
      </c>
      <c r="K2048">
        <v>4</v>
      </c>
      <c r="L2048">
        <v>2.14</v>
      </c>
      <c r="M2048">
        <v>3.4</v>
      </c>
      <c r="N2048" t="s">
        <v>22</v>
      </c>
      <c r="O2048" t="str">
        <f t="shared" si="31"/>
        <v>No</v>
      </c>
    </row>
    <row r="2049" spans="1:15" x14ac:dyDescent="0.25">
      <c r="A2049" t="s">
        <v>2110</v>
      </c>
      <c r="B2049" s="1">
        <v>45754</v>
      </c>
      <c r="C2049" s="2">
        <v>45754.605416666665</v>
      </c>
      <c r="D2049" t="s">
        <v>15</v>
      </c>
      <c r="E2049" t="s">
        <v>16</v>
      </c>
      <c r="F2049" t="s">
        <v>43</v>
      </c>
      <c r="G2049" t="s">
        <v>51</v>
      </c>
      <c r="H2049" t="s">
        <v>44</v>
      </c>
      <c r="I2049" t="s">
        <v>36</v>
      </c>
      <c r="J2049" t="s">
        <v>46</v>
      </c>
      <c r="K2049">
        <v>48</v>
      </c>
      <c r="L2049">
        <v>14.53</v>
      </c>
      <c r="M2049">
        <v>5</v>
      </c>
      <c r="N2049" t="s">
        <v>22</v>
      </c>
      <c r="O2049" t="str">
        <f t="shared" si="31"/>
        <v>No</v>
      </c>
    </row>
    <row r="2050" spans="1:15" x14ac:dyDescent="0.25">
      <c r="A2050" t="s">
        <v>2111</v>
      </c>
      <c r="B2050" s="1">
        <v>45793</v>
      </c>
      <c r="C2050" s="2">
        <v>45793.062083333331</v>
      </c>
      <c r="D2050" t="s">
        <v>38</v>
      </c>
      <c r="E2050" t="s">
        <v>16</v>
      </c>
      <c r="F2050" t="s">
        <v>17</v>
      </c>
      <c r="G2050" t="s">
        <v>51</v>
      </c>
      <c r="H2050" t="s">
        <v>65</v>
      </c>
      <c r="I2050" t="s">
        <v>20</v>
      </c>
      <c r="J2050" t="s">
        <v>46</v>
      </c>
      <c r="K2050">
        <v>8</v>
      </c>
      <c r="L2050">
        <v>1.49</v>
      </c>
      <c r="M2050">
        <v>5</v>
      </c>
      <c r="N2050" t="s">
        <v>22</v>
      </c>
      <c r="O2050" t="str">
        <f t="shared" si="31"/>
        <v>No</v>
      </c>
    </row>
    <row r="2051" spans="1:15" x14ac:dyDescent="0.25">
      <c r="A2051" t="s">
        <v>2112</v>
      </c>
      <c r="B2051" s="1">
        <v>45777</v>
      </c>
      <c r="C2051" s="2">
        <v>45777.287083333336</v>
      </c>
      <c r="D2051" t="s">
        <v>15</v>
      </c>
      <c r="E2051" t="s">
        <v>32</v>
      </c>
      <c r="F2051" t="s">
        <v>33</v>
      </c>
      <c r="G2051" t="s">
        <v>34</v>
      </c>
      <c r="H2051" t="s">
        <v>54</v>
      </c>
      <c r="I2051" t="s">
        <v>28</v>
      </c>
      <c r="J2051" t="s">
        <v>21</v>
      </c>
      <c r="K2051">
        <v>48</v>
      </c>
      <c r="L2051">
        <v>6.89</v>
      </c>
      <c r="M2051">
        <v>4.5999999999999996</v>
      </c>
      <c r="N2051" t="s">
        <v>22</v>
      </c>
      <c r="O2051" t="str">
        <f t="shared" ref="O2051:O2114" si="32">IF(L2051&gt;K2051,"Yes","No")</f>
        <v>No</v>
      </c>
    </row>
    <row r="2052" spans="1:15" x14ac:dyDescent="0.25">
      <c r="A2052" t="s">
        <v>2113</v>
      </c>
      <c r="B2052" s="1">
        <v>45689</v>
      </c>
      <c r="C2052" s="2">
        <v>45689.405416666668</v>
      </c>
      <c r="D2052" t="s">
        <v>15</v>
      </c>
      <c r="E2052" t="s">
        <v>45</v>
      </c>
      <c r="F2052" t="s">
        <v>100</v>
      </c>
      <c r="G2052" t="s">
        <v>56</v>
      </c>
      <c r="H2052" t="s">
        <v>44</v>
      </c>
      <c r="I2052" t="s">
        <v>20</v>
      </c>
      <c r="J2052" t="s">
        <v>21</v>
      </c>
      <c r="K2052">
        <v>48</v>
      </c>
      <c r="L2052">
        <v>9.73</v>
      </c>
      <c r="M2052">
        <v>4.7</v>
      </c>
      <c r="N2052" t="s">
        <v>22</v>
      </c>
      <c r="O2052" t="str">
        <f t="shared" si="32"/>
        <v>No</v>
      </c>
    </row>
    <row r="2053" spans="1:15" x14ac:dyDescent="0.25">
      <c r="A2053" t="s">
        <v>2114</v>
      </c>
      <c r="B2053" s="1">
        <v>45712</v>
      </c>
      <c r="C2053" s="2">
        <v>45713.046666666669</v>
      </c>
      <c r="D2053" t="s">
        <v>24</v>
      </c>
      <c r="E2053" t="s">
        <v>32</v>
      </c>
      <c r="F2053" t="s">
        <v>80</v>
      </c>
      <c r="G2053" t="s">
        <v>34</v>
      </c>
      <c r="H2053" t="s">
        <v>27</v>
      </c>
      <c r="I2053" t="s">
        <v>36</v>
      </c>
      <c r="J2053" t="s">
        <v>46</v>
      </c>
      <c r="K2053">
        <v>24</v>
      </c>
      <c r="L2053">
        <v>25.12</v>
      </c>
      <c r="M2053">
        <v>4</v>
      </c>
      <c r="N2053" t="s">
        <v>22</v>
      </c>
      <c r="O2053" t="str">
        <f t="shared" si="32"/>
        <v>Yes</v>
      </c>
    </row>
    <row r="2054" spans="1:15" x14ac:dyDescent="0.25">
      <c r="A2054" t="s">
        <v>2115</v>
      </c>
      <c r="B2054" s="1">
        <v>45723</v>
      </c>
      <c r="C2054" s="2">
        <v>45725.738333333335</v>
      </c>
      <c r="D2054" t="s">
        <v>15</v>
      </c>
      <c r="E2054" t="s">
        <v>16</v>
      </c>
      <c r="F2054" t="s">
        <v>58</v>
      </c>
      <c r="G2054" t="s">
        <v>18</v>
      </c>
      <c r="H2054" t="s">
        <v>65</v>
      </c>
      <c r="I2054" t="s">
        <v>45</v>
      </c>
      <c r="J2054" t="s">
        <v>29</v>
      </c>
      <c r="K2054">
        <v>48</v>
      </c>
      <c r="L2054">
        <v>65.72</v>
      </c>
      <c r="M2054">
        <v>3.2</v>
      </c>
      <c r="N2054" t="s">
        <v>22</v>
      </c>
      <c r="O2054" t="str">
        <f t="shared" si="32"/>
        <v>Yes</v>
      </c>
    </row>
    <row r="2055" spans="1:15" x14ac:dyDescent="0.25">
      <c r="A2055" t="s">
        <v>2116</v>
      </c>
      <c r="B2055" s="1">
        <v>45829</v>
      </c>
      <c r="C2055" s="2">
        <v>45829.834166666667</v>
      </c>
      <c r="D2055" t="s">
        <v>24</v>
      </c>
      <c r="E2055" t="s">
        <v>32</v>
      </c>
      <c r="F2055" t="s">
        <v>64</v>
      </c>
      <c r="G2055" t="s">
        <v>34</v>
      </c>
      <c r="H2055" t="s">
        <v>44</v>
      </c>
      <c r="I2055" t="s">
        <v>36</v>
      </c>
      <c r="J2055" t="s">
        <v>46</v>
      </c>
      <c r="K2055">
        <v>24</v>
      </c>
      <c r="L2055">
        <v>20.02</v>
      </c>
      <c r="M2055">
        <v>3.6</v>
      </c>
      <c r="N2055" t="s">
        <v>22</v>
      </c>
      <c r="O2055" t="str">
        <f t="shared" si="32"/>
        <v>No</v>
      </c>
    </row>
    <row r="2056" spans="1:15" x14ac:dyDescent="0.25">
      <c r="A2056" t="s">
        <v>2117</v>
      </c>
      <c r="B2056" s="1">
        <v>45787</v>
      </c>
      <c r="C2056" s="2">
        <v>45788.236666666664</v>
      </c>
      <c r="D2056" t="s">
        <v>15</v>
      </c>
      <c r="E2056" t="s">
        <v>32</v>
      </c>
      <c r="F2056" t="s">
        <v>64</v>
      </c>
      <c r="G2056" t="s">
        <v>18</v>
      </c>
      <c r="H2056" t="s">
        <v>65</v>
      </c>
      <c r="I2056" t="s">
        <v>28</v>
      </c>
      <c r="J2056" t="s">
        <v>21</v>
      </c>
      <c r="K2056">
        <v>48</v>
      </c>
      <c r="L2056">
        <v>29.68</v>
      </c>
      <c r="M2056">
        <v>3.8</v>
      </c>
      <c r="N2056" t="s">
        <v>22</v>
      </c>
      <c r="O2056" t="str">
        <f t="shared" si="32"/>
        <v>No</v>
      </c>
    </row>
    <row r="2057" spans="1:15" x14ac:dyDescent="0.25">
      <c r="A2057" t="s">
        <v>2118</v>
      </c>
      <c r="B2057" s="1">
        <v>45724</v>
      </c>
      <c r="C2057" s="2">
        <v>45724.030833333331</v>
      </c>
      <c r="D2057" t="s">
        <v>38</v>
      </c>
      <c r="E2057" t="s">
        <v>32</v>
      </c>
      <c r="F2057" t="s">
        <v>80</v>
      </c>
      <c r="G2057" t="s">
        <v>34</v>
      </c>
      <c r="H2057" t="s">
        <v>65</v>
      </c>
      <c r="I2057" t="s">
        <v>36</v>
      </c>
      <c r="J2057" t="s">
        <v>21</v>
      </c>
      <c r="K2057">
        <v>8</v>
      </c>
      <c r="L2057">
        <v>0.74</v>
      </c>
      <c r="M2057">
        <v>5</v>
      </c>
      <c r="N2057" t="s">
        <v>61</v>
      </c>
      <c r="O2057" t="str">
        <f t="shared" si="32"/>
        <v>No</v>
      </c>
    </row>
    <row r="2058" spans="1:15" x14ac:dyDescent="0.25">
      <c r="A2058" t="s">
        <v>2119</v>
      </c>
      <c r="B2058" s="1">
        <v>45790</v>
      </c>
      <c r="C2058" s="2">
        <v>45790.154999999999</v>
      </c>
      <c r="D2058" t="s">
        <v>38</v>
      </c>
      <c r="E2058" t="s">
        <v>39</v>
      </c>
      <c r="F2058" t="s">
        <v>40</v>
      </c>
      <c r="G2058" t="s">
        <v>51</v>
      </c>
      <c r="H2058" t="s">
        <v>44</v>
      </c>
      <c r="I2058" t="s">
        <v>28</v>
      </c>
      <c r="J2058" t="s">
        <v>46</v>
      </c>
      <c r="K2058">
        <v>8</v>
      </c>
      <c r="L2058">
        <v>3.72</v>
      </c>
      <c r="M2058">
        <v>4.2</v>
      </c>
      <c r="N2058" t="s">
        <v>61</v>
      </c>
      <c r="O2058" t="str">
        <f t="shared" si="32"/>
        <v>No</v>
      </c>
    </row>
    <row r="2059" spans="1:15" x14ac:dyDescent="0.25">
      <c r="A2059" t="s">
        <v>2120</v>
      </c>
      <c r="B2059" s="1">
        <v>45791</v>
      </c>
      <c r="C2059" s="2">
        <v>45791.096250000002</v>
      </c>
      <c r="D2059" t="s">
        <v>38</v>
      </c>
      <c r="E2059" t="s">
        <v>16</v>
      </c>
      <c r="F2059" t="s">
        <v>58</v>
      </c>
      <c r="G2059" t="s">
        <v>51</v>
      </c>
      <c r="H2059" t="s">
        <v>54</v>
      </c>
      <c r="I2059" t="s">
        <v>20</v>
      </c>
      <c r="J2059" t="s">
        <v>21</v>
      </c>
      <c r="K2059">
        <v>8</v>
      </c>
      <c r="L2059">
        <v>2.31</v>
      </c>
      <c r="M2059">
        <v>4.8</v>
      </c>
      <c r="N2059" t="s">
        <v>22</v>
      </c>
      <c r="O2059" t="str">
        <f t="shared" si="32"/>
        <v>No</v>
      </c>
    </row>
    <row r="2060" spans="1:15" x14ac:dyDescent="0.25">
      <c r="A2060" t="s">
        <v>2121</v>
      </c>
      <c r="B2060" s="1">
        <v>45729</v>
      </c>
      <c r="C2060" s="2">
        <v>45729.576666666668</v>
      </c>
      <c r="D2060" t="s">
        <v>15</v>
      </c>
      <c r="E2060" t="s">
        <v>16</v>
      </c>
      <c r="F2060" t="s">
        <v>17</v>
      </c>
      <c r="G2060" t="s">
        <v>41</v>
      </c>
      <c r="H2060" t="s">
        <v>65</v>
      </c>
      <c r="I2060" t="s">
        <v>20</v>
      </c>
      <c r="J2060" t="s">
        <v>21</v>
      </c>
      <c r="K2060">
        <v>48</v>
      </c>
      <c r="L2060">
        <v>13.84</v>
      </c>
      <c r="M2060">
        <v>5</v>
      </c>
      <c r="N2060" t="s">
        <v>22</v>
      </c>
      <c r="O2060" t="str">
        <f t="shared" si="32"/>
        <v>No</v>
      </c>
    </row>
    <row r="2061" spans="1:15" x14ac:dyDescent="0.25">
      <c r="A2061" t="s">
        <v>2122</v>
      </c>
      <c r="B2061" s="1">
        <v>45730</v>
      </c>
      <c r="C2061" s="2">
        <v>45730.560833333337</v>
      </c>
      <c r="D2061" t="s">
        <v>24</v>
      </c>
      <c r="E2061" t="s">
        <v>16</v>
      </c>
      <c r="F2061" t="s">
        <v>58</v>
      </c>
      <c r="G2061" t="s">
        <v>56</v>
      </c>
      <c r="H2061" t="s">
        <v>44</v>
      </c>
      <c r="I2061" t="s">
        <v>20</v>
      </c>
      <c r="J2061" t="s">
        <v>29</v>
      </c>
      <c r="K2061">
        <v>24</v>
      </c>
      <c r="L2061">
        <v>13.46</v>
      </c>
      <c r="M2061">
        <v>4.2</v>
      </c>
      <c r="N2061" t="s">
        <v>22</v>
      </c>
      <c r="O2061" t="str">
        <f t="shared" si="32"/>
        <v>No</v>
      </c>
    </row>
    <row r="2062" spans="1:15" x14ac:dyDescent="0.25">
      <c r="A2062" t="s">
        <v>2123</v>
      </c>
      <c r="B2062" s="1">
        <v>45819</v>
      </c>
      <c r="C2062" s="2">
        <v>45819.138333333336</v>
      </c>
      <c r="D2062" t="s">
        <v>31</v>
      </c>
      <c r="E2062" t="s">
        <v>16</v>
      </c>
      <c r="F2062" t="s">
        <v>43</v>
      </c>
      <c r="G2062" t="s">
        <v>41</v>
      </c>
      <c r="H2062" t="s">
        <v>44</v>
      </c>
      <c r="I2062" t="s">
        <v>36</v>
      </c>
      <c r="J2062" t="s">
        <v>29</v>
      </c>
      <c r="K2062">
        <v>4</v>
      </c>
      <c r="L2062">
        <v>3.32</v>
      </c>
      <c r="M2062">
        <v>4</v>
      </c>
      <c r="N2062" t="s">
        <v>22</v>
      </c>
      <c r="O2062" t="str">
        <f t="shared" si="32"/>
        <v>No</v>
      </c>
    </row>
    <row r="2063" spans="1:15" x14ac:dyDescent="0.25">
      <c r="A2063" t="s">
        <v>2124</v>
      </c>
      <c r="B2063" s="1">
        <v>45759</v>
      </c>
      <c r="C2063" s="2">
        <v>45760.036249999997</v>
      </c>
      <c r="D2063" t="s">
        <v>15</v>
      </c>
      <c r="E2063" t="s">
        <v>32</v>
      </c>
      <c r="F2063" t="s">
        <v>75</v>
      </c>
      <c r="G2063" t="s">
        <v>34</v>
      </c>
      <c r="H2063" t="s">
        <v>19</v>
      </c>
      <c r="I2063" t="s">
        <v>36</v>
      </c>
      <c r="J2063" t="s">
        <v>21</v>
      </c>
      <c r="K2063">
        <v>48</v>
      </c>
      <c r="L2063">
        <v>24.87</v>
      </c>
      <c r="M2063">
        <v>4.7</v>
      </c>
      <c r="N2063" t="s">
        <v>22</v>
      </c>
      <c r="O2063" t="str">
        <f t="shared" si="32"/>
        <v>No</v>
      </c>
    </row>
    <row r="2064" spans="1:15" x14ac:dyDescent="0.25">
      <c r="A2064" t="s">
        <v>2125</v>
      </c>
      <c r="B2064" s="1">
        <v>45685</v>
      </c>
      <c r="C2064" s="2">
        <v>45689.139166666668</v>
      </c>
      <c r="D2064" t="s">
        <v>15</v>
      </c>
      <c r="E2064" t="s">
        <v>32</v>
      </c>
      <c r="F2064" t="s">
        <v>33</v>
      </c>
      <c r="G2064" t="s">
        <v>18</v>
      </c>
      <c r="H2064" t="s">
        <v>44</v>
      </c>
      <c r="I2064" t="s">
        <v>36</v>
      </c>
      <c r="J2064" t="s">
        <v>21</v>
      </c>
      <c r="K2064">
        <v>48</v>
      </c>
      <c r="L2064">
        <v>99.34</v>
      </c>
      <c r="M2064">
        <v>2</v>
      </c>
      <c r="N2064" t="s">
        <v>22</v>
      </c>
      <c r="O2064" t="str">
        <f t="shared" si="32"/>
        <v>Yes</v>
      </c>
    </row>
    <row r="2065" spans="1:15" x14ac:dyDescent="0.25">
      <c r="A2065" t="s">
        <v>2126</v>
      </c>
      <c r="B2065" s="1">
        <v>45788</v>
      </c>
      <c r="C2065" s="2">
        <v>45788.201249999998</v>
      </c>
      <c r="D2065" t="s">
        <v>38</v>
      </c>
      <c r="E2065" t="s">
        <v>16</v>
      </c>
      <c r="F2065" t="s">
        <v>43</v>
      </c>
      <c r="G2065" t="s">
        <v>34</v>
      </c>
      <c r="H2065" t="s">
        <v>19</v>
      </c>
      <c r="I2065" t="s">
        <v>36</v>
      </c>
      <c r="J2065" t="s">
        <v>46</v>
      </c>
      <c r="K2065">
        <v>8</v>
      </c>
      <c r="L2065">
        <v>4.83</v>
      </c>
      <c r="M2065">
        <v>3.3</v>
      </c>
      <c r="N2065" t="s">
        <v>22</v>
      </c>
      <c r="O2065" t="str">
        <f t="shared" si="32"/>
        <v>No</v>
      </c>
    </row>
    <row r="2066" spans="1:15" x14ac:dyDescent="0.25">
      <c r="A2066" t="s">
        <v>2127</v>
      </c>
      <c r="B2066" s="1">
        <v>45764</v>
      </c>
      <c r="C2066" s="2">
        <v>45764.154999999999</v>
      </c>
      <c r="D2066" t="s">
        <v>15</v>
      </c>
      <c r="E2066" t="s">
        <v>16</v>
      </c>
      <c r="F2066" t="s">
        <v>60</v>
      </c>
      <c r="G2066" t="s">
        <v>34</v>
      </c>
      <c r="H2066" t="s">
        <v>44</v>
      </c>
      <c r="I2066" t="s">
        <v>20</v>
      </c>
      <c r="J2066" t="s">
        <v>29</v>
      </c>
      <c r="K2066">
        <v>48</v>
      </c>
      <c r="L2066">
        <v>3.72</v>
      </c>
      <c r="M2066">
        <v>4.4000000000000004</v>
      </c>
      <c r="N2066" t="s">
        <v>22</v>
      </c>
      <c r="O2066" t="str">
        <f t="shared" si="32"/>
        <v>No</v>
      </c>
    </row>
    <row r="2067" spans="1:15" x14ac:dyDescent="0.25">
      <c r="A2067" t="s">
        <v>2128</v>
      </c>
      <c r="B2067" s="1">
        <v>45750</v>
      </c>
      <c r="C2067" s="2">
        <v>45751.622083333335</v>
      </c>
      <c r="D2067" t="s">
        <v>24</v>
      </c>
      <c r="E2067" t="s">
        <v>16</v>
      </c>
      <c r="F2067" t="s">
        <v>43</v>
      </c>
      <c r="G2067" t="s">
        <v>41</v>
      </c>
      <c r="H2067" t="s">
        <v>44</v>
      </c>
      <c r="I2067" t="s">
        <v>45</v>
      </c>
      <c r="J2067" t="s">
        <v>21</v>
      </c>
      <c r="K2067">
        <v>24</v>
      </c>
      <c r="L2067">
        <v>38.93</v>
      </c>
      <c r="M2067">
        <v>4.2</v>
      </c>
      <c r="N2067" t="s">
        <v>22</v>
      </c>
      <c r="O2067" t="str">
        <f t="shared" si="32"/>
        <v>Yes</v>
      </c>
    </row>
    <row r="2068" spans="1:15" x14ac:dyDescent="0.25">
      <c r="A2068" t="s">
        <v>2129</v>
      </c>
      <c r="B2068" s="1">
        <v>45789</v>
      </c>
      <c r="C2068" s="2">
        <v>45789.165416666663</v>
      </c>
      <c r="D2068" t="s">
        <v>38</v>
      </c>
      <c r="E2068" t="s">
        <v>32</v>
      </c>
      <c r="F2068" t="s">
        <v>75</v>
      </c>
      <c r="G2068" t="s">
        <v>51</v>
      </c>
      <c r="H2068" t="s">
        <v>54</v>
      </c>
      <c r="I2068" t="s">
        <v>20</v>
      </c>
      <c r="J2068" t="s">
        <v>21</v>
      </c>
      <c r="K2068">
        <v>8</v>
      </c>
      <c r="L2068">
        <v>3.97</v>
      </c>
      <c r="M2068">
        <v>4</v>
      </c>
      <c r="N2068" t="s">
        <v>22</v>
      </c>
      <c r="O2068" t="str">
        <f t="shared" si="32"/>
        <v>No</v>
      </c>
    </row>
    <row r="2069" spans="1:15" x14ac:dyDescent="0.25">
      <c r="A2069" t="s">
        <v>2130</v>
      </c>
      <c r="B2069" s="1">
        <v>45822</v>
      </c>
      <c r="C2069" s="2">
        <v>45824.726666666669</v>
      </c>
      <c r="D2069" t="s">
        <v>15</v>
      </c>
      <c r="E2069" t="s">
        <v>25</v>
      </c>
      <c r="F2069" t="s">
        <v>53</v>
      </c>
      <c r="G2069" t="s">
        <v>18</v>
      </c>
      <c r="H2069" t="s">
        <v>19</v>
      </c>
      <c r="I2069" t="s">
        <v>20</v>
      </c>
      <c r="J2069" t="s">
        <v>21</v>
      </c>
      <c r="K2069">
        <v>48</v>
      </c>
      <c r="L2069">
        <v>65.44</v>
      </c>
      <c r="M2069">
        <v>3.4</v>
      </c>
      <c r="N2069" t="s">
        <v>22</v>
      </c>
      <c r="O2069" t="str">
        <f t="shared" si="32"/>
        <v>Yes</v>
      </c>
    </row>
    <row r="2070" spans="1:15" x14ac:dyDescent="0.25">
      <c r="A2070" t="s">
        <v>2131</v>
      </c>
      <c r="B2070" s="1">
        <v>45717</v>
      </c>
      <c r="C2070" s="2">
        <v>45717.13958333333</v>
      </c>
      <c r="D2070" t="s">
        <v>24</v>
      </c>
      <c r="E2070" t="s">
        <v>32</v>
      </c>
      <c r="F2070" t="s">
        <v>80</v>
      </c>
      <c r="G2070" t="s">
        <v>41</v>
      </c>
      <c r="H2070" t="s">
        <v>44</v>
      </c>
      <c r="I2070" t="s">
        <v>36</v>
      </c>
      <c r="J2070" t="s">
        <v>21</v>
      </c>
      <c r="K2070">
        <v>24</v>
      </c>
      <c r="L2070">
        <v>3.35</v>
      </c>
      <c r="M2070">
        <v>4</v>
      </c>
      <c r="N2070" t="s">
        <v>22</v>
      </c>
      <c r="O2070" t="str">
        <f t="shared" si="32"/>
        <v>No</v>
      </c>
    </row>
    <row r="2071" spans="1:15" x14ac:dyDescent="0.25">
      <c r="A2071" t="s">
        <v>2132</v>
      </c>
      <c r="B2071" s="1">
        <v>45733</v>
      </c>
      <c r="C2071" s="2">
        <v>45733.249583333331</v>
      </c>
      <c r="D2071" t="s">
        <v>24</v>
      </c>
      <c r="E2071" t="s">
        <v>16</v>
      </c>
      <c r="F2071" t="s">
        <v>58</v>
      </c>
      <c r="G2071" t="s">
        <v>18</v>
      </c>
      <c r="H2071" t="s">
        <v>65</v>
      </c>
      <c r="I2071" t="s">
        <v>36</v>
      </c>
      <c r="J2071" t="s">
        <v>21</v>
      </c>
      <c r="K2071">
        <v>24</v>
      </c>
      <c r="L2071">
        <v>5.99</v>
      </c>
      <c r="M2071">
        <v>5</v>
      </c>
      <c r="N2071" t="s">
        <v>22</v>
      </c>
      <c r="O2071" t="str">
        <f t="shared" si="32"/>
        <v>No</v>
      </c>
    </row>
    <row r="2072" spans="1:15" x14ac:dyDescent="0.25">
      <c r="A2072" t="s">
        <v>2133</v>
      </c>
      <c r="B2072" s="1">
        <v>45692</v>
      </c>
      <c r="C2072" s="2">
        <v>45692.199583333335</v>
      </c>
      <c r="D2072" t="s">
        <v>24</v>
      </c>
      <c r="E2072" t="s">
        <v>32</v>
      </c>
      <c r="F2072" t="s">
        <v>80</v>
      </c>
      <c r="G2072" t="s">
        <v>56</v>
      </c>
      <c r="H2072" t="s">
        <v>35</v>
      </c>
      <c r="I2072" t="s">
        <v>36</v>
      </c>
      <c r="J2072" t="s">
        <v>85</v>
      </c>
      <c r="K2072">
        <v>24</v>
      </c>
      <c r="L2072">
        <v>4.79</v>
      </c>
      <c r="M2072">
        <v>4.5999999999999996</v>
      </c>
      <c r="N2072" t="s">
        <v>22</v>
      </c>
      <c r="O2072" t="str">
        <f t="shared" si="32"/>
        <v>No</v>
      </c>
    </row>
    <row r="2073" spans="1:15" x14ac:dyDescent="0.25">
      <c r="A2073" t="s">
        <v>2134</v>
      </c>
      <c r="B2073" s="1">
        <v>45775</v>
      </c>
      <c r="C2073" s="2">
        <v>45775.342499999999</v>
      </c>
      <c r="D2073" t="s">
        <v>38</v>
      </c>
      <c r="E2073" t="s">
        <v>16</v>
      </c>
      <c r="F2073" t="s">
        <v>60</v>
      </c>
      <c r="G2073" t="s">
        <v>34</v>
      </c>
      <c r="H2073" t="s">
        <v>44</v>
      </c>
      <c r="I2073" t="s">
        <v>36</v>
      </c>
      <c r="J2073" t="s">
        <v>21</v>
      </c>
      <c r="K2073">
        <v>8</v>
      </c>
      <c r="L2073">
        <v>8.2200000000000006</v>
      </c>
      <c r="M2073">
        <v>3.5</v>
      </c>
      <c r="N2073" t="s">
        <v>22</v>
      </c>
      <c r="O2073" t="str">
        <f t="shared" si="32"/>
        <v>Yes</v>
      </c>
    </row>
    <row r="2074" spans="1:15" x14ac:dyDescent="0.25">
      <c r="A2074" t="s">
        <v>2135</v>
      </c>
      <c r="B2074" s="1">
        <v>45730</v>
      </c>
      <c r="C2074" s="2">
        <v>45732.426249999997</v>
      </c>
      <c r="D2074" t="s">
        <v>15</v>
      </c>
      <c r="E2074" t="s">
        <v>39</v>
      </c>
      <c r="F2074" t="s">
        <v>40</v>
      </c>
      <c r="G2074" t="s">
        <v>51</v>
      </c>
      <c r="H2074" t="s">
        <v>65</v>
      </c>
      <c r="I2074" t="s">
        <v>45</v>
      </c>
      <c r="J2074" t="s">
        <v>21</v>
      </c>
      <c r="K2074">
        <v>48</v>
      </c>
      <c r="L2074">
        <v>58.23</v>
      </c>
      <c r="M2074">
        <v>3.5</v>
      </c>
      <c r="N2074" t="s">
        <v>22</v>
      </c>
      <c r="O2074" t="str">
        <f t="shared" si="32"/>
        <v>Yes</v>
      </c>
    </row>
    <row r="2075" spans="1:15" x14ac:dyDescent="0.25">
      <c r="A2075" t="s">
        <v>2136</v>
      </c>
      <c r="B2075" s="1">
        <v>45719</v>
      </c>
      <c r="C2075" s="2">
        <v>45719.754583333335</v>
      </c>
      <c r="D2075" t="s">
        <v>24</v>
      </c>
      <c r="E2075" t="s">
        <v>16</v>
      </c>
      <c r="F2075" t="s">
        <v>58</v>
      </c>
      <c r="G2075" t="s">
        <v>18</v>
      </c>
      <c r="H2075" t="s">
        <v>65</v>
      </c>
      <c r="I2075" t="s">
        <v>20</v>
      </c>
      <c r="J2075" t="s">
        <v>21</v>
      </c>
      <c r="K2075">
        <v>24</v>
      </c>
      <c r="L2075">
        <v>18.11</v>
      </c>
      <c r="M2075">
        <v>5</v>
      </c>
      <c r="N2075" t="s">
        <v>61</v>
      </c>
      <c r="O2075" t="str">
        <f t="shared" si="32"/>
        <v>No</v>
      </c>
    </row>
    <row r="2076" spans="1:15" x14ac:dyDescent="0.25">
      <c r="A2076" t="s">
        <v>2137</v>
      </c>
      <c r="B2076" s="1">
        <v>45784</v>
      </c>
      <c r="C2076" s="2">
        <v>45784.213333333333</v>
      </c>
      <c r="D2076" t="s">
        <v>38</v>
      </c>
      <c r="E2076" t="s">
        <v>32</v>
      </c>
      <c r="F2076" t="s">
        <v>80</v>
      </c>
      <c r="G2076" t="s">
        <v>18</v>
      </c>
      <c r="H2076" t="s">
        <v>35</v>
      </c>
      <c r="I2076" t="s">
        <v>20</v>
      </c>
      <c r="J2076" t="s">
        <v>21</v>
      </c>
      <c r="K2076">
        <v>8</v>
      </c>
      <c r="L2076">
        <v>5.12</v>
      </c>
      <c r="M2076">
        <v>4.5</v>
      </c>
      <c r="N2076" t="s">
        <v>22</v>
      </c>
      <c r="O2076" t="str">
        <f t="shared" si="32"/>
        <v>No</v>
      </c>
    </row>
    <row r="2077" spans="1:15" x14ac:dyDescent="0.25">
      <c r="A2077" t="s">
        <v>2138</v>
      </c>
      <c r="B2077" s="1">
        <v>45731</v>
      </c>
      <c r="C2077" s="2">
        <v>45731.172500000001</v>
      </c>
      <c r="D2077" t="s">
        <v>15</v>
      </c>
      <c r="E2077" t="s">
        <v>16</v>
      </c>
      <c r="F2077" t="s">
        <v>17</v>
      </c>
      <c r="G2077" t="s">
        <v>18</v>
      </c>
      <c r="H2077" t="s">
        <v>35</v>
      </c>
      <c r="I2077" t="s">
        <v>45</v>
      </c>
      <c r="J2077" t="s">
        <v>21</v>
      </c>
      <c r="K2077">
        <v>48</v>
      </c>
      <c r="L2077">
        <v>4.1399999999999997</v>
      </c>
      <c r="M2077">
        <v>4.8</v>
      </c>
      <c r="N2077" t="s">
        <v>22</v>
      </c>
      <c r="O2077" t="str">
        <f t="shared" si="32"/>
        <v>No</v>
      </c>
    </row>
    <row r="2078" spans="1:15" x14ac:dyDescent="0.25">
      <c r="A2078" t="s">
        <v>2139</v>
      </c>
      <c r="B2078" s="1">
        <v>45742</v>
      </c>
      <c r="C2078" s="2">
        <v>45742.091249999998</v>
      </c>
      <c r="D2078" t="s">
        <v>38</v>
      </c>
      <c r="E2078" t="s">
        <v>32</v>
      </c>
      <c r="F2078" t="s">
        <v>80</v>
      </c>
      <c r="G2078" t="s">
        <v>51</v>
      </c>
      <c r="H2078" t="s">
        <v>35</v>
      </c>
      <c r="I2078" t="s">
        <v>20</v>
      </c>
      <c r="J2078" t="s">
        <v>21</v>
      </c>
      <c r="K2078">
        <v>8</v>
      </c>
      <c r="L2078">
        <v>2.19</v>
      </c>
      <c r="M2078">
        <v>2.8</v>
      </c>
      <c r="N2078" t="s">
        <v>22</v>
      </c>
      <c r="O2078" t="str">
        <f t="shared" si="32"/>
        <v>No</v>
      </c>
    </row>
    <row r="2079" spans="1:15" x14ac:dyDescent="0.25">
      <c r="A2079" t="s">
        <v>2140</v>
      </c>
      <c r="B2079" s="1">
        <v>45737</v>
      </c>
      <c r="C2079" s="2">
        <v>45737.620833333334</v>
      </c>
      <c r="D2079" t="s">
        <v>15</v>
      </c>
      <c r="E2079" t="s">
        <v>16</v>
      </c>
      <c r="F2079" t="s">
        <v>60</v>
      </c>
      <c r="G2079" t="s">
        <v>56</v>
      </c>
      <c r="H2079" t="s">
        <v>54</v>
      </c>
      <c r="I2079" t="s">
        <v>45</v>
      </c>
      <c r="J2079" t="s">
        <v>21</v>
      </c>
      <c r="K2079">
        <v>48</v>
      </c>
      <c r="L2079">
        <v>14.9</v>
      </c>
      <c r="M2079">
        <v>5</v>
      </c>
      <c r="N2079" t="s">
        <v>22</v>
      </c>
      <c r="O2079" t="str">
        <f t="shared" si="32"/>
        <v>No</v>
      </c>
    </row>
    <row r="2080" spans="1:15" x14ac:dyDescent="0.25">
      <c r="A2080" t="s">
        <v>2141</v>
      </c>
      <c r="B2080" s="1">
        <v>45704</v>
      </c>
      <c r="C2080" s="2">
        <v>45704.112500000003</v>
      </c>
      <c r="D2080" t="s">
        <v>24</v>
      </c>
      <c r="E2080" t="s">
        <v>32</v>
      </c>
      <c r="F2080" t="s">
        <v>75</v>
      </c>
      <c r="G2080" t="s">
        <v>41</v>
      </c>
      <c r="H2080" t="s">
        <v>44</v>
      </c>
      <c r="I2080" t="s">
        <v>28</v>
      </c>
      <c r="J2080" t="s">
        <v>21</v>
      </c>
      <c r="K2080">
        <v>24</v>
      </c>
      <c r="L2080">
        <v>2.7</v>
      </c>
      <c r="M2080">
        <v>4.4000000000000004</v>
      </c>
      <c r="N2080" t="s">
        <v>22</v>
      </c>
      <c r="O2080" t="str">
        <f t="shared" si="32"/>
        <v>No</v>
      </c>
    </row>
    <row r="2081" spans="1:15" x14ac:dyDescent="0.25">
      <c r="A2081" t="s">
        <v>2142</v>
      </c>
      <c r="B2081" s="1">
        <v>45680</v>
      </c>
      <c r="C2081" s="2">
        <v>45680.952916666669</v>
      </c>
      <c r="D2081" t="s">
        <v>15</v>
      </c>
      <c r="E2081" t="s">
        <v>32</v>
      </c>
      <c r="F2081" t="s">
        <v>75</v>
      </c>
      <c r="G2081" t="s">
        <v>41</v>
      </c>
      <c r="H2081" t="s">
        <v>65</v>
      </c>
      <c r="I2081" t="s">
        <v>20</v>
      </c>
      <c r="J2081" t="s">
        <v>21</v>
      </c>
      <c r="K2081">
        <v>48</v>
      </c>
      <c r="L2081">
        <v>22.87</v>
      </c>
      <c r="M2081">
        <v>3.9</v>
      </c>
      <c r="N2081" t="s">
        <v>22</v>
      </c>
      <c r="O2081" t="str">
        <f t="shared" si="32"/>
        <v>No</v>
      </c>
    </row>
    <row r="2082" spans="1:15" x14ac:dyDescent="0.25">
      <c r="A2082" t="s">
        <v>2143</v>
      </c>
      <c r="B2082" s="1">
        <v>45807</v>
      </c>
      <c r="C2082" s="2">
        <v>45807.768333333333</v>
      </c>
      <c r="D2082" t="s">
        <v>24</v>
      </c>
      <c r="E2082" t="s">
        <v>16</v>
      </c>
      <c r="F2082" t="s">
        <v>43</v>
      </c>
      <c r="G2082" t="s">
        <v>41</v>
      </c>
      <c r="H2082" t="s">
        <v>19</v>
      </c>
      <c r="I2082" t="s">
        <v>20</v>
      </c>
      <c r="J2082" t="s">
        <v>21</v>
      </c>
      <c r="K2082">
        <v>24</v>
      </c>
      <c r="L2082">
        <v>18.440000000000001</v>
      </c>
      <c r="M2082">
        <v>3.6</v>
      </c>
      <c r="N2082" t="s">
        <v>22</v>
      </c>
      <c r="O2082" t="str">
        <f t="shared" si="32"/>
        <v>No</v>
      </c>
    </row>
    <row r="2083" spans="1:15" x14ac:dyDescent="0.25">
      <c r="A2083" t="s">
        <v>2144</v>
      </c>
      <c r="B2083" s="1">
        <v>45674</v>
      </c>
      <c r="C2083" s="2">
        <v>45674.317083333335</v>
      </c>
      <c r="D2083" t="s">
        <v>38</v>
      </c>
      <c r="E2083" t="s">
        <v>32</v>
      </c>
      <c r="F2083" t="s">
        <v>80</v>
      </c>
      <c r="G2083" t="s">
        <v>34</v>
      </c>
      <c r="H2083" t="s">
        <v>35</v>
      </c>
      <c r="I2083" t="s">
        <v>36</v>
      </c>
      <c r="J2083" t="s">
        <v>85</v>
      </c>
      <c r="K2083">
        <v>8</v>
      </c>
      <c r="L2083">
        <v>7.61</v>
      </c>
      <c r="M2083">
        <v>4.8</v>
      </c>
      <c r="N2083" t="s">
        <v>22</v>
      </c>
      <c r="O2083" t="str">
        <f t="shared" si="32"/>
        <v>No</v>
      </c>
    </row>
    <row r="2084" spans="1:15" x14ac:dyDescent="0.25">
      <c r="A2084" t="s">
        <v>2145</v>
      </c>
      <c r="B2084" s="1">
        <v>45716</v>
      </c>
      <c r="C2084" s="2">
        <v>45716.269583333335</v>
      </c>
      <c r="D2084" t="s">
        <v>38</v>
      </c>
      <c r="E2084" t="s">
        <v>32</v>
      </c>
      <c r="F2084" t="s">
        <v>75</v>
      </c>
      <c r="G2084" t="s">
        <v>56</v>
      </c>
      <c r="H2084" t="s">
        <v>65</v>
      </c>
      <c r="I2084" t="s">
        <v>20</v>
      </c>
      <c r="J2084" t="s">
        <v>85</v>
      </c>
      <c r="K2084">
        <v>8</v>
      </c>
      <c r="L2084">
        <v>6.47</v>
      </c>
      <c r="M2084">
        <v>4</v>
      </c>
      <c r="N2084" t="s">
        <v>22</v>
      </c>
      <c r="O2084" t="str">
        <f t="shared" si="32"/>
        <v>No</v>
      </c>
    </row>
    <row r="2085" spans="1:15" x14ac:dyDescent="0.25">
      <c r="A2085" t="s">
        <v>2146</v>
      </c>
      <c r="B2085" s="1">
        <v>45778</v>
      </c>
      <c r="C2085" s="2">
        <v>45778.067499999997</v>
      </c>
      <c r="D2085" t="s">
        <v>31</v>
      </c>
      <c r="E2085" t="s">
        <v>25</v>
      </c>
      <c r="F2085" t="s">
        <v>53</v>
      </c>
      <c r="G2085" t="s">
        <v>56</v>
      </c>
      <c r="H2085" t="s">
        <v>35</v>
      </c>
      <c r="I2085" t="s">
        <v>36</v>
      </c>
      <c r="J2085" t="s">
        <v>21</v>
      </c>
      <c r="K2085">
        <v>4</v>
      </c>
      <c r="L2085">
        <v>1.62</v>
      </c>
      <c r="M2085">
        <v>3.5</v>
      </c>
      <c r="N2085" t="s">
        <v>22</v>
      </c>
      <c r="O2085" t="str">
        <f t="shared" si="32"/>
        <v>No</v>
      </c>
    </row>
    <row r="2086" spans="1:15" x14ac:dyDescent="0.25">
      <c r="A2086" t="s">
        <v>2147</v>
      </c>
      <c r="B2086" s="1">
        <v>45681</v>
      </c>
      <c r="C2086" s="2">
        <v>45681.330416666664</v>
      </c>
      <c r="D2086" t="s">
        <v>24</v>
      </c>
      <c r="E2086" t="s">
        <v>25</v>
      </c>
      <c r="F2086" t="s">
        <v>70</v>
      </c>
      <c r="G2086" t="s">
        <v>51</v>
      </c>
      <c r="H2086" t="s">
        <v>35</v>
      </c>
      <c r="I2086" t="s">
        <v>36</v>
      </c>
      <c r="J2086" t="s">
        <v>21</v>
      </c>
      <c r="K2086">
        <v>24</v>
      </c>
      <c r="L2086">
        <v>7.93</v>
      </c>
      <c r="M2086">
        <v>4.5</v>
      </c>
      <c r="N2086" t="s">
        <v>61</v>
      </c>
      <c r="O2086" t="str">
        <f t="shared" si="32"/>
        <v>No</v>
      </c>
    </row>
    <row r="2087" spans="1:15" x14ac:dyDescent="0.25">
      <c r="A2087" t="s">
        <v>2148</v>
      </c>
      <c r="B2087" s="1">
        <v>45776</v>
      </c>
      <c r="C2087" s="2">
        <v>45776.14166666667</v>
      </c>
      <c r="D2087" t="s">
        <v>38</v>
      </c>
      <c r="E2087" t="s">
        <v>25</v>
      </c>
      <c r="F2087" t="s">
        <v>48</v>
      </c>
      <c r="G2087" t="s">
        <v>41</v>
      </c>
      <c r="H2087" t="s">
        <v>35</v>
      </c>
      <c r="I2087" t="s">
        <v>45</v>
      </c>
      <c r="J2087" t="s">
        <v>46</v>
      </c>
      <c r="K2087">
        <v>8</v>
      </c>
      <c r="L2087">
        <v>3.4</v>
      </c>
      <c r="M2087">
        <v>3.9</v>
      </c>
      <c r="N2087" t="s">
        <v>22</v>
      </c>
      <c r="O2087" t="str">
        <f t="shared" si="32"/>
        <v>No</v>
      </c>
    </row>
    <row r="2088" spans="1:15" x14ac:dyDescent="0.25">
      <c r="A2088" t="s">
        <v>2149</v>
      </c>
      <c r="B2088" s="1">
        <v>45790</v>
      </c>
      <c r="C2088" s="2">
        <v>45790.466249999998</v>
      </c>
      <c r="D2088" t="s">
        <v>24</v>
      </c>
      <c r="E2088" t="s">
        <v>39</v>
      </c>
      <c r="F2088" t="s">
        <v>40</v>
      </c>
      <c r="G2088" t="s">
        <v>41</v>
      </c>
      <c r="H2088" t="s">
        <v>19</v>
      </c>
      <c r="I2088" t="s">
        <v>36</v>
      </c>
      <c r="J2088" t="s">
        <v>21</v>
      </c>
      <c r="K2088">
        <v>24</v>
      </c>
      <c r="L2088">
        <v>11.19</v>
      </c>
      <c r="M2088">
        <v>4.7</v>
      </c>
      <c r="N2088" t="s">
        <v>22</v>
      </c>
      <c r="O2088" t="str">
        <f t="shared" si="32"/>
        <v>No</v>
      </c>
    </row>
    <row r="2089" spans="1:15" x14ac:dyDescent="0.25">
      <c r="A2089" t="s">
        <v>2150</v>
      </c>
      <c r="B2089" s="1">
        <v>45777</v>
      </c>
      <c r="C2089" s="2">
        <v>45777.063750000001</v>
      </c>
      <c r="D2089" t="s">
        <v>38</v>
      </c>
      <c r="E2089" t="s">
        <v>16</v>
      </c>
      <c r="F2089" t="s">
        <v>60</v>
      </c>
      <c r="G2089" t="s">
        <v>18</v>
      </c>
      <c r="H2089" t="s">
        <v>54</v>
      </c>
      <c r="I2089" t="s">
        <v>36</v>
      </c>
      <c r="J2089" t="s">
        <v>46</v>
      </c>
      <c r="K2089">
        <v>8</v>
      </c>
      <c r="L2089">
        <v>1.53</v>
      </c>
      <c r="M2089">
        <v>4.5</v>
      </c>
      <c r="N2089" t="s">
        <v>22</v>
      </c>
      <c r="O2089" t="str">
        <f t="shared" si="32"/>
        <v>No</v>
      </c>
    </row>
    <row r="2090" spans="1:15" x14ac:dyDescent="0.25">
      <c r="A2090" t="s">
        <v>2151</v>
      </c>
      <c r="B2090" s="1">
        <v>45713</v>
      </c>
      <c r="C2090" s="2">
        <v>45713.345833333333</v>
      </c>
      <c r="D2090" t="s">
        <v>24</v>
      </c>
      <c r="E2090" t="s">
        <v>25</v>
      </c>
      <c r="F2090" t="s">
        <v>26</v>
      </c>
      <c r="G2090" t="s">
        <v>18</v>
      </c>
      <c r="H2090" t="s">
        <v>44</v>
      </c>
      <c r="I2090" t="s">
        <v>36</v>
      </c>
      <c r="J2090" t="s">
        <v>46</v>
      </c>
      <c r="K2090">
        <v>24</v>
      </c>
      <c r="L2090">
        <v>8.3000000000000007</v>
      </c>
      <c r="M2090">
        <v>3.6</v>
      </c>
      <c r="N2090" t="s">
        <v>22</v>
      </c>
      <c r="O2090" t="str">
        <f t="shared" si="32"/>
        <v>No</v>
      </c>
    </row>
    <row r="2091" spans="1:15" x14ac:dyDescent="0.25">
      <c r="A2091" t="s">
        <v>2152</v>
      </c>
      <c r="B2091" s="1">
        <v>45661</v>
      </c>
      <c r="C2091" s="2">
        <v>45661.098749999997</v>
      </c>
      <c r="D2091" t="s">
        <v>38</v>
      </c>
      <c r="E2091" t="s">
        <v>32</v>
      </c>
      <c r="F2091" t="s">
        <v>80</v>
      </c>
      <c r="G2091" t="s">
        <v>51</v>
      </c>
      <c r="H2091" t="s">
        <v>35</v>
      </c>
      <c r="I2091" t="s">
        <v>20</v>
      </c>
      <c r="J2091" t="s">
        <v>21</v>
      </c>
      <c r="K2091">
        <v>8</v>
      </c>
      <c r="L2091">
        <v>2.37</v>
      </c>
      <c r="M2091">
        <v>4.5999999999999996</v>
      </c>
      <c r="N2091" t="s">
        <v>61</v>
      </c>
      <c r="O2091" t="str">
        <f t="shared" si="32"/>
        <v>No</v>
      </c>
    </row>
    <row r="2092" spans="1:15" x14ac:dyDescent="0.25">
      <c r="A2092" t="s">
        <v>2153</v>
      </c>
      <c r="B2092" s="1">
        <v>45818</v>
      </c>
      <c r="C2092" s="2">
        <v>45820.981249999997</v>
      </c>
      <c r="D2092" t="s">
        <v>15</v>
      </c>
      <c r="E2092" t="s">
        <v>25</v>
      </c>
      <c r="F2092" t="s">
        <v>26</v>
      </c>
      <c r="G2092" t="s">
        <v>34</v>
      </c>
      <c r="H2092" t="s">
        <v>44</v>
      </c>
      <c r="I2092" t="s">
        <v>45</v>
      </c>
      <c r="J2092" t="s">
        <v>21</v>
      </c>
      <c r="K2092">
        <v>48</v>
      </c>
      <c r="L2092">
        <v>71.55</v>
      </c>
      <c r="M2092">
        <v>3.2</v>
      </c>
      <c r="N2092" t="s">
        <v>22</v>
      </c>
      <c r="O2092" t="str">
        <f t="shared" si="32"/>
        <v>Yes</v>
      </c>
    </row>
    <row r="2093" spans="1:15" x14ac:dyDescent="0.25">
      <c r="A2093" t="s">
        <v>2154</v>
      </c>
      <c r="B2093" s="1">
        <v>45717</v>
      </c>
      <c r="C2093" s="2">
        <v>45718.009583333333</v>
      </c>
      <c r="D2093" t="s">
        <v>24</v>
      </c>
      <c r="E2093" t="s">
        <v>32</v>
      </c>
      <c r="F2093" t="s">
        <v>75</v>
      </c>
      <c r="G2093" t="s">
        <v>51</v>
      </c>
      <c r="H2093" t="s">
        <v>54</v>
      </c>
      <c r="I2093" t="s">
        <v>28</v>
      </c>
      <c r="J2093" t="s">
        <v>29</v>
      </c>
      <c r="K2093">
        <v>24</v>
      </c>
      <c r="L2093">
        <v>24.23</v>
      </c>
      <c r="M2093">
        <v>3</v>
      </c>
      <c r="N2093" t="s">
        <v>22</v>
      </c>
      <c r="O2093" t="str">
        <f t="shared" si="32"/>
        <v>Yes</v>
      </c>
    </row>
    <row r="2094" spans="1:15" x14ac:dyDescent="0.25">
      <c r="A2094" t="s">
        <v>2155</v>
      </c>
      <c r="B2094" s="1">
        <v>45803</v>
      </c>
      <c r="C2094" s="2">
        <v>45803.254166666666</v>
      </c>
      <c r="D2094" t="s">
        <v>38</v>
      </c>
      <c r="E2094" t="s">
        <v>45</v>
      </c>
      <c r="F2094" t="s">
        <v>112</v>
      </c>
      <c r="G2094" t="s">
        <v>34</v>
      </c>
      <c r="H2094" t="s">
        <v>35</v>
      </c>
      <c r="I2094" t="s">
        <v>20</v>
      </c>
      <c r="J2094" t="s">
        <v>21</v>
      </c>
      <c r="K2094">
        <v>8</v>
      </c>
      <c r="L2094">
        <v>6.1</v>
      </c>
      <c r="M2094">
        <v>2.8</v>
      </c>
      <c r="N2094" t="s">
        <v>61</v>
      </c>
      <c r="O2094" t="str">
        <f t="shared" si="32"/>
        <v>No</v>
      </c>
    </row>
    <row r="2095" spans="1:15" x14ac:dyDescent="0.25">
      <c r="A2095" t="s">
        <v>2156</v>
      </c>
      <c r="B2095" s="1">
        <v>45693</v>
      </c>
      <c r="C2095" s="2">
        <v>45693.448750000003</v>
      </c>
      <c r="D2095" t="s">
        <v>15</v>
      </c>
      <c r="E2095" t="s">
        <v>16</v>
      </c>
      <c r="F2095" t="s">
        <v>17</v>
      </c>
      <c r="G2095" t="s">
        <v>56</v>
      </c>
      <c r="H2095" t="s">
        <v>44</v>
      </c>
      <c r="I2095" t="s">
        <v>36</v>
      </c>
      <c r="J2095" t="s">
        <v>46</v>
      </c>
      <c r="K2095">
        <v>48</v>
      </c>
      <c r="L2095">
        <v>10.77</v>
      </c>
      <c r="M2095">
        <v>4.9000000000000004</v>
      </c>
      <c r="N2095" t="s">
        <v>22</v>
      </c>
      <c r="O2095" t="str">
        <f t="shared" si="32"/>
        <v>No</v>
      </c>
    </row>
    <row r="2096" spans="1:15" x14ac:dyDescent="0.25">
      <c r="A2096" t="s">
        <v>2157</v>
      </c>
      <c r="B2096" s="1">
        <v>45687</v>
      </c>
      <c r="C2096" s="2">
        <v>45688.754583333335</v>
      </c>
      <c r="D2096" t="s">
        <v>15</v>
      </c>
      <c r="E2096" t="s">
        <v>16</v>
      </c>
      <c r="F2096" t="s">
        <v>17</v>
      </c>
      <c r="G2096" t="s">
        <v>18</v>
      </c>
      <c r="H2096" t="s">
        <v>35</v>
      </c>
      <c r="I2096" t="s">
        <v>20</v>
      </c>
      <c r="J2096" t="s">
        <v>46</v>
      </c>
      <c r="K2096">
        <v>48</v>
      </c>
      <c r="L2096">
        <v>42.11</v>
      </c>
      <c r="M2096">
        <v>3.8</v>
      </c>
      <c r="N2096" t="s">
        <v>22</v>
      </c>
      <c r="O2096" t="str">
        <f t="shared" si="32"/>
        <v>No</v>
      </c>
    </row>
    <row r="2097" spans="1:15" x14ac:dyDescent="0.25">
      <c r="A2097" t="s">
        <v>2158</v>
      </c>
      <c r="B2097" s="1">
        <v>45798</v>
      </c>
      <c r="C2097" s="2">
        <v>45798.044166666667</v>
      </c>
      <c r="D2097" t="s">
        <v>31</v>
      </c>
      <c r="E2097" t="s">
        <v>16</v>
      </c>
      <c r="F2097" t="s">
        <v>60</v>
      </c>
      <c r="G2097" t="s">
        <v>18</v>
      </c>
      <c r="H2097" t="s">
        <v>35</v>
      </c>
      <c r="I2097" t="s">
        <v>45</v>
      </c>
      <c r="J2097" t="s">
        <v>21</v>
      </c>
      <c r="K2097">
        <v>4</v>
      </c>
      <c r="L2097">
        <v>1.06</v>
      </c>
      <c r="M2097">
        <v>4.5</v>
      </c>
      <c r="N2097" t="s">
        <v>61</v>
      </c>
      <c r="O2097" t="str">
        <f t="shared" si="32"/>
        <v>No</v>
      </c>
    </row>
    <row r="2098" spans="1:15" x14ac:dyDescent="0.25">
      <c r="A2098" t="s">
        <v>2159</v>
      </c>
      <c r="B2098" s="1">
        <v>45828</v>
      </c>
      <c r="C2098" s="2">
        <v>45828.884166666663</v>
      </c>
      <c r="D2098" t="s">
        <v>24</v>
      </c>
      <c r="E2098" t="s">
        <v>32</v>
      </c>
      <c r="F2098" t="s">
        <v>80</v>
      </c>
      <c r="G2098" t="s">
        <v>41</v>
      </c>
      <c r="H2098" t="s">
        <v>54</v>
      </c>
      <c r="I2098" t="s">
        <v>36</v>
      </c>
      <c r="J2098" t="s">
        <v>21</v>
      </c>
      <c r="K2098">
        <v>24</v>
      </c>
      <c r="L2098">
        <v>21.22</v>
      </c>
      <c r="M2098">
        <v>4.4000000000000004</v>
      </c>
      <c r="N2098" t="s">
        <v>22</v>
      </c>
      <c r="O2098" t="str">
        <f t="shared" si="32"/>
        <v>No</v>
      </c>
    </row>
    <row r="2099" spans="1:15" x14ac:dyDescent="0.25">
      <c r="A2099" t="s">
        <v>2160</v>
      </c>
      <c r="B2099" s="1">
        <v>45813</v>
      </c>
      <c r="C2099" s="2">
        <v>45813.828333333331</v>
      </c>
      <c r="D2099" t="s">
        <v>15</v>
      </c>
      <c r="E2099" t="s">
        <v>39</v>
      </c>
      <c r="F2099" t="s">
        <v>87</v>
      </c>
      <c r="G2099" t="s">
        <v>34</v>
      </c>
      <c r="H2099" t="s">
        <v>65</v>
      </c>
      <c r="I2099" t="s">
        <v>28</v>
      </c>
      <c r="J2099" t="s">
        <v>21</v>
      </c>
      <c r="K2099">
        <v>48</v>
      </c>
      <c r="L2099">
        <v>19.88</v>
      </c>
      <c r="M2099">
        <v>3.2</v>
      </c>
      <c r="N2099" t="s">
        <v>22</v>
      </c>
      <c r="O2099" t="str">
        <f t="shared" si="32"/>
        <v>No</v>
      </c>
    </row>
    <row r="2100" spans="1:15" x14ac:dyDescent="0.25">
      <c r="A2100" t="s">
        <v>2161</v>
      </c>
      <c r="B2100" s="1">
        <v>45793</v>
      </c>
      <c r="C2100" s="2">
        <v>45794.135000000002</v>
      </c>
      <c r="D2100" t="s">
        <v>24</v>
      </c>
      <c r="E2100" t="s">
        <v>25</v>
      </c>
      <c r="F2100" t="s">
        <v>70</v>
      </c>
      <c r="G2100" t="s">
        <v>51</v>
      </c>
      <c r="H2100" t="s">
        <v>65</v>
      </c>
      <c r="I2100" t="s">
        <v>28</v>
      </c>
      <c r="J2100" t="s">
        <v>21</v>
      </c>
      <c r="K2100">
        <v>24</v>
      </c>
      <c r="L2100">
        <v>27.24</v>
      </c>
      <c r="M2100">
        <v>3.7</v>
      </c>
      <c r="N2100" t="s">
        <v>22</v>
      </c>
      <c r="O2100" t="str">
        <f t="shared" si="32"/>
        <v>Yes</v>
      </c>
    </row>
    <row r="2101" spans="1:15" x14ac:dyDescent="0.25">
      <c r="A2101" t="s">
        <v>2162</v>
      </c>
      <c r="B2101" s="1">
        <v>45702</v>
      </c>
      <c r="C2101" s="2">
        <v>45702.134166666663</v>
      </c>
      <c r="D2101" t="s">
        <v>24</v>
      </c>
      <c r="E2101" t="s">
        <v>16</v>
      </c>
      <c r="F2101" t="s">
        <v>60</v>
      </c>
      <c r="G2101" t="s">
        <v>51</v>
      </c>
      <c r="H2101" t="s">
        <v>35</v>
      </c>
      <c r="I2101" t="s">
        <v>36</v>
      </c>
      <c r="J2101" t="s">
        <v>21</v>
      </c>
      <c r="K2101">
        <v>24</v>
      </c>
      <c r="L2101">
        <v>3.22</v>
      </c>
      <c r="M2101">
        <v>5</v>
      </c>
      <c r="N2101" t="s">
        <v>61</v>
      </c>
      <c r="O2101" t="str">
        <f t="shared" si="32"/>
        <v>No</v>
      </c>
    </row>
    <row r="2102" spans="1:15" x14ac:dyDescent="0.25">
      <c r="A2102" t="s">
        <v>2163</v>
      </c>
      <c r="B2102" s="1">
        <v>45823</v>
      </c>
      <c r="C2102" s="2">
        <v>45823.853750000002</v>
      </c>
      <c r="D2102" t="s">
        <v>24</v>
      </c>
      <c r="E2102" t="s">
        <v>16</v>
      </c>
      <c r="F2102" t="s">
        <v>17</v>
      </c>
      <c r="G2102" t="s">
        <v>18</v>
      </c>
      <c r="H2102" t="s">
        <v>44</v>
      </c>
      <c r="I2102" t="s">
        <v>20</v>
      </c>
      <c r="J2102" t="s">
        <v>21</v>
      </c>
      <c r="K2102">
        <v>24</v>
      </c>
      <c r="L2102">
        <v>20.49</v>
      </c>
      <c r="M2102">
        <v>3.9</v>
      </c>
      <c r="N2102" t="s">
        <v>22</v>
      </c>
      <c r="O2102" t="str">
        <f t="shared" si="32"/>
        <v>No</v>
      </c>
    </row>
    <row r="2103" spans="1:15" x14ac:dyDescent="0.25">
      <c r="A2103" t="s">
        <v>2164</v>
      </c>
      <c r="B2103" s="1">
        <v>45778</v>
      </c>
      <c r="C2103" s="2">
        <v>45778.401666666665</v>
      </c>
      <c r="D2103" t="s">
        <v>38</v>
      </c>
      <c r="E2103" t="s">
        <v>32</v>
      </c>
      <c r="F2103" t="s">
        <v>80</v>
      </c>
      <c r="G2103" t="s">
        <v>51</v>
      </c>
      <c r="H2103" t="s">
        <v>35</v>
      </c>
      <c r="I2103" t="s">
        <v>36</v>
      </c>
      <c r="J2103" t="s">
        <v>29</v>
      </c>
      <c r="K2103">
        <v>8</v>
      </c>
      <c r="L2103">
        <v>9.64</v>
      </c>
      <c r="M2103">
        <v>2.6</v>
      </c>
      <c r="N2103" t="s">
        <v>22</v>
      </c>
      <c r="O2103" t="str">
        <f t="shared" si="32"/>
        <v>Yes</v>
      </c>
    </row>
    <row r="2104" spans="1:15" x14ac:dyDescent="0.25">
      <c r="A2104" t="s">
        <v>2165</v>
      </c>
      <c r="B2104" s="1">
        <v>45689</v>
      </c>
      <c r="C2104" s="2">
        <v>45689.072083333333</v>
      </c>
      <c r="D2104" t="s">
        <v>31</v>
      </c>
      <c r="E2104" t="s">
        <v>16</v>
      </c>
      <c r="F2104" t="s">
        <v>60</v>
      </c>
      <c r="G2104" t="s">
        <v>18</v>
      </c>
      <c r="H2104" t="s">
        <v>65</v>
      </c>
      <c r="I2104" t="s">
        <v>28</v>
      </c>
      <c r="J2104" t="s">
        <v>46</v>
      </c>
      <c r="K2104">
        <v>4</v>
      </c>
      <c r="L2104">
        <v>1.73</v>
      </c>
      <c r="M2104">
        <v>4.0999999999999996</v>
      </c>
      <c r="N2104" t="s">
        <v>22</v>
      </c>
      <c r="O2104" t="str">
        <f t="shared" si="32"/>
        <v>No</v>
      </c>
    </row>
    <row r="2105" spans="1:15" x14ac:dyDescent="0.25">
      <c r="A2105" t="s">
        <v>2166</v>
      </c>
      <c r="B2105" s="1">
        <v>45681</v>
      </c>
      <c r="C2105" s="2">
        <v>45681.408333333333</v>
      </c>
      <c r="D2105" t="s">
        <v>24</v>
      </c>
      <c r="E2105" t="s">
        <v>39</v>
      </c>
      <c r="F2105" t="s">
        <v>78</v>
      </c>
      <c r="G2105" t="s">
        <v>56</v>
      </c>
      <c r="H2105" t="s">
        <v>27</v>
      </c>
      <c r="I2105" t="s">
        <v>45</v>
      </c>
      <c r="J2105" t="s">
        <v>21</v>
      </c>
      <c r="K2105">
        <v>24</v>
      </c>
      <c r="L2105">
        <v>9.8000000000000007</v>
      </c>
      <c r="M2105">
        <v>4.2</v>
      </c>
      <c r="N2105" t="s">
        <v>22</v>
      </c>
      <c r="O2105" t="str">
        <f t="shared" si="32"/>
        <v>No</v>
      </c>
    </row>
    <row r="2106" spans="1:15" x14ac:dyDescent="0.25">
      <c r="A2106" t="s">
        <v>2167</v>
      </c>
      <c r="B2106" s="1">
        <v>45815</v>
      </c>
      <c r="C2106" s="2">
        <v>45815.512499999997</v>
      </c>
      <c r="D2106" t="s">
        <v>24</v>
      </c>
      <c r="E2106" t="s">
        <v>32</v>
      </c>
      <c r="F2106" t="s">
        <v>80</v>
      </c>
      <c r="G2106" t="s">
        <v>51</v>
      </c>
      <c r="H2106" t="s">
        <v>54</v>
      </c>
      <c r="I2106" t="s">
        <v>36</v>
      </c>
      <c r="J2106" t="s">
        <v>46</v>
      </c>
      <c r="K2106">
        <v>24</v>
      </c>
      <c r="L2106">
        <v>12.3</v>
      </c>
      <c r="M2106">
        <v>3.4</v>
      </c>
      <c r="N2106" t="s">
        <v>22</v>
      </c>
      <c r="O2106" t="str">
        <f t="shared" si="32"/>
        <v>No</v>
      </c>
    </row>
    <row r="2107" spans="1:15" x14ac:dyDescent="0.25">
      <c r="A2107" t="s">
        <v>2168</v>
      </c>
      <c r="B2107" s="1">
        <v>45707</v>
      </c>
      <c r="C2107" s="2">
        <v>45707.756666666668</v>
      </c>
      <c r="D2107" t="s">
        <v>24</v>
      </c>
      <c r="E2107" t="s">
        <v>45</v>
      </c>
      <c r="F2107" t="s">
        <v>112</v>
      </c>
      <c r="G2107" t="s">
        <v>34</v>
      </c>
      <c r="H2107" t="s">
        <v>44</v>
      </c>
      <c r="I2107" t="s">
        <v>20</v>
      </c>
      <c r="J2107" t="s">
        <v>46</v>
      </c>
      <c r="K2107">
        <v>24</v>
      </c>
      <c r="L2107">
        <v>18.16</v>
      </c>
      <c r="M2107">
        <v>4.3</v>
      </c>
      <c r="N2107" t="s">
        <v>22</v>
      </c>
      <c r="O2107" t="str">
        <f t="shared" si="32"/>
        <v>No</v>
      </c>
    </row>
    <row r="2108" spans="1:15" x14ac:dyDescent="0.25">
      <c r="A2108" t="s">
        <v>2169</v>
      </c>
      <c r="B2108" s="1">
        <v>45796</v>
      </c>
      <c r="C2108" s="2">
        <v>45796.106249999997</v>
      </c>
      <c r="D2108" t="s">
        <v>38</v>
      </c>
      <c r="E2108" t="s">
        <v>16</v>
      </c>
      <c r="F2108" t="s">
        <v>60</v>
      </c>
      <c r="G2108" t="s">
        <v>56</v>
      </c>
      <c r="H2108" t="s">
        <v>35</v>
      </c>
      <c r="I2108" t="s">
        <v>45</v>
      </c>
      <c r="J2108" t="s">
        <v>46</v>
      </c>
      <c r="K2108">
        <v>8</v>
      </c>
      <c r="L2108">
        <v>2.5499999999999998</v>
      </c>
      <c r="M2108">
        <v>4.5999999999999996</v>
      </c>
      <c r="N2108" t="s">
        <v>22</v>
      </c>
      <c r="O2108" t="str">
        <f t="shared" si="32"/>
        <v>No</v>
      </c>
    </row>
    <row r="2109" spans="1:15" x14ac:dyDescent="0.25">
      <c r="A2109" t="s">
        <v>2170</v>
      </c>
      <c r="B2109" s="1">
        <v>45683</v>
      </c>
      <c r="C2109" s="2">
        <v>45683.556666666664</v>
      </c>
      <c r="D2109" t="s">
        <v>15</v>
      </c>
      <c r="E2109" t="s">
        <v>16</v>
      </c>
      <c r="F2109" t="s">
        <v>17</v>
      </c>
      <c r="G2109" t="s">
        <v>51</v>
      </c>
      <c r="H2109" t="s">
        <v>35</v>
      </c>
      <c r="I2109" t="s">
        <v>36</v>
      </c>
      <c r="J2109" t="s">
        <v>21</v>
      </c>
      <c r="K2109">
        <v>48</v>
      </c>
      <c r="L2109">
        <v>13.36</v>
      </c>
      <c r="M2109">
        <v>4.2</v>
      </c>
      <c r="N2109" t="s">
        <v>22</v>
      </c>
      <c r="O2109" t="str">
        <f t="shared" si="32"/>
        <v>No</v>
      </c>
    </row>
    <row r="2110" spans="1:15" x14ac:dyDescent="0.25">
      <c r="A2110" t="s">
        <v>2171</v>
      </c>
      <c r="B2110" s="1">
        <v>45708</v>
      </c>
      <c r="C2110" s="2">
        <v>45711.287499999999</v>
      </c>
      <c r="D2110" t="s">
        <v>15</v>
      </c>
      <c r="E2110" t="s">
        <v>45</v>
      </c>
      <c r="F2110" t="s">
        <v>100</v>
      </c>
      <c r="G2110" t="s">
        <v>56</v>
      </c>
      <c r="H2110" t="s">
        <v>44</v>
      </c>
      <c r="I2110" t="s">
        <v>20</v>
      </c>
      <c r="J2110" t="s">
        <v>21</v>
      </c>
      <c r="K2110">
        <v>48</v>
      </c>
      <c r="L2110">
        <v>78.900000000000006</v>
      </c>
      <c r="M2110">
        <v>3.7</v>
      </c>
      <c r="N2110" t="s">
        <v>22</v>
      </c>
      <c r="O2110" t="str">
        <f t="shared" si="32"/>
        <v>Yes</v>
      </c>
    </row>
    <row r="2111" spans="1:15" x14ac:dyDescent="0.25">
      <c r="A2111" t="s">
        <v>2172</v>
      </c>
      <c r="B2111" s="1">
        <v>45709</v>
      </c>
      <c r="C2111" s="2">
        <v>45709.065405092595</v>
      </c>
      <c r="D2111" t="s">
        <v>31</v>
      </c>
      <c r="E2111" t="s">
        <v>39</v>
      </c>
      <c r="F2111" t="s">
        <v>78</v>
      </c>
      <c r="G2111" t="s">
        <v>56</v>
      </c>
      <c r="H2111" t="s">
        <v>19</v>
      </c>
      <c r="I2111" t="s">
        <v>20</v>
      </c>
      <c r="J2111" t="s">
        <v>21</v>
      </c>
      <c r="K2111">
        <v>4</v>
      </c>
      <c r="L2111">
        <v>1.57</v>
      </c>
      <c r="M2111">
        <v>4.2</v>
      </c>
      <c r="N2111" t="s">
        <v>22</v>
      </c>
      <c r="O2111" t="str">
        <f t="shared" si="32"/>
        <v>No</v>
      </c>
    </row>
    <row r="2112" spans="1:15" x14ac:dyDescent="0.25">
      <c r="A2112" t="s">
        <v>2173</v>
      </c>
      <c r="B2112" s="1">
        <v>45708</v>
      </c>
      <c r="C2112" s="2">
        <v>45708.162916666668</v>
      </c>
      <c r="D2112" t="s">
        <v>38</v>
      </c>
      <c r="E2112" t="s">
        <v>45</v>
      </c>
      <c r="F2112" t="s">
        <v>100</v>
      </c>
      <c r="G2112" t="s">
        <v>34</v>
      </c>
      <c r="H2112" t="s">
        <v>35</v>
      </c>
      <c r="I2112" t="s">
        <v>45</v>
      </c>
      <c r="J2112" t="s">
        <v>21</v>
      </c>
      <c r="K2112">
        <v>8</v>
      </c>
      <c r="L2112">
        <v>3.91</v>
      </c>
      <c r="M2112">
        <v>5</v>
      </c>
      <c r="N2112" t="s">
        <v>22</v>
      </c>
      <c r="O2112" t="str">
        <f t="shared" si="32"/>
        <v>No</v>
      </c>
    </row>
    <row r="2113" spans="1:15" x14ac:dyDescent="0.25">
      <c r="A2113" t="s">
        <v>2174</v>
      </c>
      <c r="B2113" s="1">
        <v>45780</v>
      </c>
      <c r="C2113" s="2">
        <v>45780.355000000003</v>
      </c>
      <c r="D2113" t="s">
        <v>24</v>
      </c>
      <c r="E2113" t="s">
        <v>16</v>
      </c>
      <c r="F2113" t="s">
        <v>43</v>
      </c>
      <c r="G2113" t="s">
        <v>34</v>
      </c>
      <c r="H2113" t="s">
        <v>19</v>
      </c>
      <c r="I2113" t="s">
        <v>20</v>
      </c>
      <c r="J2113" t="s">
        <v>21</v>
      </c>
      <c r="K2113">
        <v>24</v>
      </c>
      <c r="L2113">
        <v>8.52</v>
      </c>
      <c r="M2113">
        <v>4.4000000000000004</v>
      </c>
      <c r="N2113" t="s">
        <v>22</v>
      </c>
      <c r="O2113" t="str">
        <f t="shared" si="32"/>
        <v>No</v>
      </c>
    </row>
    <row r="2114" spans="1:15" x14ac:dyDescent="0.25">
      <c r="A2114" t="s">
        <v>2175</v>
      </c>
      <c r="B2114" s="1">
        <v>45823</v>
      </c>
      <c r="C2114" s="2">
        <v>45823.801249999997</v>
      </c>
      <c r="D2114" t="s">
        <v>24</v>
      </c>
      <c r="E2114" t="s">
        <v>16</v>
      </c>
      <c r="F2114" t="s">
        <v>60</v>
      </c>
      <c r="G2114" t="s">
        <v>18</v>
      </c>
      <c r="H2114" t="s">
        <v>54</v>
      </c>
      <c r="I2114" t="s">
        <v>36</v>
      </c>
      <c r="J2114" t="s">
        <v>21</v>
      </c>
      <c r="K2114">
        <v>24</v>
      </c>
      <c r="L2114">
        <v>19.23</v>
      </c>
      <c r="M2114">
        <v>3.4</v>
      </c>
      <c r="N2114" t="s">
        <v>22</v>
      </c>
      <c r="O2114" t="str">
        <f t="shared" si="32"/>
        <v>No</v>
      </c>
    </row>
    <row r="2115" spans="1:15" x14ac:dyDescent="0.25">
      <c r="A2115" t="s">
        <v>2176</v>
      </c>
      <c r="B2115" s="1">
        <v>45822</v>
      </c>
      <c r="C2115" s="2">
        <v>45822.29583333333</v>
      </c>
      <c r="D2115" t="s">
        <v>24</v>
      </c>
      <c r="E2115" t="s">
        <v>32</v>
      </c>
      <c r="F2115" t="s">
        <v>64</v>
      </c>
      <c r="G2115" t="s">
        <v>34</v>
      </c>
      <c r="H2115" t="s">
        <v>54</v>
      </c>
      <c r="I2115" t="s">
        <v>36</v>
      </c>
      <c r="J2115" t="s">
        <v>29</v>
      </c>
      <c r="K2115">
        <v>24</v>
      </c>
      <c r="L2115">
        <v>7.1</v>
      </c>
      <c r="M2115">
        <v>4</v>
      </c>
      <c r="N2115" t="s">
        <v>22</v>
      </c>
      <c r="O2115" t="str">
        <f t="shared" ref="O2115:O2178" si="33">IF(L2115&gt;K2115,"Yes","No")</f>
        <v>No</v>
      </c>
    </row>
    <row r="2116" spans="1:15" x14ac:dyDescent="0.25">
      <c r="A2116" t="s">
        <v>2177</v>
      </c>
      <c r="B2116" s="1">
        <v>45792</v>
      </c>
      <c r="C2116" s="2">
        <v>45792.458333333336</v>
      </c>
      <c r="D2116" t="s">
        <v>24</v>
      </c>
      <c r="E2116" t="s">
        <v>32</v>
      </c>
      <c r="F2116" t="s">
        <v>80</v>
      </c>
      <c r="G2116" t="s">
        <v>56</v>
      </c>
      <c r="H2116" t="s">
        <v>27</v>
      </c>
      <c r="I2116" t="s">
        <v>45</v>
      </c>
      <c r="J2116" t="s">
        <v>85</v>
      </c>
      <c r="K2116">
        <v>24</v>
      </c>
      <c r="L2116">
        <v>11</v>
      </c>
      <c r="M2116">
        <v>4.5</v>
      </c>
      <c r="N2116" t="s">
        <v>22</v>
      </c>
      <c r="O2116" t="str">
        <f t="shared" si="33"/>
        <v>No</v>
      </c>
    </row>
    <row r="2117" spans="1:15" x14ac:dyDescent="0.25">
      <c r="A2117" t="s">
        <v>2178</v>
      </c>
      <c r="B2117" s="1">
        <v>45694</v>
      </c>
      <c r="C2117" s="2">
        <v>45696.101666666669</v>
      </c>
      <c r="D2117" t="s">
        <v>15</v>
      </c>
      <c r="E2117" t="s">
        <v>39</v>
      </c>
      <c r="F2117" t="s">
        <v>78</v>
      </c>
      <c r="G2117" t="s">
        <v>51</v>
      </c>
      <c r="H2117" t="s">
        <v>65</v>
      </c>
      <c r="I2117" t="s">
        <v>36</v>
      </c>
      <c r="J2117" t="s">
        <v>21</v>
      </c>
      <c r="K2117">
        <v>48</v>
      </c>
      <c r="L2117">
        <v>50.44</v>
      </c>
      <c r="M2117">
        <v>3</v>
      </c>
      <c r="N2117" t="s">
        <v>22</v>
      </c>
      <c r="O2117" t="str">
        <f t="shared" si="33"/>
        <v>Yes</v>
      </c>
    </row>
    <row r="2118" spans="1:15" x14ac:dyDescent="0.25">
      <c r="A2118" t="s">
        <v>2179</v>
      </c>
      <c r="B2118" s="1">
        <v>45831</v>
      </c>
      <c r="C2118" s="2">
        <v>45832.911249999997</v>
      </c>
      <c r="D2118" t="s">
        <v>15</v>
      </c>
      <c r="E2118" t="s">
        <v>32</v>
      </c>
      <c r="F2118" t="s">
        <v>64</v>
      </c>
      <c r="G2118" t="s">
        <v>56</v>
      </c>
      <c r="H2118" t="s">
        <v>65</v>
      </c>
      <c r="I2118" t="s">
        <v>45</v>
      </c>
      <c r="J2118" t="s">
        <v>21</v>
      </c>
      <c r="K2118">
        <v>48</v>
      </c>
      <c r="L2118">
        <v>45.87</v>
      </c>
      <c r="M2118">
        <v>3.9</v>
      </c>
      <c r="N2118" t="s">
        <v>22</v>
      </c>
      <c r="O2118" t="str">
        <f t="shared" si="33"/>
        <v>No</v>
      </c>
    </row>
    <row r="2119" spans="1:15" x14ac:dyDescent="0.25">
      <c r="A2119" t="s">
        <v>2180</v>
      </c>
      <c r="B2119" s="1">
        <v>45756</v>
      </c>
      <c r="C2119" s="2">
        <v>45756.385833333334</v>
      </c>
      <c r="D2119" t="s">
        <v>24</v>
      </c>
      <c r="E2119" t="s">
        <v>32</v>
      </c>
      <c r="F2119" t="s">
        <v>75</v>
      </c>
      <c r="G2119" t="s">
        <v>51</v>
      </c>
      <c r="H2119" t="s">
        <v>65</v>
      </c>
      <c r="I2119" t="s">
        <v>28</v>
      </c>
      <c r="J2119" t="s">
        <v>21</v>
      </c>
      <c r="K2119">
        <v>24</v>
      </c>
      <c r="L2119">
        <v>9.26</v>
      </c>
      <c r="M2119">
        <v>4.3</v>
      </c>
      <c r="N2119" t="s">
        <v>22</v>
      </c>
      <c r="O2119" t="str">
        <f t="shared" si="33"/>
        <v>No</v>
      </c>
    </row>
    <row r="2120" spans="1:15" x14ac:dyDescent="0.25">
      <c r="A2120" t="s">
        <v>2181</v>
      </c>
      <c r="B2120" s="1">
        <v>45756</v>
      </c>
      <c r="C2120" s="2">
        <v>45756.522916666669</v>
      </c>
      <c r="D2120" t="s">
        <v>24</v>
      </c>
      <c r="E2120" t="s">
        <v>16</v>
      </c>
      <c r="F2120" t="s">
        <v>60</v>
      </c>
      <c r="G2120" t="s">
        <v>34</v>
      </c>
      <c r="H2120" t="s">
        <v>65</v>
      </c>
      <c r="I2120" t="s">
        <v>20</v>
      </c>
      <c r="J2120" t="s">
        <v>29</v>
      </c>
      <c r="K2120">
        <v>24</v>
      </c>
      <c r="L2120">
        <v>12.55</v>
      </c>
      <c r="M2120">
        <v>4.0999999999999996</v>
      </c>
      <c r="N2120" t="s">
        <v>61</v>
      </c>
      <c r="O2120" t="str">
        <f t="shared" si="33"/>
        <v>No</v>
      </c>
    </row>
    <row r="2121" spans="1:15" x14ac:dyDescent="0.25">
      <c r="A2121" t="s">
        <v>2182</v>
      </c>
      <c r="B2121" s="1">
        <v>45784</v>
      </c>
      <c r="C2121" s="2">
        <v>45784.235000000001</v>
      </c>
      <c r="D2121" t="s">
        <v>24</v>
      </c>
      <c r="E2121" t="s">
        <v>25</v>
      </c>
      <c r="F2121" t="s">
        <v>26</v>
      </c>
      <c r="G2121" t="s">
        <v>56</v>
      </c>
      <c r="H2121" t="s">
        <v>35</v>
      </c>
      <c r="I2121" t="s">
        <v>45</v>
      </c>
      <c r="J2121" t="s">
        <v>21</v>
      </c>
      <c r="K2121">
        <v>24</v>
      </c>
      <c r="L2121">
        <v>5.64</v>
      </c>
      <c r="M2121">
        <v>4.7</v>
      </c>
      <c r="N2121" t="s">
        <v>22</v>
      </c>
      <c r="O2121" t="str">
        <f t="shared" si="33"/>
        <v>No</v>
      </c>
    </row>
    <row r="2122" spans="1:15" x14ac:dyDescent="0.25">
      <c r="A2122" t="s">
        <v>2183</v>
      </c>
      <c r="B2122" s="1">
        <v>45797</v>
      </c>
      <c r="C2122" s="2">
        <v>45798.044583333336</v>
      </c>
      <c r="D2122" t="s">
        <v>15</v>
      </c>
      <c r="E2122" t="s">
        <v>32</v>
      </c>
      <c r="F2122" t="s">
        <v>80</v>
      </c>
      <c r="G2122" t="s">
        <v>51</v>
      </c>
      <c r="H2122" t="s">
        <v>54</v>
      </c>
      <c r="I2122" t="s">
        <v>45</v>
      </c>
      <c r="J2122" t="s">
        <v>46</v>
      </c>
      <c r="K2122">
        <v>48</v>
      </c>
      <c r="L2122">
        <v>25.07</v>
      </c>
      <c r="M2122">
        <v>5</v>
      </c>
      <c r="N2122" t="s">
        <v>61</v>
      </c>
      <c r="O2122" t="str">
        <f t="shared" si="33"/>
        <v>No</v>
      </c>
    </row>
    <row r="2123" spans="1:15" x14ac:dyDescent="0.25">
      <c r="A2123" t="s">
        <v>2184</v>
      </c>
      <c r="B2123" s="1">
        <v>45830</v>
      </c>
      <c r="C2123" s="2">
        <v>45830.6175</v>
      </c>
      <c r="D2123" t="s">
        <v>38</v>
      </c>
      <c r="E2123" t="s">
        <v>25</v>
      </c>
      <c r="F2123" t="s">
        <v>48</v>
      </c>
      <c r="G2123" t="s">
        <v>56</v>
      </c>
      <c r="H2123" t="s">
        <v>27</v>
      </c>
      <c r="I2123" t="s">
        <v>20</v>
      </c>
      <c r="J2123" t="s">
        <v>46</v>
      </c>
      <c r="K2123">
        <v>8</v>
      </c>
      <c r="L2123">
        <v>14.82</v>
      </c>
      <c r="M2123">
        <v>2.4</v>
      </c>
      <c r="N2123" t="s">
        <v>22</v>
      </c>
      <c r="O2123" t="str">
        <f t="shared" si="33"/>
        <v>Yes</v>
      </c>
    </row>
    <row r="2124" spans="1:15" x14ac:dyDescent="0.25">
      <c r="A2124" t="s">
        <v>2185</v>
      </c>
      <c r="B2124" s="1">
        <v>45763</v>
      </c>
      <c r="C2124" s="2">
        <v>45763.91</v>
      </c>
      <c r="D2124" t="s">
        <v>24</v>
      </c>
      <c r="E2124" t="s">
        <v>45</v>
      </c>
      <c r="F2124" t="s">
        <v>104</v>
      </c>
      <c r="G2124" t="s">
        <v>51</v>
      </c>
      <c r="H2124" t="s">
        <v>35</v>
      </c>
      <c r="I2124" t="s">
        <v>20</v>
      </c>
      <c r="J2124" t="s">
        <v>21</v>
      </c>
      <c r="K2124">
        <v>24</v>
      </c>
      <c r="L2124">
        <v>21.84</v>
      </c>
      <c r="M2124">
        <v>4</v>
      </c>
      <c r="N2124" t="s">
        <v>22</v>
      </c>
      <c r="O2124" t="str">
        <f t="shared" si="33"/>
        <v>No</v>
      </c>
    </row>
    <row r="2125" spans="1:15" x14ac:dyDescent="0.25">
      <c r="A2125" t="s">
        <v>2186</v>
      </c>
      <c r="B2125" s="1">
        <v>45768</v>
      </c>
      <c r="C2125" s="2">
        <v>45768.077916666669</v>
      </c>
      <c r="D2125" t="s">
        <v>38</v>
      </c>
      <c r="E2125" t="s">
        <v>25</v>
      </c>
      <c r="F2125" t="s">
        <v>48</v>
      </c>
      <c r="G2125" t="s">
        <v>41</v>
      </c>
      <c r="H2125" t="s">
        <v>35</v>
      </c>
      <c r="I2125" t="s">
        <v>36</v>
      </c>
      <c r="J2125" t="s">
        <v>46</v>
      </c>
      <c r="K2125">
        <v>8</v>
      </c>
      <c r="L2125">
        <v>1.87</v>
      </c>
      <c r="M2125">
        <v>5</v>
      </c>
      <c r="N2125" t="s">
        <v>22</v>
      </c>
      <c r="O2125" t="str">
        <f t="shared" si="33"/>
        <v>No</v>
      </c>
    </row>
    <row r="2126" spans="1:15" x14ac:dyDescent="0.25">
      <c r="A2126" t="s">
        <v>2187</v>
      </c>
      <c r="B2126" s="1">
        <v>45792</v>
      </c>
      <c r="C2126" s="2">
        <v>45792.23</v>
      </c>
      <c r="D2126" t="s">
        <v>15</v>
      </c>
      <c r="E2126" t="s">
        <v>25</v>
      </c>
      <c r="F2126" t="s">
        <v>70</v>
      </c>
      <c r="G2126" t="s">
        <v>51</v>
      </c>
      <c r="H2126" t="s">
        <v>19</v>
      </c>
      <c r="I2126" t="s">
        <v>45</v>
      </c>
      <c r="J2126" t="s">
        <v>21</v>
      </c>
      <c r="K2126">
        <v>48</v>
      </c>
      <c r="L2126">
        <v>5.52</v>
      </c>
      <c r="M2126">
        <v>4.0999999999999996</v>
      </c>
      <c r="N2126" t="s">
        <v>61</v>
      </c>
      <c r="O2126" t="str">
        <f t="shared" si="33"/>
        <v>No</v>
      </c>
    </row>
    <row r="2127" spans="1:15" x14ac:dyDescent="0.25">
      <c r="A2127" t="s">
        <v>2188</v>
      </c>
      <c r="B2127" s="1">
        <v>45704</v>
      </c>
      <c r="C2127" s="2">
        <v>45704.238749999997</v>
      </c>
      <c r="D2127" t="s">
        <v>24</v>
      </c>
      <c r="E2127" t="s">
        <v>16</v>
      </c>
      <c r="F2127" t="s">
        <v>17</v>
      </c>
      <c r="G2127" t="s">
        <v>56</v>
      </c>
      <c r="H2127" t="s">
        <v>65</v>
      </c>
      <c r="I2127" t="s">
        <v>36</v>
      </c>
      <c r="J2127" t="s">
        <v>21</v>
      </c>
      <c r="K2127">
        <v>24</v>
      </c>
      <c r="L2127">
        <v>5.73</v>
      </c>
      <c r="M2127">
        <v>5</v>
      </c>
      <c r="N2127" t="s">
        <v>22</v>
      </c>
      <c r="O2127" t="str">
        <f t="shared" si="33"/>
        <v>No</v>
      </c>
    </row>
    <row r="2128" spans="1:15" x14ac:dyDescent="0.25">
      <c r="A2128" t="s">
        <v>2189</v>
      </c>
      <c r="B2128" s="1">
        <v>45713</v>
      </c>
      <c r="C2128" s="2">
        <v>45713.05541666667</v>
      </c>
      <c r="D2128" t="s">
        <v>38</v>
      </c>
      <c r="E2128" t="s">
        <v>32</v>
      </c>
      <c r="F2128" t="s">
        <v>33</v>
      </c>
      <c r="G2128" t="s">
        <v>56</v>
      </c>
      <c r="H2128" t="s">
        <v>65</v>
      </c>
      <c r="I2128" t="s">
        <v>36</v>
      </c>
      <c r="J2128" t="s">
        <v>29</v>
      </c>
      <c r="K2128">
        <v>8</v>
      </c>
      <c r="L2128">
        <v>1.33</v>
      </c>
      <c r="M2128">
        <v>5</v>
      </c>
      <c r="N2128" t="s">
        <v>22</v>
      </c>
      <c r="O2128" t="str">
        <f t="shared" si="33"/>
        <v>No</v>
      </c>
    </row>
    <row r="2129" spans="1:15" x14ac:dyDescent="0.25">
      <c r="A2129" t="s">
        <v>2190</v>
      </c>
      <c r="B2129" s="1">
        <v>45771</v>
      </c>
      <c r="C2129" s="2">
        <v>45771.46125</v>
      </c>
      <c r="D2129" t="s">
        <v>24</v>
      </c>
      <c r="E2129" t="s">
        <v>39</v>
      </c>
      <c r="F2129" t="s">
        <v>87</v>
      </c>
      <c r="G2129" t="s">
        <v>18</v>
      </c>
      <c r="H2129" t="s">
        <v>44</v>
      </c>
      <c r="I2129" t="s">
        <v>36</v>
      </c>
      <c r="J2129" t="s">
        <v>21</v>
      </c>
      <c r="K2129">
        <v>24</v>
      </c>
      <c r="L2129">
        <v>11.07</v>
      </c>
      <c r="M2129">
        <v>5</v>
      </c>
      <c r="N2129" t="s">
        <v>22</v>
      </c>
      <c r="O2129" t="str">
        <f t="shared" si="33"/>
        <v>No</v>
      </c>
    </row>
    <row r="2130" spans="1:15" x14ac:dyDescent="0.25">
      <c r="A2130" t="s">
        <v>2191</v>
      </c>
      <c r="B2130" s="1">
        <v>45669</v>
      </c>
      <c r="C2130" s="2">
        <v>45671.228333333333</v>
      </c>
      <c r="D2130" t="s">
        <v>15</v>
      </c>
      <c r="E2130" t="s">
        <v>45</v>
      </c>
      <c r="F2130" t="s">
        <v>50</v>
      </c>
      <c r="G2130" t="s">
        <v>51</v>
      </c>
      <c r="H2130" t="s">
        <v>44</v>
      </c>
      <c r="I2130" t="s">
        <v>45</v>
      </c>
      <c r="J2130" t="s">
        <v>21</v>
      </c>
      <c r="K2130">
        <v>48</v>
      </c>
      <c r="L2130">
        <v>53.48</v>
      </c>
      <c r="M2130">
        <v>2.9</v>
      </c>
      <c r="N2130" t="s">
        <v>22</v>
      </c>
      <c r="O2130" t="str">
        <f t="shared" si="33"/>
        <v>Yes</v>
      </c>
    </row>
    <row r="2131" spans="1:15" x14ac:dyDescent="0.25">
      <c r="A2131" t="s">
        <v>2192</v>
      </c>
      <c r="B2131" s="1">
        <v>45716</v>
      </c>
      <c r="C2131" s="2">
        <v>45716.931250000001</v>
      </c>
      <c r="D2131" t="s">
        <v>15</v>
      </c>
      <c r="E2131" t="s">
        <v>16</v>
      </c>
      <c r="F2131" t="s">
        <v>58</v>
      </c>
      <c r="G2131" t="s">
        <v>18</v>
      </c>
      <c r="H2131" t="s">
        <v>54</v>
      </c>
      <c r="I2131" t="s">
        <v>20</v>
      </c>
      <c r="J2131" t="s">
        <v>46</v>
      </c>
      <c r="K2131">
        <v>48</v>
      </c>
      <c r="L2131">
        <v>22.35</v>
      </c>
      <c r="M2131">
        <v>3.8</v>
      </c>
      <c r="N2131" t="s">
        <v>22</v>
      </c>
      <c r="O2131" t="str">
        <f t="shared" si="33"/>
        <v>No</v>
      </c>
    </row>
    <row r="2132" spans="1:15" x14ac:dyDescent="0.25">
      <c r="A2132" t="s">
        <v>2193</v>
      </c>
      <c r="B2132" s="1">
        <v>45787</v>
      </c>
      <c r="C2132" s="2">
        <v>45787.597916666666</v>
      </c>
      <c r="D2132" t="s">
        <v>15</v>
      </c>
      <c r="E2132" t="s">
        <v>25</v>
      </c>
      <c r="F2132" t="s">
        <v>53</v>
      </c>
      <c r="G2132" t="s">
        <v>41</v>
      </c>
      <c r="H2132" t="s">
        <v>35</v>
      </c>
      <c r="I2132" t="s">
        <v>28</v>
      </c>
      <c r="J2132" t="s">
        <v>46</v>
      </c>
      <c r="K2132">
        <v>48</v>
      </c>
      <c r="L2132">
        <v>14.35</v>
      </c>
      <c r="M2132">
        <v>4.5999999999999996</v>
      </c>
      <c r="N2132" t="s">
        <v>22</v>
      </c>
      <c r="O2132" t="str">
        <f t="shared" si="33"/>
        <v>No</v>
      </c>
    </row>
    <row r="2133" spans="1:15" x14ac:dyDescent="0.25">
      <c r="A2133" t="s">
        <v>2194</v>
      </c>
      <c r="B2133" s="1">
        <v>45834</v>
      </c>
      <c r="C2133" s="2">
        <v>45834.392916666664</v>
      </c>
      <c r="D2133" t="s">
        <v>24</v>
      </c>
      <c r="E2133" t="s">
        <v>45</v>
      </c>
      <c r="F2133" t="s">
        <v>104</v>
      </c>
      <c r="G2133" t="s">
        <v>34</v>
      </c>
      <c r="H2133" t="s">
        <v>54</v>
      </c>
      <c r="I2133" t="s">
        <v>36</v>
      </c>
      <c r="J2133" t="s">
        <v>46</v>
      </c>
      <c r="K2133">
        <v>24</v>
      </c>
      <c r="L2133">
        <v>9.43</v>
      </c>
      <c r="M2133">
        <v>4.5</v>
      </c>
      <c r="N2133" t="s">
        <v>22</v>
      </c>
      <c r="O2133" t="str">
        <f t="shared" si="33"/>
        <v>No</v>
      </c>
    </row>
    <row r="2134" spans="1:15" x14ac:dyDescent="0.25">
      <c r="A2134" t="s">
        <v>2195</v>
      </c>
      <c r="B2134" s="1">
        <v>45752</v>
      </c>
      <c r="C2134" s="2">
        <v>45752.743333333332</v>
      </c>
      <c r="D2134" t="s">
        <v>24</v>
      </c>
      <c r="E2134" t="s">
        <v>32</v>
      </c>
      <c r="F2134" t="s">
        <v>33</v>
      </c>
      <c r="G2134" t="s">
        <v>56</v>
      </c>
      <c r="H2134" t="s">
        <v>19</v>
      </c>
      <c r="I2134" t="s">
        <v>36</v>
      </c>
      <c r="J2134" t="s">
        <v>21</v>
      </c>
      <c r="K2134">
        <v>24</v>
      </c>
      <c r="L2134">
        <v>17.84</v>
      </c>
      <c r="M2134">
        <v>4.0999999999999996</v>
      </c>
      <c r="N2134" t="s">
        <v>61</v>
      </c>
      <c r="O2134" t="str">
        <f t="shared" si="33"/>
        <v>No</v>
      </c>
    </row>
    <row r="2135" spans="1:15" x14ac:dyDescent="0.25">
      <c r="A2135" t="s">
        <v>2196</v>
      </c>
      <c r="B2135" s="1">
        <v>45730</v>
      </c>
      <c r="C2135" s="2">
        <v>45731.167916666665</v>
      </c>
      <c r="D2135" t="s">
        <v>15</v>
      </c>
      <c r="E2135" t="s">
        <v>39</v>
      </c>
      <c r="F2135" t="s">
        <v>87</v>
      </c>
      <c r="G2135" t="s">
        <v>41</v>
      </c>
      <c r="H2135" t="s">
        <v>54</v>
      </c>
      <c r="I2135" t="s">
        <v>36</v>
      </c>
      <c r="J2135" t="s">
        <v>46</v>
      </c>
      <c r="K2135">
        <v>48</v>
      </c>
      <c r="L2135">
        <v>28.03</v>
      </c>
      <c r="M2135">
        <v>4.0999999999999996</v>
      </c>
      <c r="N2135" t="s">
        <v>22</v>
      </c>
      <c r="O2135" t="str">
        <f t="shared" si="33"/>
        <v>No</v>
      </c>
    </row>
    <row r="2136" spans="1:15" x14ac:dyDescent="0.25">
      <c r="A2136" t="s">
        <v>2197</v>
      </c>
      <c r="B2136" s="1">
        <v>45737</v>
      </c>
      <c r="C2136" s="2">
        <v>45737.243750000001</v>
      </c>
      <c r="D2136" t="s">
        <v>24</v>
      </c>
      <c r="E2136" t="s">
        <v>16</v>
      </c>
      <c r="F2136" t="s">
        <v>43</v>
      </c>
      <c r="G2136" t="s">
        <v>18</v>
      </c>
      <c r="H2136" t="s">
        <v>19</v>
      </c>
      <c r="I2136" t="s">
        <v>36</v>
      </c>
      <c r="J2136" t="s">
        <v>21</v>
      </c>
      <c r="K2136">
        <v>24</v>
      </c>
      <c r="L2136">
        <v>5.85</v>
      </c>
      <c r="M2136">
        <v>4.8</v>
      </c>
      <c r="N2136" t="s">
        <v>22</v>
      </c>
      <c r="O2136" t="str">
        <f t="shared" si="33"/>
        <v>No</v>
      </c>
    </row>
    <row r="2137" spans="1:15" x14ac:dyDescent="0.25">
      <c r="A2137" t="s">
        <v>2198</v>
      </c>
      <c r="B2137" s="1">
        <v>45782</v>
      </c>
      <c r="C2137" s="2">
        <v>45783.827916666669</v>
      </c>
      <c r="D2137" t="s">
        <v>15</v>
      </c>
      <c r="E2137" t="s">
        <v>32</v>
      </c>
      <c r="F2137" t="s">
        <v>80</v>
      </c>
      <c r="G2137" t="s">
        <v>34</v>
      </c>
      <c r="H2137" t="s">
        <v>65</v>
      </c>
      <c r="I2137" t="s">
        <v>36</v>
      </c>
      <c r="J2137" t="s">
        <v>21</v>
      </c>
      <c r="K2137">
        <v>48</v>
      </c>
      <c r="L2137">
        <v>43.87</v>
      </c>
      <c r="M2137">
        <v>2.2000000000000002</v>
      </c>
      <c r="N2137" t="s">
        <v>22</v>
      </c>
      <c r="O2137" t="str">
        <f t="shared" si="33"/>
        <v>No</v>
      </c>
    </row>
    <row r="2138" spans="1:15" x14ac:dyDescent="0.25">
      <c r="A2138" t="s">
        <v>2199</v>
      </c>
      <c r="B2138" s="1">
        <v>45756</v>
      </c>
      <c r="C2138" s="2">
        <v>45756.20208333333</v>
      </c>
      <c r="D2138" t="s">
        <v>24</v>
      </c>
      <c r="E2138" t="s">
        <v>16</v>
      </c>
      <c r="F2138" t="s">
        <v>60</v>
      </c>
      <c r="G2138" t="s">
        <v>18</v>
      </c>
      <c r="H2138" t="s">
        <v>65</v>
      </c>
      <c r="I2138" t="s">
        <v>28</v>
      </c>
      <c r="J2138" t="s">
        <v>21</v>
      </c>
      <c r="K2138">
        <v>24</v>
      </c>
      <c r="L2138">
        <v>4.8499999999999996</v>
      </c>
      <c r="M2138">
        <v>5</v>
      </c>
      <c r="N2138" t="s">
        <v>22</v>
      </c>
      <c r="O2138" t="str">
        <f t="shared" si="33"/>
        <v>No</v>
      </c>
    </row>
    <row r="2139" spans="1:15" x14ac:dyDescent="0.25">
      <c r="A2139" t="s">
        <v>2200</v>
      </c>
      <c r="B2139" s="1">
        <v>45662</v>
      </c>
      <c r="C2139" s="2">
        <v>45662.553738425922</v>
      </c>
      <c r="D2139" t="s">
        <v>24</v>
      </c>
      <c r="E2139" t="s">
        <v>25</v>
      </c>
      <c r="F2139" t="s">
        <v>70</v>
      </c>
      <c r="G2139" t="s">
        <v>18</v>
      </c>
      <c r="H2139" t="s">
        <v>35</v>
      </c>
      <c r="I2139" t="s">
        <v>36</v>
      </c>
      <c r="J2139" t="s">
        <v>46</v>
      </c>
      <c r="K2139">
        <v>24</v>
      </c>
      <c r="L2139">
        <v>13.29</v>
      </c>
      <c r="M2139">
        <v>5</v>
      </c>
      <c r="N2139" t="s">
        <v>22</v>
      </c>
      <c r="O2139" t="str">
        <f t="shared" si="33"/>
        <v>No</v>
      </c>
    </row>
    <row r="2140" spans="1:15" x14ac:dyDescent="0.25">
      <c r="A2140" t="s">
        <v>2201</v>
      </c>
      <c r="B2140" s="1">
        <v>45755</v>
      </c>
      <c r="C2140" s="2">
        <v>45755.699166666665</v>
      </c>
      <c r="D2140" t="s">
        <v>15</v>
      </c>
      <c r="E2140" t="s">
        <v>16</v>
      </c>
      <c r="F2140" t="s">
        <v>17</v>
      </c>
      <c r="G2140" t="s">
        <v>56</v>
      </c>
      <c r="H2140" t="s">
        <v>54</v>
      </c>
      <c r="I2140" t="s">
        <v>20</v>
      </c>
      <c r="J2140" t="s">
        <v>46</v>
      </c>
      <c r="K2140">
        <v>48</v>
      </c>
      <c r="L2140">
        <v>16.78</v>
      </c>
      <c r="M2140">
        <v>4.2</v>
      </c>
      <c r="N2140" t="s">
        <v>22</v>
      </c>
      <c r="O2140" t="str">
        <f t="shared" si="33"/>
        <v>No</v>
      </c>
    </row>
    <row r="2141" spans="1:15" x14ac:dyDescent="0.25">
      <c r="A2141" t="s">
        <v>2202</v>
      </c>
      <c r="B2141" s="1">
        <v>45730</v>
      </c>
      <c r="C2141" s="2">
        <v>45730.868750000001</v>
      </c>
      <c r="D2141" t="s">
        <v>15</v>
      </c>
      <c r="E2141" t="s">
        <v>39</v>
      </c>
      <c r="F2141" t="s">
        <v>78</v>
      </c>
      <c r="G2141" t="s">
        <v>41</v>
      </c>
      <c r="H2141" t="s">
        <v>27</v>
      </c>
      <c r="I2141" t="s">
        <v>36</v>
      </c>
      <c r="J2141" t="s">
        <v>21</v>
      </c>
      <c r="K2141">
        <v>48</v>
      </c>
      <c r="L2141">
        <v>20.85</v>
      </c>
      <c r="M2141">
        <v>4.5999999999999996</v>
      </c>
      <c r="N2141" t="s">
        <v>22</v>
      </c>
      <c r="O2141" t="str">
        <f t="shared" si="33"/>
        <v>No</v>
      </c>
    </row>
    <row r="2142" spans="1:15" x14ac:dyDescent="0.25">
      <c r="A2142" t="s">
        <v>2203</v>
      </c>
      <c r="B2142" s="1">
        <v>45784</v>
      </c>
      <c r="C2142" s="2">
        <v>45784.421249999999</v>
      </c>
      <c r="D2142" t="s">
        <v>15</v>
      </c>
      <c r="E2142" t="s">
        <v>25</v>
      </c>
      <c r="F2142" t="s">
        <v>48</v>
      </c>
      <c r="G2142" t="s">
        <v>56</v>
      </c>
      <c r="H2142" t="s">
        <v>19</v>
      </c>
      <c r="I2142" t="s">
        <v>45</v>
      </c>
      <c r="J2142" t="s">
        <v>21</v>
      </c>
      <c r="K2142">
        <v>48</v>
      </c>
      <c r="L2142">
        <v>10.11</v>
      </c>
      <c r="M2142">
        <v>5</v>
      </c>
      <c r="N2142" t="s">
        <v>22</v>
      </c>
      <c r="O2142" t="str">
        <f t="shared" si="33"/>
        <v>No</v>
      </c>
    </row>
    <row r="2143" spans="1:15" x14ac:dyDescent="0.25">
      <c r="A2143" t="s">
        <v>2204</v>
      </c>
      <c r="B2143" s="1">
        <v>45816</v>
      </c>
      <c r="C2143" s="2">
        <v>45817.055</v>
      </c>
      <c r="D2143" t="s">
        <v>15</v>
      </c>
      <c r="E2143" t="s">
        <v>32</v>
      </c>
      <c r="F2143" t="s">
        <v>33</v>
      </c>
      <c r="G2143" t="s">
        <v>41</v>
      </c>
      <c r="H2143" t="s">
        <v>35</v>
      </c>
      <c r="I2143" t="s">
        <v>20</v>
      </c>
      <c r="J2143" t="s">
        <v>46</v>
      </c>
      <c r="K2143">
        <v>48</v>
      </c>
      <c r="L2143">
        <v>25.32</v>
      </c>
      <c r="M2143">
        <v>4.4000000000000004</v>
      </c>
      <c r="N2143" t="s">
        <v>22</v>
      </c>
      <c r="O2143" t="str">
        <f t="shared" si="33"/>
        <v>No</v>
      </c>
    </row>
    <row r="2144" spans="1:15" x14ac:dyDescent="0.25">
      <c r="A2144" t="s">
        <v>2205</v>
      </c>
      <c r="B2144" s="1">
        <v>45832</v>
      </c>
      <c r="C2144" s="2">
        <v>45832.189583333333</v>
      </c>
      <c r="D2144" t="s">
        <v>24</v>
      </c>
      <c r="E2144" t="s">
        <v>45</v>
      </c>
      <c r="F2144" t="s">
        <v>112</v>
      </c>
      <c r="G2144" t="s">
        <v>34</v>
      </c>
      <c r="H2144" t="s">
        <v>65</v>
      </c>
      <c r="I2144" t="s">
        <v>28</v>
      </c>
      <c r="J2144" t="s">
        <v>21</v>
      </c>
      <c r="K2144">
        <v>24</v>
      </c>
      <c r="L2144">
        <v>4.55</v>
      </c>
      <c r="M2144">
        <v>5</v>
      </c>
      <c r="N2144" t="s">
        <v>22</v>
      </c>
      <c r="O2144" t="str">
        <f t="shared" si="33"/>
        <v>No</v>
      </c>
    </row>
    <row r="2145" spans="1:15" x14ac:dyDescent="0.25">
      <c r="A2145" t="s">
        <v>2206</v>
      </c>
      <c r="B2145" s="1">
        <v>45768</v>
      </c>
      <c r="C2145" s="2">
        <v>45768.657916666663</v>
      </c>
      <c r="D2145" t="s">
        <v>15</v>
      </c>
      <c r="E2145" t="s">
        <v>32</v>
      </c>
      <c r="F2145" t="s">
        <v>80</v>
      </c>
      <c r="G2145" t="s">
        <v>56</v>
      </c>
      <c r="H2145" t="s">
        <v>54</v>
      </c>
      <c r="I2145" t="s">
        <v>36</v>
      </c>
      <c r="J2145" t="s">
        <v>21</v>
      </c>
      <c r="K2145">
        <v>48</v>
      </c>
      <c r="L2145">
        <v>15.79</v>
      </c>
      <c r="M2145">
        <v>5</v>
      </c>
      <c r="N2145" t="s">
        <v>22</v>
      </c>
      <c r="O2145" t="str">
        <f t="shared" si="33"/>
        <v>No</v>
      </c>
    </row>
    <row r="2146" spans="1:15" x14ac:dyDescent="0.25">
      <c r="A2146" t="s">
        <v>2207</v>
      </c>
      <c r="B2146" s="1">
        <v>45723</v>
      </c>
      <c r="C2146" s="2">
        <v>45723.82708333333</v>
      </c>
      <c r="D2146" t="s">
        <v>15</v>
      </c>
      <c r="E2146" t="s">
        <v>25</v>
      </c>
      <c r="F2146" t="s">
        <v>70</v>
      </c>
      <c r="G2146" t="s">
        <v>18</v>
      </c>
      <c r="H2146" t="s">
        <v>27</v>
      </c>
      <c r="I2146" t="s">
        <v>28</v>
      </c>
      <c r="J2146" t="s">
        <v>21</v>
      </c>
      <c r="K2146">
        <v>48</v>
      </c>
      <c r="L2146">
        <v>19.850000000000001</v>
      </c>
      <c r="M2146">
        <v>5</v>
      </c>
      <c r="N2146" t="s">
        <v>22</v>
      </c>
      <c r="O2146" t="str">
        <f t="shared" si="33"/>
        <v>No</v>
      </c>
    </row>
    <row r="2147" spans="1:15" x14ac:dyDescent="0.25">
      <c r="A2147" t="s">
        <v>2208</v>
      </c>
      <c r="B2147" s="1">
        <v>45738</v>
      </c>
      <c r="C2147" s="2">
        <v>45738.041250000002</v>
      </c>
      <c r="D2147" t="s">
        <v>31</v>
      </c>
      <c r="E2147" t="s">
        <v>16</v>
      </c>
      <c r="F2147" t="s">
        <v>17</v>
      </c>
      <c r="G2147" t="s">
        <v>56</v>
      </c>
      <c r="H2147" t="s">
        <v>27</v>
      </c>
      <c r="I2147" t="s">
        <v>36</v>
      </c>
      <c r="J2147" t="s">
        <v>21</v>
      </c>
      <c r="K2147">
        <v>4</v>
      </c>
      <c r="L2147">
        <v>0.99</v>
      </c>
      <c r="M2147">
        <v>4</v>
      </c>
      <c r="N2147" t="s">
        <v>22</v>
      </c>
      <c r="O2147" t="str">
        <f t="shared" si="33"/>
        <v>No</v>
      </c>
    </row>
    <row r="2148" spans="1:15" x14ac:dyDescent="0.25">
      <c r="A2148" t="s">
        <v>2209</v>
      </c>
      <c r="B2148" s="1">
        <v>45689</v>
      </c>
      <c r="C2148" s="2">
        <v>45689.417500000003</v>
      </c>
      <c r="D2148" t="s">
        <v>38</v>
      </c>
      <c r="E2148" t="s">
        <v>39</v>
      </c>
      <c r="F2148" t="s">
        <v>40</v>
      </c>
      <c r="G2148" t="s">
        <v>41</v>
      </c>
      <c r="H2148" t="s">
        <v>35</v>
      </c>
      <c r="I2148" t="s">
        <v>20</v>
      </c>
      <c r="J2148" t="s">
        <v>21</v>
      </c>
      <c r="K2148">
        <v>8</v>
      </c>
      <c r="L2148">
        <v>10.02</v>
      </c>
      <c r="M2148">
        <v>3.2</v>
      </c>
      <c r="N2148" t="s">
        <v>22</v>
      </c>
      <c r="O2148" t="str">
        <f t="shared" si="33"/>
        <v>Yes</v>
      </c>
    </row>
    <row r="2149" spans="1:15" x14ac:dyDescent="0.25">
      <c r="A2149" t="s">
        <v>2210</v>
      </c>
      <c r="B2149" s="1">
        <v>45827</v>
      </c>
      <c r="C2149" s="2">
        <v>45827.65625</v>
      </c>
      <c r="D2149" t="s">
        <v>15</v>
      </c>
      <c r="E2149" t="s">
        <v>16</v>
      </c>
      <c r="F2149" t="s">
        <v>58</v>
      </c>
      <c r="G2149" t="s">
        <v>18</v>
      </c>
      <c r="H2149" t="s">
        <v>35</v>
      </c>
      <c r="I2149" t="s">
        <v>36</v>
      </c>
      <c r="J2149" t="s">
        <v>46</v>
      </c>
      <c r="K2149">
        <v>48</v>
      </c>
      <c r="L2149">
        <v>15.75</v>
      </c>
      <c r="M2149">
        <v>5</v>
      </c>
      <c r="N2149" t="s">
        <v>22</v>
      </c>
      <c r="O2149" t="str">
        <f t="shared" si="33"/>
        <v>No</v>
      </c>
    </row>
    <row r="2150" spans="1:15" x14ac:dyDescent="0.25">
      <c r="A2150" t="s">
        <v>2211</v>
      </c>
      <c r="B2150" s="1">
        <v>45811</v>
      </c>
      <c r="C2150" s="2">
        <v>45811.391250000001</v>
      </c>
      <c r="D2150" t="s">
        <v>24</v>
      </c>
      <c r="E2150" t="s">
        <v>32</v>
      </c>
      <c r="F2150" t="s">
        <v>33</v>
      </c>
      <c r="G2150" t="s">
        <v>41</v>
      </c>
      <c r="H2150" t="s">
        <v>44</v>
      </c>
      <c r="I2150" t="s">
        <v>45</v>
      </c>
      <c r="J2150" t="s">
        <v>21</v>
      </c>
      <c r="K2150">
        <v>24</v>
      </c>
      <c r="L2150">
        <v>9.39</v>
      </c>
      <c r="M2150">
        <v>4.9000000000000004</v>
      </c>
      <c r="N2150" t="s">
        <v>22</v>
      </c>
      <c r="O2150" t="str">
        <f t="shared" si="33"/>
        <v>No</v>
      </c>
    </row>
    <row r="2151" spans="1:15" x14ac:dyDescent="0.25">
      <c r="A2151" t="s">
        <v>2212</v>
      </c>
      <c r="B2151" s="1">
        <v>45812</v>
      </c>
      <c r="C2151" s="2">
        <v>45812.513333333336</v>
      </c>
      <c r="D2151" t="s">
        <v>24</v>
      </c>
      <c r="E2151" t="s">
        <v>39</v>
      </c>
      <c r="F2151" t="s">
        <v>119</v>
      </c>
      <c r="G2151" t="s">
        <v>51</v>
      </c>
      <c r="H2151" t="s">
        <v>54</v>
      </c>
      <c r="I2151" t="s">
        <v>20</v>
      </c>
      <c r="J2151" t="s">
        <v>46</v>
      </c>
      <c r="K2151">
        <v>24</v>
      </c>
      <c r="L2151">
        <v>12.32</v>
      </c>
      <c r="M2151">
        <v>4.8</v>
      </c>
      <c r="N2151" t="s">
        <v>22</v>
      </c>
      <c r="O2151" t="str">
        <f t="shared" si="33"/>
        <v>No</v>
      </c>
    </row>
    <row r="2152" spans="1:15" x14ac:dyDescent="0.25">
      <c r="A2152" t="s">
        <v>2213</v>
      </c>
      <c r="B2152" s="1">
        <v>45717</v>
      </c>
      <c r="C2152" s="2">
        <v>45717.047083333331</v>
      </c>
      <c r="D2152" t="s">
        <v>38</v>
      </c>
      <c r="E2152" t="s">
        <v>25</v>
      </c>
      <c r="F2152" t="s">
        <v>53</v>
      </c>
      <c r="G2152" t="s">
        <v>34</v>
      </c>
      <c r="H2152" t="s">
        <v>54</v>
      </c>
      <c r="I2152" t="s">
        <v>20</v>
      </c>
      <c r="J2152" t="s">
        <v>46</v>
      </c>
      <c r="K2152">
        <v>8</v>
      </c>
      <c r="L2152">
        <v>1.1299999999999999</v>
      </c>
      <c r="M2152">
        <v>3.1</v>
      </c>
      <c r="N2152" t="s">
        <v>22</v>
      </c>
      <c r="O2152" t="str">
        <f t="shared" si="33"/>
        <v>No</v>
      </c>
    </row>
    <row r="2153" spans="1:15" x14ac:dyDescent="0.25">
      <c r="A2153" t="s">
        <v>2214</v>
      </c>
      <c r="B2153" s="1">
        <v>45716</v>
      </c>
      <c r="C2153" s="2">
        <v>45716.03</v>
      </c>
      <c r="D2153" t="s">
        <v>38</v>
      </c>
      <c r="E2153" t="s">
        <v>25</v>
      </c>
      <c r="F2153" t="s">
        <v>53</v>
      </c>
      <c r="G2153" t="s">
        <v>56</v>
      </c>
      <c r="H2153" t="s">
        <v>54</v>
      </c>
      <c r="I2153" t="s">
        <v>20</v>
      </c>
      <c r="J2153" t="s">
        <v>21</v>
      </c>
      <c r="K2153">
        <v>8</v>
      </c>
      <c r="L2153">
        <v>0.72</v>
      </c>
      <c r="M2153">
        <v>3.6</v>
      </c>
      <c r="N2153" t="s">
        <v>22</v>
      </c>
      <c r="O2153" t="str">
        <f t="shared" si="33"/>
        <v>No</v>
      </c>
    </row>
    <row r="2154" spans="1:15" x14ac:dyDescent="0.25">
      <c r="A2154" t="s">
        <v>2215</v>
      </c>
      <c r="B2154" s="1">
        <v>45813</v>
      </c>
      <c r="C2154" s="2">
        <v>45813.827916666669</v>
      </c>
      <c r="D2154" t="s">
        <v>15</v>
      </c>
      <c r="E2154" t="s">
        <v>32</v>
      </c>
      <c r="F2154" t="s">
        <v>75</v>
      </c>
      <c r="G2154" t="s">
        <v>41</v>
      </c>
      <c r="H2154" t="s">
        <v>65</v>
      </c>
      <c r="I2154" t="s">
        <v>36</v>
      </c>
      <c r="J2154" t="s">
        <v>46</v>
      </c>
      <c r="K2154">
        <v>48</v>
      </c>
      <c r="L2154">
        <v>19.87</v>
      </c>
      <c r="M2154">
        <v>5</v>
      </c>
      <c r="N2154" t="s">
        <v>22</v>
      </c>
      <c r="O2154" t="str">
        <f t="shared" si="33"/>
        <v>No</v>
      </c>
    </row>
    <row r="2155" spans="1:15" x14ac:dyDescent="0.25">
      <c r="A2155" t="s">
        <v>2216</v>
      </c>
      <c r="B2155" s="1">
        <v>45756</v>
      </c>
      <c r="C2155" s="2">
        <v>45756.216249999998</v>
      </c>
      <c r="D2155" t="s">
        <v>15</v>
      </c>
      <c r="E2155" t="s">
        <v>16</v>
      </c>
      <c r="F2155" t="s">
        <v>60</v>
      </c>
      <c r="G2155" t="s">
        <v>41</v>
      </c>
      <c r="H2155" t="s">
        <v>54</v>
      </c>
      <c r="I2155" t="s">
        <v>20</v>
      </c>
      <c r="J2155" t="s">
        <v>46</v>
      </c>
      <c r="K2155">
        <v>48</v>
      </c>
      <c r="L2155">
        <v>5.19</v>
      </c>
      <c r="M2155">
        <v>5</v>
      </c>
      <c r="N2155" t="s">
        <v>22</v>
      </c>
      <c r="O2155" t="str">
        <f t="shared" si="33"/>
        <v>No</v>
      </c>
    </row>
    <row r="2156" spans="1:15" x14ac:dyDescent="0.25">
      <c r="A2156" t="s">
        <v>2217</v>
      </c>
      <c r="B2156" s="1">
        <v>45785</v>
      </c>
      <c r="C2156" s="2">
        <v>45785.647083333337</v>
      </c>
      <c r="D2156" t="s">
        <v>24</v>
      </c>
      <c r="E2156" t="s">
        <v>25</v>
      </c>
      <c r="F2156" t="s">
        <v>48</v>
      </c>
      <c r="G2156" t="s">
        <v>34</v>
      </c>
      <c r="H2156" t="s">
        <v>19</v>
      </c>
      <c r="I2156" t="s">
        <v>36</v>
      </c>
      <c r="J2156" t="s">
        <v>85</v>
      </c>
      <c r="K2156">
        <v>24</v>
      </c>
      <c r="L2156">
        <v>15.53</v>
      </c>
      <c r="M2156">
        <v>4.5</v>
      </c>
      <c r="N2156" t="s">
        <v>22</v>
      </c>
      <c r="O2156" t="str">
        <f t="shared" si="33"/>
        <v>No</v>
      </c>
    </row>
    <row r="2157" spans="1:15" x14ac:dyDescent="0.25">
      <c r="A2157" t="s">
        <v>2218</v>
      </c>
      <c r="B2157" s="1">
        <v>45746</v>
      </c>
      <c r="C2157" s="2">
        <v>45746.223333333335</v>
      </c>
      <c r="D2157" t="s">
        <v>38</v>
      </c>
      <c r="E2157" t="s">
        <v>25</v>
      </c>
      <c r="F2157" t="s">
        <v>53</v>
      </c>
      <c r="G2157" t="s">
        <v>18</v>
      </c>
      <c r="H2157" t="s">
        <v>44</v>
      </c>
      <c r="I2157" t="s">
        <v>36</v>
      </c>
      <c r="J2157" t="s">
        <v>46</v>
      </c>
      <c r="K2157">
        <v>8</v>
      </c>
      <c r="L2157">
        <v>5.36</v>
      </c>
      <c r="M2157">
        <v>3.4</v>
      </c>
      <c r="N2157" t="s">
        <v>22</v>
      </c>
      <c r="O2157" t="str">
        <f t="shared" si="33"/>
        <v>No</v>
      </c>
    </row>
    <row r="2158" spans="1:15" x14ac:dyDescent="0.25">
      <c r="A2158" t="s">
        <v>2219</v>
      </c>
      <c r="B2158" s="1">
        <v>45738</v>
      </c>
      <c r="C2158" s="2">
        <v>45738.215416666666</v>
      </c>
      <c r="D2158" t="s">
        <v>38</v>
      </c>
      <c r="E2158" t="s">
        <v>39</v>
      </c>
      <c r="F2158" t="s">
        <v>78</v>
      </c>
      <c r="G2158" t="s">
        <v>18</v>
      </c>
      <c r="H2158" t="s">
        <v>54</v>
      </c>
      <c r="I2158" t="s">
        <v>36</v>
      </c>
      <c r="J2158" t="s">
        <v>21</v>
      </c>
      <c r="K2158">
        <v>8</v>
      </c>
      <c r="L2158">
        <v>5.17</v>
      </c>
      <c r="M2158">
        <v>4</v>
      </c>
      <c r="N2158" t="s">
        <v>22</v>
      </c>
      <c r="O2158" t="str">
        <f t="shared" si="33"/>
        <v>No</v>
      </c>
    </row>
    <row r="2159" spans="1:15" x14ac:dyDescent="0.25">
      <c r="A2159" t="s">
        <v>2220</v>
      </c>
      <c r="B2159" s="1">
        <v>45772</v>
      </c>
      <c r="C2159" s="2">
        <v>45773.730416666665</v>
      </c>
      <c r="D2159" t="s">
        <v>15</v>
      </c>
      <c r="E2159" t="s">
        <v>32</v>
      </c>
      <c r="F2159" t="s">
        <v>75</v>
      </c>
      <c r="G2159" t="s">
        <v>41</v>
      </c>
      <c r="H2159" t="s">
        <v>19</v>
      </c>
      <c r="I2159" t="s">
        <v>36</v>
      </c>
      <c r="J2159" t="s">
        <v>46</v>
      </c>
      <c r="K2159">
        <v>48</v>
      </c>
      <c r="L2159">
        <v>41.53</v>
      </c>
      <c r="M2159">
        <v>4.3</v>
      </c>
      <c r="N2159" t="s">
        <v>22</v>
      </c>
      <c r="O2159" t="str">
        <f t="shared" si="33"/>
        <v>No</v>
      </c>
    </row>
    <row r="2160" spans="1:15" x14ac:dyDescent="0.25">
      <c r="A2160" t="s">
        <v>2221</v>
      </c>
      <c r="B2160" s="1">
        <v>45805</v>
      </c>
      <c r="C2160" s="2">
        <v>45805.412499999999</v>
      </c>
      <c r="D2160" t="s">
        <v>24</v>
      </c>
      <c r="E2160" t="s">
        <v>45</v>
      </c>
      <c r="F2160" t="s">
        <v>50</v>
      </c>
      <c r="G2160" t="s">
        <v>51</v>
      </c>
      <c r="H2160" t="s">
        <v>27</v>
      </c>
      <c r="I2160" t="s">
        <v>36</v>
      </c>
      <c r="J2160" t="s">
        <v>46</v>
      </c>
      <c r="K2160">
        <v>24</v>
      </c>
      <c r="L2160">
        <v>9.9</v>
      </c>
      <c r="M2160">
        <v>3.6</v>
      </c>
      <c r="N2160" t="s">
        <v>22</v>
      </c>
      <c r="O2160" t="str">
        <f t="shared" si="33"/>
        <v>No</v>
      </c>
    </row>
    <row r="2161" spans="1:15" x14ac:dyDescent="0.25">
      <c r="A2161" t="s">
        <v>2222</v>
      </c>
      <c r="B2161" s="1">
        <v>45718</v>
      </c>
      <c r="C2161" s="2">
        <v>45720.553738425922</v>
      </c>
      <c r="D2161" t="s">
        <v>15</v>
      </c>
      <c r="E2161" t="s">
        <v>39</v>
      </c>
      <c r="F2161" t="s">
        <v>87</v>
      </c>
      <c r="G2161" t="s">
        <v>41</v>
      </c>
      <c r="H2161" t="s">
        <v>27</v>
      </c>
      <c r="I2161" t="s">
        <v>45</v>
      </c>
      <c r="J2161" t="s">
        <v>46</v>
      </c>
      <c r="K2161">
        <v>48</v>
      </c>
      <c r="L2161">
        <v>61.29</v>
      </c>
      <c r="M2161">
        <v>3</v>
      </c>
      <c r="N2161" t="s">
        <v>22</v>
      </c>
      <c r="O2161" t="str">
        <f t="shared" si="33"/>
        <v>Yes</v>
      </c>
    </row>
    <row r="2162" spans="1:15" x14ac:dyDescent="0.25">
      <c r="A2162" t="s">
        <v>2223</v>
      </c>
      <c r="B2162" s="1">
        <v>45804</v>
      </c>
      <c r="C2162" s="2">
        <v>45804.600416666668</v>
      </c>
      <c r="D2162" t="s">
        <v>24</v>
      </c>
      <c r="E2162" t="s">
        <v>39</v>
      </c>
      <c r="F2162" t="s">
        <v>40</v>
      </c>
      <c r="G2162" t="s">
        <v>34</v>
      </c>
      <c r="H2162" t="s">
        <v>65</v>
      </c>
      <c r="I2162" t="s">
        <v>36</v>
      </c>
      <c r="J2162" t="s">
        <v>21</v>
      </c>
      <c r="K2162">
        <v>24</v>
      </c>
      <c r="L2162">
        <v>14.41</v>
      </c>
      <c r="M2162">
        <v>4.5</v>
      </c>
      <c r="N2162" t="s">
        <v>22</v>
      </c>
      <c r="O2162" t="str">
        <f t="shared" si="33"/>
        <v>No</v>
      </c>
    </row>
    <row r="2163" spans="1:15" x14ac:dyDescent="0.25">
      <c r="A2163" t="s">
        <v>2224</v>
      </c>
      <c r="B2163" s="1">
        <v>45702</v>
      </c>
      <c r="C2163" s="2">
        <v>45702.402499999997</v>
      </c>
      <c r="D2163" t="s">
        <v>38</v>
      </c>
      <c r="E2163" t="s">
        <v>25</v>
      </c>
      <c r="F2163" t="s">
        <v>70</v>
      </c>
      <c r="G2163" t="s">
        <v>18</v>
      </c>
      <c r="H2163" t="s">
        <v>65</v>
      </c>
      <c r="I2163" t="s">
        <v>45</v>
      </c>
      <c r="J2163" t="s">
        <v>46</v>
      </c>
      <c r="K2163">
        <v>8</v>
      </c>
      <c r="L2163">
        <v>9.66</v>
      </c>
      <c r="M2163">
        <v>3.9</v>
      </c>
      <c r="N2163" t="s">
        <v>22</v>
      </c>
      <c r="O2163" t="str">
        <f t="shared" si="33"/>
        <v>Yes</v>
      </c>
    </row>
    <row r="2164" spans="1:15" x14ac:dyDescent="0.25">
      <c r="A2164" t="s">
        <v>2225</v>
      </c>
      <c r="B2164" s="1">
        <v>45730</v>
      </c>
      <c r="C2164" s="2">
        <v>45730.837500000001</v>
      </c>
      <c r="D2164" t="s">
        <v>24</v>
      </c>
      <c r="E2164" t="s">
        <v>32</v>
      </c>
      <c r="F2164" t="s">
        <v>33</v>
      </c>
      <c r="G2164" t="s">
        <v>41</v>
      </c>
      <c r="H2164" t="s">
        <v>27</v>
      </c>
      <c r="I2164" t="s">
        <v>36</v>
      </c>
      <c r="J2164" t="s">
        <v>21</v>
      </c>
      <c r="K2164">
        <v>24</v>
      </c>
      <c r="L2164">
        <v>20.100000000000001</v>
      </c>
      <c r="M2164">
        <v>3.7</v>
      </c>
      <c r="N2164" t="s">
        <v>22</v>
      </c>
      <c r="O2164" t="str">
        <f t="shared" si="33"/>
        <v>No</v>
      </c>
    </row>
    <row r="2165" spans="1:15" x14ac:dyDescent="0.25">
      <c r="A2165" t="s">
        <v>2226</v>
      </c>
      <c r="B2165" s="1">
        <v>45823</v>
      </c>
      <c r="C2165" s="2">
        <v>45823.848333333335</v>
      </c>
      <c r="D2165" t="s">
        <v>15</v>
      </c>
      <c r="E2165" t="s">
        <v>25</v>
      </c>
      <c r="F2165" t="s">
        <v>70</v>
      </c>
      <c r="G2165" t="s">
        <v>51</v>
      </c>
      <c r="H2165" t="s">
        <v>35</v>
      </c>
      <c r="I2165" t="s">
        <v>20</v>
      </c>
      <c r="J2165" t="s">
        <v>85</v>
      </c>
      <c r="K2165">
        <v>48</v>
      </c>
      <c r="L2165">
        <v>20.36</v>
      </c>
      <c r="M2165">
        <v>5</v>
      </c>
      <c r="N2165" t="s">
        <v>22</v>
      </c>
      <c r="O2165" t="str">
        <f t="shared" si="33"/>
        <v>No</v>
      </c>
    </row>
    <row r="2166" spans="1:15" x14ac:dyDescent="0.25">
      <c r="A2166" t="s">
        <v>2227</v>
      </c>
      <c r="B2166" s="1">
        <v>45830</v>
      </c>
      <c r="C2166" s="2">
        <v>45830.597083333334</v>
      </c>
      <c r="D2166" t="s">
        <v>24</v>
      </c>
      <c r="E2166" t="s">
        <v>32</v>
      </c>
      <c r="F2166" t="s">
        <v>75</v>
      </c>
      <c r="G2166" t="s">
        <v>18</v>
      </c>
      <c r="H2166" t="s">
        <v>65</v>
      </c>
      <c r="I2166" t="s">
        <v>36</v>
      </c>
      <c r="J2166" t="s">
        <v>21</v>
      </c>
      <c r="K2166">
        <v>24</v>
      </c>
      <c r="L2166">
        <v>14.33</v>
      </c>
      <c r="M2166">
        <v>4.9000000000000004</v>
      </c>
      <c r="N2166" t="s">
        <v>22</v>
      </c>
      <c r="O2166" t="str">
        <f t="shared" si="33"/>
        <v>No</v>
      </c>
    </row>
    <row r="2167" spans="1:15" x14ac:dyDescent="0.25">
      <c r="A2167" t="s">
        <v>2228</v>
      </c>
      <c r="B2167" s="1">
        <v>45825</v>
      </c>
      <c r="C2167" s="2">
        <v>45825.739583333336</v>
      </c>
      <c r="D2167" t="s">
        <v>24</v>
      </c>
      <c r="E2167" t="s">
        <v>25</v>
      </c>
      <c r="F2167" t="s">
        <v>26</v>
      </c>
      <c r="G2167" t="s">
        <v>51</v>
      </c>
      <c r="H2167" t="s">
        <v>65</v>
      </c>
      <c r="I2167" t="s">
        <v>36</v>
      </c>
      <c r="J2167" t="s">
        <v>21</v>
      </c>
      <c r="K2167">
        <v>24</v>
      </c>
      <c r="L2167">
        <v>17.75</v>
      </c>
      <c r="M2167">
        <v>2.9</v>
      </c>
      <c r="N2167" t="s">
        <v>22</v>
      </c>
      <c r="O2167" t="str">
        <f t="shared" si="33"/>
        <v>No</v>
      </c>
    </row>
    <row r="2168" spans="1:15" x14ac:dyDescent="0.25">
      <c r="A2168" t="s">
        <v>2229</v>
      </c>
      <c r="B2168" s="1">
        <v>45715</v>
      </c>
      <c r="C2168" s="2">
        <v>45715.027916666666</v>
      </c>
      <c r="D2168" t="s">
        <v>38</v>
      </c>
      <c r="E2168" t="s">
        <v>45</v>
      </c>
      <c r="F2168" t="s">
        <v>112</v>
      </c>
      <c r="G2168" t="s">
        <v>41</v>
      </c>
      <c r="H2168" t="s">
        <v>19</v>
      </c>
      <c r="I2168" t="s">
        <v>45</v>
      </c>
      <c r="J2168" t="s">
        <v>21</v>
      </c>
      <c r="K2168">
        <v>8</v>
      </c>
      <c r="L2168">
        <v>0.67</v>
      </c>
      <c r="M2168">
        <v>5</v>
      </c>
      <c r="N2168" t="s">
        <v>22</v>
      </c>
      <c r="O2168" t="str">
        <f t="shared" si="33"/>
        <v>No</v>
      </c>
    </row>
    <row r="2169" spans="1:15" x14ac:dyDescent="0.25">
      <c r="A2169" t="s">
        <v>2230</v>
      </c>
      <c r="B2169" s="1">
        <v>45810</v>
      </c>
      <c r="C2169" s="2">
        <v>45810.143750000003</v>
      </c>
      <c r="D2169" t="s">
        <v>24</v>
      </c>
      <c r="E2169" t="s">
        <v>45</v>
      </c>
      <c r="F2169" t="s">
        <v>104</v>
      </c>
      <c r="G2169" t="s">
        <v>34</v>
      </c>
      <c r="H2169" t="s">
        <v>19</v>
      </c>
      <c r="I2169" t="s">
        <v>28</v>
      </c>
      <c r="J2169" t="s">
        <v>29</v>
      </c>
      <c r="K2169">
        <v>24</v>
      </c>
      <c r="L2169">
        <v>3.45</v>
      </c>
      <c r="M2169">
        <v>5</v>
      </c>
      <c r="N2169" t="s">
        <v>61</v>
      </c>
      <c r="O2169" t="str">
        <f t="shared" si="33"/>
        <v>No</v>
      </c>
    </row>
    <row r="2170" spans="1:15" x14ac:dyDescent="0.25">
      <c r="A2170" t="s">
        <v>2231</v>
      </c>
      <c r="B2170" s="1">
        <v>45827</v>
      </c>
      <c r="C2170" s="2">
        <v>45827.481666666667</v>
      </c>
      <c r="D2170" t="s">
        <v>38</v>
      </c>
      <c r="E2170" t="s">
        <v>45</v>
      </c>
      <c r="F2170" t="s">
        <v>104</v>
      </c>
      <c r="G2170" t="s">
        <v>18</v>
      </c>
      <c r="H2170" t="s">
        <v>65</v>
      </c>
      <c r="I2170" t="s">
        <v>28</v>
      </c>
      <c r="J2170" t="s">
        <v>46</v>
      </c>
      <c r="K2170">
        <v>8</v>
      </c>
      <c r="L2170">
        <v>11.56</v>
      </c>
      <c r="M2170">
        <v>3.4</v>
      </c>
      <c r="N2170" t="s">
        <v>22</v>
      </c>
      <c r="O2170" t="str">
        <f t="shared" si="33"/>
        <v>Yes</v>
      </c>
    </row>
    <row r="2171" spans="1:15" x14ac:dyDescent="0.25">
      <c r="A2171" t="s">
        <v>2232</v>
      </c>
      <c r="B2171" s="1">
        <v>45835</v>
      </c>
      <c r="C2171" s="2">
        <v>45836.468333333331</v>
      </c>
      <c r="D2171" t="s">
        <v>15</v>
      </c>
      <c r="E2171" t="s">
        <v>25</v>
      </c>
      <c r="F2171" t="s">
        <v>26</v>
      </c>
      <c r="G2171" t="s">
        <v>51</v>
      </c>
      <c r="H2171" t="s">
        <v>27</v>
      </c>
      <c r="I2171" t="s">
        <v>36</v>
      </c>
      <c r="J2171" t="s">
        <v>21</v>
      </c>
      <c r="K2171">
        <v>48</v>
      </c>
      <c r="L2171">
        <v>35.24</v>
      </c>
      <c r="M2171">
        <v>4</v>
      </c>
      <c r="N2171" t="s">
        <v>22</v>
      </c>
      <c r="O2171" t="str">
        <f t="shared" si="33"/>
        <v>No</v>
      </c>
    </row>
    <row r="2172" spans="1:15" x14ac:dyDescent="0.25">
      <c r="A2172" t="s">
        <v>2233</v>
      </c>
      <c r="B2172" s="1">
        <v>45661</v>
      </c>
      <c r="C2172" s="2">
        <v>45663.058749999997</v>
      </c>
      <c r="D2172" t="s">
        <v>15</v>
      </c>
      <c r="E2172" t="s">
        <v>32</v>
      </c>
      <c r="F2172" t="s">
        <v>75</v>
      </c>
      <c r="G2172" t="s">
        <v>34</v>
      </c>
      <c r="H2172" t="s">
        <v>27</v>
      </c>
      <c r="I2172" t="s">
        <v>28</v>
      </c>
      <c r="J2172" t="s">
        <v>29</v>
      </c>
      <c r="K2172">
        <v>48</v>
      </c>
      <c r="L2172">
        <v>49.41</v>
      </c>
      <c r="M2172">
        <v>4.3</v>
      </c>
      <c r="N2172" t="s">
        <v>61</v>
      </c>
      <c r="O2172" t="str">
        <f t="shared" si="33"/>
        <v>Yes</v>
      </c>
    </row>
    <row r="2173" spans="1:15" x14ac:dyDescent="0.25">
      <c r="A2173" t="s">
        <v>2234</v>
      </c>
      <c r="B2173" s="1">
        <v>45792</v>
      </c>
      <c r="C2173" s="2">
        <v>45792.408333333333</v>
      </c>
      <c r="D2173" t="s">
        <v>24</v>
      </c>
      <c r="E2173" t="s">
        <v>45</v>
      </c>
      <c r="F2173" t="s">
        <v>100</v>
      </c>
      <c r="G2173" t="s">
        <v>56</v>
      </c>
      <c r="H2173" t="s">
        <v>65</v>
      </c>
      <c r="I2173" t="s">
        <v>45</v>
      </c>
      <c r="J2173" t="s">
        <v>21</v>
      </c>
      <c r="K2173">
        <v>24</v>
      </c>
      <c r="L2173">
        <v>9.8000000000000007</v>
      </c>
      <c r="M2173">
        <v>4.9000000000000004</v>
      </c>
      <c r="N2173" t="s">
        <v>22</v>
      </c>
      <c r="O2173" t="str">
        <f t="shared" si="33"/>
        <v>No</v>
      </c>
    </row>
    <row r="2174" spans="1:15" x14ac:dyDescent="0.25">
      <c r="A2174" t="s">
        <v>2235</v>
      </c>
      <c r="B2174" s="1">
        <v>45838</v>
      </c>
      <c r="C2174" s="2">
        <v>45840.447500000002</v>
      </c>
      <c r="D2174" t="s">
        <v>15</v>
      </c>
      <c r="E2174" t="s">
        <v>45</v>
      </c>
      <c r="F2174" t="s">
        <v>50</v>
      </c>
      <c r="G2174" t="s">
        <v>18</v>
      </c>
      <c r="H2174" t="s">
        <v>44</v>
      </c>
      <c r="I2174" t="s">
        <v>28</v>
      </c>
      <c r="J2174" t="s">
        <v>21</v>
      </c>
      <c r="K2174">
        <v>48</v>
      </c>
      <c r="L2174">
        <v>58.74</v>
      </c>
      <c r="M2174">
        <v>3.4</v>
      </c>
      <c r="N2174" t="s">
        <v>22</v>
      </c>
      <c r="O2174" t="str">
        <f t="shared" si="33"/>
        <v>Yes</v>
      </c>
    </row>
    <row r="2175" spans="1:15" x14ac:dyDescent="0.25">
      <c r="A2175" t="s">
        <v>2236</v>
      </c>
      <c r="B2175" s="1">
        <v>45796</v>
      </c>
      <c r="C2175" s="2">
        <v>45796.856249999997</v>
      </c>
      <c r="D2175" t="s">
        <v>15</v>
      </c>
      <c r="E2175" t="s">
        <v>16</v>
      </c>
      <c r="F2175" t="s">
        <v>60</v>
      </c>
      <c r="G2175" t="s">
        <v>18</v>
      </c>
      <c r="H2175" t="s">
        <v>44</v>
      </c>
      <c r="I2175" t="s">
        <v>36</v>
      </c>
      <c r="J2175" t="s">
        <v>21</v>
      </c>
      <c r="K2175">
        <v>48</v>
      </c>
      <c r="L2175">
        <v>20.55</v>
      </c>
      <c r="M2175">
        <v>5</v>
      </c>
      <c r="N2175" t="s">
        <v>22</v>
      </c>
      <c r="O2175" t="str">
        <f t="shared" si="33"/>
        <v>No</v>
      </c>
    </row>
    <row r="2176" spans="1:15" x14ac:dyDescent="0.25">
      <c r="A2176" t="s">
        <v>2237</v>
      </c>
      <c r="B2176" s="1">
        <v>45700</v>
      </c>
      <c r="C2176" s="2">
        <v>45700.73</v>
      </c>
      <c r="D2176" t="s">
        <v>24</v>
      </c>
      <c r="E2176" t="s">
        <v>39</v>
      </c>
      <c r="F2176" t="s">
        <v>40</v>
      </c>
      <c r="G2176" t="s">
        <v>51</v>
      </c>
      <c r="H2176" t="s">
        <v>54</v>
      </c>
      <c r="I2176" t="s">
        <v>36</v>
      </c>
      <c r="J2176" t="s">
        <v>21</v>
      </c>
      <c r="K2176">
        <v>24</v>
      </c>
      <c r="L2176">
        <v>17.52</v>
      </c>
      <c r="M2176">
        <v>2.8</v>
      </c>
      <c r="N2176" t="s">
        <v>22</v>
      </c>
      <c r="O2176" t="str">
        <f t="shared" si="33"/>
        <v>No</v>
      </c>
    </row>
    <row r="2177" spans="1:15" x14ac:dyDescent="0.25">
      <c r="A2177" t="s">
        <v>2238</v>
      </c>
      <c r="B2177" s="1">
        <v>45796</v>
      </c>
      <c r="C2177" s="2">
        <v>45798.684166666666</v>
      </c>
      <c r="D2177" t="s">
        <v>15</v>
      </c>
      <c r="E2177" t="s">
        <v>32</v>
      </c>
      <c r="F2177" t="s">
        <v>75</v>
      </c>
      <c r="G2177" t="s">
        <v>41</v>
      </c>
      <c r="H2177" t="s">
        <v>44</v>
      </c>
      <c r="I2177" t="s">
        <v>36</v>
      </c>
      <c r="J2177" t="s">
        <v>21</v>
      </c>
      <c r="K2177">
        <v>48</v>
      </c>
      <c r="L2177">
        <v>64.42</v>
      </c>
      <c r="M2177">
        <v>3</v>
      </c>
      <c r="N2177" t="s">
        <v>22</v>
      </c>
      <c r="O2177" t="str">
        <f t="shared" si="33"/>
        <v>Yes</v>
      </c>
    </row>
    <row r="2178" spans="1:15" x14ac:dyDescent="0.25">
      <c r="A2178" t="s">
        <v>2239</v>
      </c>
      <c r="B2178" s="1">
        <v>45677</v>
      </c>
      <c r="C2178" s="2">
        <v>45678.59375</v>
      </c>
      <c r="D2178" t="s">
        <v>15</v>
      </c>
      <c r="E2178" t="s">
        <v>16</v>
      </c>
      <c r="F2178" t="s">
        <v>17</v>
      </c>
      <c r="G2178" t="s">
        <v>41</v>
      </c>
      <c r="H2178" t="s">
        <v>54</v>
      </c>
      <c r="I2178" t="s">
        <v>20</v>
      </c>
      <c r="J2178" t="s">
        <v>21</v>
      </c>
      <c r="K2178">
        <v>48</v>
      </c>
      <c r="L2178">
        <v>38.25</v>
      </c>
      <c r="M2178">
        <v>4.3</v>
      </c>
      <c r="N2178" t="s">
        <v>22</v>
      </c>
      <c r="O2178" t="str">
        <f t="shared" si="33"/>
        <v>No</v>
      </c>
    </row>
    <row r="2179" spans="1:15" x14ac:dyDescent="0.25">
      <c r="A2179" t="s">
        <v>2240</v>
      </c>
      <c r="B2179" s="1">
        <v>45744</v>
      </c>
      <c r="C2179" s="2">
        <v>45744.407500000001</v>
      </c>
      <c r="D2179" t="s">
        <v>15</v>
      </c>
      <c r="E2179" t="s">
        <v>16</v>
      </c>
      <c r="F2179" t="s">
        <v>58</v>
      </c>
      <c r="G2179" t="s">
        <v>51</v>
      </c>
      <c r="H2179" t="s">
        <v>44</v>
      </c>
      <c r="I2179" t="s">
        <v>36</v>
      </c>
      <c r="J2179" t="s">
        <v>21</v>
      </c>
      <c r="K2179">
        <v>48</v>
      </c>
      <c r="L2179">
        <v>9.7799999999999994</v>
      </c>
      <c r="M2179">
        <v>4.7</v>
      </c>
      <c r="N2179" t="s">
        <v>22</v>
      </c>
      <c r="O2179" t="str">
        <f t="shared" ref="O2179:O2242" si="34">IF(L2179&gt;K2179,"Yes","No")</f>
        <v>No</v>
      </c>
    </row>
    <row r="2180" spans="1:15" x14ac:dyDescent="0.25">
      <c r="A2180" t="s">
        <v>2241</v>
      </c>
      <c r="B2180" s="1">
        <v>45771</v>
      </c>
      <c r="C2180" s="2">
        <v>45771.904999999999</v>
      </c>
      <c r="D2180" t="s">
        <v>15</v>
      </c>
      <c r="E2180" t="s">
        <v>39</v>
      </c>
      <c r="F2180" t="s">
        <v>40</v>
      </c>
      <c r="G2180" t="s">
        <v>41</v>
      </c>
      <c r="H2180" t="s">
        <v>44</v>
      </c>
      <c r="I2180" t="s">
        <v>36</v>
      </c>
      <c r="J2180" t="s">
        <v>21</v>
      </c>
      <c r="K2180">
        <v>48</v>
      </c>
      <c r="L2180">
        <v>21.72</v>
      </c>
      <c r="M2180">
        <v>4.9000000000000004</v>
      </c>
      <c r="N2180" t="s">
        <v>22</v>
      </c>
      <c r="O2180" t="str">
        <f t="shared" si="34"/>
        <v>No</v>
      </c>
    </row>
    <row r="2181" spans="1:15" x14ac:dyDescent="0.25">
      <c r="A2181" t="s">
        <v>2242</v>
      </c>
      <c r="B2181" s="1">
        <v>45740</v>
      </c>
      <c r="C2181" s="2">
        <v>45740.205000000002</v>
      </c>
      <c r="D2181" t="s">
        <v>38</v>
      </c>
      <c r="E2181" t="s">
        <v>39</v>
      </c>
      <c r="F2181" t="s">
        <v>119</v>
      </c>
      <c r="G2181" t="s">
        <v>18</v>
      </c>
      <c r="H2181" t="s">
        <v>44</v>
      </c>
      <c r="I2181" t="s">
        <v>45</v>
      </c>
      <c r="J2181" t="s">
        <v>21</v>
      </c>
      <c r="K2181">
        <v>8</v>
      </c>
      <c r="L2181">
        <v>4.92</v>
      </c>
      <c r="M2181">
        <v>3.4</v>
      </c>
      <c r="N2181" t="s">
        <v>22</v>
      </c>
      <c r="O2181" t="str">
        <f t="shared" si="34"/>
        <v>No</v>
      </c>
    </row>
    <row r="2182" spans="1:15" x14ac:dyDescent="0.25">
      <c r="A2182" t="s">
        <v>2243</v>
      </c>
      <c r="B2182" s="1">
        <v>45784</v>
      </c>
      <c r="C2182" s="2">
        <v>45784.255416666667</v>
      </c>
      <c r="D2182" t="s">
        <v>38</v>
      </c>
      <c r="E2182" t="s">
        <v>16</v>
      </c>
      <c r="F2182" t="s">
        <v>17</v>
      </c>
      <c r="G2182" t="s">
        <v>51</v>
      </c>
      <c r="H2182" t="s">
        <v>27</v>
      </c>
      <c r="I2182" t="s">
        <v>28</v>
      </c>
      <c r="J2182" t="s">
        <v>21</v>
      </c>
      <c r="K2182">
        <v>8</v>
      </c>
      <c r="L2182">
        <v>6.13</v>
      </c>
      <c r="M2182">
        <v>3.9</v>
      </c>
      <c r="N2182" t="s">
        <v>22</v>
      </c>
      <c r="O2182" t="str">
        <f t="shared" si="34"/>
        <v>No</v>
      </c>
    </row>
    <row r="2183" spans="1:15" x14ac:dyDescent="0.25">
      <c r="A2183" t="s">
        <v>2244</v>
      </c>
      <c r="B2183" s="1">
        <v>45701</v>
      </c>
      <c r="C2183" s="2">
        <v>45703.252916666665</v>
      </c>
      <c r="D2183" t="s">
        <v>15</v>
      </c>
      <c r="E2183" t="s">
        <v>32</v>
      </c>
      <c r="F2183" t="s">
        <v>80</v>
      </c>
      <c r="G2183" t="s">
        <v>18</v>
      </c>
      <c r="H2183" t="s">
        <v>65</v>
      </c>
      <c r="I2183" t="s">
        <v>45</v>
      </c>
      <c r="J2183" t="s">
        <v>21</v>
      </c>
      <c r="K2183">
        <v>48</v>
      </c>
      <c r="L2183">
        <v>54.07</v>
      </c>
      <c r="M2183">
        <v>4.4000000000000004</v>
      </c>
      <c r="N2183" t="s">
        <v>22</v>
      </c>
      <c r="O2183" t="str">
        <f t="shared" si="34"/>
        <v>Yes</v>
      </c>
    </row>
    <row r="2184" spans="1:15" x14ac:dyDescent="0.25">
      <c r="A2184" t="s">
        <v>2245</v>
      </c>
      <c r="B2184" s="1">
        <v>45767</v>
      </c>
      <c r="C2184" s="2">
        <v>45767.256666666668</v>
      </c>
      <c r="D2184" t="s">
        <v>38</v>
      </c>
      <c r="E2184" t="s">
        <v>45</v>
      </c>
      <c r="F2184" t="s">
        <v>104</v>
      </c>
      <c r="G2184" t="s">
        <v>34</v>
      </c>
      <c r="H2184" t="s">
        <v>65</v>
      </c>
      <c r="I2184" t="s">
        <v>20</v>
      </c>
      <c r="J2184" t="s">
        <v>21</v>
      </c>
      <c r="K2184">
        <v>8</v>
      </c>
      <c r="L2184">
        <v>6.16</v>
      </c>
      <c r="M2184">
        <v>3.1</v>
      </c>
      <c r="N2184" t="s">
        <v>22</v>
      </c>
      <c r="O2184" t="str">
        <f t="shared" si="34"/>
        <v>No</v>
      </c>
    </row>
    <row r="2185" spans="1:15" x14ac:dyDescent="0.25">
      <c r="A2185" t="s">
        <v>2246</v>
      </c>
      <c r="B2185" s="1">
        <v>45774</v>
      </c>
      <c r="C2185" s="2">
        <v>45774.15625</v>
      </c>
      <c r="D2185" t="s">
        <v>38</v>
      </c>
      <c r="E2185" t="s">
        <v>39</v>
      </c>
      <c r="F2185" t="s">
        <v>119</v>
      </c>
      <c r="G2185" t="s">
        <v>34</v>
      </c>
      <c r="H2185" t="s">
        <v>65</v>
      </c>
      <c r="I2185" t="s">
        <v>36</v>
      </c>
      <c r="J2185" t="s">
        <v>21</v>
      </c>
      <c r="K2185">
        <v>8</v>
      </c>
      <c r="L2185">
        <v>3.75</v>
      </c>
      <c r="M2185">
        <v>4.3</v>
      </c>
      <c r="N2185" t="s">
        <v>22</v>
      </c>
      <c r="O2185" t="str">
        <f t="shared" si="34"/>
        <v>No</v>
      </c>
    </row>
    <row r="2186" spans="1:15" x14ac:dyDescent="0.25">
      <c r="A2186" t="s">
        <v>2247</v>
      </c>
      <c r="B2186" s="1">
        <v>45772</v>
      </c>
      <c r="C2186" s="2">
        <v>45772.065821759257</v>
      </c>
      <c r="D2186" t="s">
        <v>31</v>
      </c>
      <c r="E2186" t="s">
        <v>32</v>
      </c>
      <c r="F2186" t="s">
        <v>64</v>
      </c>
      <c r="G2186" t="s">
        <v>41</v>
      </c>
      <c r="H2186" t="s">
        <v>19</v>
      </c>
      <c r="I2186" t="s">
        <v>28</v>
      </c>
      <c r="J2186" t="s">
        <v>46</v>
      </c>
      <c r="K2186">
        <v>4</v>
      </c>
      <c r="L2186">
        <v>1.58</v>
      </c>
      <c r="M2186">
        <v>4.2</v>
      </c>
      <c r="N2186" t="s">
        <v>22</v>
      </c>
      <c r="O2186" t="str">
        <f t="shared" si="34"/>
        <v>No</v>
      </c>
    </row>
    <row r="2187" spans="1:15" x14ac:dyDescent="0.25">
      <c r="A2187" t="s">
        <v>2248</v>
      </c>
      <c r="B2187" s="1">
        <v>45710</v>
      </c>
      <c r="C2187" s="2">
        <v>45710.411249999997</v>
      </c>
      <c r="D2187" t="s">
        <v>24</v>
      </c>
      <c r="E2187" t="s">
        <v>32</v>
      </c>
      <c r="F2187" t="s">
        <v>64</v>
      </c>
      <c r="G2187" t="s">
        <v>41</v>
      </c>
      <c r="H2187" t="s">
        <v>27</v>
      </c>
      <c r="I2187" t="s">
        <v>36</v>
      </c>
      <c r="J2187" t="s">
        <v>46</v>
      </c>
      <c r="K2187">
        <v>24</v>
      </c>
      <c r="L2187">
        <v>9.8699999999999992</v>
      </c>
      <c r="M2187">
        <v>4.7</v>
      </c>
      <c r="N2187" t="s">
        <v>22</v>
      </c>
      <c r="O2187" t="str">
        <f t="shared" si="34"/>
        <v>No</v>
      </c>
    </row>
    <row r="2188" spans="1:15" x14ac:dyDescent="0.25">
      <c r="A2188" t="s">
        <v>2249</v>
      </c>
      <c r="B2188" s="1">
        <v>45713</v>
      </c>
      <c r="C2188" s="2">
        <v>45713.666250000002</v>
      </c>
      <c r="D2188" t="s">
        <v>15</v>
      </c>
      <c r="E2188" t="s">
        <v>25</v>
      </c>
      <c r="F2188" t="s">
        <v>53</v>
      </c>
      <c r="G2188" t="s">
        <v>34</v>
      </c>
      <c r="H2188" t="s">
        <v>35</v>
      </c>
      <c r="I2188" t="s">
        <v>36</v>
      </c>
      <c r="J2188" t="s">
        <v>21</v>
      </c>
      <c r="K2188">
        <v>48</v>
      </c>
      <c r="L2188">
        <v>15.99</v>
      </c>
      <c r="M2188">
        <v>4.9000000000000004</v>
      </c>
      <c r="N2188" t="s">
        <v>22</v>
      </c>
      <c r="O2188" t="str">
        <f t="shared" si="34"/>
        <v>No</v>
      </c>
    </row>
    <row r="2189" spans="1:15" x14ac:dyDescent="0.25">
      <c r="A2189" t="s">
        <v>2250</v>
      </c>
      <c r="B2189" s="1">
        <v>45704</v>
      </c>
      <c r="C2189" s="2">
        <v>45704.32</v>
      </c>
      <c r="D2189" t="s">
        <v>24</v>
      </c>
      <c r="E2189" t="s">
        <v>25</v>
      </c>
      <c r="F2189" t="s">
        <v>48</v>
      </c>
      <c r="G2189" t="s">
        <v>41</v>
      </c>
      <c r="H2189" t="s">
        <v>65</v>
      </c>
      <c r="I2189" t="s">
        <v>45</v>
      </c>
      <c r="J2189" t="s">
        <v>21</v>
      </c>
      <c r="K2189">
        <v>24</v>
      </c>
      <c r="L2189">
        <v>7.68</v>
      </c>
      <c r="M2189">
        <v>4.7</v>
      </c>
      <c r="N2189" t="s">
        <v>22</v>
      </c>
      <c r="O2189" t="str">
        <f t="shared" si="34"/>
        <v>No</v>
      </c>
    </row>
    <row r="2190" spans="1:15" x14ac:dyDescent="0.25">
      <c r="A2190" t="s">
        <v>2251</v>
      </c>
      <c r="B2190" s="1">
        <v>45741</v>
      </c>
      <c r="C2190" s="2">
        <v>45741.337916666664</v>
      </c>
      <c r="D2190" t="s">
        <v>38</v>
      </c>
      <c r="E2190" t="s">
        <v>32</v>
      </c>
      <c r="F2190" t="s">
        <v>64</v>
      </c>
      <c r="G2190" t="s">
        <v>56</v>
      </c>
      <c r="H2190" t="s">
        <v>27</v>
      </c>
      <c r="I2190" t="s">
        <v>36</v>
      </c>
      <c r="J2190" t="s">
        <v>85</v>
      </c>
      <c r="K2190">
        <v>8</v>
      </c>
      <c r="L2190">
        <v>8.11</v>
      </c>
      <c r="M2190">
        <v>3.6</v>
      </c>
      <c r="N2190" t="s">
        <v>61</v>
      </c>
      <c r="O2190" t="str">
        <f t="shared" si="34"/>
        <v>Yes</v>
      </c>
    </row>
    <row r="2191" spans="1:15" x14ac:dyDescent="0.25">
      <c r="A2191" t="s">
        <v>2252</v>
      </c>
      <c r="B2191" s="1">
        <v>45764</v>
      </c>
      <c r="C2191" s="2">
        <v>45764.184166666666</v>
      </c>
      <c r="D2191" t="s">
        <v>38</v>
      </c>
      <c r="E2191" t="s">
        <v>32</v>
      </c>
      <c r="F2191" t="s">
        <v>75</v>
      </c>
      <c r="G2191" t="s">
        <v>34</v>
      </c>
      <c r="H2191" t="s">
        <v>44</v>
      </c>
      <c r="I2191" t="s">
        <v>45</v>
      </c>
      <c r="J2191" t="s">
        <v>46</v>
      </c>
      <c r="K2191">
        <v>8</v>
      </c>
      <c r="L2191">
        <v>4.42</v>
      </c>
      <c r="M2191">
        <v>4.4000000000000004</v>
      </c>
      <c r="N2191" t="s">
        <v>61</v>
      </c>
      <c r="O2191" t="str">
        <f t="shared" si="34"/>
        <v>No</v>
      </c>
    </row>
    <row r="2192" spans="1:15" x14ac:dyDescent="0.25">
      <c r="A2192" t="s">
        <v>2253</v>
      </c>
      <c r="B2192" s="1">
        <v>45723</v>
      </c>
      <c r="C2192" s="2">
        <v>45723.338750000003</v>
      </c>
      <c r="D2192" t="s">
        <v>24</v>
      </c>
      <c r="E2192" t="s">
        <v>39</v>
      </c>
      <c r="F2192" t="s">
        <v>78</v>
      </c>
      <c r="G2192" t="s">
        <v>56</v>
      </c>
      <c r="H2192" t="s">
        <v>65</v>
      </c>
      <c r="I2192" t="s">
        <v>45</v>
      </c>
      <c r="J2192" t="s">
        <v>21</v>
      </c>
      <c r="K2192">
        <v>24</v>
      </c>
      <c r="L2192">
        <v>8.1300000000000008</v>
      </c>
      <c r="M2192">
        <v>4.5</v>
      </c>
      <c r="N2192" t="s">
        <v>22</v>
      </c>
      <c r="O2192" t="str">
        <f t="shared" si="34"/>
        <v>No</v>
      </c>
    </row>
    <row r="2193" spans="1:15" x14ac:dyDescent="0.25">
      <c r="A2193" t="s">
        <v>2254</v>
      </c>
      <c r="B2193" s="1">
        <v>45732</v>
      </c>
      <c r="C2193" s="2">
        <v>45733.005833333336</v>
      </c>
      <c r="D2193" t="s">
        <v>15</v>
      </c>
      <c r="E2193" t="s">
        <v>32</v>
      </c>
      <c r="F2193" t="s">
        <v>33</v>
      </c>
      <c r="G2193" t="s">
        <v>18</v>
      </c>
      <c r="H2193" t="s">
        <v>44</v>
      </c>
      <c r="I2193" t="s">
        <v>36</v>
      </c>
      <c r="J2193" t="s">
        <v>29</v>
      </c>
      <c r="K2193">
        <v>48</v>
      </c>
      <c r="L2193">
        <v>24.14</v>
      </c>
      <c r="M2193">
        <v>4.4000000000000004</v>
      </c>
      <c r="N2193" t="s">
        <v>22</v>
      </c>
      <c r="O2193" t="str">
        <f t="shared" si="34"/>
        <v>No</v>
      </c>
    </row>
    <row r="2194" spans="1:15" x14ac:dyDescent="0.25">
      <c r="A2194" t="s">
        <v>2255</v>
      </c>
      <c r="B2194" s="1">
        <v>45709</v>
      </c>
      <c r="C2194" s="2">
        <v>45709.119166666664</v>
      </c>
      <c r="D2194" t="s">
        <v>38</v>
      </c>
      <c r="E2194" t="s">
        <v>25</v>
      </c>
      <c r="F2194" t="s">
        <v>53</v>
      </c>
      <c r="G2194" t="s">
        <v>41</v>
      </c>
      <c r="H2194" t="s">
        <v>44</v>
      </c>
      <c r="I2194" t="s">
        <v>36</v>
      </c>
      <c r="J2194" t="s">
        <v>21</v>
      </c>
      <c r="K2194">
        <v>8</v>
      </c>
      <c r="L2194">
        <v>2.86</v>
      </c>
      <c r="M2194">
        <v>5</v>
      </c>
      <c r="N2194" t="s">
        <v>22</v>
      </c>
      <c r="O2194" t="str">
        <f t="shared" si="34"/>
        <v>No</v>
      </c>
    </row>
    <row r="2195" spans="1:15" x14ac:dyDescent="0.25">
      <c r="A2195" t="s">
        <v>2256</v>
      </c>
      <c r="B2195" s="1">
        <v>45697</v>
      </c>
      <c r="C2195" s="2">
        <v>45697.032083333332</v>
      </c>
      <c r="D2195" t="s">
        <v>38</v>
      </c>
      <c r="E2195" t="s">
        <v>32</v>
      </c>
      <c r="F2195" t="s">
        <v>33</v>
      </c>
      <c r="G2195" t="s">
        <v>18</v>
      </c>
      <c r="H2195" t="s">
        <v>65</v>
      </c>
      <c r="I2195" t="s">
        <v>36</v>
      </c>
      <c r="J2195" t="s">
        <v>21</v>
      </c>
      <c r="K2195">
        <v>8</v>
      </c>
      <c r="L2195">
        <v>0.77</v>
      </c>
      <c r="M2195">
        <v>4.0999999999999996</v>
      </c>
      <c r="N2195" t="s">
        <v>61</v>
      </c>
      <c r="O2195" t="str">
        <f t="shared" si="34"/>
        <v>No</v>
      </c>
    </row>
    <row r="2196" spans="1:15" x14ac:dyDescent="0.25">
      <c r="A2196" t="s">
        <v>2257</v>
      </c>
      <c r="B2196" s="1">
        <v>45776</v>
      </c>
      <c r="C2196" s="2">
        <v>45776.777499999997</v>
      </c>
      <c r="D2196" t="s">
        <v>24</v>
      </c>
      <c r="E2196" t="s">
        <v>16</v>
      </c>
      <c r="F2196" t="s">
        <v>60</v>
      </c>
      <c r="G2196" t="s">
        <v>56</v>
      </c>
      <c r="H2196" t="s">
        <v>44</v>
      </c>
      <c r="I2196" t="s">
        <v>36</v>
      </c>
      <c r="J2196" t="s">
        <v>46</v>
      </c>
      <c r="K2196">
        <v>24</v>
      </c>
      <c r="L2196">
        <v>18.66</v>
      </c>
      <c r="M2196">
        <v>4.3</v>
      </c>
      <c r="N2196" t="s">
        <v>61</v>
      </c>
      <c r="O2196" t="str">
        <f t="shared" si="34"/>
        <v>No</v>
      </c>
    </row>
    <row r="2197" spans="1:15" x14ac:dyDescent="0.25">
      <c r="A2197" t="s">
        <v>2258</v>
      </c>
      <c r="B2197" s="1">
        <v>45805</v>
      </c>
      <c r="C2197" s="2">
        <v>45806.058749999997</v>
      </c>
      <c r="D2197" t="s">
        <v>24</v>
      </c>
      <c r="E2197" t="s">
        <v>39</v>
      </c>
      <c r="F2197" t="s">
        <v>78</v>
      </c>
      <c r="G2197" t="s">
        <v>41</v>
      </c>
      <c r="H2197" t="s">
        <v>65</v>
      </c>
      <c r="I2197" t="s">
        <v>28</v>
      </c>
      <c r="J2197" t="s">
        <v>21</v>
      </c>
      <c r="K2197">
        <v>24</v>
      </c>
      <c r="L2197">
        <v>25.41</v>
      </c>
      <c r="M2197">
        <v>3.1</v>
      </c>
      <c r="N2197" t="s">
        <v>22</v>
      </c>
      <c r="O2197" t="str">
        <f t="shared" si="34"/>
        <v>Yes</v>
      </c>
    </row>
    <row r="2198" spans="1:15" x14ac:dyDescent="0.25">
      <c r="A2198" t="s">
        <v>2259</v>
      </c>
      <c r="B2198" s="1">
        <v>45710</v>
      </c>
      <c r="C2198" s="2">
        <v>45710.933333333334</v>
      </c>
      <c r="D2198" t="s">
        <v>24</v>
      </c>
      <c r="E2198" t="s">
        <v>39</v>
      </c>
      <c r="F2198" t="s">
        <v>87</v>
      </c>
      <c r="G2198" t="s">
        <v>56</v>
      </c>
      <c r="H2198" t="s">
        <v>35</v>
      </c>
      <c r="I2198" t="s">
        <v>45</v>
      </c>
      <c r="J2198" t="s">
        <v>29</v>
      </c>
      <c r="K2198">
        <v>24</v>
      </c>
      <c r="L2198">
        <v>22.4</v>
      </c>
      <c r="M2198">
        <v>5</v>
      </c>
      <c r="N2198" t="s">
        <v>22</v>
      </c>
      <c r="O2198" t="str">
        <f t="shared" si="34"/>
        <v>No</v>
      </c>
    </row>
    <row r="2199" spans="1:15" x14ac:dyDescent="0.25">
      <c r="A2199" t="s">
        <v>2260</v>
      </c>
      <c r="B2199" s="1">
        <v>45813</v>
      </c>
      <c r="C2199" s="2">
        <v>45813.893750000003</v>
      </c>
      <c r="D2199" t="s">
        <v>24</v>
      </c>
      <c r="E2199" t="s">
        <v>39</v>
      </c>
      <c r="F2199" t="s">
        <v>87</v>
      </c>
      <c r="G2199" t="s">
        <v>56</v>
      </c>
      <c r="H2199" t="s">
        <v>44</v>
      </c>
      <c r="I2199" t="s">
        <v>36</v>
      </c>
      <c r="J2199" t="s">
        <v>21</v>
      </c>
      <c r="K2199">
        <v>24</v>
      </c>
      <c r="L2199">
        <v>21.45</v>
      </c>
      <c r="M2199">
        <v>4</v>
      </c>
      <c r="N2199" t="s">
        <v>22</v>
      </c>
      <c r="O2199" t="str">
        <f t="shared" si="34"/>
        <v>No</v>
      </c>
    </row>
    <row r="2200" spans="1:15" x14ac:dyDescent="0.25">
      <c r="A2200" t="s">
        <v>2261</v>
      </c>
      <c r="B2200" s="1">
        <v>45761</v>
      </c>
      <c r="C2200" s="2">
        <v>45761.191250000003</v>
      </c>
      <c r="D2200" t="s">
        <v>24</v>
      </c>
      <c r="E2200" t="s">
        <v>32</v>
      </c>
      <c r="F2200" t="s">
        <v>64</v>
      </c>
      <c r="G2200" t="s">
        <v>18</v>
      </c>
      <c r="H2200" t="s">
        <v>54</v>
      </c>
      <c r="I2200" t="s">
        <v>36</v>
      </c>
      <c r="J2200" t="s">
        <v>21</v>
      </c>
      <c r="K2200">
        <v>24</v>
      </c>
      <c r="L2200">
        <v>4.59</v>
      </c>
      <c r="M2200">
        <v>3.9</v>
      </c>
      <c r="N2200" t="s">
        <v>22</v>
      </c>
      <c r="O2200" t="str">
        <f t="shared" si="34"/>
        <v>No</v>
      </c>
    </row>
    <row r="2201" spans="1:15" x14ac:dyDescent="0.25">
      <c r="A2201" t="s">
        <v>2262</v>
      </c>
      <c r="B2201" s="1">
        <v>45688</v>
      </c>
      <c r="C2201" s="2">
        <v>45688.406666666669</v>
      </c>
      <c r="D2201" t="s">
        <v>38</v>
      </c>
      <c r="E2201" t="s">
        <v>32</v>
      </c>
      <c r="F2201" t="s">
        <v>64</v>
      </c>
      <c r="G2201" t="s">
        <v>34</v>
      </c>
      <c r="H2201" t="s">
        <v>27</v>
      </c>
      <c r="I2201" t="s">
        <v>20</v>
      </c>
      <c r="J2201" t="s">
        <v>21</v>
      </c>
      <c r="K2201">
        <v>8</v>
      </c>
      <c r="L2201">
        <v>9.76</v>
      </c>
      <c r="M2201">
        <v>3.4</v>
      </c>
      <c r="N2201" t="s">
        <v>22</v>
      </c>
      <c r="O2201" t="str">
        <f t="shared" si="34"/>
        <v>Yes</v>
      </c>
    </row>
    <row r="2202" spans="1:15" x14ac:dyDescent="0.25">
      <c r="A2202" t="s">
        <v>2263</v>
      </c>
      <c r="B2202" s="1">
        <v>45724</v>
      </c>
      <c r="C2202" s="2">
        <v>45724.051249999997</v>
      </c>
      <c r="D2202" t="s">
        <v>31</v>
      </c>
      <c r="E2202" t="s">
        <v>32</v>
      </c>
      <c r="F2202" t="s">
        <v>75</v>
      </c>
      <c r="G2202" t="s">
        <v>34</v>
      </c>
      <c r="H2202" t="s">
        <v>27</v>
      </c>
      <c r="I2202" t="s">
        <v>20</v>
      </c>
      <c r="J2202" t="s">
        <v>46</v>
      </c>
      <c r="K2202">
        <v>4</v>
      </c>
      <c r="L2202">
        <v>1.23</v>
      </c>
      <c r="M2202">
        <v>3.7</v>
      </c>
      <c r="N2202" t="s">
        <v>61</v>
      </c>
      <c r="O2202" t="str">
        <f t="shared" si="34"/>
        <v>No</v>
      </c>
    </row>
    <row r="2203" spans="1:15" x14ac:dyDescent="0.25">
      <c r="A2203" t="s">
        <v>2264</v>
      </c>
      <c r="B2203" s="1">
        <v>45659</v>
      </c>
      <c r="C2203" s="2">
        <v>45659.162916666668</v>
      </c>
      <c r="D2203" t="s">
        <v>24</v>
      </c>
      <c r="E2203" t="s">
        <v>32</v>
      </c>
      <c r="F2203" t="s">
        <v>64</v>
      </c>
      <c r="G2203" t="s">
        <v>51</v>
      </c>
      <c r="H2203" t="s">
        <v>19</v>
      </c>
      <c r="I2203" t="s">
        <v>28</v>
      </c>
      <c r="J2203" t="s">
        <v>21</v>
      </c>
      <c r="K2203">
        <v>24</v>
      </c>
      <c r="L2203">
        <v>3.91</v>
      </c>
      <c r="M2203">
        <v>4.4000000000000004</v>
      </c>
      <c r="N2203" t="s">
        <v>22</v>
      </c>
      <c r="O2203" t="str">
        <f t="shared" si="34"/>
        <v>No</v>
      </c>
    </row>
    <row r="2204" spans="1:15" x14ac:dyDescent="0.25">
      <c r="A2204" t="s">
        <v>2265</v>
      </c>
      <c r="B2204" s="1">
        <v>45665</v>
      </c>
      <c r="C2204" s="2">
        <v>45665.047500000001</v>
      </c>
      <c r="D2204" t="s">
        <v>24</v>
      </c>
      <c r="E2204" t="s">
        <v>45</v>
      </c>
      <c r="F2204" t="s">
        <v>112</v>
      </c>
      <c r="G2204" t="s">
        <v>56</v>
      </c>
      <c r="H2204" t="s">
        <v>27</v>
      </c>
      <c r="I2204" t="s">
        <v>36</v>
      </c>
      <c r="J2204" t="s">
        <v>21</v>
      </c>
      <c r="K2204">
        <v>24</v>
      </c>
      <c r="L2204">
        <v>1.1399999999999999</v>
      </c>
      <c r="M2204">
        <v>5</v>
      </c>
      <c r="N2204" t="s">
        <v>61</v>
      </c>
      <c r="O2204" t="str">
        <f t="shared" si="34"/>
        <v>No</v>
      </c>
    </row>
    <row r="2205" spans="1:15" x14ac:dyDescent="0.25">
      <c r="A2205" t="s">
        <v>2266</v>
      </c>
      <c r="B2205" s="1">
        <v>45718</v>
      </c>
      <c r="C2205" s="2">
        <v>45718.605416666665</v>
      </c>
      <c r="D2205" t="s">
        <v>24</v>
      </c>
      <c r="E2205" t="s">
        <v>32</v>
      </c>
      <c r="F2205" t="s">
        <v>80</v>
      </c>
      <c r="G2205" t="s">
        <v>56</v>
      </c>
      <c r="H2205" t="s">
        <v>65</v>
      </c>
      <c r="I2205" t="s">
        <v>45</v>
      </c>
      <c r="J2205" t="s">
        <v>29</v>
      </c>
      <c r="K2205">
        <v>24</v>
      </c>
      <c r="L2205">
        <v>14.53</v>
      </c>
      <c r="M2205">
        <v>5</v>
      </c>
      <c r="N2205" t="s">
        <v>22</v>
      </c>
      <c r="O2205" t="str">
        <f t="shared" si="34"/>
        <v>No</v>
      </c>
    </row>
    <row r="2206" spans="1:15" x14ac:dyDescent="0.25">
      <c r="A2206" t="s">
        <v>2267</v>
      </c>
      <c r="B2206" s="1">
        <v>45740</v>
      </c>
      <c r="C2206" s="2">
        <v>45742.480833333335</v>
      </c>
      <c r="D2206" t="s">
        <v>15</v>
      </c>
      <c r="E2206" t="s">
        <v>39</v>
      </c>
      <c r="F2206" t="s">
        <v>78</v>
      </c>
      <c r="G2206" t="s">
        <v>41</v>
      </c>
      <c r="H2206" t="s">
        <v>65</v>
      </c>
      <c r="I2206" t="s">
        <v>36</v>
      </c>
      <c r="J2206" t="s">
        <v>21</v>
      </c>
      <c r="K2206">
        <v>48</v>
      </c>
      <c r="L2206">
        <v>59.54</v>
      </c>
      <c r="M2206">
        <v>4.2</v>
      </c>
      <c r="N2206" t="s">
        <v>22</v>
      </c>
      <c r="O2206" t="str">
        <f t="shared" si="34"/>
        <v>Yes</v>
      </c>
    </row>
    <row r="2207" spans="1:15" x14ac:dyDescent="0.25">
      <c r="A2207" t="s">
        <v>2268</v>
      </c>
      <c r="B2207" s="1">
        <v>45802</v>
      </c>
      <c r="C2207" s="2">
        <v>45804.247916666667</v>
      </c>
      <c r="D2207" t="s">
        <v>15</v>
      </c>
      <c r="E2207" t="s">
        <v>32</v>
      </c>
      <c r="F2207" t="s">
        <v>33</v>
      </c>
      <c r="G2207" t="s">
        <v>18</v>
      </c>
      <c r="H2207" t="s">
        <v>65</v>
      </c>
      <c r="I2207" t="s">
        <v>20</v>
      </c>
      <c r="J2207" t="s">
        <v>21</v>
      </c>
      <c r="K2207">
        <v>48</v>
      </c>
      <c r="L2207">
        <v>53.95</v>
      </c>
      <c r="M2207">
        <v>3.6</v>
      </c>
      <c r="N2207" t="s">
        <v>22</v>
      </c>
      <c r="O2207" t="str">
        <f t="shared" si="34"/>
        <v>Yes</v>
      </c>
    </row>
    <row r="2208" spans="1:15" x14ac:dyDescent="0.25">
      <c r="A2208" t="s">
        <v>2269</v>
      </c>
      <c r="B2208" s="1">
        <v>45682</v>
      </c>
      <c r="C2208" s="2">
        <v>45683.032083333332</v>
      </c>
      <c r="D2208" t="s">
        <v>15</v>
      </c>
      <c r="E2208" t="s">
        <v>25</v>
      </c>
      <c r="F2208" t="s">
        <v>48</v>
      </c>
      <c r="G2208" t="s">
        <v>41</v>
      </c>
      <c r="H2208" t="s">
        <v>35</v>
      </c>
      <c r="I2208" t="s">
        <v>36</v>
      </c>
      <c r="J2208" t="s">
        <v>21</v>
      </c>
      <c r="K2208">
        <v>48</v>
      </c>
      <c r="L2208">
        <v>24.77</v>
      </c>
      <c r="M2208">
        <v>4.8</v>
      </c>
      <c r="N2208" t="s">
        <v>22</v>
      </c>
      <c r="O2208" t="str">
        <f t="shared" si="34"/>
        <v>No</v>
      </c>
    </row>
    <row r="2209" spans="1:15" x14ac:dyDescent="0.25">
      <c r="A2209" t="s">
        <v>2270</v>
      </c>
      <c r="B2209" s="1">
        <v>45809</v>
      </c>
      <c r="C2209" s="2">
        <v>45809.99291666667</v>
      </c>
      <c r="D2209" t="s">
        <v>24</v>
      </c>
      <c r="E2209" t="s">
        <v>45</v>
      </c>
      <c r="F2209" t="s">
        <v>112</v>
      </c>
      <c r="G2209" t="s">
        <v>18</v>
      </c>
      <c r="H2209" t="s">
        <v>54</v>
      </c>
      <c r="I2209" t="s">
        <v>45</v>
      </c>
      <c r="J2209" t="s">
        <v>21</v>
      </c>
      <c r="K2209">
        <v>24</v>
      </c>
      <c r="L2209">
        <v>23.83</v>
      </c>
      <c r="M2209">
        <v>4.3</v>
      </c>
      <c r="N2209" t="s">
        <v>22</v>
      </c>
      <c r="O2209" t="str">
        <f t="shared" si="34"/>
        <v>No</v>
      </c>
    </row>
    <row r="2210" spans="1:15" x14ac:dyDescent="0.25">
      <c r="A2210" t="s">
        <v>2271</v>
      </c>
      <c r="B2210" s="1">
        <v>45700</v>
      </c>
      <c r="C2210" s="2">
        <v>45703.791666666664</v>
      </c>
      <c r="D2210" t="s">
        <v>15</v>
      </c>
      <c r="E2210" t="s">
        <v>25</v>
      </c>
      <c r="F2210" t="s">
        <v>48</v>
      </c>
      <c r="G2210" t="s">
        <v>56</v>
      </c>
      <c r="H2210" t="s">
        <v>65</v>
      </c>
      <c r="I2210" t="s">
        <v>36</v>
      </c>
      <c r="J2210" t="s">
        <v>21</v>
      </c>
      <c r="K2210">
        <v>48</v>
      </c>
      <c r="L2210">
        <v>91</v>
      </c>
      <c r="M2210">
        <v>4.2</v>
      </c>
      <c r="N2210" t="s">
        <v>22</v>
      </c>
      <c r="O2210" t="str">
        <f t="shared" si="34"/>
        <v>Yes</v>
      </c>
    </row>
    <row r="2211" spans="1:15" x14ac:dyDescent="0.25">
      <c r="A2211" t="s">
        <v>2272</v>
      </c>
      <c r="B2211" s="1">
        <v>45683</v>
      </c>
      <c r="C2211" s="2">
        <v>45683.376250000001</v>
      </c>
      <c r="D2211" t="s">
        <v>24</v>
      </c>
      <c r="E2211" t="s">
        <v>16</v>
      </c>
      <c r="F2211" t="s">
        <v>43</v>
      </c>
      <c r="G2211" t="s">
        <v>51</v>
      </c>
      <c r="H2211" t="s">
        <v>27</v>
      </c>
      <c r="I2211" t="s">
        <v>20</v>
      </c>
      <c r="J2211" t="s">
        <v>21</v>
      </c>
      <c r="K2211">
        <v>24</v>
      </c>
      <c r="L2211">
        <v>9.0299999999999994</v>
      </c>
      <c r="M2211">
        <v>4.2</v>
      </c>
      <c r="N2211" t="s">
        <v>22</v>
      </c>
      <c r="O2211" t="str">
        <f t="shared" si="34"/>
        <v>No</v>
      </c>
    </row>
    <row r="2212" spans="1:15" x14ac:dyDescent="0.25">
      <c r="A2212" t="s">
        <v>2273</v>
      </c>
      <c r="B2212" s="1">
        <v>45784</v>
      </c>
      <c r="C2212" s="2">
        <v>45784.236666666664</v>
      </c>
      <c r="D2212" t="s">
        <v>38</v>
      </c>
      <c r="E2212" t="s">
        <v>25</v>
      </c>
      <c r="F2212" t="s">
        <v>53</v>
      </c>
      <c r="G2212" t="s">
        <v>18</v>
      </c>
      <c r="H2212" t="s">
        <v>54</v>
      </c>
      <c r="I2212" t="s">
        <v>36</v>
      </c>
      <c r="J2212" t="s">
        <v>21</v>
      </c>
      <c r="K2212">
        <v>8</v>
      </c>
      <c r="L2212">
        <v>5.68</v>
      </c>
      <c r="M2212">
        <v>5</v>
      </c>
      <c r="N2212" t="s">
        <v>61</v>
      </c>
      <c r="O2212" t="str">
        <f t="shared" si="34"/>
        <v>No</v>
      </c>
    </row>
    <row r="2213" spans="1:15" x14ac:dyDescent="0.25">
      <c r="A2213" t="s">
        <v>2274</v>
      </c>
      <c r="B2213" s="1">
        <v>45798</v>
      </c>
      <c r="C2213" s="2">
        <v>45800.513749999998</v>
      </c>
      <c r="D2213" t="s">
        <v>15</v>
      </c>
      <c r="E2213" t="s">
        <v>39</v>
      </c>
      <c r="F2213" t="s">
        <v>119</v>
      </c>
      <c r="G2213" t="s">
        <v>18</v>
      </c>
      <c r="H2213" t="s">
        <v>44</v>
      </c>
      <c r="I2213" t="s">
        <v>20</v>
      </c>
      <c r="J2213" t="s">
        <v>21</v>
      </c>
      <c r="K2213">
        <v>48</v>
      </c>
      <c r="L2213">
        <v>60.33</v>
      </c>
      <c r="M2213">
        <v>2.8</v>
      </c>
      <c r="N2213" t="s">
        <v>22</v>
      </c>
      <c r="O2213" t="str">
        <f t="shared" si="34"/>
        <v>Yes</v>
      </c>
    </row>
    <row r="2214" spans="1:15" x14ac:dyDescent="0.25">
      <c r="A2214" t="s">
        <v>2275</v>
      </c>
      <c r="B2214" s="1">
        <v>45767</v>
      </c>
      <c r="C2214" s="2">
        <v>45767.168333333335</v>
      </c>
      <c r="D2214" t="s">
        <v>24</v>
      </c>
      <c r="E2214" t="s">
        <v>25</v>
      </c>
      <c r="F2214" t="s">
        <v>26</v>
      </c>
      <c r="G2214" t="s">
        <v>51</v>
      </c>
      <c r="H2214" t="s">
        <v>19</v>
      </c>
      <c r="I2214" t="s">
        <v>36</v>
      </c>
      <c r="J2214" t="s">
        <v>46</v>
      </c>
      <c r="K2214">
        <v>24</v>
      </c>
      <c r="L2214">
        <v>4.04</v>
      </c>
      <c r="M2214">
        <v>5</v>
      </c>
      <c r="N2214" t="s">
        <v>22</v>
      </c>
      <c r="O2214" t="str">
        <f t="shared" si="34"/>
        <v>No</v>
      </c>
    </row>
    <row r="2215" spans="1:15" x14ac:dyDescent="0.25">
      <c r="A2215" t="s">
        <v>2276</v>
      </c>
      <c r="B2215" s="1">
        <v>45678</v>
      </c>
      <c r="C2215" s="2">
        <v>45678.060833333337</v>
      </c>
      <c r="D2215" t="s">
        <v>38</v>
      </c>
      <c r="E2215" t="s">
        <v>25</v>
      </c>
      <c r="F2215" t="s">
        <v>48</v>
      </c>
      <c r="G2215" t="s">
        <v>41</v>
      </c>
      <c r="H2215" t="s">
        <v>35</v>
      </c>
      <c r="I2215" t="s">
        <v>20</v>
      </c>
      <c r="J2215" t="s">
        <v>21</v>
      </c>
      <c r="K2215">
        <v>8</v>
      </c>
      <c r="L2215">
        <v>1.46</v>
      </c>
      <c r="M2215">
        <v>4.4000000000000004</v>
      </c>
      <c r="N2215" t="s">
        <v>22</v>
      </c>
      <c r="O2215" t="str">
        <f t="shared" si="34"/>
        <v>No</v>
      </c>
    </row>
    <row r="2216" spans="1:15" x14ac:dyDescent="0.25">
      <c r="A2216" t="s">
        <v>2277</v>
      </c>
      <c r="B2216" s="1">
        <v>45678</v>
      </c>
      <c r="C2216" s="2">
        <v>45679.394166666665</v>
      </c>
      <c r="D2216" t="s">
        <v>24</v>
      </c>
      <c r="E2216" t="s">
        <v>32</v>
      </c>
      <c r="F2216" t="s">
        <v>64</v>
      </c>
      <c r="G2216" t="s">
        <v>41</v>
      </c>
      <c r="H2216" t="s">
        <v>54</v>
      </c>
      <c r="I2216" t="s">
        <v>36</v>
      </c>
      <c r="J2216" t="s">
        <v>21</v>
      </c>
      <c r="K2216">
        <v>24</v>
      </c>
      <c r="L2216">
        <v>33.46</v>
      </c>
      <c r="M2216">
        <v>2.9</v>
      </c>
      <c r="N2216" t="s">
        <v>22</v>
      </c>
      <c r="O2216" t="str">
        <f t="shared" si="34"/>
        <v>Yes</v>
      </c>
    </row>
    <row r="2217" spans="1:15" x14ac:dyDescent="0.25">
      <c r="A2217" t="s">
        <v>2278</v>
      </c>
      <c r="B2217" s="1">
        <v>45728</v>
      </c>
      <c r="C2217" s="2">
        <v>45730.024155092593</v>
      </c>
      <c r="D2217" t="s">
        <v>15</v>
      </c>
      <c r="E2217" t="s">
        <v>16</v>
      </c>
      <c r="F2217" t="s">
        <v>17</v>
      </c>
      <c r="G2217" t="s">
        <v>51</v>
      </c>
      <c r="H2217" t="s">
        <v>35</v>
      </c>
      <c r="I2217" t="s">
        <v>45</v>
      </c>
      <c r="J2217" t="s">
        <v>21</v>
      </c>
      <c r="K2217">
        <v>48</v>
      </c>
      <c r="L2217">
        <v>48.58</v>
      </c>
      <c r="M2217">
        <v>3.6</v>
      </c>
      <c r="N2217" t="s">
        <v>22</v>
      </c>
      <c r="O2217" t="str">
        <f t="shared" si="34"/>
        <v>Yes</v>
      </c>
    </row>
    <row r="2218" spans="1:15" x14ac:dyDescent="0.25">
      <c r="A2218" t="s">
        <v>2279</v>
      </c>
      <c r="B2218" s="1">
        <v>45739</v>
      </c>
      <c r="C2218" s="2">
        <v>45739.284583333334</v>
      </c>
      <c r="D2218" t="s">
        <v>24</v>
      </c>
      <c r="E2218" t="s">
        <v>32</v>
      </c>
      <c r="F2218" t="s">
        <v>75</v>
      </c>
      <c r="G2218" t="s">
        <v>56</v>
      </c>
      <c r="H2218" t="s">
        <v>44</v>
      </c>
      <c r="I2218" t="s">
        <v>20</v>
      </c>
      <c r="J2218" t="s">
        <v>85</v>
      </c>
      <c r="K2218">
        <v>24</v>
      </c>
      <c r="L2218">
        <v>6.83</v>
      </c>
      <c r="M2218">
        <v>4.2</v>
      </c>
      <c r="N2218" t="s">
        <v>22</v>
      </c>
      <c r="O2218" t="str">
        <f t="shared" si="34"/>
        <v>No</v>
      </c>
    </row>
    <row r="2219" spans="1:15" x14ac:dyDescent="0.25">
      <c r="A2219" t="s">
        <v>2280</v>
      </c>
      <c r="B2219" s="1">
        <v>45838</v>
      </c>
      <c r="C2219" s="2">
        <v>45838.21125</v>
      </c>
      <c r="D2219" t="s">
        <v>24</v>
      </c>
      <c r="E2219" t="s">
        <v>32</v>
      </c>
      <c r="F2219" t="s">
        <v>33</v>
      </c>
      <c r="G2219" t="s">
        <v>34</v>
      </c>
      <c r="H2219" t="s">
        <v>19</v>
      </c>
      <c r="I2219" t="s">
        <v>36</v>
      </c>
      <c r="J2219" t="s">
        <v>46</v>
      </c>
      <c r="K2219">
        <v>24</v>
      </c>
      <c r="L2219">
        <v>5.07</v>
      </c>
      <c r="M2219">
        <v>5</v>
      </c>
      <c r="N2219" t="s">
        <v>22</v>
      </c>
      <c r="O2219" t="str">
        <f t="shared" si="34"/>
        <v>No</v>
      </c>
    </row>
    <row r="2220" spans="1:15" x14ac:dyDescent="0.25">
      <c r="A2220" t="s">
        <v>2281</v>
      </c>
      <c r="B2220" s="1">
        <v>45709</v>
      </c>
      <c r="C2220" s="2">
        <v>45709.188333333332</v>
      </c>
      <c r="D2220" t="s">
        <v>24</v>
      </c>
      <c r="E2220" t="s">
        <v>25</v>
      </c>
      <c r="F2220" t="s">
        <v>26</v>
      </c>
      <c r="G2220" t="s">
        <v>51</v>
      </c>
      <c r="H2220" t="s">
        <v>54</v>
      </c>
      <c r="I2220" t="s">
        <v>36</v>
      </c>
      <c r="J2220" t="s">
        <v>21</v>
      </c>
      <c r="K2220">
        <v>24</v>
      </c>
      <c r="L2220">
        <v>4.5199999999999996</v>
      </c>
      <c r="M2220">
        <v>5</v>
      </c>
      <c r="N2220" t="s">
        <v>22</v>
      </c>
      <c r="O2220" t="str">
        <f t="shared" si="34"/>
        <v>No</v>
      </c>
    </row>
    <row r="2221" spans="1:15" x14ac:dyDescent="0.25">
      <c r="A2221" t="s">
        <v>2282</v>
      </c>
      <c r="B2221" s="1">
        <v>45692</v>
      </c>
      <c r="C2221" s="2">
        <v>45693.182083333333</v>
      </c>
      <c r="D2221" t="s">
        <v>15</v>
      </c>
      <c r="E2221" t="s">
        <v>32</v>
      </c>
      <c r="F2221" t="s">
        <v>33</v>
      </c>
      <c r="G2221" t="s">
        <v>34</v>
      </c>
      <c r="H2221" t="s">
        <v>19</v>
      </c>
      <c r="I2221" t="s">
        <v>36</v>
      </c>
      <c r="J2221" t="s">
        <v>46</v>
      </c>
      <c r="K2221">
        <v>48</v>
      </c>
      <c r="L2221">
        <v>28.37</v>
      </c>
      <c r="M2221">
        <v>2.9</v>
      </c>
      <c r="N2221" t="s">
        <v>22</v>
      </c>
      <c r="O2221" t="str">
        <f t="shared" si="34"/>
        <v>No</v>
      </c>
    </row>
    <row r="2222" spans="1:15" x14ac:dyDescent="0.25">
      <c r="A2222" t="s">
        <v>2283</v>
      </c>
      <c r="B2222" s="1">
        <v>45829</v>
      </c>
      <c r="C2222" s="2">
        <v>45829.289166666669</v>
      </c>
      <c r="D2222" t="s">
        <v>24</v>
      </c>
      <c r="E2222" t="s">
        <v>25</v>
      </c>
      <c r="F2222" t="s">
        <v>53</v>
      </c>
      <c r="G2222" t="s">
        <v>51</v>
      </c>
      <c r="H2222" t="s">
        <v>19</v>
      </c>
      <c r="I2222" t="s">
        <v>36</v>
      </c>
      <c r="J2222" t="s">
        <v>21</v>
      </c>
      <c r="K2222">
        <v>24</v>
      </c>
      <c r="L2222">
        <v>6.94</v>
      </c>
      <c r="M2222">
        <v>4.5</v>
      </c>
      <c r="N2222" t="s">
        <v>22</v>
      </c>
      <c r="O2222" t="str">
        <f t="shared" si="34"/>
        <v>No</v>
      </c>
    </row>
    <row r="2223" spans="1:15" x14ac:dyDescent="0.25">
      <c r="A2223" t="s">
        <v>2284</v>
      </c>
      <c r="B2223" s="1">
        <v>45685</v>
      </c>
      <c r="C2223" s="2">
        <v>45685.294583333336</v>
      </c>
      <c r="D2223" t="s">
        <v>24</v>
      </c>
      <c r="E2223" t="s">
        <v>45</v>
      </c>
      <c r="F2223" t="s">
        <v>100</v>
      </c>
      <c r="G2223" t="s">
        <v>34</v>
      </c>
      <c r="H2223" t="s">
        <v>54</v>
      </c>
      <c r="I2223" t="s">
        <v>45</v>
      </c>
      <c r="J2223" t="s">
        <v>21</v>
      </c>
      <c r="K2223">
        <v>24</v>
      </c>
      <c r="L2223">
        <v>7.07</v>
      </c>
      <c r="M2223">
        <v>3.9</v>
      </c>
      <c r="N2223" t="s">
        <v>22</v>
      </c>
      <c r="O2223" t="str">
        <f t="shared" si="34"/>
        <v>No</v>
      </c>
    </row>
    <row r="2224" spans="1:15" x14ac:dyDescent="0.25">
      <c r="A2224" t="s">
        <v>2285</v>
      </c>
      <c r="B2224" s="1">
        <v>45662</v>
      </c>
      <c r="C2224" s="2">
        <v>45662.378333333334</v>
      </c>
      <c r="D2224" t="s">
        <v>15</v>
      </c>
      <c r="E2224" t="s">
        <v>16</v>
      </c>
      <c r="F2224" t="s">
        <v>43</v>
      </c>
      <c r="G2224" t="s">
        <v>41</v>
      </c>
      <c r="H2224" t="s">
        <v>65</v>
      </c>
      <c r="I2224" t="s">
        <v>36</v>
      </c>
      <c r="J2224" t="s">
        <v>21</v>
      </c>
      <c r="K2224">
        <v>48</v>
      </c>
      <c r="L2224">
        <v>9.08</v>
      </c>
      <c r="M2224">
        <v>5</v>
      </c>
      <c r="N2224" t="s">
        <v>22</v>
      </c>
      <c r="O2224" t="str">
        <f t="shared" si="34"/>
        <v>No</v>
      </c>
    </row>
    <row r="2225" spans="1:15" x14ac:dyDescent="0.25">
      <c r="A2225" t="s">
        <v>2286</v>
      </c>
      <c r="B2225" s="1">
        <v>45734</v>
      </c>
      <c r="C2225" s="2">
        <v>45734.529166666667</v>
      </c>
      <c r="D2225" t="s">
        <v>24</v>
      </c>
      <c r="E2225" t="s">
        <v>39</v>
      </c>
      <c r="F2225" t="s">
        <v>87</v>
      </c>
      <c r="G2225" t="s">
        <v>56</v>
      </c>
      <c r="H2225" t="s">
        <v>35</v>
      </c>
      <c r="I2225" t="s">
        <v>36</v>
      </c>
      <c r="J2225" t="s">
        <v>21</v>
      </c>
      <c r="K2225">
        <v>24</v>
      </c>
      <c r="L2225">
        <v>12.7</v>
      </c>
      <c r="M2225">
        <v>5</v>
      </c>
      <c r="N2225" t="s">
        <v>61</v>
      </c>
      <c r="O2225" t="str">
        <f t="shared" si="34"/>
        <v>No</v>
      </c>
    </row>
    <row r="2226" spans="1:15" x14ac:dyDescent="0.25">
      <c r="A2226" t="s">
        <v>2287</v>
      </c>
      <c r="B2226" s="1">
        <v>45730</v>
      </c>
      <c r="C2226" s="2">
        <v>45730.33625</v>
      </c>
      <c r="D2226" t="s">
        <v>15</v>
      </c>
      <c r="E2226" t="s">
        <v>16</v>
      </c>
      <c r="F2226" t="s">
        <v>43</v>
      </c>
      <c r="G2226" t="s">
        <v>34</v>
      </c>
      <c r="H2226" t="s">
        <v>54</v>
      </c>
      <c r="I2226" t="s">
        <v>36</v>
      </c>
      <c r="J2226" t="s">
        <v>21</v>
      </c>
      <c r="K2226">
        <v>48</v>
      </c>
      <c r="L2226">
        <v>8.07</v>
      </c>
      <c r="M2226">
        <v>4.7</v>
      </c>
      <c r="N2226" t="s">
        <v>22</v>
      </c>
      <c r="O2226" t="str">
        <f t="shared" si="34"/>
        <v>No</v>
      </c>
    </row>
    <row r="2227" spans="1:15" x14ac:dyDescent="0.25">
      <c r="A2227" t="s">
        <v>2288</v>
      </c>
      <c r="B2227" s="1">
        <v>45770</v>
      </c>
      <c r="C2227" s="2">
        <v>45770.787499999999</v>
      </c>
      <c r="D2227" t="s">
        <v>24</v>
      </c>
      <c r="E2227" t="s">
        <v>25</v>
      </c>
      <c r="F2227" t="s">
        <v>26</v>
      </c>
      <c r="G2227" t="s">
        <v>51</v>
      </c>
      <c r="H2227" t="s">
        <v>27</v>
      </c>
      <c r="I2227" t="s">
        <v>36</v>
      </c>
      <c r="J2227" t="s">
        <v>21</v>
      </c>
      <c r="K2227">
        <v>24</v>
      </c>
      <c r="L2227">
        <v>18.899999999999999</v>
      </c>
      <c r="M2227">
        <v>3.6</v>
      </c>
      <c r="N2227" t="s">
        <v>22</v>
      </c>
      <c r="O2227" t="str">
        <f t="shared" si="34"/>
        <v>No</v>
      </c>
    </row>
    <row r="2228" spans="1:15" x14ac:dyDescent="0.25">
      <c r="A2228" t="s">
        <v>2289</v>
      </c>
      <c r="B2228" s="1">
        <v>45816</v>
      </c>
      <c r="C2228" s="2">
        <v>45816.382916666669</v>
      </c>
      <c r="D2228" t="s">
        <v>38</v>
      </c>
      <c r="E2228" t="s">
        <v>32</v>
      </c>
      <c r="F2228" t="s">
        <v>33</v>
      </c>
      <c r="G2228" t="s">
        <v>56</v>
      </c>
      <c r="H2228" t="s">
        <v>35</v>
      </c>
      <c r="I2228" t="s">
        <v>36</v>
      </c>
      <c r="J2228" t="s">
        <v>46</v>
      </c>
      <c r="K2228">
        <v>8</v>
      </c>
      <c r="L2228">
        <v>9.19</v>
      </c>
      <c r="M2228">
        <v>2.6</v>
      </c>
      <c r="N2228" t="s">
        <v>22</v>
      </c>
      <c r="O2228" t="str">
        <f t="shared" si="34"/>
        <v>Yes</v>
      </c>
    </row>
    <row r="2229" spans="1:15" x14ac:dyDescent="0.25">
      <c r="A2229" t="s">
        <v>2290</v>
      </c>
      <c r="B2229" s="1">
        <v>45826</v>
      </c>
      <c r="C2229" s="2">
        <v>45827.221250000002</v>
      </c>
      <c r="D2229" t="s">
        <v>15</v>
      </c>
      <c r="E2229" t="s">
        <v>32</v>
      </c>
      <c r="F2229" t="s">
        <v>64</v>
      </c>
      <c r="G2229" t="s">
        <v>34</v>
      </c>
      <c r="H2229" t="s">
        <v>19</v>
      </c>
      <c r="I2229" t="s">
        <v>20</v>
      </c>
      <c r="J2229" t="s">
        <v>29</v>
      </c>
      <c r="K2229">
        <v>48</v>
      </c>
      <c r="L2229">
        <v>29.31</v>
      </c>
      <c r="M2229">
        <v>5</v>
      </c>
      <c r="N2229" t="s">
        <v>22</v>
      </c>
      <c r="O2229" t="str">
        <f t="shared" si="34"/>
        <v>No</v>
      </c>
    </row>
    <row r="2230" spans="1:15" x14ac:dyDescent="0.25">
      <c r="A2230" t="s">
        <v>2291</v>
      </c>
      <c r="B2230" s="1">
        <v>45710</v>
      </c>
      <c r="C2230" s="2">
        <v>45711.008750000001</v>
      </c>
      <c r="D2230" t="s">
        <v>24</v>
      </c>
      <c r="E2230" t="s">
        <v>16</v>
      </c>
      <c r="F2230" t="s">
        <v>17</v>
      </c>
      <c r="G2230" t="s">
        <v>18</v>
      </c>
      <c r="H2230" t="s">
        <v>65</v>
      </c>
      <c r="I2230" t="s">
        <v>36</v>
      </c>
      <c r="J2230" t="s">
        <v>29</v>
      </c>
      <c r="K2230">
        <v>24</v>
      </c>
      <c r="L2230">
        <v>24.21</v>
      </c>
      <c r="M2230">
        <v>4.5999999999999996</v>
      </c>
      <c r="N2230" t="s">
        <v>22</v>
      </c>
      <c r="O2230" t="str">
        <f t="shared" si="34"/>
        <v>Yes</v>
      </c>
    </row>
    <row r="2231" spans="1:15" x14ac:dyDescent="0.25">
      <c r="A2231" t="s">
        <v>2292</v>
      </c>
      <c r="B2231" s="1">
        <v>45835</v>
      </c>
      <c r="C2231" s="2">
        <v>45835.45208333333</v>
      </c>
      <c r="D2231" t="s">
        <v>24</v>
      </c>
      <c r="E2231" t="s">
        <v>45</v>
      </c>
      <c r="F2231" t="s">
        <v>100</v>
      </c>
      <c r="G2231" t="s">
        <v>41</v>
      </c>
      <c r="H2231" t="s">
        <v>54</v>
      </c>
      <c r="I2231" t="s">
        <v>28</v>
      </c>
      <c r="J2231" t="s">
        <v>21</v>
      </c>
      <c r="K2231">
        <v>24</v>
      </c>
      <c r="L2231">
        <v>10.85</v>
      </c>
      <c r="M2231">
        <v>3.2</v>
      </c>
      <c r="N2231" t="s">
        <v>22</v>
      </c>
      <c r="O2231" t="str">
        <f t="shared" si="34"/>
        <v>No</v>
      </c>
    </row>
    <row r="2232" spans="1:15" x14ac:dyDescent="0.25">
      <c r="A2232" t="s">
        <v>2293</v>
      </c>
      <c r="B2232" s="1">
        <v>45772</v>
      </c>
      <c r="C2232" s="2">
        <v>45772.255833333336</v>
      </c>
      <c r="D2232" t="s">
        <v>24</v>
      </c>
      <c r="E2232" t="s">
        <v>39</v>
      </c>
      <c r="F2232" t="s">
        <v>40</v>
      </c>
      <c r="G2232" t="s">
        <v>51</v>
      </c>
      <c r="H2232" t="s">
        <v>35</v>
      </c>
      <c r="I2232" t="s">
        <v>20</v>
      </c>
      <c r="J2232" t="s">
        <v>46</v>
      </c>
      <c r="K2232">
        <v>24</v>
      </c>
      <c r="L2232">
        <v>6.14</v>
      </c>
      <c r="M2232">
        <v>5</v>
      </c>
      <c r="N2232" t="s">
        <v>22</v>
      </c>
      <c r="O2232" t="str">
        <f t="shared" si="34"/>
        <v>No</v>
      </c>
    </row>
    <row r="2233" spans="1:15" x14ac:dyDescent="0.25">
      <c r="A2233" t="s">
        <v>2294</v>
      </c>
      <c r="B2233" s="1">
        <v>45670</v>
      </c>
      <c r="C2233" s="2">
        <v>45670.126666666663</v>
      </c>
      <c r="D2233" t="s">
        <v>38</v>
      </c>
      <c r="E2233" t="s">
        <v>39</v>
      </c>
      <c r="F2233" t="s">
        <v>40</v>
      </c>
      <c r="G2233" t="s">
        <v>56</v>
      </c>
      <c r="H2233" t="s">
        <v>65</v>
      </c>
      <c r="I2233" t="s">
        <v>36</v>
      </c>
      <c r="J2233" t="s">
        <v>21</v>
      </c>
      <c r="K2233">
        <v>8</v>
      </c>
      <c r="L2233">
        <v>3.04</v>
      </c>
      <c r="M2233">
        <v>3.8</v>
      </c>
      <c r="N2233" t="s">
        <v>22</v>
      </c>
      <c r="O2233" t="str">
        <f t="shared" si="34"/>
        <v>No</v>
      </c>
    </row>
    <row r="2234" spans="1:15" x14ac:dyDescent="0.25">
      <c r="A2234" t="s">
        <v>2295</v>
      </c>
      <c r="B2234" s="1">
        <v>45827</v>
      </c>
      <c r="C2234" s="2">
        <v>45827.114166666666</v>
      </c>
      <c r="D2234" t="s">
        <v>24</v>
      </c>
      <c r="E2234" t="s">
        <v>45</v>
      </c>
      <c r="F2234" t="s">
        <v>100</v>
      </c>
      <c r="G2234" t="s">
        <v>41</v>
      </c>
      <c r="H2234" t="s">
        <v>27</v>
      </c>
      <c r="I2234" t="s">
        <v>20</v>
      </c>
      <c r="J2234" t="s">
        <v>21</v>
      </c>
      <c r="K2234">
        <v>24</v>
      </c>
      <c r="L2234">
        <v>2.74</v>
      </c>
      <c r="M2234">
        <v>4.5</v>
      </c>
      <c r="N2234" t="s">
        <v>22</v>
      </c>
      <c r="O2234" t="str">
        <f t="shared" si="34"/>
        <v>No</v>
      </c>
    </row>
    <row r="2235" spans="1:15" x14ac:dyDescent="0.25">
      <c r="A2235" t="s">
        <v>2296</v>
      </c>
      <c r="B2235" s="1">
        <v>45682</v>
      </c>
      <c r="C2235" s="2">
        <v>45682.615416666667</v>
      </c>
      <c r="D2235" t="s">
        <v>15</v>
      </c>
      <c r="E2235" t="s">
        <v>32</v>
      </c>
      <c r="F2235" t="s">
        <v>80</v>
      </c>
      <c r="G2235" t="s">
        <v>18</v>
      </c>
      <c r="H2235" t="s">
        <v>44</v>
      </c>
      <c r="I2235" t="s">
        <v>45</v>
      </c>
      <c r="J2235" t="s">
        <v>46</v>
      </c>
      <c r="K2235">
        <v>48</v>
      </c>
      <c r="L2235">
        <v>14.77</v>
      </c>
      <c r="M2235">
        <v>3.8</v>
      </c>
      <c r="N2235" t="s">
        <v>22</v>
      </c>
      <c r="O2235" t="str">
        <f t="shared" si="34"/>
        <v>No</v>
      </c>
    </row>
    <row r="2236" spans="1:15" x14ac:dyDescent="0.25">
      <c r="A2236" t="s">
        <v>2297</v>
      </c>
      <c r="B2236" s="1">
        <v>45764</v>
      </c>
      <c r="C2236" s="2">
        <v>45764.144999999997</v>
      </c>
      <c r="D2236" t="s">
        <v>38</v>
      </c>
      <c r="E2236" t="s">
        <v>32</v>
      </c>
      <c r="F2236" t="s">
        <v>33</v>
      </c>
      <c r="G2236" t="s">
        <v>41</v>
      </c>
      <c r="H2236" t="s">
        <v>65</v>
      </c>
      <c r="I2236" t="s">
        <v>45</v>
      </c>
      <c r="J2236" t="s">
        <v>21</v>
      </c>
      <c r="K2236">
        <v>8</v>
      </c>
      <c r="L2236">
        <v>3.48</v>
      </c>
      <c r="M2236">
        <v>3.2</v>
      </c>
      <c r="N2236" t="s">
        <v>22</v>
      </c>
      <c r="O2236" t="str">
        <f t="shared" si="34"/>
        <v>No</v>
      </c>
    </row>
    <row r="2237" spans="1:15" x14ac:dyDescent="0.25">
      <c r="A2237" t="s">
        <v>2298</v>
      </c>
      <c r="B2237" s="1">
        <v>45801</v>
      </c>
      <c r="C2237" s="2">
        <v>45801.17083333333</v>
      </c>
      <c r="D2237" t="s">
        <v>38</v>
      </c>
      <c r="E2237" t="s">
        <v>16</v>
      </c>
      <c r="F2237" t="s">
        <v>17</v>
      </c>
      <c r="G2237" t="s">
        <v>34</v>
      </c>
      <c r="H2237" t="s">
        <v>54</v>
      </c>
      <c r="I2237" t="s">
        <v>36</v>
      </c>
      <c r="J2237" t="s">
        <v>29</v>
      </c>
      <c r="K2237">
        <v>8</v>
      </c>
      <c r="L2237">
        <v>4.0999999999999996</v>
      </c>
      <c r="M2237">
        <v>4.4000000000000004</v>
      </c>
      <c r="N2237" t="s">
        <v>22</v>
      </c>
      <c r="O2237" t="str">
        <f t="shared" si="34"/>
        <v>No</v>
      </c>
    </row>
    <row r="2238" spans="1:15" x14ac:dyDescent="0.25">
      <c r="A2238" t="s">
        <v>2299</v>
      </c>
      <c r="B2238" s="1">
        <v>45703</v>
      </c>
      <c r="C2238" s="2">
        <v>45704.030833333331</v>
      </c>
      <c r="D2238" t="s">
        <v>24</v>
      </c>
      <c r="E2238" t="s">
        <v>32</v>
      </c>
      <c r="F2238" t="s">
        <v>33</v>
      </c>
      <c r="G2238" t="s">
        <v>34</v>
      </c>
      <c r="H2238" t="s">
        <v>19</v>
      </c>
      <c r="I2238" t="s">
        <v>45</v>
      </c>
      <c r="J2238" t="s">
        <v>21</v>
      </c>
      <c r="K2238">
        <v>24</v>
      </c>
      <c r="L2238">
        <v>24.74</v>
      </c>
      <c r="M2238">
        <v>5</v>
      </c>
      <c r="N2238" t="s">
        <v>61</v>
      </c>
      <c r="O2238" t="str">
        <f t="shared" si="34"/>
        <v>Yes</v>
      </c>
    </row>
    <row r="2239" spans="1:15" x14ac:dyDescent="0.25">
      <c r="A2239" t="s">
        <v>2300</v>
      </c>
      <c r="B2239" s="1">
        <v>45706</v>
      </c>
      <c r="C2239" s="2">
        <v>45708.57708333333</v>
      </c>
      <c r="D2239" t="s">
        <v>15</v>
      </c>
      <c r="E2239" t="s">
        <v>32</v>
      </c>
      <c r="F2239" t="s">
        <v>80</v>
      </c>
      <c r="G2239" t="s">
        <v>34</v>
      </c>
      <c r="H2239" t="s">
        <v>54</v>
      </c>
      <c r="I2239" t="s">
        <v>36</v>
      </c>
      <c r="J2239" t="s">
        <v>21</v>
      </c>
      <c r="K2239">
        <v>48</v>
      </c>
      <c r="L2239">
        <v>61.85</v>
      </c>
      <c r="M2239">
        <v>2.9</v>
      </c>
      <c r="N2239" t="s">
        <v>61</v>
      </c>
      <c r="O2239" t="str">
        <f t="shared" si="34"/>
        <v>Yes</v>
      </c>
    </row>
    <row r="2240" spans="1:15" x14ac:dyDescent="0.25">
      <c r="A2240" t="s">
        <v>2301</v>
      </c>
      <c r="B2240" s="1">
        <v>45744</v>
      </c>
      <c r="C2240" s="2">
        <v>45745.184999999998</v>
      </c>
      <c r="D2240" t="s">
        <v>15</v>
      </c>
      <c r="E2240" t="s">
        <v>16</v>
      </c>
      <c r="F2240" t="s">
        <v>17</v>
      </c>
      <c r="G2240" t="s">
        <v>41</v>
      </c>
      <c r="H2240" t="s">
        <v>65</v>
      </c>
      <c r="I2240" t="s">
        <v>45</v>
      </c>
      <c r="J2240" t="s">
        <v>21</v>
      </c>
      <c r="K2240">
        <v>48</v>
      </c>
      <c r="L2240">
        <v>28.44</v>
      </c>
      <c r="M2240">
        <v>4.9000000000000004</v>
      </c>
      <c r="N2240" t="s">
        <v>22</v>
      </c>
      <c r="O2240" t="str">
        <f t="shared" si="34"/>
        <v>No</v>
      </c>
    </row>
    <row r="2241" spans="1:15" x14ac:dyDescent="0.25">
      <c r="A2241" t="s">
        <v>2302</v>
      </c>
      <c r="B2241" s="1">
        <v>45818</v>
      </c>
      <c r="C2241" s="2">
        <v>45818.203750000001</v>
      </c>
      <c r="D2241" t="s">
        <v>24</v>
      </c>
      <c r="E2241" t="s">
        <v>16</v>
      </c>
      <c r="F2241" t="s">
        <v>58</v>
      </c>
      <c r="G2241" t="s">
        <v>34</v>
      </c>
      <c r="H2241" t="s">
        <v>35</v>
      </c>
      <c r="I2241" t="s">
        <v>36</v>
      </c>
      <c r="J2241" t="s">
        <v>46</v>
      </c>
      <c r="K2241">
        <v>24</v>
      </c>
      <c r="L2241">
        <v>4.8899999999999997</v>
      </c>
      <c r="M2241">
        <v>5</v>
      </c>
      <c r="N2241" t="s">
        <v>61</v>
      </c>
      <c r="O2241" t="str">
        <f t="shared" si="34"/>
        <v>No</v>
      </c>
    </row>
    <row r="2242" spans="1:15" x14ac:dyDescent="0.25">
      <c r="A2242" t="s">
        <v>2303</v>
      </c>
      <c r="B2242" s="1">
        <v>45698</v>
      </c>
      <c r="C2242" s="2">
        <v>45698.403333333335</v>
      </c>
      <c r="D2242" t="s">
        <v>15</v>
      </c>
      <c r="E2242" t="s">
        <v>16</v>
      </c>
      <c r="F2242" t="s">
        <v>60</v>
      </c>
      <c r="G2242" t="s">
        <v>56</v>
      </c>
      <c r="H2242" t="s">
        <v>65</v>
      </c>
      <c r="I2242" t="s">
        <v>36</v>
      </c>
      <c r="J2242" t="s">
        <v>21</v>
      </c>
      <c r="K2242">
        <v>48</v>
      </c>
      <c r="L2242">
        <v>9.68</v>
      </c>
      <c r="M2242">
        <v>5</v>
      </c>
      <c r="N2242" t="s">
        <v>22</v>
      </c>
      <c r="O2242" t="str">
        <f t="shared" si="34"/>
        <v>No</v>
      </c>
    </row>
    <row r="2243" spans="1:15" x14ac:dyDescent="0.25">
      <c r="A2243" t="s">
        <v>2304</v>
      </c>
      <c r="B2243" s="1">
        <v>45778</v>
      </c>
      <c r="C2243" s="2">
        <v>45778.625</v>
      </c>
      <c r="D2243" t="s">
        <v>15</v>
      </c>
      <c r="E2243" t="s">
        <v>39</v>
      </c>
      <c r="F2243" t="s">
        <v>119</v>
      </c>
      <c r="G2243" t="s">
        <v>18</v>
      </c>
      <c r="H2243" t="s">
        <v>65</v>
      </c>
      <c r="I2243" t="s">
        <v>45</v>
      </c>
      <c r="J2243" t="s">
        <v>46</v>
      </c>
      <c r="K2243">
        <v>48</v>
      </c>
      <c r="L2243">
        <v>15</v>
      </c>
      <c r="M2243">
        <v>5</v>
      </c>
      <c r="N2243" t="s">
        <v>61</v>
      </c>
      <c r="O2243" t="str">
        <f t="shared" ref="O2243:O2306" si="35">IF(L2243&gt;K2243,"Yes","No")</f>
        <v>No</v>
      </c>
    </row>
    <row r="2244" spans="1:15" x14ac:dyDescent="0.25">
      <c r="A2244" t="s">
        <v>2305</v>
      </c>
      <c r="B2244" s="1">
        <v>45739</v>
      </c>
      <c r="C2244" s="2">
        <v>45739.089583333334</v>
      </c>
      <c r="D2244" t="s">
        <v>38</v>
      </c>
      <c r="E2244" t="s">
        <v>16</v>
      </c>
      <c r="F2244" t="s">
        <v>58</v>
      </c>
      <c r="G2244" t="s">
        <v>51</v>
      </c>
      <c r="H2244" t="s">
        <v>54</v>
      </c>
      <c r="I2244" t="s">
        <v>36</v>
      </c>
      <c r="J2244" t="s">
        <v>21</v>
      </c>
      <c r="K2244">
        <v>8</v>
      </c>
      <c r="L2244">
        <v>2.15</v>
      </c>
      <c r="M2244">
        <v>5</v>
      </c>
      <c r="N2244" t="s">
        <v>22</v>
      </c>
      <c r="O2244" t="str">
        <f t="shared" si="35"/>
        <v>No</v>
      </c>
    </row>
    <row r="2245" spans="1:15" x14ac:dyDescent="0.25">
      <c r="A2245" t="s">
        <v>2306</v>
      </c>
      <c r="B2245" s="1">
        <v>45678</v>
      </c>
      <c r="C2245" s="2">
        <v>45679.20416666667</v>
      </c>
      <c r="D2245" t="s">
        <v>15</v>
      </c>
      <c r="E2245" t="s">
        <v>16</v>
      </c>
      <c r="F2245" t="s">
        <v>58</v>
      </c>
      <c r="G2245" t="s">
        <v>34</v>
      </c>
      <c r="H2245" t="s">
        <v>35</v>
      </c>
      <c r="I2245" t="s">
        <v>36</v>
      </c>
      <c r="J2245" t="s">
        <v>46</v>
      </c>
      <c r="K2245">
        <v>48</v>
      </c>
      <c r="L2245">
        <v>28.9</v>
      </c>
      <c r="M2245">
        <v>5</v>
      </c>
      <c r="N2245" t="s">
        <v>22</v>
      </c>
      <c r="O2245" t="str">
        <f t="shared" si="35"/>
        <v>No</v>
      </c>
    </row>
    <row r="2246" spans="1:15" x14ac:dyDescent="0.25">
      <c r="A2246" t="s">
        <v>2307</v>
      </c>
      <c r="B2246" s="1">
        <v>45786</v>
      </c>
      <c r="C2246" s="2">
        <v>45786.427499999998</v>
      </c>
      <c r="D2246" t="s">
        <v>15</v>
      </c>
      <c r="E2246" t="s">
        <v>25</v>
      </c>
      <c r="F2246" t="s">
        <v>53</v>
      </c>
      <c r="G2246" t="s">
        <v>56</v>
      </c>
      <c r="H2246" t="s">
        <v>65</v>
      </c>
      <c r="I2246" t="s">
        <v>20</v>
      </c>
      <c r="J2246" t="s">
        <v>21</v>
      </c>
      <c r="K2246">
        <v>48</v>
      </c>
      <c r="L2246">
        <v>10.26</v>
      </c>
      <c r="M2246">
        <v>4</v>
      </c>
      <c r="N2246" t="s">
        <v>22</v>
      </c>
      <c r="O2246" t="str">
        <f t="shared" si="35"/>
        <v>No</v>
      </c>
    </row>
    <row r="2247" spans="1:15" x14ac:dyDescent="0.25">
      <c r="A2247" t="s">
        <v>2308</v>
      </c>
      <c r="B2247" s="1">
        <v>45808</v>
      </c>
      <c r="C2247" s="2">
        <v>45810.620416666665</v>
      </c>
      <c r="D2247" t="s">
        <v>15</v>
      </c>
      <c r="E2247" t="s">
        <v>25</v>
      </c>
      <c r="F2247" t="s">
        <v>53</v>
      </c>
      <c r="G2247" t="s">
        <v>41</v>
      </c>
      <c r="H2247" t="s">
        <v>44</v>
      </c>
      <c r="I2247" t="s">
        <v>36</v>
      </c>
      <c r="J2247" t="s">
        <v>85</v>
      </c>
      <c r="K2247">
        <v>48</v>
      </c>
      <c r="L2247">
        <v>62.89</v>
      </c>
      <c r="M2247">
        <v>3.9</v>
      </c>
      <c r="N2247" t="s">
        <v>22</v>
      </c>
      <c r="O2247" t="str">
        <f t="shared" si="35"/>
        <v>Yes</v>
      </c>
    </row>
    <row r="2248" spans="1:15" x14ac:dyDescent="0.25">
      <c r="A2248" t="s">
        <v>2309</v>
      </c>
      <c r="B2248" s="1">
        <v>45762</v>
      </c>
      <c r="C2248" s="2">
        <v>45762.920416666668</v>
      </c>
      <c r="D2248" t="s">
        <v>24</v>
      </c>
      <c r="E2248" t="s">
        <v>16</v>
      </c>
      <c r="F2248" t="s">
        <v>60</v>
      </c>
      <c r="G2248" t="s">
        <v>34</v>
      </c>
      <c r="H2248" t="s">
        <v>35</v>
      </c>
      <c r="I2248" t="s">
        <v>36</v>
      </c>
      <c r="J2248" t="s">
        <v>21</v>
      </c>
      <c r="K2248">
        <v>24</v>
      </c>
      <c r="L2248">
        <v>22.09</v>
      </c>
      <c r="M2248">
        <v>4.9000000000000004</v>
      </c>
      <c r="N2248" t="s">
        <v>22</v>
      </c>
      <c r="O2248" t="str">
        <f t="shared" si="35"/>
        <v>No</v>
      </c>
    </row>
    <row r="2249" spans="1:15" x14ac:dyDescent="0.25">
      <c r="A2249" t="s">
        <v>2310</v>
      </c>
      <c r="B2249" s="1">
        <v>45689</v>
      </c>
      <c r="C2249" s="2">
        <v>45690.056666666664</v>
      </c>
      <c r="D2249" t="s">
        <v>24</v>
      </c>
      <c r="E2249" t="s">
        <v>45</v>
      </c>
      <c r="F2249" t="s">
        <v>100</v>
      </c>
      <c r="G2249" t="s">
        <v>41</v>
      </c>
      <c r="H2249" t="s">
        <v>54</v>
      </c>
      <c r="I2249" t="s">
        <v>36</v>
      </c>
      <c r="J2249" t="s">
        <v>21</v>
      </c>
      <c r="K2249">
        <v>24</v>
      </c>
      <c r="L2249">
        <v>25.36</v>
      </c>
      <c r="M2249">
        <v>3.2</v>
      </c>
      <c r="N2249" t="s">
        <v>22</v>
      </c>
      <c r="O2249" t="str">
        <f t="shared" si="35"/>
        <v>Yes</v>
      </c>
    </row>
    <row r="2250" spans="1:15" x14ac:dyDescent="0.25">
      <c r="A2250" t="s">
        <v>2311</v>
      </c>
      <c r="B2250" s="1">
        <v>45686</v>
      </c>
      <c r="C2250" s="2">
        <v>45686.1</v>
      </c>
      <c r="D2250" t="s">
        <v>38</v>
      </c>
      <c r="E2250" t="s">
        <v>25</v>
      </c>
      <c r="F2250" t="s">
        <v>53</v>
      </c>
      <c r="G2250" t="s">
        <v>41</v>
      </c>
      <c r="H2250" t="s">
        <v>35</v>
      </c>
      <c r="I2250" t="s">
        <v>28</v>
      </c>
      <c r="J2250" t="s">
        <v>21</v>
      </c>
      <c r="K2250">
        <v>8</v>
      </c>
      <c r="L2250">
        <v>2.4</v>
      </c>
      <c r="M2250">
        <v>2.4</v>
      </c>
      <c r="N2250" t="s">
        <v>61</v>
      </c>
      <c r="O2250" t="str">
        <f t="shared" si="35"/>
        <v>No</v>
      </c>
    </row>
    <row r="2251" spans="1:15" x14ac:dyDescent="0.25">
      <c r="A2251" t="s">
        <v>2312</v>
      </c>
      <c r="B2251" s="1">
        <v>45734</v>
      </c>
      <c r="C2251" s="2">
        <v>45734.427499999998</v>
      </c>
      <c r="D2251" t="s">
        <v>15</v>
      </c>
      <c r="E2251" t="s">
        <v>32</v>
      </c>
      <c r="F2251" t="s">
        <v>80</v>
      </c>
      <c r="G2251" t="s">
        <v>51</v>
      </c>
      <c r="H2251" t="s">
        <v>27</v>
      </c>
      <c r="I2251" t="s">
        <v>45</v>
      </c>
      <c r="J2251" t="s">
        <v>21</v>
      </c>
      <c r="K2251">
        <v>48</v>
      </c>
      <c r="L2251">
        <v>10.26</v>
      </c>
      <c r="M2251">
        <v>3.9</v>
      </c>
      <c r="N2251" t="s">
        <v>22</v>
      </c>
      <c r="O2251" t="str">
        <f t="shared" si="35"/>
        <v>No</v>
      </c>
    </row>
    <row r="2252" spans="1:15" x14ac:dyDescent="0.25">
      <c r="A2252" t="s">
        <v>2313</v>
      </c>
      <c r="B2252" s="1">
        <v>45749</v>
      </c>
      <c r="C2252" s="2">
        <v>45749.572083333333</v>
      </c>
      <c r="D2252" t="s">
        <v>15</v>
      </c>
      <c r="E2252" t="s">
        <v>45</v>
      </c>
      <c r="F2252" t="s">
        <v>50</v>
      </c>
      <c r="G2252" t="s">
        <v>51</v>
      </c>
      <c r="H2252" t="s">
        <v>44</v>
      </c>
      <c r="I2252" t="s">
        <v>45</v>
      </c>
      <c r="J2252" t="s">
        <v>46</v>
      </c>
      <c r="K2252">
        <v>48</v>
      </c>
      <c r="L2252">
        <v>13.73</v>
      </c>
      <c r="M2252">
        <v>4.2</v>
      </c>
      <c r="N2252" t="s">
        <v>22</v>
      </c>
      <c r="O2252" t="str">
        <f t="shared" si="35"/>
        <v>No</v>
      </c>
    </row>
    <row r="2253" spans="1:15" x14ac:dyDescent="0.25">
      <c r="A2253" t="s">
        <v>2314</v>
      </c>
      <c r="B2253" s="1">
        <v>45757</v>
      </c>
      <c r="C2253" s="2">
        <v>45757.541250000002</v>
      </c>
      <c r="D2253" t="s">
        <v>24</v>
      </c>
      <c r="E2253" t="s">
        <v>45</v>
      </c>
      <c r="F2253" t="s">
        <v>104</v>
      </c>
      <c r="G2253" t="s">
        <v>51</v>
      </c>
      <c r="H2253" t="s">
        <v>65</v>
      </c>
      <c r="I2253" t="s">
        <v>20</v>
      </c>
      <c r="J2253" t="s">
        <v>21</v>
      </c>
      <c r="K2253">
        <v>24</v>
      </c>
      <c r="L2253">
        <v>12.99</v>
      </c>
      <c r="M2253">
        <v>4.7</v>
      </c>
      <c r="N2253" t="s">
        <v>22</v>
      </c>
      <c r="O2253" t="str">
        <f t="shared" si="35"/>
        <v>No</v>
      </c>
    </row>
    <row r="2254" spans="1:15" x14ac:dyDescent="0.25">
      <c r="A2254" t="s">
        <v>2315</v>
      </c>
      <c r="B2254" s="1">
        <v>45702</v>
      </c>
      <c r="C2254" s="2">
        <v>45702.498749999999</v>
      </c>
      <c r="D2254" t="s">
        <v>24</v>
      </c>
      <c r="E2254" t="s">
        <v>39</v>
      </c>
      <c r="F2254" t="s">
        <v>78</v>
      </c>
      <c r="G2254" t="s">
        <v>34</v>
      </c>
      <c r="H2254" t="s">
        <v>27</v>
      </c>
      <c r="I2254" t="s">
        <v>45</v>
      </c>
      <c r="J2254" t="s">
        <v>85</v>
      </c>
      <c r="K2254">
        <v>24</v>
      </c>
      <c r="L2254">
        <v>11.97</v>
      </c>
      <c r="M2254">
        <v>4</v>
      </c>
      <c r="N2254" t="s">
        <v>22</v>
      </c>
      <c r="O2254" t="str">
        <f t="shared" si="35"/>
        <v>No</v>
      </c>
    </row>
    <row r="2255" spans="1:15" x14ac:dyDescent="0.25">
      <c r="A2255" t="s">
        <v>2316</v>
      </c>
      <c r="B2255" s="1">
        <v>45748</v>
      </c>
      <c r="C2255" s="2">
        <v>45749.221250000002</v>
      </c>
      <c r="D2255" t="s">
        <v>24</v>
      </c>
      <c r="E2255" t="s">
        <v>32</v>
      </c>
      <c r="F2255" t="s">
        <v>64</v>
      </c>
      <c r="G2255" t="s">
        <v>34</v>
      </c>
      <c r="H2255" t="s">
        <v>27</v>
      </c>
      <c r="I2255" t="s">
        <v>20</v>
      </c>
      <c r="J2255" t="s">
        <v>21</v>
      </c>
      <c r="K2255">
        <v>24</v>
      </c>
      <c r="L2255">
        <v>29.31</v>
      </c>
      <c r="M2255">
        <v>3.5</v>
      </c>
      <c r="N2255" t="s">
        <v>22</v>
      </c>
      <c r="O2255" t="str">
        <f t="shared" si="35"/>
        <v>Yes</v>
      </c>
    </row>
    <row r="2256" spans="1:15" x14ac:dyDescent="0.25">
      <c r="A2256" t="s">
        <v>2317</v>
      </c>
      <c r="B2256" s="1">
        <v>45711</v>
      </c>
      <c r="C2256" s="2">
        <v>45711.458333333336</v>
      </c>
      <c r="D2256" t="s">
        <v>38</v>
      </c>
      <c r="E2256" t="s">
        <v>16</v>
      </c>
      <c r="F2256" t="s">
        <v>58</v>
      </c>
      <c r="G2256" t="s">
        <v>41</v>
      </c>
      <c r="H2256" t="s">
        <v>19</v>
      </c>
      <c r="I2256" t="s">
        <v>45</v>
      </c>
      <c r="J2256" t="s">
        <v>46</v>
      </c>
      <c r="K2256">
        <v>8</v>
      </c>
      <c r="L2256">
        <v>11</v>
      </c>
      <c r="M2256">
        <v>3</v>
      </c>
      <c r="N2256" t="s">
        <v>22</v>
      </c>
      <c r="O2256" t="str">
        <f t="shared" si="35"/>
        <v>Yes</v>
      </c>
    </row>
    <row r="2257" spans="1:15" x14ac:dyDescent="0.25">
      <c r="A2257" t="s">
        <v>2318</v>
      </c>
      <c r="B2257" s="1">
        <v>45782</v>
      </c>
      <c r="C2257" s="2">
        <v>45782.563750000001</v>
      </c>
      <c r="D2257" t="s">
        <v>24</v>
      </c>
      <c r="E2257" t="s">
        <v>39</v>
      </c>
      <c r="F2257" t="s">
        <v>87</v>
      </c>
      <c r="G2257" t="s">
        <v>18</v>
      </c>
      <c r="H2257" t="s">
        <v>65</v>
      </c>
      <c r="I2257" t="s">
        <v>20</v>
      </c>
      <c r="J2257" t="s">
        <v>46</v>
      </c>
      <c r="K2257">
        <v>24</v>
      </c>
      <c r="L2257">
        <v>13.53</v>
      </c>
      <c r="M2257">
        <v>4.2</v>
      </c>
      <c r="N2257" t="s">
        <v>22</v>
      </c>
      <c r="O2257" t="str">
        <f t="shared" si="35"/>
        <v>No</v>
      </c>
    </row>
    <row r="2258" spans="1:15" x14ac:dyDescent="0.25">
      <c r="A2258" t="s">
        <v>2319</v>
      </c>
      <c r="B2258" s="1">
        <v>45802</v>
      </c>
      <c r="C2258" s="2">
        <v>45802.143750000003</v>
      </c>
      <c r="D2258" t="s">
        <v>24</v>
      </c>
      <c r="E2258" t="s">
        <v>25</v>
      </c>
      <c r="F2258" t="s">
        <v>48</v>
      </c>
      <c r="G2258" t="s">
        <v>51</v>
      </c>
      <c r="H2258" t="s">
        <v>65</v>
      </c>
      <c r="I2258" t="s">
        <v>45</v>
      </c>
      <c r="J2258" t="s">
        <v>29</v>
      </c>
      <c r="K2258">
        <v>24</v>
      </c>
      <c r="L2258">
        <v>3.45</v>
      </c>
      <c r="M2258">
        <v>4.8</v>
      </c>
      <c r="N2258" t="s">
        <v>22</v>
      </c>
      <c r="O2258" t="str">
        <f t="shared" si="35"/>
        <v>No</v>
      </c>
    </row>
    <row r="2259" spans="1:15" x14ac:dyDescent="0.25">
      <c r="A2259" t="s">
        <v>2320</v>
      </c>
      <c r="B2259" s="1">
        <v>45776</v>
      </c>
      <c r="C2259" s="2">
        <v>45776.066666666666</v>
      </c>
      <c r="D2259" t="s">
        <v>31</v>
      </c>
      <c r="E2259" t="s">
        <v>16</v>
      </c>
      <c r="F2259" t="s">
        <v>17</v>
      </c>
      <c r="G2259" t="s">
        <v>18</v>
      </c>
      <c r="H2259" t="s">
        <v>65</v>
      </c>
      <c r="I2259" t="s">
        <v>36</v>
      </c>
      <c r="J2259" t="s">
        <v>21</v>
      </c>
      <c r="K2259">
        <v>4</v>
      </c>
      <c r="L2259">
        <v>1.6</v>
      </c>
      <c r="M2259">
        <v>4.0999999999999996</v>
      </c>
      <c r="N2259" t="s">
        <v>22</v>
      </c>
      <c r="O2259" t="str">
        <f t="shared" si="35"/>
        <v>No</v>
      </c>
    </row>
    <row r="2260" spans="1:15" x14ac:dyDescent="0.25">
      <c r="A2260" t="s">
        <v>2321</v>
      </c>
      <c r="B2260" s="1">
        <v>45658</v>
      </c>
      <c r="C2260" s="2">
        <v>45662.958333333336</v>
      </c>
      <c r="D2260" t="s">
        <v>15</v>
      </c>
      <c r="E2260" t="s">
        <v>32</v>
      </c>
      <c r="F2260" t="s">
        <v>64</v>
      </c>
      <c r="G2260" t="s">
        <v>51</v>
      </c>
      <c r="H2260" t="s">
        <v>54</v>
      </c>
      <c r="I2260" t="s">
        <v>36</v>
      </c>
      <c r="J2260" t="s">
        <v>46</v>
      </c>
      <c r="K2260">
        <v>48</v>
      </c>
      <c r="L2260">
        <v>119</v>
      </c>
      <c r="M2260">
        <v>2.6</v>
      </c>
      <c r="N2260" t="s">
        <v>61</v>
      </c>
      <c r="O2260" t="str">
        <f t="shared" si="35"/>
        <v>Yes</v>
      </c>
    </row>
    <row r="2261" spans="1:15" x14ac:dyDescent="0.25">
      <c r="A2261" t="s">
        <v>2322</v>
      </c>
      <c r="B2261" s="1">
        <v>45837</v>
      </c>
      <c r="C2261" s="2">
        <v>45837.050833333335</v>
      </c>
      <c r="D2261" t="s">
        <v>38</v>
      </c>
      <c r="E2261" t="s">
        <v>32</v>
      </c>
      <c r="F2261" t="s">
        <v>33</v>
      </c>
      <c r="G2261" t="s">
        <v>56</v>
      </c>
      <c r="H2261" t="s">
        <v>35</v>
      </c>
      <c r="I2261" t="s">
        <v>36</v>
      </c>
      <c r="J2261" t="s">
        <v>21</v>
      </c>
      <c r="K2261">
        <v>8</v>
      </c>
      <c r="L2261">
        <v>1.22</v>
      </c>
      <c r="M2261">
        <v>5</v>
      </c>
      <c r="N2261" t="s">
        <v>61</v>
      </c>
      <c r="O2261" t="str">
        <f t="shared" si="35"/>
        <v>No</v>
      </c>
    </row>
    <row r="2262" spans="1:15" x14ac:dyDescent="0.25">
      <c r="A2262" t="s">
        <v>2323</v>
      </c>
      <c r="B2262" s="1">
        <v>45662</v>
      </c>
      <c r="C2262" s="2">
        <v>45662.620416666665</v>
      </c>
      <c r="D2262" t="s">
        <v>24</v>
      </c>
      <c r="E2262" t="s">
        <v>45</v>
      </c>
      <c r="F2262" t="s">
        <v>100</v>
      </c>
      <c r="G2262" t="s">
        <v>56</v>
      </c>
      <c r="H2262" t="s">
        <v>19</v>
      </c>
      <c r="I2262" t="s">
        <v>45</v>
      </c>
      <c r="J2262" t="s">
        <v>21</v>
      </c>
      <c r="K2262">
        <v>24</v>
      </c>
      <c r="L2262">
        <v>14.89</v>
      </c>
      <c r="M2262">
        <v>3.5</v>
      </c>
      <c r="N2262" t="s">
        <v>22</v>
      </c>
      <c r="O2262" t="str">
        <f t="shared" si="35"/>
        <v>No</v>
      </c>
    </row>
    <row r="2263" spans="1:15" x14ac:dyDescent="0.25">
      <c r="A2263" t="s">
        <v>2324</v>
      </c>
      <c r="B2263" s="1">
        <v>45838</v>
      </c>
      <c r="C2263" s="2">
        <v>45838.284583333334</v>
      </c>
      <c r="D2263" t="s">
        <v>24</v>
      </c>
      <c r="E2263" t="s">
        <v>32</v>
      </c>
      <c r="F2263" t="s">
        <v>80</v>
      </c>
      <c r="G2263" t="s">
        <v>41</v>
      </c>
      <c r="H2263" t="s">
        <v>65</v>
      </c>
      <c r="I2263" t="s">
        <v>28</v>
      </c>
      <c r="J2263" t="s">
        <v>46</v>
      </c>
      <c r="K2263">
        <v>24</v>
      </c>
      <c r="L2263">
        <v>6.83</v>
      </c>
      <c r="M2263">
        <v>4.8</v>
      </c>
      <c r="N2263" t="s">
        <v>22</v>
      </c>
      <c r="O2263" t="str">
        <f t="shared" si="35"/>
        <v>No</v>
      </c>
    </row>
    <row r="2264" spans="1:15" x14ac:dyDescent="0.25">
      <c r="A2264" t="s">
        <v>2325</v>
      </c>
      <c r="B2264" s="1">
        <v>45663</v>
      </c>
      <c r="C2264" s="2">
        <v>45663.588750000003</v>
      </c>
      <c r="D2264" t="s">
        <v>38</v>
      </c>
      <c r="E2264" t="s">
        <v>25</v>
      </c>
      <c r="F2264" t="s">
        <v>70</v>
      </c>
      <c r="G2264" t="s">
        <v>51</v>
      </c>
      <c r="H2264" t="s">
        <v>27</v>
      </c>
      <c r="I2264" t="s">
        <v>20</v>
      </c>
      <c r="J2264" t="s">
        <v>21</v>
      </c>
      <c r="K2264">
        <v>8</v>
      </c>
      <c r="L2264">
        <v>14.13</v>
      </c>
      <c r="M2264">
        <v>2</v>
      </c>
      <c r="N2264" t="s">
        <v>22</v>
      </c>
      <c r="O2264" t="str">
        <f t="shared" si="35"/>
        <v>Yes</v>
      </c>
    </row>
    <row r="2265" spans="1:15" x14ac:dyDescent="0.25">
      <c r="A2265" t="s">
        <v>2326</v>
      </c>
      <c r="B2265" s="1">
        <v>45751</v>
      </c>
      <c r="C2265" s="2">
        <v>45751.661249999997</v>
      </c>
      <c r="D2265" t="s">
        <v>24</v>
      </c>
      <c r="E2265" t="s">
        <v>39</v>
      </c>
      <c r="F2265" t="s">
        <v>78</v>
      </c>
      <c r="G2265" t="s">
        <v>34</v>
      </c>
      <c r="H2265" t="s">
        <v>35</v>
      </c>
      <c r="I2265" t="s">
        <v>20</v>
      </c>
      <c r="J2265" t="s">
        <v>46</v>
      </c>
      <c r="K2265">
        <v>24</v>
      </c>
      <c r="L2265">
        <v>15.87</v>
      </c>
      <c r="M2265">
        <v>3.1</v>
      </c>
      <c r="N2265" t="s">
        <v>22</v>
      </c>
      <c r="O2265" t="str">
        <f t="shared" si="35"/>
        <v>No</v>
      </c>
    </row>
    <row r="2266" spans="1:15" x14ac:dyDescent="0.25">
      <c r="A2266" t="s">
        <v>2327</v>
      </c>
      <c r="B2266" s="1">
        <v>45677</v>
      </c>
      <c r="C2266" s="2">
        <v>45677.287083333336</v>
      </c>
      <c r="D2266" t="s">
        <v>24</v>
      </c>
      <c r="E2266" t="s">
        <v>39</v>
      </c>
      <c r="F2266" t="s">
        <v>87</v>
      </c>
      <c r="G2266" t="s">
        <v>34</v>
      </c>
      <c r="H2266" t="s">
        <v>44</v>
      </c>
      <c r="I2266" t="s">
        <v>45</v>
      </c>
      <c r="J2266" t="s">
        <v>21</v>
      </c>
      <c r="K2266">
        <v>24</v>
      </c>
      <c r="L2266">
        <v>6.89</v>
      </c>
      <c r="M2266">
        <v>5</v>
      </c>
      <c r="N2266" t="s">
        <v>22</v>
      </c>
      <c r="O2266" t="str">
        <f t="shared" si="35"/>
        <v>No</v>
      </c>
    </row>
    <row r="2267" spans="1:15" x14ac:dyDescent="0.25">
      <c r="A2267" t="s">
        <v>2328</v>
      </c>
      <c r="B2267" s="1">
        <v>45675</v>
      </c>
      <c r="C2267" s="2">
        <v>45675.706666666665</v>
      </c>
      <c r="D2267" t="s">
        <v>15</v>
      </c>
      <c r="E2267" t="s">
        <v>16</v>
      </c>
      <c r="F2267" t="s">
        <v>17</v>
      </c>
      <c r="G2267" t="s">
        <v>18</v>
      </c>
      <c r="H2267" t="s">
        <v>35</v>
      </c>
      <c r="I2267" t="s">
        <v>28</v>
      </c>
      <c r="J2267" t="s">
        <v>21</v>
      </c>
      <c r="K2267">
        <v>48</v>
      </c>
      <c r="L2267">
        <v>16.96</v>
      </c>
      <c r="M2267">
        <v>5</v>
      </c>
      <c r="N2267" t="s">
        <v>22</v>
      </c>
      <c r="O2267" t="str">
        <f t="shared" si="35"/>
        <v>No</v>
      </c>
    </row>
    <row r="2268" spans="1:15" x14ac:dyDescent="0.25">
      <c r="A2268" t="s">
        <v>2329</v>
      </c>
      <c r="B2268" s="1">
        <v>45781</v>
      </c>
      <c r="C2268" s="2">
        <v>45781.077499999999</v>
      </c>
      <c r="D2268" t="s">
        <v>24</v>
      </c>
      <c r="E2268" t="s">
        <v>32</v>
      </c>
      <c r="F2268" t="s">
        <v>75</v>
      </c>
      <c r="G2268" t="s">
        <v>51</v>
      </c>
      <c r="H2268" t="s">
        <v>44</v>
      </c>
      <c r="I2268" t="s">
        <v>20</v>
      </c>
      <c r="J2268" t="s">
        <v>46</v>
      </c>
      <c r="K2268">
        <v>24</v>
      </c>
      <c r="L2268">
        <v>1.86</v>
      </c>
      <c r="M2268">
        <v>4.7</v>
      </c>
      <c r="N2268" t="s">
        <v>22</v>
      </c>
      <c r="O2268" t="str">
        <f t="shared" si="35"/>
        <v>No</v>
      </c>
    </row>
    <row r="2269" spans="1:15" x14ac:dyDescent="0.25">
      <c r="A2269" t="s">
        <v>2330</v>
      </c>
      <c r="B2269" s="1">
        <v>45789</v>
      </c>
      <c r="C2269" s="2">
        <v>45789.613333333335</v>
      </c>
      <c r="D2269" t="s">
        <v>24</v>
      </c>
      <c r="E2269" t="s">
        <v>16</v>
      </c>
      <c r="F2269" t="s">
        <v>43</v>
      </c>
      <c r="G2269" t="s">
        <v>41</v>
      </c>
      <c r="H2269" t="s">
        <v>44</v>
      </c>
      <c r="I2269" t="s">
        <v>36</v>
      </c>
      <c r="J2269" t="s">
        <v>21</v>
      </c>
      <c r="K2269">
        <v>24</v>
      </c>
      <c r="L2269">
        <v>14.72</v>
      </c>
      <c r="M2269">
        <v>5</v>
      </c>
      <c r="N2269" t="s">
        <v>22</v>
      </c>
      <c r="O2269" t="str">
        <f t="shared" si="35"/>
        <v>No</v>
      </c>
    </row>
    <row r="2270" spans="1:15" x14ac:dyDescent="0.25">
      <c r="A2270" t="s">
        <v>2331</v>
      </c>
      <c r="B2270" s="1">
        <v>45679</v>
      </c>
      <c r="C2270" s="2">
        <v>45680.254166666666</v>
      </c>
      <c r="D2270" t="s">
        <v>15</v>
      </c>
      <c r="E2270" t="s">
        <v>16</v>
      </c>
      <c r="F2270" t="s">
        <v>60</v>
      </c>
      <c r="G2270" t="s">
        <v>51</v>
      </c>
      <c r="H2270" t="s">
        <v>44</v>
      </c>
      <c r="I2270" t="s">
        <v>45</v>
      </c>
      <c r="J2270" t="s">
        <v>46</v>
      </c>
      <c r="K2270">
        <v>48</v>
      </c>
      <c r="L2270">
        <v>30.1</v>
      </c>
      <c r="M2270">
        <v>3.8</v>
      </c>
      <c r="N2270" t="s">
        <v>22</v>
      </c>
      <c r="O2270" t="str">
        <f t="shared" si="35"/>
        <v>No</v>
      </c>
    </row>
    <row r="2271" spans="1:15" x14ac:dyDescent="0.25">
      <c r="A2271" t="s">
        <v>2332</v>
      </c>
      <c r="B2271" s="1">
        <v>45834</v>
      </c>
      <c r="C2271" s="2">
        <v>45834.15</v>
      </c>
      <c r="D2271" t="s">
        <v>24</v>
      </c>
      <c r="E2271" t="s">
        <v>32</v>
      </c>
      <c r="F2271" t="s">
        <v>75</v>
      </c>
      <c r="G2271" t="s">
        <v>56</v>
      </c>
      <c r="H2271" t="s">
        <v>19</v>
      </c>
      <c r="I2271" t="s">
        <v>36</v>
      </c>
      <c r="J2271" t="s">
        <v>29</v>
      </c>
      <c r="K2271">
        <v>24</v>
      </c>
      <c r="L2271">
        <v>3.6</v>
      </c>
      <c r="M2271">
        <v>4.7</v>
      </c>
      <c r="N2271" t="s">
        <v>22</v>
      </c>
      <c r="O2271" t="str">
        <f t="shared" si="35"/>
        <v>No</v>
      </c>
    </row>
    <row r="2272" spans="1:15" x14ac:dyDescent="0.25">
      <c r="A2272" t="s">
        <v>2333</v>
      </c>
      <c r="B2272" s="1">
        <v>45716</v>
      </c>
      <c r="C2272" s="2">
        <v>45716.780416666668</v>
      </c>
      <c r="D2272" t="s">
        <v>24</v>
      </c>
      <c r="E2272" t="s">
        <v>39</v>
      </c>
      <c r="F2272" t="s">
        <v>87</v>
      </c>
      <c r="G2272" t="s">
        <v>34</v>
      </c>
      <c r="H2272" t="s">
        <v>35</v>
      </c>
      <c r="I2272" t="s">
        <v>36</v>
      </c>
      <c r="J2272" t="s">
        <v>21</v>
      </c>
      <c r="K2272">
        <v>24</v>
      </c>
      <c r="L2272">
        <v>18.73</v>
      </c>
      <c r="M2272">
        <v>5</v>
      </c>
      <c r="N2272" t="s">
        <v>22</v>
      </c>
      <c r="O2272" t="str">
        <f t="shared" si="35"/>
        <v>No</v>
      </c>
    </row>
    <row r="2273" spans="1:15" x14ac:dyDescent="0.25">
      <c r="A2273" t="s">
        <v>2334</v>
      </c>
      <c r="B2273" s="1">
        <v>45715</v>
      </c>
      <c r="C2273" s="2">
        <v>45716.362083333333</v>
      </c>
      <c r="D2273" t="s">
        <v>24</v>
      </c>
      <c r="E2273" t="s">
        <v>25</v>
      </c>
      <c r="F2273" t="s">
        <v>48</v>
      </c>
      <c r="G2273" t="s">
        <v>51</v>
      </c>
      <c r="H2273" t="s">
        <v>35</v>
      </c>
      <c r="I2273" t="s">
        <v>36</v>
      </c>
      <c r="J2273" t="s">
        <v>21</v>
      </c>
      <c r="K2273">
        <v>24</v>
      </c>
      <c r="L2273">
        <v>32.69</v>
      </c>
      <c r="M2273">
        <v>2.8</v>
      </c>
      <c r="N2273" t="s">
        <v>22</v>
      </c>
      <c r="O2273" t="str">
        <f t="shared" si="35"/>
        <v>Yes</v>
      </c>
    </row>
    <row r="2274" spans="1:15" x14ac:dyDescent="0.25">
      <c r="A2274" t="s">
        <v>2335</v>
      </c>
      <c r="B2274" s="1">
        <v>45711</v>
      </c>
      <c r="C2274" s="2">
        <v>45711.366666666669</v>
      </c>
      <c r="D2274" t="s">
        <v>15</v>
      </c>
      <c r="E2274" t="s">
        <v>25</v>
      </c>
      <c r="F2274" t="s">
        <v>48</v>
      </c>
      <c r="G2274" t="s">
        <v>41</v>
      </c>
      <c r="H2274" t="s">
        <v>35</v>
      </c>
      <c r="I2274" t="s">
        <v>36</v>
      </c>
      <c r="J2274" t="s">
        <v>21</v>
      </c>
      <c r="K2274">
        <v>48</v>
      </c>
      <c r="L2274">
        <v>8.8000000000000007</v>
      </c>
      <c r="M2274">
        <v>5</v>
      </c>
      <c r="N2274" t="s">
        <v>22</v>
      </c>
      <c r="O2274" t="str">
        <f t="shared" si="35"/>
        <v>No</v>
      </c>
    </row>
    <row r="2275" spans="1:15" x14ac:dyDescent="0.25">
      <c r="A2275" t="s">
        <v>2336</v>
      </c>
      <c r="B2275" s="1">
        <v>45741</v>
      </c>
      <c r="C2275" s="2">
        <v>45741.767500000002</v>
      </c>
      <c r="D2275" t="s">
        <v>24</v>
      </c>
      <c r="E2275" t="s">
        <v>16</v>
      </c>
      <c r="F2275" t="s">
        <v>43</v>
      </c>
      <c r="G2275" t="s">
        <v>34</v>
      </c>
      <c r="H2275" t="s">
        <v>35</v>
      </c>
      <c r="I2275" t="s">
        <v>36</v>
      </c>
      <c r="J2275" t="s">
        <v>21</v>
      </c>
      <c r="K2275">
        <v>24</v>
      </c>
      <c r="L2275">
        <v>18.420000000000002</v>
      </c>
      <c r="M2275">
        <v>3.9</v>
      </c>
      <c r="N2275" t="s">
        <v>22</v>
      </c>
      <c r="O2275" t="str">
        <f t="shared" si="35"/>
        <v>No</v>
      </c>
    </row>
    <row r="2276" spans="1:15" x14ac:dyDescent="0.25">
      <c r="A2276" t="s">
        <v>2337</v>
      </c>
      <c r="B2276" s="1">
        <v>45690</v>
      </c>
      <c r="C2276" s="2">
        <v>45691.562916666669</v>
      </c>
      <c r="D2276" t="s">
        <v>15</v>
      </c>
      <c r="E2276" t="s">
        <v>25</v>
      </c>
      <c r="F2276" t="s">
        <v>48</v>
      </c>
      <c r="G2276" t="s">
        <v>51</v>
      </c>
      <c r="H2276" t="s">
        <v>27</v>
      </c>
      <c r="I2276" t="s">
        <v>36</v>
      </c>
      <c r="J2276" t="s">
        <v>46</v>
      </c>
      <c r="K2276">
        <v>48</v>
      </c>
      <c r="L2276">
        <v>37.51</v>
      </c>
      <c r="M2276">
        <v>3.6</v>
      </c>
      <c r="N2276" t="s">
        <v>61</v>
      </c>
      <c r="O2276" t="str">
        <f t="shared" si="35"/>
        <v>No</v>
      </c>
    </row>
    <row r="2277" spans="1:15" x14ac:dyDescent="0.25">
      <c r="A2277" t="s">
        <v>2338</v>
      </c>
      <c r="B2277" s="1">
        <v>45734</v>
      </c>
      <c r="C2277" s="2">
        <v>45735.131666666668</v>
      </c>
      <c r="D2277" t="s">
        <v>15</v>
      </c>
      <c r="E2277" t="s">
        <v>32</v>
      </c>
      <c r="F2277" t="s">
        <v>33</v>
      </c>
      <c r="G2277" t="s">
        <v>18</v>
      </c>
      <c r="H2277" t="s">
        <v>35</v>
      </c>
      <c r="I2277" t="s">
        <v>28</v>
      </c>
      <c r="J2277" t="s">
        <v>29</v>
      </c>
      <c r="K2277">
        <v>48</v>
      </c>
      <c r="L2277">
        <v>27.16</v>
      </c>
      <c r="M2277">
        <v>4</v>
      </c>
      <c r="N2277" t="s">
        <v>22</v>
      </c>
      <c r="O2277" t="str">
        <f t="shared" si="35"/>
        <v>No</v>
      </c>
    </row>
    <row r="2278" spans="1:15" x14ac:dyDescent="0.25">
      <c r="A2278" t="s">
        <v>2339</v>
      </c>
      <c r="B2278" s="1">
        <v>45696</v>
      </c>
      <c r="C2278" s="2">
        <v>45696.594166666669</v>
      </c>
      <c r="D2278" t="s">
        <v>24</v>
      </c>
      <c r="E2278" t="s">
        <v>32</v>
      </c>
      <c r="F2278" t="s">
        <v>33</v>
      </c>
      <c r="G2278" t="s">
        <v>18</v>
      </c>
      <c r="H2278" t="s">
        <v>44</v>
      </c>
      <c r="I2278" t="s">
        <v>36</v>
      </c>
      <c r="J2278" t="s">
        <v>21</v>
      </c>
      <c r="K2278">
        <v>24</v>
      </c>
      <c r="L2278">
        <v>14.26</v>
      </c>
      <c r="M2278">
        <v>2.9</v>
      </c>
      <c r="N2278" t="s">
        <v>22</v>
      </c>
      <c r="O2278" t="str">
        <f t="shared" si="35"/>
        <v>No</v>
      </c>
    </row>
    <row r="2279" spans="1:15" x14ac:dyDescent="0.25">
      <c r="A2279" t="s">
        <v>2340</v>
      </c>
      <c r="B2279" s="1">
        <v>45667</v>
      </c>
      <c r="C2279" s="2">
        <v>45667.684999999998</v>
      </c>
      <c r="D2279" t="s">
        <v>15</v>
      </c>
      <c r="E2279" t="s">
        <v>16</v>
      </c>
      <c r="F2279" t="s">
        <v>17</v>
      </c>
      <c r="G2279" t="s">
        <v>41</v>
      </c>
      <c r="H2279" t="s">
        <v>54</v>
      </c>
      <c r="I2279" t="s">
        <v>20</v>
      </c>
      <c r="J2279" t="s">
        <v>21</v>
      </c>
      <c r="K2279">
        <v>48</v>
      </c>
      <c r="L2279">
        <v>16.440000000000001</v>
      </c>
      <c r="M2279">
        <v>5</v>
      </c>
      <c r="N2279" t="s">
        <v>22</v>
      </c>
      <c r="O2279" t="str">
        <f t="shared" si="35"/>
        <v>No</v>
      </c>
    </row>
    <row r="2280" spans="1:15" x14ac:dyDescent="0.25">
      <c r="A2280" t="s">
        <v>2341</v>
      </c>
      <c r="B2280" s="1">
        <v>45724</v>
      </c>
      <c r="C2280" s="2">
        <v>45724.147916666669</v>
      </c>
      <c r="D2280" t="s">
        <v>15</v>
      </c>
      <c r="E2280" t="s">
        <v>16</v>
      </c>
      <c r="F2280" t="s">
        <v>58</v>
      </c>
      <c r="G2280" t="s">
        <v>18</v>
      </c>
      <c r="H2280" t="s">
        <v>35</v>
      </c>
      <c r="I2280" t="s">
        <v>36</v>
      </c>
      <c r="J2280" t="s">
        <v>21</v>
      </c>
      <c r="K2280">
        <v>48</v>
      </c>
      <c r="L2280">
        <v>3.55</v>
      </c>
      <c r="M2280">
        <v>5</v>
      </c>
      <c r="N2280" t="s">
        <v>22</v>
      </c>
      <c r="O2280" t="str">
        <f t="shared" si="35"/>
        <v>No</v>
      </c>
    </row>
    <row r="2281" spans="1:15" x14ac:dyDescent="0.25">
      <c r="A2281" t="s">
        <v>2342</v>
      </c>
      <c r="B2281" s="1">
        <v>45779</v>
      </c>
      <c r="C2281" s="2">
        <v>45779.650416666664</v>
      </c>
      <c r="D2281" t="s">
        <v>24</v>
      </c>
      <c r="E2281" t="s">
        <v>25</v>
      </c>
      <c r="F2281" t="s">
        <v>48</v>
      </c>
      <c r="G2281" t="s">
        <v>34</v>
      </c>
      <c r="H2281" t="s">
        <v>19</v>
      </c>
      <c r="I2281" t="s">
        <v>28</v>
      </c>
      <c r="J2281" t="s">
        <v>21</v>
      </c>
      <c r="K2281">
        <v>24</v>
      </c>
      <c r="L2281">
        <v>15.61</v>
      </c>
      <c r="M2281">
        <v>4.0999999999999996</v>
      </c>
      <c r="N2281" t="s">
        <v>22</v>
      </c>
      <c r="O2281" t="str">
        <f t="shared" si="35"/>
        <v>No</v>
      </c>
    </row>
    <row r="2282" spans="1:15" x14ac:dyDescent="0.25">
      <c r="A2282" t="s">
        <v>2343</v>
      </c>
      <c r="B2282" s="1">
        <v>45796</v>
      </c>
      <c r="C2282" s="2">
        <v>45796.910833333335</v>
      </c>
      <c r="D2282" t="s">
        <v>24</v>
      </c>
      <c r="E2282" t="s">
        <v>32</v>
      </c>
      <c r="F2282" t="s">
        <v>80</v>
      </c>
      <c r="G2282" t="s">
        <v>34</v>
      </c>
      <c r="H2282" t="s">
        <v>27</v>
      </c>
      <c r="I2282" t="s">
        <v>20</v>
      </c>
      <c r="J2282" t="s">
        <v>21</v>
      </c>
      <c r="K2282">
        <v>24</v>
      </c>
      <c r="L2282">
        <v>21.86</v>
      </c>
      <c r="M2282">
        <v>3.5</v>
      </c>
      <c r="N2282" t="s">
        <v>22</v>
      </c>
      <c r="O2282" t="str">
        <f t="shared" si="35"/>
        <v>No</v>
      </c>
    </row>
    <row r="2283" spans="1:15" x14ac:dyDescent="0.25">
      <c r="A2283" t="s">
        <v>2344</v>
      </c>
      <c r="B2283" s="1">
        <v>45721</v>
      </c>
      <c r="C2283" s="2">
        <v>45721.037916666668</v>
      </c>
      <c r="D2283" t="s">
        <v>31</v>
      </c>
      <c r="E2283" t="s">
        <v>16</v>
      </c>
      <c r="F2283" t="s">
        <v>43</v>
      </c>
      <c r="G2283" t="s">
        <v>56</v>
      </c>
      <c r="H2283" t="s">
        <v>65</v>
      </c>
      <c r="I2283" t="s">
        <v>28</v>
      </c>
      <c r="J2283" t="s">
        <v>29</v>
      </c>
      <c r="K2283">
        <v>4</v>
      </c>
      <c r="L2283">
        <v>0.91</v>
      </c>
      <c r="M2283">
        <v>4.9000000000000004</v>
      </c>
      <c r="N2283" t="s">
        <v>22</v>
      </c>
      <c r="O2283" t="str">
        <f t="shared" si="35"/>
        <v>No</v>
      </c>
    </row>
    <row r="2284" spans="1:15" x14ac:dyDescent="0.25">
      <c r="A2284" t="s">
        <v>2345</v>
      </c>
      <c r="B2284" s="1">
        <v>45716</v>
      </c>
      <c r="C2284" s="2">
        <v>45716.096666666665</v>
      </c>
      <c r="D2284" t="s">
        <v>38</v>
      </c>
      <c r="E2284" t="s">
        <v>16</v>
      </c>
      <c r="F2284" t="s">
        <v>60</v>
      </c>
      <c r="G2284" t="s">
        <v>18</v>
      </c>
      <c r="H2284" t="s">
        <v>35</v>
      </c>
      <c r="I2284" t="s">
        <v>45</v>
      </c>
      <c r="J2284" t="s">
        <v>21</v>
      </c>
      <c r="K2284">
        <v>8</v>
      </c>
      <c r="L2284">
        <v>2.3199999999999998</v>
      </c>
      <c r="M2284">
        <v>5</v>
      </c>
      <c r="N2284" t="s">
        <v>22</v>
      </c>
      <c r="O2284" t="str">
        <f t="shared" si="35"/>
        <v>No</v>
      </c>
    </row>
    <row r="2285" spans="1:15" x14ac:dyDescent="0.25">
      <c r="A2285" t="s">
        <v>2346</v>
      </c>
      <c r="B2285" s="1">
        <v>45800</v>
      </c>
      <c r="C2285" s="2">
        <v>45800.260833333334</v>
      </c>
      <c r="D2285" t="s">
        <v>24</v>
      </c>
      <c r="E2285" t="s">
        <v>32</v>
      </c>
      <c r="F2285" t="s">
        <v>64</v>
      </c>
      <c r="G2285" t="s">
        <v>18</v>
      </c>
      <c r="H2285" t="s">
        <v>44</v>
      </c>
      <c r="I2285" t="s">
        <v>45</v>
      </c>
      <c r="J2285" t="s">
        <v>46</v>
      </c>
      <c r="K2285">
        <v>24</v>
      </c>
      <c r="L2285">
        <v>6.26</v>
      </c>
      <c r="M2285">
        <v>4.5</v>
      </c>
      <c r="N2285" t="s">
        <v>22</v>
      </c>
      <c r="O2285" t="str">
        <f t="shared" si="35"/>
        <v>No</v>
      </c>
    </row>
    <row r="2286" spans="1:15" x14ac:dyDescent="0.25">
      <c r="A2286" t="s">
        <v>2347</v>
      </c>
      <c r="B2286" s="1">
        <v>45781</v>
      </c>
      <c r="C2286" s="2">
        <v>45781.114166666666</v>
      </c>
      <c r="D2286" t="s">
        <v>31</v>
      </c>
      <c r="E2286" t="s">
        <v>16</v>
      </c>
      <c r="F2286" t="s">
        <v>43</v>
      </c>
      <c r="G2286" t="s">
        <v>34</v>
      </c>
      <c r="H2286" t="s">
        <v>35</v>
      </c>
      <c r="I2286" t="s">
        <v>36</v>
      </c>
      <c r="J2286" t="s">
        <v>21</v>
      </c>
      <c r="K2286">
        <v>4</v>
      </c>
      <c r="L2286">
        <v>2.74</v>
      </c>
      <c r="M2286">
        <v>4.8</v>
      </c>
      <c r="N2286" t="s">
        <v>22</v>
      </c>
      <c r="O2286" t="str">
        <f t="shared" si="35"/>
        <v>No</v>
      </c>
    </row>
    <row r="2287" spans="1:15" x14ac:dyDescent="0.25">
      <c r="A2287" t="s">
        <v>2348</v>
      </c>
      <c r="B2287" s="1">
        <v>45808</v>
      </c>
      <c r="C2287" s="2">
        <v>45808.205833333333</v>
      </c>
      <c r="D2287" t="s">
        <v>38</v>
      </c>
      <c r="E2287" t="s">
        <v>16</v>
      </c>
      <c r="F2287" t="s">
        <v>60</v>
      </c>
      <c r="G2287" t="s">
        <v>41</v>
      </c>
      <c r="H2287" t="s">
        <v>35</v>
      </c>
      <c r="I2287" t="s">
        <v>36</v>
      </c>
      <c r="J2287" t="s">
        <v>29</v>
      </c>
      <c r="K2287">
        <v>8</v>
      </c>
      <c r="L2287">
        <v>4.9400000000000004</v>
      </c>
      <c r="M2287">
        <v>4.4000000000000004</v>
      </c>
      <c r="N2287" t="s">
        <v>22</v>
      </c>
      <c r="O2287" t="str">
        <f t="shared" si="35"/>
        <v>No</v>
      </c>
    </row>
    <row r="2288" spans="1:15" x14ac:dyDescent="0.25">
      <c r="A2288" t="s">
        <v>2349</v>
      </c>
      <c r="B2288" s="1">
        <v>45822</v>
      </c>
      <c r="C2288" s="2">
        <v>45822.239999999998</v>
      </c>
      <c r="D2288" t="s">
        <v>24</v>
      </c>
      <c r="E2288" t="s">
        <v>32</v>
      </c>
      <c r="F2288" t="s">
        <v>33</v>
      </c>
      <c r="G2288" t="s">
        <v>51</v>
      </c>
      <c r="H2288" t="s">
        <v>35</v>
      </c>
      <c r="I2288" t="s">
        <v>20</v>
      </c>
      <c r="J2288" t="s">
        <v>29</v>
      </c>
      <c r="K2288">
        <v>24</v>
      </c>
      <c r="L2288">
        <v>5.76</v>
      </c>
      <c r="M2288">
        <v>4.7</v>
      </c>
      <c r="N2288" t="s">
        <v>22</v>
      </c>
      <c r="O2288" t="str">
        <f t="shared" si="35"/>
        <v>No</v>
      </c>
    </row>
    <row r="2289" spans="1:15" x14ac:dyDescent="0.25">
      <c r="A2289" t="s">
        <v>2350</v>
      </c>
      <c r="B2289" s="1">
        <v>45806</v>
      </c>
      <c r="C2289" s="2">
        <v>45806.162916666668</v>
      </c>
      <c r="D2289" t="s">
        <v>38</v>
      </c>
      <c r="E2289" t="s">
        <v>39</v>
      </c>
      <c r="F2289" t="s">
        <v>40</v>
      </c>
      <c r="G2289" t="s">
        <v>34</v>
      </c>
      <c r="H2289" t="s">
        <v>65</v>
      </c>
      <c r="I2289" t="s">
        <v>36</v>
      </c>
      <c r="J2289" t="s">
        <v>29</v>
      </c>
      <c r="K2289">
        <v>8</v>
      </c>
      <c r="L2289">
        <v>3.91</v>
      </c>
      <c r="M2289">
        <v>5</v>
      </c>
      <c r="N2289" t="s">
        <v>22</v>
      </c>
      <c r="O2289" t="str">
        <f t="shared" si="35"/>
        <v>No</v>
      </c>
    </row>
    <row r="2290" spans="1:15" x14ac:dyDescent="0.25">
      <c r="A2290" t="s">
        <v>2351</v>
      </c>
      <c r="B2290" s="1">
        <v>45827</v>
      </c>
      <c r="C2290" s="2">
        <v>45828.002083333333</v>
      </c>
      <c r="D2290" t="s">
        <v>15</v>
      </c>
      <c r="E2290" t="s">
        <v>32</v>
      </c>
      <c r="F2290" t="s">
        <v>80</v>
      </c>
      <c r="G2290" t="s">
        <v>34</v>
      </c>
      <c r="H2290" t="s">
        <v>44</v>
      </c>
      <c r="I2290" t="s">
        <v>36</v>
      </c>
      <c r="J2290" t="s">
        <v>21</v>
      </c>
      <c r="K2290">
        <v>48</v>
      </c>
      <c r="L2290">
        <v>24.05</v>
      </c>
      <c r="M2290">
        <v>4.0999999999999996</v>
      </c>
      <c r="N2290" t="s">
        <v>22</v>
      </c>
      <c r="O2290" t="str">
        <f t="shared" si="35"/>
        <v>No</v>
      </c>
    </row>
    <row r="2291" spans="1:15" x14ac:dyDescent="0.25">
      <c r="A2291" t="s">
        <v>2352</v>
      </c>
      <c r="B2291" s="1">
        <v>45733</v>
      </c>
      <c r="C2291" s="2">
        <v>45733.658750000002</v>
      </c>
      <c r="D2291" t="s">
        <v>24</v>
      </c>
      <c r="E2291" t="s">
        <v>45</v>
      </c>
      <c r="F2291" t="s">
        <v>112</v>
      </c>
      <c r="G2291" t="s">
        <v>51</v>
      </c>
      <c r="H2291" t="s">
        <v>54</v>
      </c>
      <c r="I2291" t="s">
        <v>20</v>
      </c>
      <c r="J2291" t="s">
        <v>21</v>
      </c>
      <c r="K2291">
        <v>24</v>
      </c>
      <c r="L2291">
        <v>15.81</v>
      </c>
      <c r="M2291">
        <v>3.4</v>
      </c>
      <c r="N2291" t="s">
        <v>22</v>
      </c>
      <c r="O2291" t="str">
        <f t="shared" si="35"/>
        <v>No</v>
      </c>
    </row>
    <row r="2292" spans="1:15" x14ac:dyDescent="0.25">
      <c r="A2292" t="s">
        <v>2353</v>
      </c>
      <c r="B2292" s="1">
        <v>45729</v>
      </c>
      <c r="C2292" s="2">
        <v>45729.373749999999</v>
      </c>
      <c r="D2292" t="s">
        <v>24</v>
      </c>
      <c r="E2292" t="s">
        <v>32</v>
      </c>
      <c r="F2292" t="s">
        <v>80</v>
      </c>
      <c r="G2292" t="s">
        <v>34</v>
      </c>
      <c r="H2292" t="s">
        <v>27</v>
      </c>
      <c r="I2292" t="s">
        <v>36</v>
      </c>
      <c r="J2292" t="s">
        <v>21</v>
      </c>
      <c r="K2292">
        <v>24</v>
      </c>
      <c r="L2292">
        <v>8.9700000000000006</v>
      </c>
      <c r="M2292">
        <v>4.5</v>
      </c>
      <c r="N2292" t="s">
        <v>22</v>
      </c>
      <c r="O2292" t="str">
        <f t="shared" si="35"/>
        <v>No</v>
      </c>
    </row>
    <row r="2293" spans="1:15" x14ac:dyDescent="0.25">
      <c r="A2293" t="s">
        <v>2354</v>
      </c>
      <c r="B2293" s="1">
        <v>45716</v>
      </c>
      <c r="C2293" s="2">
        <v>45718.181666666664</v>
      </c>
      <c r="D2293" t="s">
        <v>15</v>
      </c>
      <c r="E2293" t="s">
        <v>32</v>
      </c>
      <c r="F2293" t="s">
        <v>75</v>
      </c>
      <c r="G2293" t="s">
        <v>18</v>
      </c>
      <c r="H2293" t="s">
        <v>27</v>
      </c>
      <c r="I2293" t="s">
        <v>20</v>
      </c>
      <c r="J2293" t="s">
        <v>21</v>
      </c>
      <c r="K2293">
        <v>48</v>
      </c>
      <c r="L2293">
        <v>52.36</v>
      </c>
      <c r="M2293">
        <v>3.7</v>
      </c>
      <c r="N2293" t="s">
        <v>22</v>
      </c>
      <c r="O2293" t="str">
        <f t="shared" si="35"/>
        <v>Yes</v>
      </c>
    </row>
    <row r="2294" spans="1:15" x14ac:dyDescent="0.25">
      <c r="A2294" t="s">
        <v>2355</v>
      </c>
      <c r="B2294" s="1">
        <v>45700</v>
      </c>
      <c r="C2294" s="2">
        <v>45701.330416666664</v>
      </c>
      <c r="D2294" t="s">
        <v>15</v>
      </c>
      <c r="E2294" t="s">
        <v>32</v>
      </c>
      <c r="F2294" t="s">
        <v>75</v>
      </c>
      <c r="G2294" t="s">
        <v>34</v>
      </c>
      <c r="H2294" t="s">
        <v>65</v>
      </c>
      <c r="I2294" t="s">
        <v>36</v>
      </c>
      <c r="J2294" t="s">
        <v>46</v>
      </c>
      <c r="K2294">
        <v>48</v>
      </c>
      <c r="L2294">
        <v>31.93</v>
      </c>
      <c r="M2294">
        <v>4.0999999999999996</v>
      </c>
      <c r="N2294" t="s">
        <v>22</v>
      </c>
      <c r="O2294" t="str">
        <f t="shared" si="35"/>
        <v>No</v>
      </c>
    </row>
    <row r="2295" spans="1:15" x14ac:dyDescent="0.25">
      <c r="A2295" t="s">
        <v>2356</v>
      </c>
      <c r="B2295" s="1">
        <v>45793</v>
      </c>
      <c r="C2295" s="2">
        <v>45793.179583333331</v>
      </c>
      <c r="D2295" t="s">
        <v>31</v>
      </c>
      <c r="E2295" t="s">
        <v>32</v>
      </c>
      <c r="F2295" t="s">
        <v>64</v>
      </c>
      <c r="G2295" t="s">
        <v>41</v>
      </c>
      <c r="H2295" t="s">
        <v>27</v>
      </c>
      <c r="I2295" t="s">
        <v>36</v>
      </c>
      <c r="J2295" t="s">
        <v>85</v>
      </c>
      <c r="K2295">
        <v>4</v>
      </c>
      <c r="L2295">
        <v>4.3099999999999996</v>
      </c>
      <c r="M2295">
        <v>4.5</v>
      </c>
      <c r="N2295" t="s">
        <v>22</v>
      </c>
      <c r="O2295" t="str">
        <f t="shared" si="35"/>
        <v>Yes</v>
      </c>
    </row>
    <row r="2296" spans="1:15" x14ac:dyDescent="0.25">
      <c r="A2296" t="s">
        <v>2357</v>
      </c>
      <c r="B2296" s="1">
        <v>45787</v>
      </c>
      <c r="C2296" s="2">
        <v>45787.652916666666</v>
      </c>
      <c r="D2296" t="s">
        <v>24</v>
      </c>
      <c r="E2296" t="s">
        <v>32</v>
      </c>
      <c r="F2296" t="s">
        <v>75</v>
      </c>
      <c r="G2296" t="s">
        <v>41</v>
      </c>
      <c r="H2296" t="s">
        <v>35</v>
      </c>
      <c r="I2296" t="s">
        <v>36</v>
      </c>
      <c r="J2296" t="s">
        <v>46</v>
      </c>
      <c r="K2296">
        <v>24</v>
      </c>
      <c r="L2296">
        <v>15.67</v>
      </c>
      <c r="M2296">
        <v>4.5</v>
      </c>
      <c r="N2296" t="s">
        <v>22</v>
      </c>
      <c r="O2296" t="str">
        <f t="shared" si="35"/>
        <v>No</v>
      </c>
    </row>
    <row r="2297" spans="1:15" x14ac:dyDescent="0.25">
      <c r="A2297" t="s">
        <v>2358</v>
      </c>
      <c r="B2297" s="1">
        <v>45803</v>
      </c>
      <c r="C2297" s="2">
        <v>45804.38958333333</v>
      </c>
      <c r="D2297" t="s">
        <v>15</v>
      </c>
      <c r="E2297" t="s">
        <v>16</v>
      </c>
      <c r="F2297" t="s">
        <v>17</v>
      </c>
      <c r="G2297" t="s">
        <v>41</v>
      </c>
      <c r="H2297" t="s">
        <v>19</v>
      </c>
      <c r="I2297" t="s">
        <v>45</v>
      </c>
      <c r="J2297" t="s">
        <v>21</v>
      </c>
      <c r="K2297">
        <v>48</v>
      </c>
      <c r="L2297">
        <v>33.35</v>
      </c>
      <c r="M2297">
        <v>4.0999999999999996</v>
      </c>
      <c r="N2297" t="s">
        <v>22</v>
      </c>
      <c r="O2297" t="str">
        <f t="shared" si="35"/>
        <v>No</v>
      </c>
    </row>
    <row r="2298" spans="1:15" x14ac:dyDescent="0.25">
      <c r="A2298" t="s">
        <v>2359</v>
      </c>
      <c r="B2298" s="1">
        <v>45688</v>
      </c>
      <c r="C2298" s="2">
        <v>45688.246249999997</v>
      </c>
      <c r="D2298" t="s">
        <v>15</v>
      </c>
      <c r="E2298" t="s">
        <v>32</v>
      </c>
      <c r="F2298" t="s">
        <v>75</v>
      </c>
      <c r="G2298" t="s">
        <v>51</v>
      </c>
      <c r="H2298" t="s">
        <v>27</v>
      </c>
      <c r="I2298" t="s">
        <v>20</v>
      </c>
      <c r="J2298" t="s">
        <v>21</v>
      </c>
      <c r="K2298">
        <v>48</v>
      </c>
      <c r="L2298">
        <v>5.91</v>
      </c>
      <c r="M2298">
        <v>4.8</v>
      </c>
      <c r="N2298" t="s">
        <v>61</v>
      </c>
      <c r="O2298" t="str">
        <f t="shared" si="35"/>
        <v>No</v>
      </c>
    </row>
    <row r="2299" spans="1:15" x14ac:dyDescent="0.25">
      <c r="A2299" t="s">
        <v>2360</v>
      </c>
      <c r="B2299" s="1">
        <v>45746</v>
      </c>
      <c r="C2299" s="2">
        <v>45746.616666666669</v>
      </c>
      <c r="D2299" t="s">
        <v>24</v>
      </c>
      <c r="E2299" t="s">
        <v>39</v>
      </c>
      <c r="F2299" t="s">
        <v>40</v>
      </c>
      <c r="G2299" t="s">
        <v>18</v>
      </c>
      <c r="H2299" t="s">
        <v>44</v>
      </c>
      <c r="I2299" t="s">
        <v>20</v>
      </c>
      <c r="J2299" t="s">
        <v>46</v>
      </c>
      <c r="K2299">
        <v>24</v>
      </c>
      <c r="L2299">
        <v>14.8</v>
      </c>
      <c r="M2299">
        <v>4.3</v>
      </c>
      <c r="N2299" t="s">
        <v>22</v>
      </c>
      <c r="O2299" t="str">
        <f t="shared" si="35"/>
        <v>No</v>
      </c>
    </row>
    <row r="2300" spans="1:15" x14ac:dyDescent="0.25">
      <c r="A2300" t="s">
        <v>2361</v>
      </c>
      <c r="B2300" s="1">
        <v>45698</v>
      </c>
      <c r="C2300" s="2">
        <v>45698.16</v>
      </c>
      <c r="D2300" t="s">
        <v>38</v>
      </c>
      <c r="E2300" t="s">
        <v>32</v>
      </c>
      <c r="F2300" t="s">
        <v>75</v>
      </c>
      <c r="G2300" t="s">
        <v>51</v>
      </c>
      <c r="H2300" t="s">
        <v>44</v>
      </c>
      <c r="I2300" t="s">
        <v>36</v>
      </c>
      <c r="J2300" t="s">
        <v>21</v>
      </c>
      <c r="K2300">
        <v>8</v>
      </c>
      <c r="L2300">
        <v>3.84</v>
      </c>
      <c r="M2300">
        <v>4.8</v>
      </c>
      <c r="N2300" t="s">
        <v>22</v>
      </c>
      <c r="O2300" t="str">
        <f t="shared" si="35"/>
        <v>No</v>
      </c>
    </row>
    <row r="2301" spans="1:15" x14ac:dyDescent="0.25">
      <c r="A2301" t="s">
        <v>2362</v>
      </c>
      <c r="B2301" s="1">
        <v>45819</v>
      </c>
      <c r="C2301" s="2">
        <v>45819.385000000002</v>
      </c>
      <c r="D2301" t="s">
        <v>38</v>
      </c>
      <c r="E2301" t="s">
        <v>39</v>
      </c>
      <c r="F2301" t="s">
        <v>87</v>
      </c>
      <c r="G2301" t="s">
        <v>41</v>
      </c>
      <c r="H2301" t="s">
        <v>65</v>
      </c>
      <c r="I2301" t="s">
        <v>36</v>
      </c>
      <c r="J2301" t="s">
        <v>21</v>
      </c>
      <c r="K2301">
        <v>8</v>
      </c>
      <c r="L2301">
        <v>9.24</v>
      </c>
      <c r="M2301">
        <v>3.6</v>
      </c>
      <c r="N2301" t="s">
        <v>22</v>
      </c>
      <c r="O2301" t="str">
        <f t="shared" si="35"/>
        <v>Yes</v>
      </c>
    </row>
    <row r="2302" spans="1:15" x14ac:dyDescent="0.25">
      <c r="A2302" t="s">
        <v>2363</v>
      </c>
      <c r="B2302" s="1">
        <v>45706</v>
      </c>
      <c r="C2302" s="2">
        <v>45707.04583333333</v>
      </c>
      <c r="D2302" t="s">
        <v>24</v>
      </c>
      <c r="E2302" t="s">
        <v>32</v>
      </c>
      <c r="F2302" t="s">
        <v>64</v>
      </c>
      <c r="G2302" t="s">
        <v>51</v>
      </c>
      <c r="H2302" t="s">
        <v>44</v>
      </c>
      <c r="I2302" t="s">
        <v>20</v>
      </c>
      <c r="J2302" t="s">
        <v>21</v>
      </c>
      <c r="K2302">
        <v>24</v>
      </c>
      <c r="L2302">
        <v>25.1</v>
      </c>
      <c r="M2302">
        <v>3.6</v>
      </c>
      <c r="N2302" t="s">
        <v>22</v>
      </c>
      <c r="O2302" t="str">
        <f t="shared" si="35"/>
        <v>Yes</v>
      </c>
    </row>
    <row r="2303" spans="1:15" x14ac:dyDescent="0.25">
      <c r="A2303" t="s">
        <v>2364</v>
      </c>
      <c r="B2303" s="1">
        <v>45684</v>
      </c>
      <c r="C2303" s="2">
        <v>45686.47583333333</v>
      </c>
      <c r="D2303" t="s">
        <v>15</v>
      </c>
      <c r="E2303" t="s">
        <v>16</v>
      </c>
      <c r="F2303" t="s">
        <v>17</v>
      </c>
      <c r="G2303" t="s">
        <v>18</v>
      </c>
      <c r="H2303" t="s">
        <v>35</v>
      </c>
      <c r="I2303" t="s">
        <v>36</v>
      </c>
      <c r="J2303" t="s">
        <v>29</v>
      </c>
      <c r="K2303">
        <v>48</v>
      </c>
      <c r="L2303">
        <v>59.42</v>
      </c>
      <c r="M2303">
        <v>2.6</v>
      </c>
      <c r="N2303" t="s">
        <v>22</v>
      </c>
      <c r="O2303" t="str">
        <f t="shared" si="35"/>
        <v>Yes</v>
      </c>
    </row>
    <row r="2304" spans="1:15" x14ac:dyDescent="0.25">
      <c r="A2304" t="s">
        <v>2365</v>
      </c>
      <c r="B2304" s="1">
        <v>45761</v>
      </c>
      <c r="C2304" s="2">
        <v>45761.591249999998</v>
      </c>
      <c r="D2304" t="s">
        <v>15</v>
      </c>
      <c r="E2304" t="s">
        <v>16</v>
      </c>
      <c r="F2304" t="s">
        <v>60</v>
      </c>
      <c r="G2304" t="s">
        <v>56</v>
      </c>
      <c r="H2304" t="s">
        <v>54</v>
      </c>
      <c r="I2304" t="s">
        <v>36</v>
      </c>
      <c r="J2304" t="s">
        <v>21</v>
      </c>
      <c r="K2304">
        <v>48</v>
      </c>
      <c r="L2304">
        <v>14.19</v>
      </c>
      <c r="M2304">
        <v>4.2</v>
      </c>
      <c r="N2304" t="s">
        <v>22</v>
      </c>
      <c r="O2304" t="str">
        <f t="shared" si="35"/>
        <v>No</v>
      </c>
    </row>
    <row r="2305" spans="1:15" x14ac:dyDescent="0.25">
      <c r="A2305" t="s">
        <v>2366</v>
      </c>
      <c r="B2305" s="1">
        <v>45817</v>
      </c>
      <c r="C2305" s="2">
        <v>45817.5075</v>
      </c>
      <c r="D2305" t="s">
        <v>24</v>
      </c>
      <c r="E2305" t="s">
        <v>25</v>
      </c>
      <c r="F2305" t="s">
        <v>70</v>
      </c>
      <c r="G2305" t="s">
        <v>41</v>
      </c>
      <c r="H2305" t="s">
        <v>35</v>
      </c>
      <c r="I2305" t="s">
        <v>45</v>
      </c>
      <c r="J2305" t="s">
        <v>85</v>
      </c>
      <c r="K2305">
        <v>24</v>
      </c>
      <c r="L2305">
        <v>12.18</v>
      </c>
      <c r="M2305">
        <v>4.5999999999999996</v>
      </c>
      <c r="N2305" t="s">
        <v>22</v>
      </c>
      <c r="O2305" t="str">
        <f t="shared" si="35"/>
        <v>No</v>
      </c>
    </row>
    <row r="2306" spans="1:15" x14ac:dyDescent="0.25">
      <c r="A2306" t="s">
        <v>2367</v>
      </c>
      <c r="B2306" s="1">
        <v>45823</v>
      </c>
      <c r="C2306" s="2">
        <v>45823.439166666663</v>
      </c>
      <c r="D2306" t="s">
        <v>38</v>
      </c>
      <c r="E2306" t="s">
        <v>32</v>
      </c>
      <c r="F2306" t="s">
        <v>80</v>
      </c>
      <c r="G2306" t="s">
        <v>34</v>
      </c>
      <c r="H2306" t="s">
        <v>65</v>
      </c>
      <c r="I2306" t="s">
        <v>20</v>
      </c>
      <c r="J2306" t="s">
        <v>21</v>
      </c>
      <c r="K2306">
        <v>8</v>
      </c>
      <c r="L2306">
        <v>10.54</v>
      </c>
      <c r="M2306">
        <v>3.5</v>
      </c>
      <c r="N2306" t="s">
        <v>22</v>
      </c>
      <c r="O2306" t="str">
        <f t="shared" si="35"/>
        <v>Yes</v>
      </c>
    </row>
    <row r="2307" spans="1:15" x14ac:dyDescent="0.25">
      <c r="A2307" t="s">
        <v>2368</v>
      </c>
      <c r="B2307" s="1">
        <v>45675</v>
      </c>
      <c r="C2307" s="2">
        <v>45675.096250000002</v>
      </c>
      <c r="D2307" t="s">
        <v>38</v>
      </c>
      <c r="E2307" t="s">
        <v>25</v>
      </c>
      <c r="F2307" t="s">
        <v>48</v>
      </c>
      <c r="G2307" t="s">
        <v>18</v>
      </c>
      <c r="H2307" t="s">
        <v>35</v>
      </c>
      <c r="I2307" t="s">
        <v>36</v>
      </c>
      <c r="J2307" t="s">
        <v>46</v>
      </c>
      <c r="K2307">
        <v>8</v>
      </c>
      <c r="L2307">
        <v>2.31</v>
      </c>
      <c r="M2307">
        <v>3.7</v>
      </c>
      <c r="N2307" t="s">
        <v>22</v>
      </c>
      <c r="O2307" t="str">
        <f t="shared" ref="O2307:O2370" si="36">IF(L2307&gt;K2307,"Yes","No")</f>
        <v>No</v>
      </c>
    </row>
    <row r="2308" spans="1:15" x14ac:dyDescent="0.25">
      <c r="A2308" t="s">
        <v>2369</v>
      </c>
      <c r="B2308" s="1">
        <v>45716</v>
      </c>
      <c r="C2308" s="2">
        <v>45717.160833333335</v>
      </c>
      <c r="D2308" t="s">
        <v>24</v>
      </c>
      <c r="E2308" t="s">
        <v>16</v>
      </c>
      <c r="F2308" t="s">
        <v>43</v>
      </c>
      <c r="G2308" t="s">
        <v>51</v>
      </c>
      <c r="H2308" t="s">
        <v>65</v>
      </c>
      <c r="I2308" t="s">
        <v>36</v>
      </c>
      <c r="J2308" t="s">
        <v>46</v>
      </c>
      <c r="K2308">
        <v>24</v>
      </c>
      <c r="L2308">
        <v>27.86</v>
      </c>
      <c r="M2308">
        <v>3.2</v>
      </c>
      <c r="N2308" t="s">
        <v>22</v>
      </c>
      <c r="O2308" t="str">
        <f t="shared" si="36"/>
        <v>Yes</v>
      </c>
    </row>
    <row r="2309" spans="1:15" x14ac:dyDescent="0.25">
      <c r="A2309" t="s">
        <v>2370</v>
      </c>
      <c r="B2309" s="1">
        <v>45685</v>
      </c>
      <c r="C2309" s="2">
        <v>45686.075416666667</v>
      </c>
      <c r="D2309" t="s">
        <v>24</v>
      </c>
      <c r="E2309" t="s">
        <v>32</v>
      </c>
      <c r="F2309" t="s">
        <v>33</v>
      </c>
      <c r="G2309" t="s">
        <v>56</v>
      </c>
      <c r="H2309" t="s">
        <v>65</v>
      </c>
      <c r="I2309" t="s">
        <v>28</v>
      </c>
      <c r="J2309" t="s">
        <v>29</v>
      </c>
      <c r="K2309">
        <v>24</v>
      </c>
      <c r="L2309">
        <v>25.81</v>
      </c>
      <c r="M2309">
        <v>3.1</v>
      </c>
      <c r="N2309" t="s">
        <v>22</v>
      </c>
      <c r="O2309" t="str">
        <f t="shared" si="36"/>
        <v>Yes</v>
      </c>
    </row>
    <row r="2310" spans="1:15" x14ac:dyDescent="0.25">
      <c r="A2310" t="s">
        <v>2371</v>
      </c>
      <c r="B2310" s="1">
        <v>45713</v>
      </c>
      <c r="C2310" s="2">
        <v>45713.494583333333</v>
      </c>
      <c r="D2310" t="s">
        <v>24</v>
      </c>
      <c r="E2310" t="s">
        <v>39</v>
      </c>
      <c r="F2310" t="s">
        <v>78</v>
      </c>
      <c r="G2310" t="s">
        <v>56</v>
      </c>
      <c r="H2310" t="s">
        <v>19</v>
      </c>
      <c r="I2310" t="s">
        <v>28</v>
      </c>
      <c r="J2310" t="s">
        <v>21</v>
      </c>
      <c r="K2310">
        <v>24</v>
      </c>
      <c r="L2310">
        <v>11.87</v>
      </c>
      <c r="M2310">
        <v>5</v>
      </c>
      <c r="N2310" t="s">
        <v>22</v>
      </c>
      <c r="O2310" t="str">
        <f t="shared" si="36"/>
        <v>No</v>
      </c>
    </row>
    <row r="2311" spans="1:15" x14ac:dyDescent="0.25">
      <c r="A2311" t="s">
        <v>2372</v>
      </c>
      <c r="B2311" s="1">
        <v>45754</v>
      </c>
      <c r="C2311" s="2">
        <v>45755.543749999997</v>
      </c>
      <c r="D2311" t="s">
        <v>24</v>
      </c>
      <c r="E2311" t="s">
        <v>25</v>
      </c>
      <c r="F2311" t="s">
        <v>70</v>
      </c>
      <c r="G2311" t="s">
        <v>56</v>
      </c>
      <c r="H2311" t="s">
        <v>19</v>
      </c>
      <c r="I2311" t="s">
        <v>45</v>
      </c>
      <c r="J2311" t="s">
        <v>21</v>
      </c>
      <c r="K2311">
        <v>24</v>
      </c>
      <c r="L2311">
        <v>37.049999999999997</v>
      </c>
      <c r="M2311">
        <v>3.3</v>
      </c>
      <c r="N2311" t="s">
        <v>22</v>
      </c>
      <c r="O2311" t="str">
        <f t="shared" si="36"/>
        <v>Yes</v>
      </c>
    </row>
    <row r="2312" spans="1:15" x14ac:dyDescent="0.25">
      <c r="A2312" t="s">
        <v>2373</v>
      </c>
      <c r="B2312" s="1">
        <v>45708</v>
      </c>
      <c r="C2312" s="2">
        <v>45709.107071759259</v>
      </c>
      <c r="D2312" t="s">
        <v>24</v>
      </c>
      <c r="E2312" t="s">
        <v>39</v>
      </c>
      <c r="F2312" t="s">
        <v>119</v>
      </c>
      <c r="G2312" t="s">
        <v>41</v>
      </c>
      <c r="H2312" t="s">
        <v>54</v>
      </c>
      <c r="I2312" t="s">
        <v>45</v>
      </c>
      <c r="J2312" t="s">
        <v>21</v>
      </c>
      <c r="K2312">
        <v>24</v>
      </c>
      <c r="L2312">
        <v>26.57</v>
      </c>
      <c r="M2312">
        <v>4</v>
      </c>
      <c r="N2312" t="s">
        <v>22</v>
      </c>
      <c r="O2312" t="str">
        <f t="shared" si="36"/>
        <v>Yes</v>
      </c>
    </row>
    <row r="2313" spans="1:15" x14ac:dyDescent="0.25">
      <c r="A2313" t="s">
        <v>2374</v>
      </c>
      <c r="B2313" s="1">
        <v>45670</v>
      </c>
      <c r="C2313" s="2">
        <v>45670.17</v>
      </c>
      <c r="D2313" t="s">
        <v>24</v>
      </c>
      <c r="E2313" t="s">
        <v>39</v>
      </c>
      <c r="F2313" t="s">
        <v>40</v>
      </c>
      <c r="G2313" t="s">
        <v>34</v>
      </c>
      <c r="H2313" t="s">
        <v>54</v>
      </c>
      <c r="I2313" t="s">
        <v>28</v>
      </c>
      <c r="J2313" t="s">
        <v>21</v>
      </c>
      <c r="K2313">
        <v>24</v>
      </c>
      <c r="L2313">
        <v>4.08</v>
      </c>
      <c r="M2313">
        <v>4.8</v>
      </c>
      <c r="N2313" t="s">
        <v>22</v>
      </c>
      <c r="O2313" t="str">
        <f t="shared" si="36"/>
        <v>No</v>
      </c>
    </row>
    <row r="2314" spans="1:15" x14ac:dyDescent="0.25">
      <c r="A2314" t="s">
        <v>2375</v>
      </c>
      <c r="B2314" s="1">
        <v>45750</v>
      </c>
      <c r="C2314" s="2">
        <v>45751.387916666667</v>
      </c>
      <c r="D2314" t="s">
        <v>24</v>
      </c>
      <c r="E2314" t="s">
        <v>16</v>
      </c>
      <c r="F2314" t="s">
        <v>58</v>
      </c>
      <c r="G2314" t="s">
        <v>51</v>
      </c>
      <c r="H2314" t="s">
        <v>35</v>
      </c>
      <c r="I2314" t="s">
        <v>45</v>
      </c>
      <c r="J2314" t="s">
        <v>21</v>
      </c>
      <c r="K2314">
        <v>24</v>
      </c>
      <c r="L2314">
        <v>33.31</v>
      </c>
      <c r="M2314">
        <v>2.9</v>
      </c>
      <c r="N2314" t="s">
        <v>22</v>
      </c>
      <c r="O2314" t="str">
        <f t="shared" si="36"/>
        <v>Yes</v>
      </c>
    </row>
    <row r="2315" spans="1:15" x14ac:dyDescent="0.25">
      <c r="A2315" t="s">
        <v>2376</v>
      </c>
      <c r="B2315" s="1">
        <v>45667</v>
      </c>
      <c r="C2315" s="2">
        <v>45667.165000000001</v>
      </c>
      <c r="D2315" t="s">
        <v>38</v>
      </c>
      <c r="E2315" t="s">
        <v>32</v>
      </c>
      <c r="F2315" t="s">
        <v>75</v>
      </c>
      <c r="G2315" t="s">
        <v>18</v>
      </c>
      <c r="H2315" t="s">
        <v>35</v>
      </c>
      <c r="I2315" t="s">
        <v>20</v>
      </c>
      <c r="J2315" t="s">
        <v>46</v>
      </c>
      <c r="K2315">
        <v>8</v>
      </c>
      <c r="L2315">
        <v>3.96</v>
      </c>
      <c r="M2315">
        <v>4.0999999999999996</v>
      </c>
      <c r="N2315" t="s">
        <v>22</v>
      </c>
      <c r="O2315" t="str">
        <f t="shared" si="36"/>
        <v>No</v>
      </c>
    </row>
    <row r="2316" spans="1:15" x14ac:dyDescent="0.25">
      <c r="A2316" t="s">
        <v>2377</v>
      </c>
      <c r="B2316" s="1">
        <v>45699</v>
      </c>
      <c r="C2316" s="2">
        <v>45699.684583333335</v>
      </c>
      <c r="D2316" t="s">
        <v>24</v>
      </c>
      <c r="E2316" t="s">
        <v>45</v>
      </c>
      <c r="F2316" t="s">
        <v>50</v>
      </c>
      <c r="G2316" t="s">
        <v>41</v>
      </c>
      <c r="H2316" t="s">
        <v>65</v>
      </c>
      <c r="I2316" t="s">
        <v>45</v>
      </c>
      <c r="J2316" t="s">
        <v>21</v>
      </c>
      <c r="K2316">
        <v>24</v>
      </c>
      <c r="L2316">
        <v>16.43</v>
      </c>
      <c r="M2316">
        <v>4.5</v>
      </c>
      <c r="N2316" t="s">
        <v>22</v>
      </c>
      <c r="O2316" t="str">
        <f t="shared" si="36"/>
        <v>No</v>
      </c>
    </row>
    <row r="2317" spans="1:15" x14ac:dyDescent="0.25">
      <c r="A2317" t="s">
        <v>2378</v>
      </c>
      <c r="B2317" s="1">
        <v>45658</v>
      </c>
      <c r="C2317" s="2">
        <v>45659.374166666668</v>
      </c>
      <c r="D2317" t="s">
        <v>15</v>
      </c>
      <c r="E2317" t="s">
        <v>32</v>
      </c>
      <c r="F2317" t="s">
        <v>33</v>
      </c>
      <c r="G2317" t="s">
        <v>34</v>
      </c>
      <c r="H2317" t="s">
        <v>44</v>
      </c>
      <c r="I2317" t="s">
        <v>36</v>
      </c>
      <c r="J2317" t="s">
        <v>85</v>
      </c>
      <c r="K2317">
        <v>48</v>
      </c>
      <c r="L2317">
        <v>32.979999999999997</v>
      </c>
      <c r="M2317">
        <v>4</v>
      </c>
      <c r="N2317" t="s">
        <v>22</v>
      </c>
      <c r="O2317" t="str">
        <f t="shared" si="36"/>
        <v>No</v>
      </c>
    </row>
    <row r="2318" spans="1:15" x14ac:dyDescent="0.25">
      <c r="A2318" t="s">
        <v>2379</v>
      </c>
      <c r="B2318" s="1">
        <v>45673</v>
      </c>
      <c r="C2318" s="2">
        <v>45674.618333333332</v>
      </c>
      <c r="D2318" t="s">
        <v>15</v>
      </c>
      <c r="E2318" t="s">
        <v>32</v>
      </c>
      <c r="F2318" t="s">
        <v>75</v>
      </c>
      <c r="G2318" t="s">
        <v>18</v>
      </c>
      <c r="H2318" t="s">
        <v>65</v>
      </c>
      <c r="I2318" t="s">
        <v>20</v>
      </c>
      <c r="J2318" t="s">
        <v>46</v>
      </c>
      <c r="K2318">
        <v>48</v>
      </c>
      <c r="L2318">
        <v>38.840000000000003</v>
      </c>
      <c r="M2318">
        <v>4.4000000000000004</v>
      </c>
      <c r="N2318" t="s">
        <v>22</v>
      </c>
      <c r="O2318" t="str">
        <f t="shared" si="36"/>
        <v>No</v>
      </c>
    </row>
    <row r="2319" spans="1:15" x14ac:dyDescent="0.25">
      <c r="A2319" t="s">
        <v>2380</v>
      </c>
      <c r="B2319" s="1">
        <v>45736</v>
      </c>
      <c r="C2319" s="2">
        <v>45737.337083333332</v>
      </c>
      <c r="D2319" t="s">
        <v>24</v>
      </c>
      <c r="E2319" t="s">
        <v>32</v>
      </c>
      <c r="F2319" t="s">
        <v>64</v>
      </c>
      <c r="G2319" t="s">
        <v>34</v>
      </c>
      <c r="H2319" t="s">
        <v>27</v>
      </c>
      <c r="I2319" t="s">
        <v>45</v>
      </c>
      <c r="J2319" t="s">
        <v>46</v>
      </c>
      <c r="K2319">
        <v>24</v>
      </c>
      <c r="L2319">
        <v>32.090000000000003</v>
      </c>
      <c r="M2319">
        <v>3.5</v>
      </c>
      <c r="N2319" t="s">
        <v>22</v>
      </c>
      <c r="O2319" t="str">
        <f t="shared" si="36"/>
        <v>Yes</v>
      </c>
    </row>
    <row r="2320" spans="1:15" x14ac:dyDescent="0.25">
      <c r="A2320" t="s">
        <v>2381</v>
      </c>
      <c r="B2320" s="1">
        <v>45811</v>
      </c>
      <c r="C2320" s="2">
        <v>45811.677916666667</v>
      </c>
      <c r="D2320" t="s">
        <v>24</v>
      </c>
      <c r="E2320" t="s">
        <v>39</v>
      </c>
      <c r="F2320" t="s">
        <v>87</v>
      </c>
      <c r="G2320" t="s">
        <v>51</v>
      </c>
      <c r="H2320" t="s">
        <v>65</v>
      </c>
      <c r="I2320" t="s">
        <v>36</v>
      </c>
      <c r="J2320" t="s">
        <v>46</v>
      </c>
      <c r="K2320">
        <v>24</v>
      </c>
      <c r="L2320">
        <v>16.27</v>
      </c>
      <c r="M2320">
        <v>4.4000000000000004</v>
      </c>
      <c r="N2320" t="s">
        <v>22</v>
      </c>
      <c r="O2320" t="str">
        <f t="shared" si="36"/>
        <v>No</v>
      </c>
    </row>
    <row r="2321" spans="1:15" x14ac:dyDescent="0.25">
      <c r="A2321" t="s">
        <v>2382</v>
      </c>
      <c r="B2321" s="1">
        <v>45798</v>
      </c>
      <c r="C2321" s="2">
        <v>45798.469583333332</v>
      </c>
      <c r="D2321" t="s">
        <v>24</v>
      </c>
      <c r="E2321" t="s">
        <v>45</v>
      </c>
      <c r="F2321" t="s">
        <v>112</v>
      </c>
      <c r="G2321" t="s">
        <v>34</v>
      </c>
      <c r="H2321" t="s">
        <v>54</v>
      </c>
      <c r="I2321" t="s">
        <v>45</v>
      </c>
      <c r="J2321" t="s">
        <v>21</v>
      </c>
      <c r="K2321">
        <v>24</v>
      </c>
      <c r="L2321">
        <v>11.27</v>
      </c>
      <c r="M2321">
        <v>4.7</v>
      </c>
      <c r="N2321" t="s">
        <v>22</v>
      </c>
      <c r="O2321" t="str">
        <f t="shared" si="36"/>
        <v>No</v>
      </c>
    </row>
    <row r="2322" spans="1:15" x14ac:dyDescent="0.25">
      <c r="A2322" t="s">
        <v>2383</v>
      </c>
      <c r="B2322" s="1">
        <v>45675</v>
      </c>
      <c r="C2322" s="2">
        <v>45675.23333333333</v>
      </c>
      <c r="D2322" t="s">
        <v>24</v>
      </c>
      <c r="E2322" t="s">
        <v>25</v>
      </c>
      <c r="F2322" t="s">
        <v>53</v>
      </c>
      <c r="G2322" t="s">
        <v>51</v>
      </c>
      <c r="H2322" t="s">
        <v>44</v>
      </c>
      <c r="I2322" t="s">
        <v>20</v>
      </c>
      <c r="J2322" t="s">
        <v>21</v>
      </c>
      <c r="K2322">
        <v>24</v>
      </c>
      <c r="L2322">
        <v>5.6</v>
      </c>
      <c r="M2322">
        <v>4.4000000000000004</v>
      </c>
      <c r="N2322" t="s">
        <v>22</v>
      </c>
      <c r="O2322" t="str">
        <f t="shared" si="36"/>
        <v>No</v>
      </c>
    </row>
    <row r="2323" spans="1:15" x14ac:dyDescent="0.25">
      <c r="A2323" t="s">
        <v>2384</v>
      </c>
      <c r="B2323" s="1">
        <v>45664</v>
      </c>
      <c r="C2323" s="2">
        <v>45664.714166666665</v>
      </c>
      <c r="D2323" t="s">
        <v>15</v>
      </c>
      <c r="E2323" t="s">
        <v>45</v>
      </c>
      <c r="F2323" t="s">
        <v>104</v>
      </c>
      <c r="G2323" t="s">
        <v>41</v>
      </c>
      <c r="H2323" t="s">
        <v>54</v>
      </c>
      <c r="I2323" t="s">
        <v>36</v>
      </c>
      <c r="J2323" t="s">
        <v>21</v>
      </c>
      <c r="K2323">
        <v>48</v>
      </c>
      <c r="L2323">
        <v>17.14</v>
      </c>
      <c r="M2323">
        <v>4.4000000000000004</v>
      </c>
      <c r="N2323" t="s">
        <v>22</v>
      </c>
      <c r="O2323" t="str">
        <f t="shared" si="36"/>
        <v>No</v>
      </c>
    </row>
    <row r="2324" spans="1:15" x14ac:dyDescent="0.25">
      <c r="A2324" t="s">
        <v>2385</v>
      </c>
      <c r="B2324" s="1">
        <v>45719</v>
      </c>
      <c r="C2324" s="2">
        <v>45720.056250000001</v>
      </c>
      <c r="D2324" t="s">
        <v>24</v>
      </c>
      <c r="E2324" t="s">
        <v>16</v>
      </c>
      <c r="F2324" t="s">
        <v>43</v>
      </c>
      <c r="G2324" t="s">
        <v>41</v>
      </c>
      <c r="H2324" t="s">
        <v>35</v>
      </c>
      <c r="I2324" t="s">
        <v>20</v>
      </c>
      <c r="J2324" t="s">
        <v>29</v>
      </c>
      <c r="K2324">
        <v>24</v>
      </c>
      <c r="L2324">
        <v>25.35</v>
      </c>
      <c r="M2324">
        <v>4.3</v>
      </c>
      <c r="N2324" t="s">
        <v>61</v>
      </c>
      <c r="O2324" t="str">
        <f t="shared" si="36"/>
        <v>Yes</v>
      </c>
    </row>
    <row r="2325" spans="1:15" x14ac:dyDescent="0.25">
      <c r="A2325" t="s">
        <v>2386</v>
      </c>
      <c r="B2325" s="1">
        <v>45776</v>
      </c>
      <c r="C2325" s="2">
        <v>45777.213333333333</v>
      </c>
      <c r="D2325" t="s">
        <v>24</v>
      </c>
      <c r="E2325" t="s">
        <v>39</v>
      </c>
      <c r="F2325" t="s">
        <v>119</v>
      </c>
      <c r="G2325" t="s">
        <v>18</v>
      </c>
      <c r="H2325" t="s">
        <v>44</v>
      </c>
      <c r="I2325" t="s">
        <v>36</v>
      </c>
      <c r="J2325" t="s">
        <v>21</v>
      </c>
      <c r="K2325">
        <v>24</v>
      </c>
      <c r="L2325">
        <v>29.12</v>
      </c>
      <c r="M2325">
        <v>4.7</v>
      </c>
      <c r="N2325" t="s">
        <v>22</v>
      </c>
      <c r="O2325" t="str">
        <f t="shared" si="36"/>
        <v>Yes</v>
      </c>
    </row>
    <row r="2326" spans="1:15" x14ac:dyDescent="0.25">
      <c r="A2326" t="s">
        <v>2387</v>
      </c>
      <c r="B2326" s="1">
        <v>45793</v>
      </c>
      <c r="C2326" s="2">
        <v>45793.390833333331</v>
      </c>
      <c r="D2326" t="s">
        <v>24</v>
      </c>
      <c r="E2326" t="s">
        <v>39</v>
      </c>
      <c r="F2326" t="s">
        <v>78</v>
      </c>
      <c r="G2326" t="s">
        <v>56</v>
      </c>
      <c r="H2326" t="s">
        <v>65</v>
      </c>
      <c r="I2326" t="s">
        <v>45</v>
      </c>
      <c r="J2326" t="s">
        <v>21</v>
      </c>
      <c r="K2326">
        <v>24</v>
      </c>
      <c r="L2326">
        <v>9.3800000000000008</v>
      </c>
      <c r="M2326">
        <v>5</v>
      </c>
      <c r="N2326" t="s">
        <v>22</v>
      </c>
      <c r="O2326" t="str">
        <f t="shared" si="36"/>
        <v>No</v>
      </c>
    </row>
    <row r="2327" spans="1:15" x14ac:dyDescent="0.25">
      <c r="A2327" t="s">
        <v>2388</v>
      </c>
      <c r="B2327" s="1">
        <v>45806</v>
      </c>
      <c r="C2327" s="2">
        <v>45806.921249999999</v>
      </c>
      <c r="D2327" t="s">
        <v>24</v>
      </c>
      <c r="E2327" t="s">
        <v>32</v>
      </c>
      <c r="F2327" t="s">
        <v>75</v>
      </c>
      <c r="G2327" t="s">
        <v>51</v>
      </c>
      <c r="H2327" t="s">
        <v>54</v>
      </c>
      <c r="I2327" t="s">
        <v>28</v>
      </c>
      <c r="J2327" t="s">
        <v>46</v>
      </c>
      <c r="K2327">
        <v>24</v>
      </c>
      <c r="L2327">
        <v>22.11</v>
      </c>
      <c r="M2327">
        <v>2.1</v>
      </c>
      <c r="N2327" t="s">
        <v>22</v>
      </c>
      <c r="O2327" t="str">
        <f t="shared" si="36"/>
        <v>No</v>
      </c>
    </row>
    <row r="2328" spans="1:15" x14ac:dyDescent="0.25">
      <c r="A2328" t="s">
        <v>2389</v>
      </c>
      <c r="B2328" s="1">
        <v>45719</v>
      </c>
      <c r="C2328" s="2">
        <v>45719.665000000001</v>
      </c>
      <c r="D2328" t="s">
        <v>15</v>
      </c>
      <c r="E2328" t="s">
        <v>45</v>
      </c>
      <c r="F2328" t="s">
        <v>112</v>
      </c>
      <c r="G2328" t="s">
        <v>34</v>
      </c>
      <c r="H2328" t="s">
        <v>44</v>
      </c>
      <c r="I2328" t="s">
        <v>20</v>
      </c>
      <c r="J2328" t="s">
        <v>21</v>
      </c>
      <c r="K2328">
        <v>48</v>
      </c>
      <c r="L2328">
        <v>15.96</v>
      </c>
      <c r="M2328">
        <v>4.0999999999999996</v>
      </c>
      <c r="N2328" t="s">
        <v>22</v>
      </c>
      <c r="O2328" t="str">
        <f t="shared" si="36"/>
        <v>No</v>
      </c>
    </row>
    <row r="2329" spans="1:15" x14ac:dyDescent="0.25">
      <c r="A2329" t="s">
        <v>2390</v>
      </c>
      <c r="B2329" s="1">
        <v>45688</v>
      </c>
      <c r="C2329" s="2">
        <v>45688.094166666669</v>
      </c>
      <c r="D2329" t="s">
        <v>24</v>
      </c>
      <c r="E2329" t="s">
        <v>16</v>
      </c>
      <c r="F2329" t="s">
        <v>60</v>
      </c>
      <c r="G2329" t="s">
        <v>41</v>
      </c>
      <c r="H2329" t="s">
        <v>54</v>
      </c>
      <c r="I2329" t="s">
        <v>20</v>
      </c>
      <c r="J2329" t="s">
        <v>29</v>
      </c>
      <c r="K2329">
        <v>24</v>
      </c>
      <c r="L2329">
        <v>2.2599999999999998</v>
      </c>
      <c r="M2329">
        <v>5</v>
      </c>
      <c r="N2329" t="s">
        <v>22</v>
      </c>
      <c r="O2329" t="str">
        <f t="shared" si="36"/>
        <v>No</v>
      </c>
    </row>
    <row r="2330" spans="1:15" x14ac:dyDescent="0.25">
      <c r="A2330" t="s">
        <v>2391</v>
      </c>
      <c r="B2330" s="1">
        <v>45662</v>
      </c>
      <c r="C2330" s="2">
        <v>45662.048333333332</v>
      </c>
      <c r="D2330" t="s">
        <v>38</v>
      </c>
      <c r="E2330" t="s">
        <v>39</v>
      </c>
      <c r="F2330" t="s">
        <v>78</v>
      </c>
      <c r="G2330" t="s">
        <v>51</v>
      </c>
      <c r="H2330" t="s">
        <v>35</v>
      </c>
      <c r="I2330" t="s">
        <v>45</v>
      </c>
      <c r="J2330" t="s">
        <v>85</v>
      </c>
      <c r="K2330">
        <v>8</v>
      </c>
      <c r="L2330">
        <v>1.1599999999999999</v>
      </c>
      <c r="M2330">
        <v>4.0999999999999996</v>
      </c>
      <c r="N2330" t="s">
        <v>22</v>
      </c>
      <c r="O2330" t="str">
        <f t="shared" si="36"/>
        <v>No</v>
      </c>
    </row>
    <row r="2331" spans="1:15" x14ac:dyDescent="0.25">
      <c r="A2331" t="s">
        <v>2392</v>
      </c>
      <c r="B2331" s="1">
        <v>45684</v>
      </c>
      <c r="C2331" s="2">
        <v>45684.374166666668</v>
      </c>
      <c r="D2331" t="s">
        <v>38</v>
      </c>
      <c r="E2331" t="s">
        <v>16</v>
      </c>
      <c r="F2331" t="s">
        <v>17</v>
      </c>
      <c r="G2331" t="s">
        <v>41</v>
      </c>
      <c r="H2331" t="s">
        <v>27</v>
      </c>
      <c r="I2331" t="s">
        <v>45</v>
      </c>
      <c r="J2331" t="s">
        <v>21</v>
      </c>
      <c r="K2331">
        <v>8</v>
      </c>
      <c r="L2331">
        <v>8.98</v>
      </c>
      <c r="M2331">
        <v>2.9</v>
      </c>
      <c r="N2331" t="s">
        <v>22</v>
      </c>
      <c r="O2331" t="str">
        <f t="shared" si="36"/>
        <v>Yes</v>
      </c>
    </row>
    <row r="2332" spans="1:15" x14ac:dyDescent="0.25">
      <c r="A2332" t="s">
        <v>2393</v>
      </c>
      <c r="B2332" s="1">
        <v>45669</v>
      </c>
      <c r="C2332" s="2">
        <v>45669.1</v>
      </c>
      <c r="D2332" t="s">
        <v>24</v>
      </c>
      <c r="E2332" t="s">
        <v>25</v>
      </c>
      <c r="F2332" t="s">
        <v>26</v>
      </c>
      <c r="G2332" t="s">
        <v>56</v>
      </c>
      <c r="H2332" t="s">
        <v>44</v>
      </c>
      <c r="I2332" t="s">
        <v>45</v>
      </c>
      <c r="J2332" t="s">
        <v>46</v>
      </c>
      <c r="K2332">
        <v>24</v>
      </c>
      <c r="L2332">
        <v>2.4</v>
      </c>
      <c r="M2332">
        <v>4.5999999999999996</v>
      </c>
      <c r="N2332" t="s">
        <v>61</v>
      </c>
      <c r="O2332" t="str">
        <f t="shared" si="36"/>
        <v>No</v>
      </c>
    </row>
    <row r="2333" spans="1:15" x14ac:dyDescent="0.25">
      <c r="A2333" t="s">
        <v>2394</v>
      </c>
      <c r="B2333" s="1">
        <v>45813</v>
      </c>
      <c r="C2333" s="2">
        <v>45814.733749999999</v>
      </c>
      <c r="D2333" t="s">
        <v>15</v>
      </c>
      <c r="E2333" t="s">
        <v>32</v>
      </c>
      <c r="F2333" t="s">
        <v>33</v>
      </c>
      <c r="G2333" t="s">
        <v>41</v>
      </c>
      <c r="H2333" t="s">
        <v>54</v>
      </c>
      <c r="I2333" t="s">
        <v>36</v>
      </c>
      <c r="J2333" t="s">
        <v>21</v>
      </c>
      <c r="K2333">
        <v>48</v>
      </c>
      <c r="L2333">
        <v>41.61</v>
      </c>
      <c r="M2333">
        <v>4.2</v>
      </c>
      <c r="N2333" t="s">
        <v>61</v>
      </c>
      <c r="O2333" t="str">
        <f t="shared" si="36"/>
        <v>No</v>
      </c>
    </row>
    <row r="2334" spans="1:15" x14ac:dyDescent="0.25">
      <c r="A2334" t="s">
        <v>2395</v>
      </c>
      <c r="B2334" s="1">
        <v>45706</v>
      </c>
      <c r="C2334" s="2">
        <v>45706.640416666669</v>
      </c>
      <c r="D2334" t="s">
        <v>24</v>
      </c>
      <c r="E2334" t="s">
        <v>16</v>
      </c>
      <c r="F2334" t="s">
        <v>17</v>
      </c>
      <c r="G2334" t="s">
        <v>18</v>
      </c>
      <c r="H2334" t="s">
        <v>19</v>
      </c>
      <c r="I2334" t="s">
        <v>45</v>
      </c>
      <c r="J2334" t="s">
        <v>21</v>
      </c>
      <c r="K2334">
        <v>24</v>
      </c>
      <c r="L2334">
        <v>15.37</v>
      </c>
      <c r="M2334">
        <v>4.5999999999999996</v>
      </c>
      <c r="N2334" t="s">
        <v>22</v>
      </c>
      <c r="O2334" t="str">
        <f t="shared" si="36"/>
        <v>No</v>
      </c>
    </row>
    <row r="2335" spans="1:15" x14ac:dyDescent="0.25">
      <c r="A2335" t="s">
        <v>2396</v>
      </c>
      <c r="B2335" s="1">
        <v>45806</v>
      </c>
      <c r="C2335" s="2">
        <v>45806.38958333333</v>
      </c>
      <c r="D2335" t="s">
        <v>38</v>
      </c>
      <c r="E2335" t="s">
        <v>16</v>
      </c>
      <c r="F2335" t="s">
        <v>58</v>
      </c>
      <c r="G2335" t="s">
        <v>51</v>
      </c>
      <c r="H2335" t="s">
        <v>65</v>
      </c>
      <c r="I2335" t="s">
        <v>45</v>
      </c>
      <c r="J2335" t="s">
        <v>29</v>
      </c>
      <c r="K2335">
        <v>8</v>
      </c>
      <c r="L2335">
        <v>9.35</v>
      </c>
      <c r="M2335">
        <v>3.4</v>
      </c>
      <c r="N2335" t="s">
        <v>22</v>
      </c>
      <c r="O2335" t="str">
        <f t="shared" si="36"/>
        <v>Yes</v>
      </c>
    </row>
    <row r="2336" spans="1:15" x14ac:dyDescent="0.25">
      <c r="A2336" t="s">
        <v>2397</v>
      </c>
      <c r="B2336" s="1">
        <v>45758</v>
      </c>
      <c r="C2336" s="2">
        <v>45758.589583333334</v>
      </c>
      <c r="D2336" t="s">
        <v>24</v>
      </c>
      <c r="E2336" t="s">
        <v>25</v>
      </c>
      <c r="F2336" t="s">
        <v>26</v>
      </c>
      <c r="G2336" t="s">
        <v>51</v>
      </c>
      <c r="H2336" t="s">
        <v>19</v>
      </c>
      <c r="I2336" t="s">
        <v>45</v>
      </c>
      <c r="J2336" t="s">
        <v>21</v>
      </c>
      <c r="K2336">
        <v>24</v>
      </c>
      <c r="L2336">
        <v>14.15</v>
      </c>
      <c r="M2336">
        <v>4</v>
      </c>
      <c r="N2336" t="s">
        <v>22</v>
      </c>
      <c r="O2336" t="str">
        <f t="shared" si="36"/>
        <v>No</v>
      </c>
    </row>
    <row r="2337" spans="1:15" x14ac:dyDescent="0.25">
      <c r="A2337" t="s">
        <v>2398</v>
      </c>
      <c r="B2337" s="1">
        <v>45755</v>
      </c>
      <c r="C2337" s="2">
        <v>45755.250416666669</v>
      </c>
      <c r="D2337" t="s">
        <v>38</v>
      </c>
      <c r="E2337" t="s">
        <v>32</v>
      </c>
      <c r="F2337" t="s">
        <v>75</v>
      </c>
      <c r="G2337" t="s">
        <v>34</v>
      </c>
      <c r="H2337" t="s">
        <v>19</v>
      </c>
      <c r="I2337" t="s">
        <v>36</v>
      </c>
      <c r="J2337" t="s">
        <v>85</v>
      </c>
      <c r="K2337">
        <v>8</v>
      </c>
      <c r="L2337">
        <v>6.01</v>
      </c>
      <c r="M2337">
        <v>3.6</v>
      </c>
      <c r="N2337" t="s">
        <v>61</v>
      </c>
      <c r="O2337" t="str">
        <f t="shared" si="36"/>
        <v>No</v>
      </c>
    </row>
    <row r="2338" spans="1:15" x14ac:dyDescent="0.25">
      <c r="A2338" t="s">
        <v>2399</v>
      </c>
      <c r="B2338" s="1">
        <v>45740</v>
      </c>
      <c r="C2338" s="2">
        <v>45741.25708333333</v>
      </c>
      <c r="D2338" t="s">
        <v>15</v>
      </c>
      <c r="E2338" t="s">
        <v>32</v>
      </c>
      <c r="F2338" t="s">
        <v>33</v>
      </c>
      <c r="G2338" t="s">
        <v>56</v>
      </c>
      <c r="H2338" t="s">
        <v>65</v>
      </c>
      <c r="I2338" t="s">
        <v>36</v>
      </c>
      <c r="J2338" t="s">
        <v>85</v>
      </c>
      <c r="K2338">
        <v>48</v>
      </c>
      <c r="L2338">
        <v>30.17</v>
      </c>
      <c r="M2338">
        <v>4.5999999999999996</v>
      </c>
      <c r="N2338" t="s">
        <v>22</v>
      </c>
      <c r="O2338" t="str">
        <f t="shared" si="36"/>
        <v>No</v>
      </c>
    </row>
    <row r="2339" spans="1:15" x14ac:dyDescent="0.25">
      <c r="A2339" t="s">
        <v>2400</v>
      </c>
      <c r="B2339" s="1">
        <v>45806</v>
      </c>
      <c r="C2339" s="2">
        <v>45807.380833333336</v>
      </c>
      <c r="D2339" t="s">
        <v>15</v>
      </c>
      <c r="E2339" t="s">
        <v>39</v>
      </c>
      <c r="F2339" t="s">
        <v>119</v>
      </c>
      <c r="G2339" t="s">
        <v>18</v>
      </c>
      <c r="H2339" t="s">
        <v>54</v>
      </c>
      <c r="I2339" t="s">
        <v>36</v>
      </c>
      <c r="J2339" t="s">
        <v>46</v>
      </c>
      <c r="K2339">
        <v>48</v>
      </c>
      <c r="L2339">
        <v>33.14</v>
      </c>
      <c r="M2339">
        <v>4.5</v>
      </c>
      <c r="N2339" t="s">
        <v>61</v>
      </c>
      <c r="O2339" t="str">
        <f t="shared" si="36"/>
        <v>No</v>
      </c>
    </row>
    <row r="2340" spans="1:15" x14ac:dyDescent="0.25">
      <c r="A2340" t="s">
        <v>2401</v>
      </c>
      <c r="B2340" s="1">
        <v>45665</v>
      </c>
      <c r="C2340" s="2">
        <v>45666.041666666664</v>
      </c>
      <c r="D2340" t="s">
        <v>15</v>
      </c>
      <c r="E2340" t="s">
        <v>25</v>
      </c>
      <c r="F2340" t="s">
        <v>48</v>
      </c>
      <c r="G2340" t="s">
        <v>34</v>
      </c>
      <c r="H2340" t="s">
        <v>44</v>
      </c>
      <c r="I2340" t="s">
        <v>36</v>
      </c>
      <c r="J2340" t="s">
        <v>21</v>
      </c>
      <c r="K2340">
        <v>48</v>
      </c>
      <c r="L2340">
        <v>25</v>
      </c>
      <c r="M2340">
        <v>5</v>
      </c>
      <c r="N2340" t="s">
        <v>22</v>
      </c>
      <c r="O2340" t="str">
        <f t="shared" si="36"/>
        <v>No</v>
      </c>
    </row>
    <row r="2341" spans="1:15" x14ac:dyDescent="0.25">
      <c r="A2341" t="s">
        <v>2402</v>
      </c>
      <c r="B2341" s="1">
        <v>45674</v>
      </c>
      <c r="C2341" s="2">
        <v>45675.522916666669</v>
      </c>
      <c r="D2341" t="s">
        <v>15</v>
      </c>
      <c r="E2341" t="s">
        <v>45</v>
      </c>
      <c r="F2341" t="s">
        <v>104</v>
      </c>
      <c r="G2341" t="s">
        <v>34</v>
      </c>
      <c r="H2341" t="s">
        <v>54</v>
      </c>
      <c r="I2341" t="s">
        <v>36</v>
      </c>
      <c r="J2341" t="s">
        <v>21</v>
      </c>
      <c r="K2341">
        <v>48</v>
      </c>
      <c r="L2341">
        <v>36.549999999999997</v>
      </c>
      <c r="M2341">
        <v>4.2</v>
      </c>
      <c r="N2341" t="s">
        <v>22</v>
      </c>
      <c r="O2341" t="str">
        <f t="shared" si="36"/>
        <v>No</v>
      </c>
    </row>
    <row r="2342" spans="1:15" x14ac:dyDescent="0.25">
      <c r="A2342" t="s">
        <v>2403</v>
      </c>
      <c r="B2342" s="1">
        <v>45734</v>
      </c>
      <c r="C2342" s="2">
        <v>45734.142083333332</v>
      </c>
      <c r="D2342" t="s">
        <v>38</v>
      </c>
      <c r="E2342" t="s">
        <v>16</v>
      </c>
      <c r="F2342" t="s">
        <v>58</v>
      </c>
      <c r="G2342" t="s">
        <v>34</v>
      </c>
      <c r="H2342" t="s">
        <v>19</v>
      </c>
      <c r="I2342" t="s">
        <v>36</v>
      </c>
      <c r="J2342" t="s">
        <v>21</v>
      </c>
      <c r="K2342">
        <v>8</v>
      </c>
      <c r="L2342">
        <v>3.41</v>
      </c>
      <c r="M2342">
        <v>3.6</v>
      </c>
      <c r="N2342" t="s">
        <v>22</v>
      </c>
      <c r="O2342" t="str">
        <f t="shared" si="36"/>
        <v>No</v>
      </c>
    </row>
    <row r="2343" spans="1:15" x14ac:dyDescent="0.25">
      <c r="A2343" t="s">
        <v>2404</v>
      </c>
      <c r="B2343" s="1">
        <v>45729</v>
      </c>
      <c r="C2343" s="2">
        <v>45730.006249999999</v>
      </c>
      <c r="D2343" t="s">
        <v>24</v>
      </c>
      <c r="E2343" t="s">
        <v>32</v>
      </c>
      <c r="F2343" t="s">
        <v>75</v>
      </c>
      <c r="G2343" t="s">
        <v>51</v>
      </c>
      <c r="H2343" t="s">
        <v>19</v>
      </c>
      <c r="I2343" t="s">
        <v>28</v>
      </c>
      <c r="J2343" t="s">
        <v>21</v>
      </c>
      <c r="K2343">
        <v>24</v>
      </c>
      <c r="L2343">
        <v>24.15</v>
      </c>
      <c r="M2343">
        <v>3.6</v>
      </c>
      <c r="N2343" t="s">
        <v>22</v>
      </c>
      <c r="O2343" t="str">
        <f t="shared" si="36"/>
        <v>Yes</v>
      </c>
    </row>
    <row r="2344" spans="1:15" x14ac:dyDescent="0.25">
      <c r="A2344" t="s">
        <v>2405</v>
      </c>
      <c r="B2344" s="1">
        <v>45756</v>
      </c>
      <c r="C2344" s="2">
        <v>45757.16375</v>
      </c>
      <c r="D2344" t="s">
        <v>15</v>
      </c>
      <c r="E2344" t="s">
        <v>32</v>
      </c>
      <c r="F2344" t="s">
        <v>33</v>
      </c>
      <c r="G2344" t="s">
        <v>51</v>
      </c>
      <c r="H2344" t="s">
        <v>65</v>
      </c>
      <c r="I2344" t="s">
        <v>36</v>
      </c>
      <c r="J2344" t="s">
        <v>21</v>
      </c>
      <c r="K2344">
        <v>48</v>
      </c>
      <c r="L2344">
        <v>27.93</v>
      </c>
      <c r="M2344">
        <v>4.9000000000000004</v>
      </c>
      <c r="N2344" t="s">
        <v>22</v>
      </c>
      <c r="O2344" t="str">
        <f t="shared" si="36"/>
        <v>No</v>
      </c>
    </row>
    <row r="2345" spans="1:15" x14ac:dyDescent="0.25">
      <c r="A2345" t="s">
        <v>2406</v>
      </c>
      <c r="B2345" s="1">
        <v>45791</v>
      </c>
      <c r="C2345" s="2">
        <v>45791.955000000002</v>
      </c>
      <c r="D2345" t="s">
        <v>24</v>
      </c>
      <c r="E2345" t="s">
        <v>16</v>
      </c>
      <c r="F2345" t="s">
        <v>17</v>
      </c>
      <c r="G2345" t="s">
        <v>41</v>
      </c>
      <c r="H2345" t="s">
        <v>54</v>
      </c>
      <c r="I2345" t="s">
        <v>20</v>
      </c>
      <c r="J2345" t="s">
        <v>21</v>
      </c>
      <c r="K2345">
        <v>24</v>
      </c>
      <c r="L2345">
        <v>22.92</v>
      </c>
      <c r="M2345">
        <v>2.7</v>
      </c>
      <c r="N2345" t="s">
        <v>22</v>
      </c>
      <c r="O2345" t="str">
        <f t="shared" si="36"/>
        <v>No</v>
      </c>
    </row>
    <row r="2346" spans="1:15" x14ac:dyDescent="0.25">
      <c r="A2346" t="s">
        <v>2407</v>
      </c>
      <c r="B2346" s="1">
        <v>45764</v>
      </c>
      <c r="C2346" s="2">
        <v>45764.293749999997</v>
      </c>
      <c r="D2346" t="s">
        <v>24</v>
      </c>
      <c r="E2346" t="s">
        <v>32</v>
      </c>
      <c r="F2346" t="s">
        <v>64</v>
      </c>
      <c r="G2346" t="s">
        <v>56</v>
      </c>
      <c r="H2346" t="s">
        <v>44</v>
      </c>
      <c r="I2346" t="s">
        <v>36</v>
      </c>
      <c r="J2346" t="s">
        <v>46</v>
      </c>
      <c r="K2346">
        <v>24</v>
      </c>
      <c r="L2346">
        <v>7.05</v>
      </c>
      <c r="M2346">
        <v>4.5999999999999996</v>
      </c>
      <c r="N2346" t="s">
        <v>22</v>
      </c>
      <c r="O2346" t="str">
        <f t="shared" si="36"/>
        <v>No</v>
      </c>
    </row>
    <row r="2347" spans="1:15" x14ac:dyDescent="0.25">
      <c r="A2347" t="s">
        <v>2408</v>
      </c>
      <c r="B2347" s="1">
        <v>45704</v>
      </c>
      <c r="C2347" s="2">
        <v>45704.397916666669</v>
      </c>
      <c r="D2347" t="s">
        <v>24</v>
      </c>
      <c r="E2347" t="s">
        <v>16</v>
      </c>
      <c r="F2347" t="s">
        <v>43</v>
      </c>
      <c r="G2347" t="s">
        <v>56</v>
      </c>
      <c r="H2347" t="s">
        <v>65</v>
      </c>
      <c r="I2347" t="s">
        <v>20</v>
      </c>
      <c r="J2347" t="s">
        <v>21</v>
      </c>
      <c r="K2347">
        <v>24</v>
      </c>
      <c r="L2347">
        <v>9.5500000000000007</v>
      </c>
      <c r="M2347">
        <v>4.7</v>
      </c>
      <c r="N2347" t="s">
        <v>22</v>
      </c>
      <c r="O2347" t="str">
        <f t="shared" si="36"/>
        <v>No</v>
      </c>
    </row>
    <row r="2348" spans="1:15" x14ac:dyDescent="0.25">
      <c r="A2348" t="s">
        <v>2409</v>
      </c>
      <c r="B2348" s="1">
        <v>45717</v>
      </c>
      <c r="C2348" s="2">
        <v>45717.29791666667</v>
      </c>
      <c r="D2348" t="s">
        <v>15</v>
      </c>
      <c r="E2348" t="s">
        <v>25</v>
      </c>
      <c r="F2348" t="s">
        <v>48</v>
      </c>
      <c r="G2348" t="s">
        <v>18</v>
      </c>
      <c r="H2348" t="s">
        <v>19</v>
      </c>
      <c r="I2348" t="s">
        <v>20</v>
      </c>
      <c r="J2348" t="s">
        <v>21</v>
      </c>
      <c r="K2348">
        <v>48</v>
      </c>
      <c r="L2348">
        <v>7.15</v>
      </c>
      <c r="M2348">
        <v>5</v>
      </c>
      <c r="N2348" t="s">
        <v>22</v>
      </c>
      <c r="O2348" t="str">
        <f t="shared" si="36"/>
        <v>No</v>
      </c>
    </row>
    <row r="2349" spans="1:15" x14ac:dyDescent="0.25">
      <c r="A2349" t="s">
        <v>2410</v>
      </c>
      <c r="B2349" s="1">
        <v>45794</v>
      </c>
      <c r="C2349" s="2">
        <v>45794.699583333335</v>
      </c>
      <c r="D2349" t="s">
        <v>24</v>
      </c>
      <c r="E2349" t="s">
        <v>39</v>
      </c>
      <c r="F2349" t="s">
        <v>40</v>
      </c>
      <c r="G2349" t="s">
        <v>41</v>
      </c>
      <c r="H2349" t="s">
        <v>54</v>
      </c>
      <c r="I2349" t="s">
        <v>28</v>
      </c>
      <c r="J2349" t="s">
        <v>46</v>
      </c>
      <c r="K2349">
        <v>24</v>
      </c>
      <c r="L2349">
        <v>16.79</v>
      </c>
      <c r="M2349">
        <v>3.8</v>
      </c>
      <c r="N2349" t="s">
        <v>22</v>
      </c>
      <c r="O2349" t="str">
        <f t="shared" si="36"/>
        <v>No</v>
      </c>
    </row>
    <row r="2350" spans="1:15" x14ac:dyDescent="0.25">
      <c r="A2350" t="s">
        <v>2411</v>
      </c>
      <c r="B2350" s="1">
        <v>45694</v>
      </c>
      <c r="C2350" s="2">
        <v>45695.353750000002</v>
      </c>
      <c r="D2350" t="s">
        <v>15</v>
      </c>
      <c r="E2350" t="s">
        <v>39</v>
      </c>
      <c r="F2350" t="s">
        <v>87</v>
      </c>
      <c r="G2350" t="s">
        <v>18</v>
      </c>
      <c r="H2350" t="s">
        <v>27</v>
      </c>
      <c r="I2350" t="s">
        <v>20</v>
      </c>
      <c r="J2350" t="s">
        <v>21</v>
      </c>
      <c r="K2350">
        <v>48</v>
      </c>
      <c r="L2350">
        <v>32.49</v>
      </c>
      <c r="M2350">
        <v>4.0999999999999996</v>
      </c>
      <c r="N2350" t="s">
        <v>22</v>
      </c>
      <c r="O2350" t="str">
        <f t="shared" si="36"/>
        <v>No</v>
      </c>
    </row>
    <row r="2351" spans="1:15" x14ac:dyDescent="0.25">
      <c r="A2351" t="s">
        <v>2412</v>
      </c>
      <c r="B2351" s="1">
        <v>45749</v>
      </c>
      <c r="C2351" s="2">
        <v>45749.116666666669</v>
      </c>
      <c r="D2351" t="s">
        <v>38</v>
      </c>
      <c r="E2351" t="s">
        <v>32</v>
      </c>
      <c r="F2351" t="s">
        <v>64</v>
      </c>
      <c r="G2351" t="s">
        <v>34</v>
      </c>
      <c r="H2351" t="s">
        <v>19</v>
      </c>
      <c r="I2351" t="s">
        <v>20</v>
      </c>
      <c r="J2351" t="s">
        <v>21</v>
      </c>
      <c r="K2351">
        <v>8</v>
      </c>
      <c r="L2351">
        <v>2.8</v>
      </c>
      <c r="M2351">
        <v>5</v>
      </c>
      <c r="N2351" t="s">
        <v>22</v>
      </c>
      <c r="O2351" t="str">
        <f t="shared" si="36"/>
        <v>No</v>
      </c>
    </row>
    <row r="2352" spans="1:15" x14ac:dyDescent="0.25">
      <c r="A2352" t="s">
        <v>2413</v>
      </c>
      <c r="B2352" s="1">
        <v>45755</v>
      </c>
      <c r="C2352" s="2">
        <v>45756.081250000003</v>
      </c>
      <c r="D2352" t="s">
        <v>15</v>
      </c>
      <c r="E2352" t="s">
        <v>32</v>
      </c>
      <c r="F2352" t="s">
        <v>75</v>
      </c>
      <c r="G2352" t="s">
        <v>34</v>
      </c>
      <c r="H2352" t="s">
        <v>35</v>
      </c>
      <c r="I2352" t="s">
        <v>36</v>
      </c>
      <c r="J2352" t="s">
        <v>21</v>
      </c>
      <c r="K2352">
        <v>48</v>
      </c>
      <c r="L2352">
        <v>25.95</v>
      </c>
      <c r="M2352">
        <v>4</v>
      </c>
      <c r="N2352" t="s">
        <v>22</v>
      </c>
      <c r="O2352" t="str">
        <f t="shared" si="36"/>
        <v>No</v>
      </c>
    </row>
    <row r="2353" spans="1:15" x14ac:dyDescent="0.25">
      <c r="A2353" t="s">
        <v>2414</v>
      </c>
      <c r="B2353" s="1">
        <v>45793</v>
      </c>
      <c r="C2353" s="2">
        <v>45793.076249999998</v>
      </c>
      <c r="D2353" t="s">
        <v>38</v>
      </c>
      <c r="E2353" t="s">
        <v>16</v>
      </c>
      <c r="F2353" t="s">
        <v>17</v>
      </c>
      <c r="G2353" t="s">
        <v>51</v>
      </c>
      <c r="H2353" t="s">
        <v>44</v>
      </c>
      <c r="I2353" t="s">
        <v>45</v>
      </c>
      <c r="J2353" t="s">
        <v>21</v>
      </c>
      <c r="K2353">
        <v>8</v>
      </c>
      <c r="L2353">
        <v>1.83</v>
      </c>
      <c r="M2353">
        <v>5</v>
      </c>
      <c r="N2353" t="s">
        <v>22</v>
      </c>
      <c r="O2353" t="str">
        <f t="shared" si="36"/>
        <v>No</v>
      </c>
    </row>
    <row r="2354" spans="1:15" x14ac:dyDescent="0.25">
      <c r="A2354" t="s">
        <v>2415</v>
      </c>
      <c r="B2354" s="1">
        <v>45787</v>
      </c>
      <c r="C2354" s="2">
        <v>45787.35833333333</v>
      </c>
      <c r="D2354" t="s">
        <v>38</v>
      </c>
      <c r="E2354" t="s">
        <v>39</v>
      </c>
      <c r="F2354" t="s">
        <v>119</v>
      </c>
      <c r="G2354" t="s">
        <v>41</v>
      </c>
      <c r="H2354" t="s">
        <v>44</v>
      </c>
      <c r="I2354" t="s">
        <v>36</v>
      </c>
      <c r="J2354" t="s">
        <v>21</v>
      </c>
      <c r="K2354">
        <v>8</v>
      </c>
      <c r="L2354">
        <v>8.6</v>
      </c>
      <c r="M2354">
        <v>4</v>
      </c>
      <c r="N2354" t="s">
        <v>61</v>
      </c>
      <c r="O2354" t="str">
        <f t="shared" si="36"/>
        <v>Yes</v>
      </c>
    </row>
    <row r="2355" spans="1:15" x14ac:dyDescent="0.25">
      <c r="A2355" t="s">
        <v>2416</v>
      </c>
      <c r="B2355" s="1">
        <v>45742</v>
      </c>
      <c r="C2355" s="2">
        <v>45744.102500000001</v>
      </c>
      <c r="D2355" t="s">
        <v>15</v>
      </c>
      <c r="E2355" t="s">
        <v>32</v>
      </c>
      <c r="F2355" t="s">
        <v>33</v>
      </c>
      <c r="G2355" t="s">
        <v>51</v>
      </c>
      <c r="H2355" t="s">
        <v>54</v>
      </c>
      <c r="I2355" t="s">
        <v>20</v>
      </c>
      <c r="J2355" t="s">
        <v>21</v>
      </c>
      <c r="K2355">
        <v>48</v>
      </c>
      <c r="L2355">
        <v>50.46</v>
      </c>
      <c r="M2355">
        <v>3.6</v>
      </c>
      <c r="N2355" t="s">
        <v>22</v>
      </c>
      <c r="O2355" t="str">
        <f t="shared" si="36"/>
        <v>Yes</v>
      </c>
    </row>
    <row r="2356" spans="1:15" x14ac:dyDescent="0.25">
      <c r="A2356" t="s">
        <v>2417</v>
      </c>
      <c r="B2356" s="1">
        <v>45713</v>
      </c>
      <c r="C2356" s="2">
        <v>45714.042500000003</v>
      </c>
      <c r="D2356" t="s">
        <v>15</v>
      </c>
      <c r="E2356" t="s">
        <v>32</v>
      </c>
      <c r="F2356" t="s">
        <v>64</v>
      </c>
      <c r="G2356" t="s">
        <v>41</v>
      </c>
      <c r="H2356" t="s">
        <v>19</v>
      </c>
      <c r="I2356" t="s">
        <v>20</v>
      </c>
      <c r="J2356" t="s">
        <v>21</v>
      </c>
      <c r="K2356">
        <v>48</v>
      </c>
      <c r="L2356">
        <v>25.02</v>
      </c>
      <c r="M2356">
        <v>4.7</v>
      </c>
      <c r="N2356" t="s">
        <v>61</v>
      </c>
      <c r="O2356" t="str">
        <f t="shared" si="36"/>
        <v>No</v>
      </c>
    </row>
    <row r="2357" spans="1:15" x14ac:dyDescent="0.25">
      <c r="A2357" t="s">
        <v>2418</v>
      </c>
      <c r="B2357" s="1">
        <v>45724</v>
      </c>
      <c r="C2357" s="2">
        <v>45724.150833333333</v>
      </c>
      <c r="D2357" t="s">
        <v>38</v>
      </c>
      <c r="E2357" t="s">
        <v>32</v>
      </c>
      <c r="F2357" t="s">
        <v>33</v>
      </c>
      <c r="G2357" t="s">
        <v>51</v>
      </c>
      <c r="H2357" t="s">
        <v>44</v>
      </c>
      <c r="I2357" t="s">
        <v>36</v>
      </c>
      <c r="J2357" t="s">
        <v>21</v>
      </c>
      <c r="K2357">
        <v>8</v>
      </c>
      <c r="L2357">
        <v>3.62</v>
      </c>
      <c r="M2357">
        <v>4.4000000000000004</v>
      </c>
      <c r="N2357" t="s">
        <v>22</v>
      </c>
      <c r="O2357" t="str">
        <f t="shared" si="36"/>
        <v>No</v>
      </c>
    </row>
    <row r="2358" spans="1:15" x14ac:dyDescent="0.25">
      <c r="A2358" t="s">
        <v>2419</v>
      </c>
      <c r="B2358" s="1">
        <v>45732</v>
      </c>
      <c r="C2358" s="2">
        <v>45732.121249999997</v>
      </c>
      <c r="D2358" t="s">
        <v>24</v>
      </c>
      <c r="E2358" t="s">
        <v>16</v>
      </c>
      <c r="F2358" t="s">
        <v>43</v>
      </c>
      <c r="G2358" t="s">
        <v>41</v>
      </c>
      <c r="H2358" t="s">
        <v>54</v>
      </c>
      <c r="I2358" t="s">
        <v>45</v>
      </c>
      <c r="J2358" t="s">
        <v>21</v>
      </c>
      <c r="K2358">
        <v>24</v>
      </c>
      <c r="L2358">
        <v>2.91</v>
      </c>
      <c r="M2358">
        <v>5</v>
      </c>
      <c r="N2358" t="s">
        <v>22</v>
      </c>
      <c r="O2358" t="str">
        <f t="shared" si="36"/>
        <v>No</v>
      </c>
    </row>
    <row r="2359" spans="1:15" x14ac:dyDescent="0.25">
      <c r="A2359" t="s">
        <v>2420</v>
      </c>
      <c r="B2359" s="1">
        <v>45697</v>
      </c>
      <c r="C2359" s="2">
        <v>45697.936249999999</v>
      </c>
      <c r="D2359" t="s">
        <v>24</v>
      </c>
      <c r="E2359" t="s">
        <v>16</v>
      </c>
      <c r="F2359" t="s">
        <v>58</v>
      </c>
      <c r="G2359" t="s">
        <v>18</v>
      </c>
      <c r="H2359" t="s">
        <v>35</v>
      </c>
      <c r="I2359" t="s">
        <v>36</v>
      </c>
      <c r="J2359" t="s">
        <v>46</v>
      </c>
      <c r="K2359">
        <v>24</v>
      </c>
      <c r="L2359">
        <v>22.47</v>
      </c>
      <c r="M2359">
        <v>2.5</v>
      </c>
      <c r="N2359" t="s">
        <v>22</v>
      </c>
      <c r="O2359" t="str">
        <f t="shared" si="36"/>
        <v>No</v>
      </c>
    </row>
    <row r="2360" spans="1:15" x14ac:dyDescent="0.25">
      <c r="A2360" t="s">
        <v>2421</v>
      </c>
      <c r="B2360" s="1">
        <v>45771</v>
      </c>
      <c r="C2360" s="2">
        <v>45771.534166666665</v>
      </c>
      <c r="D2360" t="s">
        <v>15</v>
      </c>
      <c r="E2360" t="s">
        <v>16</v>
      </c>
      <c r="F2360" t="s">
        <v>17</v>
      </c>
      <c r="G2360" t="s">
        <v>41</v>
      </c>
      <c r="H2360" t="s">
        <v>19</v>
      </c>
      <c r="I2360" t="s">
        <v>45</v>
      </c>
      <c r="J2360" t="s">
        <v>46</v>
      </c>
      <c r="K2360">
        <v>48</v>
      </c>
      <c r="L2360">
        <v>12.82</v>
      </c>
      <c r="M2360">
        <v>4.5</v>
      </c>
      <c r="N2360" t="s">
        <v>22</v>
      </c>
      <c r="O2360" t="str">
        <f t="shared" si="36"/>
        <v>No</v>
      </c>
    </row>
    <row r="2361" spans="1:15" x14ac:dyDescent="0.25">
      <c r="A2361" t="s">
        <v>2422</v>
      </c>
      <c r="B2361" s="1">
        <v>45695</v>
      </c>
      <c r="C2361" s="2">
        <v>45696.982488425929</v>
      </c>
      <c r="D2361" t="s">
        <v>15</v>
      </c>
      <c r="E2361" t="s">
        <v>16</v>
      </c>
      <c r="F2361" t="s">
        <v>43</v>
      </c>
      <c r="G2361" t="s">
        <v>34</v>
      </c>
      <c r="H2361" t="s">
        <v>54</v>
      </c>
      <c r="I2361" t="s">
        <v>45</v>
      </c>
      <c r="J2361" t="s">
        <v>21</v>
      </c>
      <c r="K2361">
        <v>48</v>
      </c>
      <c r="L2361">
        <v>47.58</v>
      </c>
      <c r="M2361">
        <v>3.6</v>
      </c>
      <c r="N2361" t="s">
        <v>22</v>
      </c>
      <c r="O2361" t="str">
        <f t="shared" si="36"/>
        <v>No</v>
      </c>
    </row>
    <row r="2362" spans="1:15" x14ac:dyDescent="0.25">
      <c r="A2362" t="s">
        <v>2423</v>
      </c>
      <c r="B2362" s="1">
        <v>45775</v>
      </c>
      <c r="C2362" s="2">
        <v>45775.144583333335</v>
      </c>
      <c r="D2362" t="s">
        <v>24</v>
      </c>
      <c r="E2362" t="s">
        <v>32</v>
      </c>
      <c r="F2362" t="s">
        <v>80</v>
      </c>
      <c r="G2362" t="s">
        <v>56</v>
      </c>
      <c r="H2362" t="s">
        <v>19</v>
      </c>
      <c r="I2362" t="s">
        <v>45</v>
      </c>
      <c r="J2362" t="s">
        <v>85</v>
      </c>
      <c r="K2362">
        <v>24</v>
      </c>
      <c r="L2362">
        <v>3.47</v>
      </c>
      <c r="M2362">
        <v>4.7</v>
      </c>
      <c r="N2362" t="s">
        <v>22</v>
      </c>
      <c r="O2362" t="str">
        <f t="shared" si="36"/>
        <v>No</v>
      </c>
    </row>
    <row r="2363" spans="1:15" x14ac:dyDescent="0.25">
      <c r="A2363" t="s">
        <v>2424</v>
      </c>
      <c r="B2363" s="1">
        <v>45794</v>
      </c>
      <c r="C2363" s="2">
        <v>45794.073750000003</v>
      </c>
      <c r="D2363" t="s">
        <v>38</v>
      </c>
      <c r="E2363" t="s">
        <v>16</v>
      </c>
      <c r="F2363" t="s">
        <v>43</v>
      </c>
      <c r="G2363" t="s">
        <v>34</v>
      </c>
      <c r="H2363" t="s">
        <v>19</v>
      </c>
      <c r="I2363" t="s">
        <v>20</v>
      </c>
      <c r="J2363" t="s">
        <v>46</v>
      </c>
      <c r="K2363">
        <v>8</v>
      </c>
      <c r="L2363">
        <v>1.77</v>
      </c>
      <c r="M2363">
        <v>5</v>
      </c>
      <c r="N2363" t="s">
        <v>22</v>
      </c>
      <c r="O2363" t="str">
        <f t="shared" si="36"/>
        <v>No</v>
      </c>
    </row>
    <row r="2364" spans="1:15" x14ac:dyDescent="0.25">
      <c r="A2364" t="s">
        <v>2425</v>
      </c>
      <c r="B2364" s="1">
        <v>45832</v>
      </c>
      <c r="C2364" s="2">
        <v>45832.361250000002</v>
      </c>
      <c r="D2364" t="s">
        <v>15</v>
      </c>
      <c r="E2364" t="s">
        <v>32</v>
      </c>
      <c r="F2364" t="s">
        <v>80</v>
      </c>
      <c r="G2364" t="s">
        <v>41</v>
      </c>
      <c r="H2364" t="s">
        <v>19</v>
      </c>
      <c r="I2364" t="s">
        <v>36</v>
      </c>
      <c r="J2364" t="s">
        <v>46</v>
      </c>
      <c r="K2364">
        <v>48</v>
      </c>
      <c r="L2364">
        <v>8.67</v>
      </c>
      <c r="M2364">
        <v>4.5</v>
      </c>
      <c r="N2364" t="s">
        <v>22</v>
      </c>
      <c r="O2364" t="str">
        <f t="shared" si="36"/>
        <v>No</v>
      </c>
    </row>
    <row r="2365" spans="1:15" x14ac:dyDescent="0.25">
      <c r="A2365" t="s">
        <v>2426</v>
      </c>
      <c r="B2365" s="1">
        <v>45679</v>
      </c>
      <c r="C2365" s="2">
        <v>45679.085833333331</v>
      </c>
      <c r="D2365" t="s">
        <v>38</v>
      </c>
      <c r="E2365" t="s">
        <v>45</v>
      </c>
      <c r="F2365" t="s">
        <v>112</v>
      </c>
      <c r="G2365" t="s">
        <v>51</v>
      </c>
      <c r="H2365" t="s">
        <v>35</v>
      </c>
      <c r="I2365" t="s">
        <v>20</v>
      </c>
      <c r="J2365" t="s">
        <v>21</v>
      </c>
      <c r="K2365">
        <v>8</v>
      </c>
      <c r="L2365">
        <v>2.06</v>
      </c>
      <c r="M2365">
        <v>5</v>
      </c>
      <c r="N2365" t="s">
        <v>22</v>
      </c>
      <c r="O2365" t="str">
        <f t="shared" si="36"/>
        <v>No</v>
      </c>
    </row>
    <row r="2366" spans="1:15" x14ac:dyDescent="0.25">
      <c r="A2366" t="s">
        <v>2427</v>
      </c>
      <c r="B2366" s="1">
        <v>45795</v>
      </c>
      <c r="C2366" s="2">
        <v>45797.184999999998</v>
      </c>
      <c r="D2366" t="s">
        <v>24</v>
      </c>
      <c r="E2366" t="s">
        <v>32</v>
      </c>
      <c r="F2366" t="s">
        <v>80</v>
      </c>
      <c r="G2366" t="s">
        <v>56</v>
      </c>
      <c r="H2366" t="s">
        <v>19</v>
      </c>
      <c r="I2366" t="s">
        <v>45</v>
      </c>
      <c r="J2366" t="s">
        <v>21</v>
      </c>
      <c r="K2366">
        <v>24</v>
      </c>
      <c r="L2366">
        <v>52.44</v>
      </c>
      <c r="M2366">
        <v>2.5</v>
      </c>
      <c r="N2366" t="s">
        <v>22</v>
      </c>
      <c r="O2366" t="str">
        <f t="shared" si="36"/>
        <v>Yes</v>
      </c>
    </row>
    <row r="2367" spans="1:15" x14ac:dyDescent="0.25">
      <c r="A2367" t="s">
        <v>2428</v>
      </c>
      <c r="B2367" s="1">
        <v>45673</v>
      </c>
      <c r="C2367" s="2">
        <v>45673.951249999998</v>
      </c>
      <c r="D2367" t="s">
        <v>15</v>
      </c>
      <c r="E2367" t="s">
        <v>39</v>
      </c>
      <c r="F2367" t="s">
        <v>40</v>
      </c>
      <c r="G2367" t="s">
        <v>56</v>
      </c>
      <c r="H2367" t="s">
        <v>44</v>
      </c>
      <c r="I2367" t="s">
        <v>36</v>
      </c>
      <c r="J2367" t="s">
        <v>21</v>
      </c>
      <c r="K2367">
        <v>48</v>
      </c>
      <c r="L2367">
        <v>22.83</v>
      </c>
      <c r="M2367">
        <v>5</v>
      </c>
      <c r="N2367" t="s">
        <v>22</v>
      </c>
      <c r="O2367" t="str">
        <f t="shared" si="36"/>
        <v>No</v>
      </c>
    </row>
    <row r="2368" spans="1:15" x14ac:dyDescent="0.25">
      <c r="A2368" t="s">
        <v>2429</v>
      </c>
      <c r="B2368" s="1">
        <v>45719</v>
      </c>
      <c r="C2368" s="2">
        <v>45720.68</v>
      </c>
      <c r="D2368" t="s">
        <v>15</v>
      </c>
      <c r="E2368" t="s">
        <v>32</v>
      </c>
      <c r="F2368" t="s">
        <v>33</v>
      </c>
      <c r="G2368" t="s">
        <v>34</v>
      </c>
      <c r="H2368" t="s">
        <v>44</v>
      </c>
      <c r="I2368" t="s">
        <v>36</v>
      </c>
      <c r="J2368" t="s">
        <v>21</v>
      </c>
      <c r="K2368">
        <v>48</v>
      </c>
      <c r="L2368">
        <v>40.32</v>
      </c>
      <c r="M2368">
        <v>3.9</v>
      </c>
      <c r="N2368" t="s">
        <v>22</v>
      </c>
      <c r="O2368" t="str">
        <f t="shared" si="36"/>
        <v>No</v>
      </c>
    </row>
    <row r="2369" spans="1:15" x14ac:dyDescent="0.25">
      <c r="A2369" t="s">
        <v>2430</v>
      </c>
      <c r="B2369" s="1">
        <v>45689</v>
      </c>
      <c r="C2369" s="2">
        <v>45689.423750000002</v>
      </c>
      <c r="D2369" t="s">
        <v>15</v>
      </c>
      <c r="E2369" t="s">
        <v>25</v>
      </c>
      <c r="F2369" t="s">
        <v>26</v>
      </c>
      <c r="G2369" t="s">
        <v>41</v>
      </c>
      <c r="H2369" t="s">
        <v>54</v>
      </c>
      <c r="I2369" t="s">
        <v>36</v>
      </c>
      <c r="J2369" t="s">
        <v>85</v>
      </c>
      <c r="K2369">
        <v>48</v>
      </c>
      <c r="L2369">
        <v>10.17</v>
      </c>
      <c r="M2369">
        <v>5</v>
      </c>
      <c r="N2369" t="s">
        <v>61</v>
      </c>
      <c r="O2369" t="str">
        <f t="shared" si="36"/>
        <v>No</v>
      </c>
    </row>
    <row r="2370" spans="1:15" x14ac:dyDescent="0.25">
      <c r="A2370" t="s">
        <v>2431</v>
      </c>
      <c r="B2370" s="1">
        <v>45687</v>
      </c>
      <c r="C2370" s="2">
        <v>45687.295416666668</v>
      </c>
      <c r="D2370" t="s">
        <v>24</v>
      </c>
      <c r="E2370" t="s">
        <v>32</v>
      </c>
      <c r="F2370" t="s">
        <v>80</v>
      </c>
      <c r="G2370" t="s">
        <v>34</v>
      </c>
      <c r="H2370" t="s">
        <v>35</v>
      </c>
      <c r="I2370" t="s">
        <v>45</v>
      </c>
      <c r="J2370" t="s">
        <v>85</v>
      </c>
      <c r="K2370">
        <v>24</v>
      </c>
      <c r="L2370">
        <v>7.09</v>
      </c>
      <c r="M2370">
        <v>4.5999999999999996</v>
      </c>
      <c r="N2370" t="s">
        <v>22</v>
      </c>
      <c r="O2370" t="str">
        <f t="shared" si="36"/>
        <v>No</v>
      </c>
    </row>
    <row r="2371" spans="1:15" x14ac:dyDescent="0.25">
      <c r="A2371" t="s">
        <v>2432</v>
      </c>
      <c r="B2371" s="1">
        <v>45689</v>
      </c>
      <c r="C2371" s="2">
        <v>45690.66</v>
      </c>
      <c r="D2371" t="s">
        <v>24</v>
      </c>
      <c r="E2371" t="s">
        <v>45</v>
      </c>
      <c r="F2371" t="s">
        <v>50</v>
      </c>
      <c r="G2371" t="s">
        <v>41</v>
      </c>
      <c r="H2371" t="s">
        <v>19</v>
      </c>
      <c r="I2371" t="s">
        <v>20</v>
      </c>
      <c r="J2371" t="s">
        <v>21</v>
      </c>
      <c r="K2371">
        <v>24</v>
      </c>
      <c r="L2371">
        <v>39.840000000000003</v>
      </c>
      <c r="M2371">
        <v>2.4</v>
      </c>
      <c r="N2371" t="s">
        <v>22</v>
      </c>
      <c r="O2371" t="str">
        <f t="shared" ref="O2371:O2434" si="37">IF(L2371&gt;K2371,"Yes","No")</f>
        <v>Yes</v>
      </c>
    </row>
    <row r="2372" spans="1:15" x14ac:dyDescent="0.25">
      <c r="A2372" t="s">
        <v>2433</v>
      </c>
      <c r="B2372" s="1">
        <v>45665</v>
      </c>
      <c r="C2372" s="2">
        <v>45665.489166666666</v>
      </c>
      <c r="D2372" t="s">
        <v>24</v>
      </c>
      <c r="E2372" t="s">
        <v>32</v>
      </c>
      <c r="F2372" t="s">
        <v>75</v>
      </c>
      <c r="G2372" t="s">
        <v>18</v>
      </c>
      <c r="H2372" t="s">
        <v>35</v>
      </c>
      <c r="I2372" t="s">
        <v>36</v>
      </c>
      <c r="J2372" t="s">
        <v>85</v>
      </c>
      <c r="K2372">
        <v>24</v>
      </c>
      <c r="L2372">
        <v>11.74</v>
      </c>
      <c r="M2372">
        <v>5</v>
      </c>
      <c r="N2372" t="s">
        <v>22</v>
      </c>
      <c r="O2372" t="str">
        <f t="shared" si="37"/>
        <v>No</v>
      </c>
    </row>
    <row r="2373" spans="1:15" x14ac:dyDescent="0.25">
      <c r="A2373" t="s">
        <v>2434</v>
      </c>
      <c r="B2373" s="1">
        <v>45806</v>
      </c>
      <c r="C2373" s="2">
        <v>45807.201249999998</v>
      </c>
      <c r="D2373" t="s">
        <v>15</v>
      </c>
      <c r="E2373" t="s">
        <v>25</v>
      </c>
      <c r="F2373" t="s">
        <v>48</v>
      </c>
      <c r="G2373" t="s">
        <v>41</v>
      </c>
      <c r="H2373" t="s">
        <v>65</v>
      </c>
      <c r="I2373" t="s">
        <v>36</v>
      </c>
      <c r="J2373" t="s">
        <v>46</v>
      </c>
      <c r="K2373">
        <v>48</v>
      </c>
      <c r="L2373">
        <v>28.83</v>
      </c>
      <c r="M2373">
        <v>3.8</v>
      </c>
      <c r="N2373" t="s">
        <v>22</v>
      </c>
      <c r="O2373" t="str">
        <f t="shared" si="37"/>
        <v>No</v>
      </c>
    </row>
    <row r="2374" spans="1:15" x14ac:dyDescent="0.25">
      <c r="A2374" t="s">
        <v>2435</v>
      </c>
      <c r="B2374" s="1">
        <v>45669</v>
      </c>
      <c r="C2374" s="2">
        <v>45669.732071759259</v>
      </c>
      <c r="D2374" t="s">
        <v>24</v>
      </c>
      <c r="E2374" t="s">
        <v>16</v>
      </c>
      <c r="F2374" t="s">
        <v>17</v>
      </c>
      <c r="G2374" t="s">
        <v>56</v>
      </c>
      <c r="H2374" t="s">
        <v>19</v>
      </c>
      <c r="I2374" t="s">
        <v>45</v>
      </c>
      <c r="J2374" t="s">
        <v>46</v>
      </c>
      <c r="K2374">
        <v>24</v>
      </c>
      <c r="L2374">
        <v>17.57</v>
      </c>
      <c r="M2374">
        <v>3.8</v>
      </c>
      <c r="N2374" t="s">
        <v>22</v>
      </c>
      <c r="O2374" t="str">
        <f t="shared" si="37"/>
        <v>No</v>
      </c>
    </row>
    <row r="2375" spans="1:15" x14ac:dyDescent="0.25">
      <c r="A2375" t="s">
        <v>2436</v>
      </c>
      <c r="B2375" s="1">
        <v>45730</v>
      </c>
      <c r="C2375" s="2">
        <v>45731.521666666667</v>
      </c>
      <c r="D2375" t="s">
        <v>24</v>
      </c>
      <c r="E2375" t="s">
        <v>32</v>
      </c>
      <c r="F2375" t="s">
        <v>64</v>
      </c>
      <c r="G2375" t="s">
        <v>56</v>
      </c>
      <c r="H2375" t="s">
        <v>44</v>
      </c>
      <c r="I2375" t="s">
        <v>36</v>
      </c>
      <c r="J2375" t="s">
        <v>29</v>
      </c>
      <c r="K2375">
        <v>24</v>
      </c>
      <c r="L2375">
        <v>36.520000000000003</v>
      </c>
      <c r="M2375">
        <v>2.6</v>
      </c>
      <c r="N2375" t="s">
        <v>22</v>
      </c>
      <c r="O2375" t="str">
        <f t="shared" si="37"/>
        <v>Yes</v>
      </c>
    </row>
    <row r="2376" spans="1:15" x14ac:dyDescent="0.25">
      <c r="A2376" t="s">
        <v>2437</v>
      </c>
      <c r="B2376" s="1">
        <v>45784</v>
      </c>
      <c r="C2376" s="2">
        <v>45784.037916666668</v>
      </c>
      <c r="D2376" t="s">
        <v>24</v>
      </c>
      <c r="E2376" t="s">
        <v>32</v>
      </c>
      <c r="F2376" t="s">
        <v>64</v>
      </c>
      <c r="G2376" t="s">
        <v>51</v>
      </c>
      <c r="H2376" t="s">
        <v>44</v>
      </c>
      <c r="I2376" t="s">
        <v>36</v>
      </c>
      <c r="J2376" t="s">
        <v>21</v>
      </c>
      <c r="K2376">
        <v>24</v>
      </c>
      <c r="L2376">
        <v>0.91</v>
      </c>
      <c r="M2376">
        <v>5</v>
      </c>
      <c r="N2376" t="s">
        <v>22</v>
      </c>
      <c r="O2376" t="str">
        <f t="shared" si="37"/>
        <v>No</v>
      </c>
    </row>
    <row r="2377" spans="1:15" x14ac:dyDescent="0.25">
      <c r="A2377" t="s">
        <v>2438</v>
      </c>
      <c r="B2377" s="1">
        <v>45837</v>
      </c>
      <c r="C2377" s="2">
        <v>45838.121249999997</v>
      </c>
      <c r="D2377" t="s">
        <v>24</v>
      </c>
      <c r="E2377" t="s">
        <v>39</v>
      </c>
      <c r="F2377" t="s">
        <v>87</v>
      </c>
      <c r="G2377" t="s">
        <v>51</v>
      </c>
      <c r="H2377" t="s">
        <v>35</v>
      </c>
      <c r="I2377" t="s">
        <v>45</v>
      </c>
      <c r="J2377" t="s">
        <v>21</v>
      </c>
      <c r="K2377">
        <v>24</v>
      </c>
      <c r="L2377">
        <v>26.91</v>
      </c>
      <c r="M2377">
        <v>3.3</v>
      </c>
      <c r="N2377" t="s">
        <v>22</v>
      </c>
      <c r="O2377" t="str">
        <f t="shared" si="37"/>
        <v>Yes</v>
      </c>
    </row>
    <row r="2378" spans="1:15" x14ac:dyDescent="0.25">
      <c r="A2378" t="s">
        <v>2439</v>
      </c>
      <c r="B2378" s="1">
        <v>45812</v>
      </c>
      <c r="C2378" s="2">
        <v>45814.553738425922</v>
      </c>
      <c r="D2378" t="s">
        <v>15</v>
      </c>
      <c r="E2378" t="s">
        <v>25</v>
      </c>
      <c r="F2378" t="s">
        <v>70</v>
      </c>
      <c r="G2378" t="s">
        <v>51</v>
      </c>
      <c r="H2378" t="s">
        <v>19</v>
      </c>
      <c r="I2378" t="s">
        <v>36</v>
      </c>
      <c r="J2378" t="s">
        <v>29</v>
      </c>
      <c r="K2378">
        <v>48</v>
      </c>
      <c r="L2378">
        <v>61.29</v>
      </c>
      <c r="M2378">
        <v>4.5</v>
      </c>
      <c r="N2378" t="s">
        <v>22</v>
      </c>
      <c r="O2378" t="str">
        <f t="shared" si="37"/>
        <v>Yes</v>
      </c>
    </row>
    <row r="2379" spans="1:15" x14ac:dyDescent="0.25">
      <c r="A2379" t="s">
        <v>2440</v>
      </c>
      <c r="B2379" s="1">
        <v>45682</v>
      </c>
      <c r="C2379" s="2">
        <v>45682.786249999997</v>
      </c>
      <c r="D2379" t="s">
        <v>24</v>
      </c>
      <c r="E2379" t="s">
        <v>25</v>
      </c>
      <c r="F2379" t="s">
        <v>70</v>
      </c>
      <c r="G2379" t="s">
        <v>34</v>
      </c>
      <c r="H2379" t="s">
        <v>54</v>
      </c>
      <c r="I2379" t="s">
        <v>20</v>
      </c>
      <c r="J2379" t="s">
        <v>21</v>
      </c>
      <c r="K2379">
        <v>24</v>
      </c>
      <c r="L2379">
        <v>18.87</v>
      </c>
      <c r="M2379">
        <v>4.4000000000000004</v>
      </c>
      <c r="N2379" t="s">
        <v>22</v>
      </c>
      <c r="O2379" t="str">
        <f t="shared" si="37"/>
        <v>No</v>
      </c>
    </row>
    <row r="2380" spans="1:15" x14ac:dyDescent="0.25">
      <c r="A2380" t="s">
        <v>2441</v>
      </c>
      <c r="B2380" s="1">
        <v>45836</v>
      </c>
      <c r="C2380" s="2">
        <v>45836.423750000002</v>
      </c>
      <c r="D2380" t="s">
        <v>24</v>
      </c>
      <c r="E2380" t="s">
        <v>32</v>
      </c>
      <c r="F2380" t="s">
        <v>80</v>
      </c>
      <c r="G2380" t="s">
        <v>56</v>
      </c>
      <c r="H2380" t="s">
        <v>44</v>
      </c>
      <c r="I2380" t="s">
        <v>36</v>
      </c>
      <c r="J2380" t="s">
        <v>46</v>
      </c>
      <c r="K2380">
        <v>24</v>
      </c>
      <c r="L2380">
        <v>10.17</v>
      </c>
      <c r="M2380">
        <v>4.3</v>
      </c>
      <c r="N2380" t="s">
        <v>22</v>
      </c>
      <c r="O2380" t="str">
        <f t="shared" si="37"/>
        <v>No</v>
      </c>
    </row>
    <row r="2381" spans="1:15" x14ac:dyDescent="0.25">
      <c r="A2381" t="s">
        <v>2442</v>
      </c>
      <c r="B2381" s="1">
        <v>45776</v>
      </c>
      <c r="C2381" s="2">
        <v>45776.659166666665</v>
      </c>
      <c r="D2381" t="s">
        <v>24</v>
      </c>
      <c r="E2381" t="s">
        <v>39</v>
      </c>
      <c r="F2381" t="s">
        <v>87</v>
      </c>
      <c r="G2381" t="s">
        <v>41</v>
      </c>
      <c r="H2381" t="s">
        <v>44</v>
      </c>
      <c r="I2381" t="s">
        <v>45</v>
      </c>
      <c r="J2381" t="s">
        <v>46</v>
      </c>
      <c r="K2381">
        <v>24</v>
      </c>
      <c r="L2381">
        <v>15.82</v>
      </c>
      <c r="M2381">
        <v>3.6</v>
      </c>
      <c r="N2381" t="s">
        <v>22</v>
      </c>
      <c r="O2381" t="str">
        <f t="shared" si="37"/>
        <v>No</v>
      </c>
    </row>
    <row r="2382" spans="1:15" x14ac:dyDescent="0.25">
      <c r="A2382" t="s">
        <v>2443</v>
      </c>
      <c r="B2382" s="1">
        <v>45690</v>
      </c>
      <c r="C2382" s="2">
        <v>45690.396666666667</v>
      </c>
      <c r="D2382" t="s">
        <v>15</v>
      </c>
      <c r="E2382" t="s">
        <v>32</v>
      </c>
      <c r="F2382" t="s">
        <v>75</v>
      </c>
      <c r="G2382" t="s">
        <v>41</v>
      </c>
      <c r="H2382" t="s">
        <v>19</v>
      </c>
      <c r="I2382" t="s">
        <v>36</v>
      </c>
      <c r="J2382" t="s">
        <v>29</v>
      </c>
      <c r="K2382">
        <v>48</v>
      </c>
      <c r="L2382">
        <v>9.52</v>
      </c>
      <c r="M2382">
        <v>4.7</v>
      </c>
      <c r="N2382" t="s">
        <v>22</v>
      </c>
      <c r="O2382" t="str">
        <f t="shared" si="37"/>
        <v>No</v>
      </c>
    </row>
    <row r="2383" spans="1:15" x14ac:dyDescent="0.25">
      <c r="A2383" t="s">
        <v>2444</v>
      </c>
      <c r="B2383" s="1">
        <v>45739</v>
      </c>
      <c r="C2383" s="2">
        <v>45739.077916666669</v>
      </c>
      <c r="D2383" t="s">
        <v>24</v>
      </c>
      <c r="E2383" t="s">
        <v>32</v>
      </c>
      <c r="F2383" t="s">
        <v>80</v>
      </c>
      <c r="G2383" t="s">
        <v>18</v>
      </c>
      <c r="H2383" t="s">
        <v>65</v>
      </c>
      <c r="I2383" t="s">
        <v>36</v>
      </c>
      <c r="J2383" t="s">
        <v>21</v>
      </c>
      <c r="K2383">
        <v>24</v>
      </c>
      <c r="L2383">
        <v>1.87</v>
      </c>
      <c r="M2383">
        <v>5</v>
      </c>
      <c r="N2383" t="s">
        <v>22</v>
      </c>
      <c r="O2383" t="str">
        <f t="shared" si="37"/>
        <v>No</v>
      </c>
    </row>
    <row r="2384" spans="1:15" x14ac:dyDescent="0.25">
      <c r="A2384" t="s">
        <v>2445</v>
      </c>
      <c r="B2384" s="1">
        <v>45824</v>
      </c>
      <c r="C2384" s="2">
        <v>45824.604583333334</v>
      </c>
      <c r="D2384" t="s">
        <v>24</v>
      </c>
      <c r="E2384" t="s">
        <v>16</v>
      </c>
      <c r="F2384" t="s">
        <v>58</v>
      </c>
      <c r="G2384" t="s">
        <v>51</v>
      </c>
      <c r="H2384" t="s">
        <v>54</v>
      </c>
      <c r="I2384" t="s">
        <v>45</v>
      </c>
      <c r="J2384" t="s">
        <v>46</v>
      </c>
      <c r="K2384">
        <v>24</v>
      </c>
      <c r="L2384">
        <v>14.51</v>
      </c>
      <c r="M2384">
        <v>4.2</v>
      </c>
      <c r="N2384" t="s">
        <v>22</v>
      </c>
      <c r="O2384" t="str">
        <f t="shared" si="37"/>
        <v>No</v>
      </c>
    </row>
    <row r="2385" spans="1:15" x14ac:dyDescent="0.25">
      <c r="A2385" t="s">
        <v>2446</v>
      </c>
      <c r="B2385" s="1">
        <v>45729</v>
      </c>
      <c r="C2385" s="2">
        <v>45729.020833333336</v>
      </c>
      <c r="D2385" t="s">
        <v>24</v>
      </c>
      <c r="E2385" t="s">
        <v>39</v>
      </c>
      <c r="F2385" t="s">
        <v>119</v>
      </c>
      <c r="G2385" t="s">
        <v>41</v>
      </c>
      <c r="H2385" t="s">
        <v>65</v>
      </c>
      <c r="I2385" t="s">
        <v>20</v>
      </c>
      <c r="J2385" t="s">
        <v>21</v>
      </c>
      <c r="K2385">
        <v>24</v>
      </c>
      <c r="L2385">
        <v>0.5</v>
      </c>
      <c r="M2385">
        <v>4.9000000000000004</v>
      </c>
      <c r="N2385" t="s">
        <v>61</v>
      </c>
      <c r="O2385" t="str">
        <f t="shared" si="37"/>
        <v>No</v>
      </c>
    </row>
    <row r="2386" spans="1:15" x14ac:dyDescent="0.25">
      <c r="A2386" t="s">
        <v>2447</v>
      </c>
      <c r="B2386" s="1">
        <v>45691</v>
      </c>
      <c r="C2386" s="2">
        <v>45691.114166666666</v>
      </c>
      <c r="D2386" t="s">
        <v>38</v>
      </c>
      <c r="E2386" t="s">
        <v>32</v>
      </c>
      <c r="F2386" t="s">
        <v>80</v>
      </c>
      <c r="G2386" t="s">
        <v>34</v>
      </c>
      <c r="H2386" t="s">
        <v>65</v>
      </c>
      <c r="I2386" t="s">
        <v>28</v>
      </c>
      <c r="J2386" t="s">
        <v>29</v>
      </c>
      <c r="K2386">
        <v>8</v>
      </c>
      <c r="L2386">
        <v>2.74</v>
      </c>
      <c r="M2386">
        <v>3.9</v>
      </c>
      <c r="N2386" t="s">
        <v>22</v>
      </c>
      <c r="O2386" t="str">
        <f t="shared" si="37"/>
        <v>No</v>
      </c>
    </row>
    <row r="2387" spans="1:15" x14ac:dyDescent="0.25">
      <c r="A2387" t="s">
        <v>2448</v>
      </c>
      <c r="B2387" s="1">
        <v>45816</v>
      </c>
      <c r="C2387" s="2">
        <v>45816.074999999997</v>
      </c>
      <c r="D2387" t="s">
        <v>38</v>
      </c>
      <c r="E2387" t="s">
        <v>25</v>
      </c>
      <c r="F2387" t="s">
        <v>48</v>
      </c>
      <c r="G2387" t="s">
        <v>34</v>
      </c>
      <c r="H2387" t="s">
        <v>35</v>
      </c>
      <c r="I2387" t="s">
        <v>36</v>
      </c>
      <c r="J2387" t="s">
        <v>21</v>
      </c>
      <c r="K2387">
        <v>8</v>
      </c>
      <c r="L2387">
        <v>1.8</v>
      </c>
      <c r="M2387">
        <v>5</v>
      </c>
      <c r="N2387" t="s">
        <v>22</v>
      </c>
      <c r="O2387" t="str">
        <f t="shared" si="37"/>
        <v>No</v>
      </c>
    </row>
    <row r="2388" spans="1:15" x14ac:dyDescent="0.25">
      <c r="A2388" t="s">
        <v>2449</v>
      </c>
      <c r="B2388" s="1">
        <v>45830</v>
      </c>
      <c r="C2388" s="2">
        <v>45830.843333333331</v>
      </c>
      <c r="D2388" t="s">
        <v>15</v>
      </c>
      <c r="E2388" t="s">
        <v>25</v>
      </c>
      <c r="F2388" t="s">
        <v>26</v>
      </c>
      <c r="G2388" t="s">
        <v>41</v>
      </c>
      <c r="H2388" t="s">
        <v>35</v>
      </c>
      <c r="I2388" t="s">
        <v>45</v>
      </c>
      <c r="J2388" t="s">
        <v>46</v>
      </c>
      <c r="K2388">
        <v>48</v>
      </c>
      <c r="L2388">
        <v>20.239999999999998</v>
      </c>
      <c r="M2388">
        <v>4.4000000000000004</v>
      </c>
      <c r="N2388" t="s">
        <v>22</v>
      </c>
      <c r="O2388" t="str">
        <f t="shared" si="37"/>
        <v>No</v>
      </c>
    </row>
    <row r="2389" spans="1:15" x14ac:dyDescent="0.25">
      <c r="A2389" t="s">
        <v>2450</v>
      </c>
      <c r="B2389" s="1">
        <v>45834</v>
      </c>
      <c r="C2389" s="2">
        <v>45834.449166666665</v>
      </c>
      <c r="D2389" t="s">
        <v>24</v>
      </c>
      <c r="E2389" t="s">
        <v>25</v>
      </c>
      <c r="F2389" t="s">
        <v>48</v>
      </c>
      <c r="G2389" t="s">
        <v>51</v>
      </c>
      <c r="H2389" t="s">
        <v>27</v>
      </c>
      <c r="I2389" t="s">
        <v>45</v>
      </c>
      <c r="J2389" t="s">
        <v>29</v>
      </c>
      <c r="K2389">
        <v>24</v>
      </c>
      <c r="L2389">
        <v>10.78</v>
      </c>
      <c r="M2389">
        <v>3.6</v>
      </c>
      <c r="N2389" t="s">
        <v>22</v>
      </c>
      <c r="O2389" t="str">
        <f t="shared" si="37"/>
        <v>No</v>
      </c>
    </row>
    <row r="2390" spans="1:15" x14ac:dyDescent="0.25">
      <c r="A2390" t="s">
        <v>2451</v>
      </c>
      <c r="B2390" s="1">
        <v>45830</v>
      </c>
      <c r="C2390" s="2">
        <v>45830.174166666664</v>
      </c>
      <c r="D2390" t="s">
        <v>24</v>
      </c>
      <c r="E2390" t="s">
        <v>32</v>
      </c>
      <c r="F2390" t="s">
        <v>75</v>
      </c>
      <c r="G2390" t="s">
        <v>56</v>
      </c>
      <c r="H2390" t="s">
        <v>54</v>
      </c>
      <c r="I2390" t="s">
        <v>36</v>
      </c>
      <c r="J2390" t="s">
        <v>21</v>
      </c>
      <c r="K2390">
        <v>24</v>
      </c>
      <c r="L2390">
        <v>4.18</v>
      </c>
      <c r="M2390">
        <v>4.0999999999999996</v>
      </c>
      <c r="N2390" t="s">
        <v>22</v>
      </c>
      <c r="O2390" t="str">
        <f t="shared" si="37"/>
        <v>No</v>
      </c>
    </row>
    <row r="2391" spans="1:15" x14ac:dyDescent="0.25">
      <c r="A2391" t="s">
        <v>2452</v>
      </c>
      <c r="B2391" s="1">
        <v>45815</v>
      </c>
      <c r="C2391" s="2">
        <v>45815.126250000001</v>
      </c>
      <c r="D2391" t="s">
        <v>31</v>
      </c>
      <c r="E2391" t="s">
        <v>45</v>
      </c>
      <c r="F2391" t="s">
        <v>112</v>
      </c>
      <c r="G2391" t="s">
        <v>56</v>
      </c>
      <c r="H2391" t="s">
        <v>27</v>
      </c>
      <c r="I2391" t="s">
        <v>20</v>
      </c>
      <c r="J2391" t="s">
        <v>21</v>
      </c>
      <c r="K2391">
        <v>4</v>
      </c>
      <c r="L2391">
        <v>3.03</v>
      </c>
      <c r="M2391">
        <v>3.9</v>
      </c>
      <c r="N2391" t="s">
        <v>22</v>
      </c>
      <c r="O2391" t="str">
        <f t="shared" si="37"/>
        <v>No</v>
      </c>
    </row>
    <row r="2392" spans="1:15" x14ac:dyDescent="0.25">
      <c r="A2392" t="s">
        <v>2453</v>
      </c>
      <c r="B2392" s="1">
        <v>45740</v>
      </c>
      <c r="C2392" s="2">
        <v>45742.448750000003</v>
      </c>
      <c r="D2392" t="s">
        <v>15</v>
      </c>
      <c r="E2392" t="s">
        <v>16</v>
      </c>
      <c r="F2392" t="s">
        <v>43</v>
      </c>
      <c r="G2392" t="s">
        <v>51</v>
      </c>
      <c r="H2392" t="s">
        <v>54</v>
      </c>
      <c r="I2392" t="s">
        <v>36</v>
      </c>
      <c r="J2392" t="s">
        <v>21</v>
      </c>
      <c r="K2392">
        <v>48</v>
      </c>
      <c r="L2392">
        <v>58.77</v>
      </c>
      <c r="M2392">
        <v>4.8</v>
      </c>
      <c r="N2392" t="s">
        <v>22</v>
      </c>
      <c r="O2392" t="str">
        <f t="shared" si="37"/>
        <v>Yes</v>
      </c>
    </row>
    <row r="2393" spans="1:15" x14ac:dyDescent="0.25">
      <c r="A2393" t="s">
        <v>2454</v>
      </c>
      <c r="B2393" s="1">
        <v>45692</v>
      </c>
      <c r="C2393" s="2">
        <v>45692.395833333336</v>
      </c>
      <c r="D2393" t="s">
        <v>15</v>
      </c>
      <c r="E2393" t="s">
        <v>16</v>
      </c>
      <c r="F2393" t="s">
        <v>60</v>
      </c>
      <c r="G2393" t="s">
        <v>56</v>
      </c>
      <c r="H2393" t="s">
        <v>35</v>
      </c>
      <c r="I2393" t="s">
        <v>20</v>
      </c>
      <c r="J2393" t="s">
        <v>46</v>
      </c>
      <c r="K2393">
        <v>48</v>
      </c>
      <c r="L2393">
        <v>9.5</v>
      </c>
      <c r="M2393">
        <v>4.7</v>
      </c>
      <c r="N2393" t="s">
        <v>22</v>
      </c>
      <c r="O2393" t="str">
        <f t="shared" si="37"/>
        <v>No</v>
      </c>
    </row>
    <row r="2394" spans="1:15" x14ac:dyDescent="0.25">
      <c r="A2394" t="s">
        <v>2455</v>
      </c>
      <c r="B2394" s="1">
        <v>45769</v>
      </c>
      <c r="C2394" s="2">
        <v>45769.185833333337</v>
      </c>
      <c r="D2394" t="s">
        <v>24</v>
      </c>
      <c r="E2394" t="s">
        <v>32</v>
      </c>
      <c r="F2394" t="s">
        <v>33</v>
      </c>
      <c r="G2394" t="s">
        <v>18</v>
      </c>
      <c r="H2394" t="s">
        <v>35</v>
      </c>
      <c r="I2394" t="s">
        <v>45</v>
      </c>
      <c r="J2394" t="s">
        <v>46</v>
      </c>
      <c r="K2394">
        <v>24</v>
      </c>
      <c r="L2394">
        <v>4.46</v>
      </c>
      <c r="M2394">
        <v>4.5</v>
      </c>
      <c r="N2394" t="s">
        <v>22</v>
      </c>
      <c r="O2394" t="str">
        <f t="shared" si="37"/>
        <v>No</v>
      </c>
    </row>
    <row r="2395" spans="1:15" x14ac:dyDescent="0.25">
      <c r="A2395" t="s">
        <v>2456</v>
      </c>
      <c r="B2395" s="1">
        <v>45697</v>
      </c>
      <c r="C2395" s="2">
        <v>45698.005416666667</v>
      </c>
      <c r="D2395" t="s">
        <v>15</v>
      </c>
      <c r="E2395" t="s">
        <v>45</v>
      </c>
      <c r="F2395" t="s">
        <v>112</v>
      </c>
      <c r="G2395" t="s">
        <v>56</v>
      </c>
      <c r="H2395" t="s">
        <v>65</v>
      </c>
      <c r="I2395" t="s">
        <v>36</v>
      </c>
      <c r="J2395" t="s">
        <v>46</v>
      </c>
      <c r="K2395">
        <v>48</v>
      </c>
      <c r="L2395">
        <v>24.13</v>
      </c>
      <c r="M2395">
        <v>4.9000000000000004</v>
      </c>
      <c r="N2395" t="s">
        <v>22</v>
      </c>
      <c r="O2395" t="str">
        <f t="shared" si="37"/>
        <v>No</v>
      </c>
    </row>
    <row r="2396" spans="1:15" x14ac:dyDescent="0.25">
      <c r="A2396" t="s">
        <v>2457</v>
      </c>
      <c r="B2396" s="1">
        <v>45743</v>
      </c>
      <c r="C2396" s="2">
        <v>45743.080833333333</v>
      </c>
      <c r="D2396" t="s">
        <v>24</v>
      </c>
      <c r="E2396" t="s">
        <v>16</v>
      </c>
      <c r="F2396" t="s">
        <v>58</v>
      </c>
      <c r="G2396" t="s">
        <v>41</v>
      </c>
      <c r="H2396" t="s">
        <v>65</v>
      </c>
      <c r="I2396" t="s">
        <v>20</v>
      </c>
      <c r="J2396" t="s">
        <v>21</v>
      </c>
      <c r="K2396">
        <v>24</v>
      </c>
      <c r="L2396">
        <v>1.94</v>
      </c>
      <c r="M2396">
        <v>5</v>
      </c>
      <c r="N2396" t="s">
        <v>22</v>
      </c>
      <c r="O2396" t="str">
        <f t="shared" si="37"/>
        <v>No</v>
      </c>
    </row>
    <row r="2397" spans="1:15" x14ac:dyDescent="0.25">
      <c r="A2397" t="s">
        <v>2458</v>
      </c>
      <c r="B2397" s="1">
        <v>45776</v>
      </c>
      <c r="C2397" s="2">
        <v>45776.511666666665</v>
      </c>
      <c r="D2397" t="s">
        <v>24</v>
      </c>
      <c r="E2397" t="s">
        <v>25</v>
      </c>
      <c r="F2397" t="s">
        <v>70</v>
      </c>
      <c r="G2397" t="s">
        <v>18</v>
      </c>
      <c r="H2397" t="s">
        <v>35</v>
      </c>
      <c r="I2397" t="s">
        <v>36</v>
      </c>
      <c r="J2397" t="s">
        <v>21</v>
      </c>
      <c r="K2397">
        <v>24</v>
      </c>
      <c r="L2397">
        <v>12.28</v>
      </c>
      <c r="M2397">
        <v>4.8</v>
      </c>
      <c r="N2397" t="s">
        <v>22</v>
      </c>
      <c r="O2397" t="str">
        <f t="shared" si="37"/>
        <v>No</v>
      </c>
    </row>
    <row r="2398" spans="1:15" x14ac:dyDescent="0.25">
      <c r="A2398" t="s">
        <v>2459</v>
      </c>
      <c r="B2398" s="1">
        <v>45829</v>
      </c>
      <c r="C2398" s="2">
        <v>45831.240416666667</v>
      </c>
      <c r="D2398" t="s">
        <v>15</v>
      </c>
      <c r="E2398" t="s">
        <v>16</v>
      </c>
      <c r="F2398" t="s">
        <v>58</v>
      </c>
      <c r="G2398" t="s">
        <v>34</v>
      </c>
      <c r="H2398" t="s">
        <v>54</v>
      </c>
      <c r="I2398" t="s">
        <v>20</v>
      </c>
      <c r="J2398" t="s">
        <v>21</v>
      </c>
      <c r="K2398">
        <v>48</v>
      </c>
      <c r="L2398">
        <v>53.77</v>
      </c>
      <c r="M2398">
        <v>3.8</v>
      </c>
      <c r="N2398" t="s">
        <v>22</v>
      </c>
      <c r="O2398" t="str">
        <f t="shared" si="37"/>
        <v>Yes</v>
      </c>
    </row>
    <row r="2399" spans="1:15" x14ac:dyDescent="0.25">
      <c r="A2399" t="s">
        <v>2460</v>
      </c>
      <c r="B2399" s="1">
        <v>45710</v>
      </c>
      <c r="C2399" s="2">
        <v>45710.187083333331</v>
      </c>
      <c r="D2399" t="s">
        <v>24</v>
      </c>
      <c r="E2399" t="s">
        <v>25</v>
      </c>
      <c r="F2399" t="s">
        <v>48</v>
      </c>
      <c r="G2399" t="s">
        <v>41</v>
      </c>
      <c r="H2399" t="s">
        <v>27</v>
      </c>
      <c r="I2399" t="s">
        <v>20</v>
      </c>
      <c r="J2399" t="s">
        <v>21</v>
      </c>
      <c r="K2399">
        <v>24</v>
      </c>
      <c r="L2399">
        <v>4.49</v>
      </c>
      <c r="M2399">
        <v>4.0999999999999996</v>
      </c>
      <c r="N2399" t="s">
        <v>61</v>
      </c>
      <c r="O2399" t="str">
        <f t="shared" si="37"/>
        <v>No</v>
      </c>
    </row>
    <row r="2400" spans="1:15" x14ac:dyDescent="0.25">
      <c r="A2400" t="s">
        <v>2461</v>
      </c>
      <c r="B2400" s="1">
        <v>45703</v>
      </c>
      <c r="C2400" s="2">
        <v>45703.48541666667</v>
      </c>
      <c r="D2400" t="s">
        <v>38</v>
      </c>
      <c r="E2400" t="s">
        <v>16</v>
      </c>
      <c r="F2400" t="s">
        <v>43</v>
      </c>
      <c r="G2400" t="s">
        <v>56</v>
      </c>
      <c r="H2400" t="s">
        <v>19</v>
      </c>
      <c r="I2400" t="s">
        <v>45</v>
      </c>
      <c r="J2400" t="s">
        <v>46</v>
      </c>
      <c r="K2400">
        <v>8</v>
      </c>
      <c r="L2400">
        <v>11.65</v>
      </c>
      <c r="M2400">
        <v>2.8</v>
      </c>
      <c r="N2400" t="s">
        <v>22</v>
      </c>
      <c r="O2400" t="str">
        <f t="shared" si="37"/>
        <v>Yes</v>
      </c>
    </row>
    <row r="2401" spans="1:15" x14ac:dyDescent="0.25">
      <c r="A2401" t="s">
        <v>2462</v>
      </c>
      <c r="B2401" s="1">
        <v>45790</v>
      </c>
      <c r="C2401" s="2">
        <v>45790.124583333331</v>
      </c>
      <c r="D2401" t="s">
        <v>38</v>
      </c>
      <c r="E2401" t="s">
        <v>45</v>
      </c>
      <c r="F2401" t="s">
        <v>112</v>
      </c>
      <c r="G2401" t="s">
        <v>18</v>
      </c>
      <c r="H2401" t="s">
        <v>27</v>
      </c>
      <c r="I2401" t="s">
        <v>36</v>
      </c>
      <c r="J2401" t="s">
        <v>21</v>
      </c>
      <c r="K2401">
        <v>8</v>
      </c>
      <c r="L2401">
        <v>2.99</v>
      </c>
      <c r="M2401">
        <v>3.5</v>
      </c>
      <c r="N2401" t="s">
        <v>22</v>
      </c>
      <c r="O2401" t="str">
        <f t="shared" si="37"/>
        <v>No</v>
      </c>
    </row>
    <row r="2402" spans="1:15" x14ac:dyDescent="0.25">
      <c r="A2402" t="s">
        <v>2463</v>
      </c>
      <c r="B2402" s="1">
        <v>45659</v>
      </c>
      <c r="C2402" s="2">
        <v>45659.417916666665</v>
      </c>
      <c r="D2402" t="s">
        <v>24</v>
      </c>
      <c r="E2402" t="s">
        <v>32</v>
      </c>
      <c r="F2402" t="s">
        <v>80</v>
      </c>
      <c r="G2402" t="s">
        <v>56</v>
      </c>
      <c r="H2402" t="s">
        <v>27</v>
      </c>
      <c r="I2402" t="s">
        <v>36</v>
      </c>
      <c r="J2402" t="s">
        <v>21</v>
      </c>
      <c r="K2402">
        <v>24</v>
      </c>
      <c r="L2402">
        <v>10.029999999999999</v>
      </c>
      <c r="M2402">
        <v>4.4000000000000004</v>
      </c>
      <c r="N2402" t="s">
        <v>22</v>
      </c>
      <c r="O2402" t="str">
        <f t="shared" si="37"/>
        <v>No</v>
      </c>
    </row>
    <row r="2403" spans="1:15" x14ac:dyDescent="0.25">
      <c r="A2403" t="s">
        <v>2464</v>
      </c>
      <c r="B2403" s="1">
        <v>45760</v>
      </c>
      <c r="C2403" s="2">
        <v>45760.631666666668</v>
      </c>
      <c r="D2403" t="s">
        <v>15</v>
      </c>
      <c r="E2403" t="s">
        <v>32</v>
      </c>
      <c r="F2403" t="s">
        <v>75</v>
      </c>
      <c r="G2403" t="s">
        <v>18</v>
      </c>
      <c r="H2403" t="s">
        <v>54</v>
      </c>
      <c r="I2403" t="s">
        <v>45</v>
      </c>
      <c r="J2403" t="s">
        <v>46</v>
      </c>
      <c r="K2403">
        <v>48</v>
      </c>
      <c r="L2403">
        <v>15.16</v>
      </c>
      <c r="M2403">
        <v>4.3</v>
      </c>
      <c r="N2403" t="s">
        <v>22</v>
      </c>
      <c r="O2403" t="str">
        <f t="shared" si="37"/>
        <v>No</v>
      </c>
    </row>
    <row r="2404" spans="1:15" x14ac:dyDescent="0.25">
      <c r="A2404" t="s">
        <v>2465</v>
      </c>
      <c r="B2404" s="1">
        <v>45793</v>
      </c>
      <c r="C2404" s="2">
        <v>45794.818333333336</v>
      </c>
      <c r="D2404" t="s">
        <v>15</v>
      </c>
      <c r="E2404" t="s">
        <v>16</v>
      </c>
      <c r="F2404" t="s">
        <v>60</v>
      </c>
      <c r="G2404" t="s">
        <v>56</v>
      </c>
      <c r="H2404" t="s">
        <v>65</v>
      </c>
      <c r="I2404" t="s">
        <v>45</v>
      </c>
      <c r="J2404" t="s">
        <v>21</v>
      </c>
      <c r="K2404">
        <v>48</v>
      </c>
      <c r="L2404">
        <v>43.64</v>
      </c>
      <c r="M2404">
        <v>3.6</v>
      </c>
      <c r="N2404" t="s">
        <v>22</v>
      </c>
      <c r="O2404" t="str">
        <f t="shared" si="37"/>
        <v>No</v>
      </c>
    </row>
    <row r="2405" spans="1:15" x14ac:dyDescent="0.25">
      <c r="A2405" t="s">
        <v>2466</v>
      </c>
      <c r="B2405" s="1">
        <v>45757</v>
      </c>
      <c r="C2405" s="2">
        <v>45757.188750000001</v>
      </c>
      <c r="D2405" t="s">
        <v>38</v>
      </c>
      <c r="E2405" t="s">
        <v>16</v>
      </c>
      <c r="F2405" t="s">
        <v>60</v>
      </c>
      <c r="G2405" t="s">
        <v>56</v>
      </c>
      <c r="H2405" t="s">
        <v>35</v>
      </c>
      <c r="I2405" t="s">
        <v>45</v>
      </c>
      <c r="J2405" t="s">
        <v>46</v>
      </c>
      <c r="K2405">
        <v>8</v>
      </c>
      <c r="L2405">
        <v>4.53</v>
      </c>
      <c r="M2405">
        <v>4.5</v>
      </c>
      <c r="N2405" t="s">
        <v>22</v>
      </c>
      <c r="O2405" t="str">
        <f t="shared" si="37"/>
        <v>No</v>
      </c>
    </row>
    <row r="2406" spans="1:15" x14ac:dyDescent="0.25">
      <c r="A2406" t="s">
        <v>2467</v>
      </c>
      <c r="B2406" s="1">
        <v>45727</v>
      </c>
      <c r="C2406" s="2">
        <v>45727.390833333331</v>
      </c>
      <c r="D2406" t="s">
        <v>24</v>
      </c>
      <c r="E2406" t="s">
        <v>16</v>
      </c>
      <c r="F2406" t="s">
        <v>58</v>
      </c>
      <c r="G2406" t="s">
        <v>51</v>
      </c>
      <c r="H2406" t="s">
        <v>19</v>
      </c>
      <c r="I2406" t="s">
        <v>36</v>
      </c>
      <c r="J2406" t="s">
        <v>21</v>
      </c>
      <c r="K2406">
        <v>24</v>
      </c>
      <c r="L2406">
        <v>9.3800000000000008</v>
      </c>
      <c r="M2406">
        <v>4.0999999999999996</v>
      </c>
      <c r="N2406" t="s">
        <v>22</v>
      </c>
      <c r="O2406" t="str">
        <f t="shared" si="37"/>
        <v>No</v>
      </c>
    </row>
    <row r="2407" spans="1:15" x14ac:dyDescent="0.25">
      <c r="A2407" t="s">
        <v>2468</v>
      </c>
      <c r="B2407" s="1">
        <v>45807</v>
      </c>
      <c r="C2407" s="2">
        <v>45807.264166666668</v>
      </c>
      <c r="D2407" t="s">
        <v>24</v>
      </c>
      <c r="E2407" t="s">
        <v>16</v>
      </c>
      <c r="F2407" t="s">
        <v>43</v>
      </c>
      <c r="G2407" t="s">
        <v>18</v>
      </c>
      <c r="H2407" t="s">
        <v>19</v>
      </c>
      <c r="I2407" t="s">
        <v>20</v>
      </c>
      <c r="J2407" t="s">
        <v>21</v>
      </c>
      <c r="K2407">
        <v>24</v>
      </c>
      <c r="L2407">
        <v>6.34</v>
      </c>
      <c r="M2407">
        <v>4.5</v>
      </c>
      <c r="N2407" t="s">
        <v>22</v>
      </c>
      <c r="O2407" t="str">
        <f t="shared" si="37"/>
        <v>No</v>
      </c>
    </row>
    <row r="2408" spans="1:15" x14ac:dyDescent="0.25">
      <c r="A2408" t="s">
        <v>2469</v>
      </c>
      <c r="B2408" s="1">
        <v>45725</v>
      </c>
      <c r="C2408" s="2">
        <v>45725.212083333332</v>
      </c>
      <c r="D2408" t="s">
        <v>38</v>
      </c>
      <c r="E2408" t="s">
        <v>16</v>
      </c>
      <c r="F2408" t="s">
        <v>58</v>
      </c>
      <c r="G2408" t="s">
        <v>56</v>
      </c>
      <c r="H2408" t="s">
        <v>27</v>
      </c>
      <c r="I2408" t="s">
        <v>20</v>
      </c>
      <c r="J2408" t="s">
        <v>21</v>
      </c>
      <c r="K2408">
        <v>8</v>
      </c>
      <c r="L2408">
        <v>5.09</v>
      </c>
      <c r="M2408">
        <v>3.9</v>
      </c>
      <c r="N2408" t="s">
        <v>22</v>
      </c>
      <c r="O2408" t="str">
        <f t="shared" si="37"/>
        <v>No</v>
      </c>
    </row>
    <row r="2409" spans="1:15" x14ac:dyDescent="0.25">
      <c r="A2409" t="s">
        <v>2470</v>
      </c>
      <c r="B2409" s="1">
        <v>45786</v>
      </c>
      <c r="C2409" s="2">
        <v>45788.566250000003</v>
      </c>
      <c r="D2409" t="s">
        <v>15</v>
      </c>
      <c r="E2409" t="s">
        <v>25</v>
      </c>
      <c r="F2409" t="s">
        <v>26</v>
      </c>
      <c r="G2409" t="s">
        <v>51</v>
      </c>
      <c r="H2409" t="s">
        <v>65</v>
      </c>
      <c r="I2409" t="s">
        <v>45</v>
      </c>
      <c r="J2409" t="s">
        <v>21</v>
      </c>
      <c r="K2409">
        <v>48</v>
      </c>
      <c r="L2409">
        <v>61.59</v>
      </c>
      <c r="M2409">
        <v>3.4</v>
      </c>
      <c r="N2409" t="s">
        <v>22</v>
      </c>
      <c r="O2409" t="str">
        <f t="shared" si="37"/>
        <v>Yes</v>
      </c>
    </row>
    <row r="2410" spans="1:15" x14ac:dyDescent="0.25">
      <c r="A2410" t="s">
        <v>2471</v>
      </c>
      <c r="B2410" s="1">
        <v>45742</v>
      </c>
      <c r="C2410" s="2">
        <v>45742.419166666667</v>
      </c>
      <c r="D2410" t="s">
        <v>24</v>
      </c>
      <c r="E2410" t="s">
        <v>39</v>
      </c>
      <c r="F2410" t="s">
        <v>78</v>
      </c>
      <c r="G2410" t="s">
        <v>51</v>
      </c>
      <c r="H2410" t="s">
        <v>27</v>
      </c>
      <c r="I2410" t="s">
        <v>36</v>
      </c>
      <c r="J2410" t="s">
        <v>46</v>
      </c>
      <c r="K2410">
        <v>24</v>
      </c>
      <c r="L2410">
        <v>10.06</v>
      </c>
      <c r="M2410">
        <v>4.7</v>
      </c>
      <c r="N2410" t="s">
        <v>22</v>
      </c>
      <c r="O2410" t="str">
        <f t="shared" si="37"/>
        <v>No</v>
      </c>
    </row>
    <row r="2411" spans="1:15" x14ac:dyDescent="0.25">
      <c r="A2411" t="s">
        <v>2472</v>
      </c>
      <c r="B2411" s="1">
        <v>45662</v>
      </c>
      <c r="C2411" s="2">
        <v>45663.107916666668</v>
      </c>
      <c r="D2411" t="s">
        <v>15</v>
      </c>
      <c r="E2411" t="s">
        <v>25</v>
      </c>
      <c r="F2411" t="s">
        <v>48</v>
      </c>
      <c r="G2411" t="s">
        <v>56</v>
      </c>
      <c r="H2411" t="s">
        <v>44</v>
      </c>
      <c r="I2411" t="s">
        <v>45</v>
      </c>
      <c r="J2411" t="s">
        <v>46</v>
      </c>
      <c r="K2411">
        <v>48</v>
      </c>
      <c r="L2411">
        <v>26.59</v>
      </c>
      <c r="M2411">
        <v>3.5</v>
      </c>
      <c r="N2411" t="s">
        <v>22</v>
      </c>
      <c r="O2411" t="str">
        <f t="shared" si="37"/>
        <v>No</v>
      </c>
    </row>
    <row r="2412" spans="1:15" x14ac:dyDescent="0.25">
      <c r="A2412" t="s">
        <v>2473</v>
      </c>
      <c r="B2412" s="1">
        <v>45754</v>
      </c>
      <c r="C2412" s="2">
        <v>45754.247916666667</v>
      </c>
      <c r="D2412" t="s">
        <v>15</v>
      </c>
      <c r="E2412" t="s">
        <v>32</v>
      </c>
      <c r="F2412" t="s">
        <v>80</v>
      </c>
      <c r="G2412" t="s">
        <v>18</v>
      </c>
      <c r="H2412" t="s">
        <v>35</v>
      </c>
      <c r="I2412" t="s">
        <v>36</v>
      </c>
      <c r="J2412" t="s">
        <v>21</v>
      </c>
      <c r="K2412">
        <v>48</v>
      </c>
      <c r="L2412">
        <v>5.95</v>
      </c>
      <c r="M2412">
        <v>5</v>
      </c>
      <c r="N2412" t="s">
        <v>22</v>
      </c>
      <c r="O2412" t="str">
        <f t="shared" si="37"/>
        <v>No</v>
      </c>
    </row>
    <row r="2413" spans="1:15" x14ac:dyDescent="0.25">
      <c r="A2413" t="s">
        <v>2474</v>
      </c>
      <c r="B2413" s="1">
        <v>45666</v>
      </c>
      <c r="C2413" s="2">
        <v>45666.548750000002</v>
      </c>
      <c r="D2413" t="s">
        <v>24</v>
      </c>
      <c r="E2413" t="s">
        <v>16</v>
      </c>
      <c r="F2413" t="s">
        <v>17</v>
      </c>
      <c r="G2413" t="s">
        <v>56</v>
      </c>
      <c r="H2413" t="s">
        <v>27</v>
      </c>
      <c r="I2413" t="s">
        <v>20</v>
      </c>
      <c r="J2413" t="s">
        <v>21</v>
      </c>
      <c r="K2413">
        <v>24</v>
      </c>
      <c r="L2413">
        <v>13.17</v>
      </c>
      <c r="M2413">
        <v>4.5</v>
      </c>
      <c r="N2413" t="s">
        <v>22</v>
      </c>
      <c r="O2413" t="str">
        <f t="shared" si="37"/>
        <v>No</v>
      </c>
    </row>
    <row r="2414" spans="1:15" x14ac:dyDescent="0.25">
      <c r="A2414" t="s">
        <v>2475</v>
      </c>
      <c r="B2414" s="1">
        <v>45826</v>
      </c>
      <c r="C2414" s="2">
        <v>45828.204583333332</v>
      </c>
      <c r="D2414" t="s">
        <v>24</v>
      </c>
      <c r="E2414" t="s">
        <v>45</v>
      </c>
      <c r="F2414" t="s">
        <v>50</v>
      </c>
      <c r="G2414" t="s">
        <v>56</v>
      </c>
      <c r="H2414" t="s">
        <v>44</v>
      </c>
      <c r="I2414" t="s">
        <v>20</v>
      </c>
      <c r="J2414" t="s">
        <v>21</v>
      </c>
      <c r="K2414">
        <v>24</v>
      </c>
      <c r="L2414">
        <v>52.91</v>
      </c>
      <c r="M2414">
        <v>2.6</v>
      </c>
      <c r="N2414" t="s">
        <v>22</v>
      </c>
      <c r="O2414" t="str">
        <f t="shared" si="37"/>
        <v>Yes</v>
      </c>
    </row>
    <row r="2415" spans="1:15" x14ac:dyDescent="0.25">
      <c r="A2415" t="s">
        <v>2476</v>
      </c>
      <c r="B2415" s="1">
        <v>45766</v>
      </c>
      <c r="C2415" s="2">
        <v>45766.05541666667</v>
      </c>
      <c r="D2415" t="s">
        <v>38</v>
      </c>
      <c r="E2415" t="s">
        <v>32</v>
      </c>
      <c r="F2415" t="s">
        <v>80</v>
      </c>
      <c r="G2415" t="s">
        <v>34</v>
      </c>
      <c r="H2415" t="s">
        <v>54</v>
      </c>
      <c r="I2415" t="s">
        <v>20</v>
      </c>
      <c r="J2415" t="s">
        <v>46</v>
      </c>
      <c r="K2415">
        <v>8</v>
      </c>
      <c r="L2415">
        <v>1.33</v>
      </c>
      <c r="M2415">
        <v>4.9000000000000004</v>
      </c>
      <c r="N2415" t="s">
        <v>22</v>
      </c>
      <c r="O2415" t="str">
        <f t="shared" si="37"/>
        <v>No</v>
      </c>
    </row>
    <row r="2416" spans="1:15" x14ac:dyDescent="0.25">
      <c r="A2416" t="s">
        <v>2477</v>
      </c>
      <c r="B2416" s="1">
        <v>45725</v>
      </c>
      <c r="C2416" s="2">
        <v>45725.676249999997</v>
      </c>
      <c r="D2416" t="s">
        <v>24</v>
      </c>
      <c r="E2416" t="s">
        <v>39</v>
      </c>
      <c r="F2416" t="s">
        <v>119</v>
      </c>
      <c r="G2416" t="s">
        <v>18</v>
      </c>
      <c r="H2416" t="s">
        <v>35</v>
      </c>
      <c r="I2416" t="s">
        <v>36</v>
      </c>
      <c r="J2416" t="s">
        <v>21</v>
      </c>
      <c r="K2416">
        <v>24</v>
      </c>
      <c r="L2416">
        <v>16.23</v>
      </c>
      <c r="M2416">
        <v>4.4000000000000004</v>
      </c>
      <c r="N2416" t="s">
        <v>22</v>
      </c>
      <c r="O2416" t="str">
        <f t="shared" si="37"/>
        <v>No</v>
      </c>
    </row>
    <row r="2417" spans="1:15" x14ac:dyDescent="0.25">
      <c r="A2417" t="s">
        <v>2478</v>
      </c>
      <c r="B2417" s="1">
        <v>45746</v>
      </c>
      <c r="C2417" s="2">
        <v>45746.110833333332</v>
      </c>
      <c r="D2417" t="s">
        <v>38</v>
      </c>
      <c r="E2417" t="s">
        <v>39</v>
      </c>
      <c r="F2417" t="s">
        <v>87</v>
      </c>
      <c r="G2417" t="s">
        <v>18</v>
      </c>
      <c r="H2417" t="s">
        <v>65</v>
      </c>
      <c r="I2417" t="s">
        <v>20</v>
      </c>
      <c r="J2417" t="s">
        <v>46</v>
      </c>
      <c r="K2417">
        <v>8</v>
      </c>
      <c r="L2417">
        <v>2.66</v>
      </c>
      <c r="M2417">
        <v>4.3</v>
      </c>
      <c r="N2417" t="s">
        <v>22</v>
      </c>
      <c r="O2417" t="str">
        <f t="shared" si="37"/>
        <v>No</v>
      </c>
    </row>
    <row r="2418" spans="1:15" x14ac:dyDescent="0.25">
      <c r="A2418" t="s">
        <v>2479</v>
      </c>
      <c r="B2418" s="1">
        <v>45770</v>
      </c>
      <c r="C2418" s="2">
        <v>45770.03833333333</v>
      </c>
      <c r="D2418" t="s">
        <v>38</v>
      </c>
      <c r="E2418" t="s">
        <v>16</v>
      </c>
      <c r="F2418" t="s">
        <v>17</v>
      </c>
      <c r="G2418" t="s">
        <v>51</v>
      </c>
      <c r="H2418" t="s">
        <v>27</v>
      </c>
      <c r="I2418" t="s">
        <v>20</v>
      </c>
      <c r="J2418" t="s">
        <v>46</v>
      </c>
      <c r="K2418">
        <v>8</v>
      </c>
      <c r="L2418">
        <v>0.92</v>
      </c>
      <c r="M2418">
        <v>5</v>
      </c>
      <c r="N2418" t="s">
        <v>22</v>
      </c>
      <c r="O2418" t="str">
        <f t="shared" si="37"/>
        <v>No</v>
      </c>
    </row>
    <row r="2419" spans="1:15" x14ac:dyDescent="0.25">
      <c r="A2419" t="s">
        <v>2480</v>
      </c>
      <c r="B2419" s="1">
        <v>45705</v>
      </c>
      <c r="C2419" s="2">
        <v>45705.370416666665</v>
      </c>
      <c r="D2419" t="s">
        <v>24</v>
      </c>
      <c r="E2419" t="s">
        <v>39</v>
      </c>
      <c r="F2419" t="s">
        <v>78</v>
      </c>
      <c r="G2419" t="s">
        <v>51</v>
      </c>
      <c r="H2419" t="s">
        <v>19</v>
      </c>
      <c r="I2419" t="s">
        <v>36</v>
      </c>
      <c r="J2419" t="s">
        <v>46</v>
      </c>
      <c r="K2419">
        <v>24</v>
      </c>
      <c r="L2419">
        <v>8.89</v>
      </c>
      <c r="M2419">
        <v>5</v>
      </c>
      <c r="N2419" t="s">
        <v>61</v>
      </c>
      <c r="O2419" t="str">
        <f t="shared" si="37"/>
        <v>No</v>
      </c>
    </row>
    <row r="2420" spans="1:15" x14ac:dyDescent="0.25">
      <c r="A2420" t="s">
        <v>2481</v>
      </c>
      <c r="B2420" s="1">
        <v>45710</v>
      </c>
      <c r="C2420" s="2">
        <v>45710.625833333332</v>
      </c>
      <c r="D2420" t="s">
        <v>38</v>
      </c>
      <c r="E2420" t="s">
        <v>32</v>
      </c>
      <c r="F2420" t="s">
        <v>64</v>
      </c>
      <c r="G2420" t="s">
        <v>56</v>
      </c>
      <c r="H2420" t="s">
        <v>35</v>
      </c>
      <c r="I2420" t="s">
        <v>36</v>
      </c>
      <c r="J2420" t="s">
        <v>21</v>
      </c>
      <c r="K2420">
        <v>8</v>
      </c>
      <c r="L2420">
        <v>15.02</v>
      </c>
      <c r="M2420">
        <v>2.4</v>
      </c>
      <c r="N2420" t="s">
        <v>22</v>
      </c>
      <c r="O2420" t="str">
        <f t="shared" si="37"/>
        <v>Yes</v>
      </c>
    </row>
    <row r="2421" spans="1:15" x14ac:dyDescent="0.25">
      <c r="A2421" t="s">
        <v>2482</v>
      </c>
      <c r="B2421" s="1">
        <v>45733</v>
      </c>
      <c r="C2421" s="2">
        <v>45733.668333333335</v>
      </c>
      <c r="D2421" t="s">
        <v>24</v>
      </c>
      <c r="E2421" t="s">
        <v>45</v>
      </c>
      <c r="F2421" t="s">
        <v>112</v>
      </c>
      <c r="G2421" t="s">
        <v>41</v>
      </c>
      <c r="H2421" t="s">
        <v>35</v>
      </c>
      <c r="I2421" t="s">
        <v>36</v>
      </c>
      <c r="J2421" t="s">
        <v>21</v>
      </c>
      <c r="K2421">
        <v>24</v>
      </c>
      <c r="L2421">
        <v>16.04</v>
      </c>
      <c r="M2421">
        <v>3.9</v>
      </c>
      <c r="N2421" t="s">
        <v>22</v>
      </c>
      <c r="O2421" t="str">
        <f t="shared" si="37"/>
        <v>No</v>
      </c>
    </row>
    <row r="2422" spans="1:15" x14ac:dyDescent="0.25">
      <c r="A2422" t="s">
        <v>2483</v>
      </c>
      <c r="B2422" s="1">
        <v>45704</v>
      </c>
      <c r="C2422" s="2">
        <v>45704.615833333337</v>
      </c>
      <c r="D2422" t="s">
        <v>24</v>
      </c>
      <c r="E2422" t="s">
        <v>32</v>
      </c>
      <c r="F2422" t="s">
        <v>64</v>
      </c>
      <c r="G2422" t="s">
        <v>51</v>
      </c>
      <c r="H2422" t="s">
        <v>27</v>
      </c>
      <c r="I2422" t="s">
        <v>45</v>
      </c>
      <c r="J2422" t="s">
        <v>21</v>
      </c>
      <c r="K2422">
        <v>24</v>
      </c>
      <c r="L2422">
        <v>14.78</v>
      </c>
      <c r="M2422">
        <v>4.7</v>
      </c>
      <c r="N2422" t="s">
        <v>22</v>
      </c>
      <c r="O2422" t="str">
        <f t="shared" si="37"/>
        <v>No</v>
      </c>
    </row>
    <row r="2423" spans="1:15" x14ac:dyDescent="0.25">
      <c r="A2423" t="s">
        <v>2484</v>
      </c>
      <c r="B2423" s="1">
        <v>45795</v>
      </c>
      <c r="C2423" s="2">
        <v>45795.365416666667</v>
      </c>
      <c r="D2423" t="s">
        <v>15</v>
      </c>
      <c r="E2423" t="s">
        <v>16</v>
      </c>
      <c r="F2423" t="s">
        <v>43</v>
      </c>
      <c r="G2423" t="s">
        <v>51</v>
      </c>
      <c r="H2423" t="s">
        <v>27</v>
      </c>
      <c r="I2423" t="s">
        <v>36</v>
      </c>
      <c r="J2423" t="s">
        <v>46</v>
      </c>
      <c r="K2423">
        <v>48</v>
      </c>
      <c r="L2423">
        <v>8.77</v>
      </c>
      <c r="M2423">
        <v>4.4000000000000004</v>
      </c>
      <c r="N2423" t="s">
        <v>61</v>
      </c>
      <c r="O2423" t="str">
        <f t="shared" si="37"/>
        <v>No</v>
      </c>
    </row>
    <row r="2424" spans="1:15" x14ac:dyDescent="0.25">
      <c r="A2424" t="s">
        <v>2485</v>
      </c>
      <c r="B2424" s="1">
        <v>45676</v>
      </c>
      <c r="C2424" s="2">
        <v>45678.112500000003</v>
      </c>
      <c r="D2424" t="s">
        <v>15</v>
      </c>
      <c r="E2424" t="s">
        <v>16</v>
      </c>
      <c r="F2424" t="s">
        <v>17</v>
      </c>
      <c r="G2424" t="s">
        <v>34</v>
      </c>
      <c r="H2424" t="s">
        <v>27</v>
      </c>
      <c r="I2424" t="s">
        <v>36</v>
      </c>
      <c r="J2424" t="s">
        <v>46</v>
      </c>
      <c r="K2424">
        <v>48</v>
      </c>
      <c r="L2424">
        <v>50.7</v>
      </c>
      <c r="M2424">
        <v>3.3</v>
      </c>
      <c r="N2424" t="s">
        <v>22</v>
      </c>
      <c r="O2424" t="str">
        <f t="shared" si="37"/>
        <v>Yes</v>
      </c>
    </row>
    <row r="2425" spans="1:15" x14ac:dyDescent="0.25">
      <c r="A2425" t="s">
        <v>2486</v>
      </c>
      <c r="B2425" s="1">
        <v>45807</v>
      </c>
      <c r="C2425" s="2">
        <v>45807.447916666664</v>
      </c>
      <c r="D2425" t="s">
        <v>38</v>
      </c>
      <c r="E2425" t="s">
        <v>32</v>
      </c>
      <c r="F2425" t="s">
        <v>64</v>
      </c>
      <c r="G2425" t="s">
        <v>56</v>
      </c>
      <c r="H2425" t="s">
        <v>27</v>
      </c>
      <c r="I2425" t="s">
        <v>45</v>
      </c>
      <c r="J2425" t="s">
        <v>21</v>
      </c>
      <c r="K2425">
        <v>8</v>
      </c>
      <c r="L2425">
        <v>10.75</v>
      </c>
      <c r="M2425">
        <v>3.7</v>
      </c>
      <c r="N2425" t="s">
        <v>22</v>
      </c>
      <c r="O2425" t="str">
        <f t="shared" si="37"/>
        <v>Yes</v>
      </c>
    </row>
    <row r="2426" spans="1:15" x14ac:dyDescent="0.25">
      <c r="A2426" t="s">
        <v>2487</v>
      </c>
      <c r="B2426" s="1">
        <v>45721</v>
      </c>
      <c r="C2426" s="2">
        <v>45722.308749999997</v>
      </c>
      <c r="D2426" t="s">
        <v>24</v>
      </c>
      <c r="E2426" t="s">
        <v>32</v>
      </c>
      <c r="F2426" t="s">
        <v>33</v>
      </c>
      <c r="G2426" t="s">
        <v>56</v>
      </c>
      <c r="H2426" t="s">
        <v>44</v>
      </c>
      <c r="I2426" t="s">
        <v>20</v>
      </c>
      <c r="J2426" t="s">
        <v>21</v>
      </c>
      <c r="K2426">
        <v>24</v>
      </c>
      <c r="L2426">
        <v>31.41</v>
      </c>
      <c r="M2426">
        <v>3.1</v>
      </c>
      <c r="N2426" t="s">
        <v>22</v>
      </c>
      <c r="O2426" t="str">
        <f t="shared" si="37"/>
        <v>Yes</v>
      </c>
    </row>
    <row r="2427" spans="1:15" x14ac:dyDescent="0.25">
      <c r="A2427" t="s">
        <v>2488</v>
      </c>
      <c r="B2427" s="1">
        <v>45759</v>
      </c>
      <c r="C2427" s="2">
        <v>45760.00708333333</v>
      </c>
      <c r="D2427" t="s">
        <v>24</v>
      </c>
      <c r="E2427" t="s">
        <v>45</v>
      </c>
      <c r="F2427" t="s">
        <v>100</v>
      </c>
      <c r="G2427" t="s">
        <v>18</v>
      </c>
      <c r="H2427" t="s">
        <v>44</v>
      </c>
      <c r="I2427" t="s">
        <v>20</v>
      </c>
      <c r="J2427" t="s">
        <v>21</v>
      </c>
      <c r="K2427">
        <v>24</v>
      </c>
      <c r="L2427">
        <v>24.17</v>
      </c>
      <c r="M2427">
        <v>4.5999999999999996</v>
      </c>
      <c r="N2427" t="s">
        <v>61</v>
      </c>
      <c r="O2427" t="str">
        <f t="shared" si="37"/>
        <v>Yes</v>
      </c>
    </row>
    <row r="2428" spans="1:15" x14ac:dyDescent="0.25">
      <c r="A2428" t="s">
        <v>2489</v>
      </c>
      <c r="B2428" s="1">
        <v>45686</v>
      </c>
      <c r="C2428" s="2">
        <v>45686.485833333332</v>
      </c>
      <c r="D2428" t="s">
        <v>15</v>
      </c>
      <c r="E2428" t="s">
        <v>16</v>
      </c>
      <c r="F2428" t="s">
        <v>58</v>
      </c>
      <c r="G2428" t="s">
        <v>56</v>
      </c>
      <c r="H2428" t="s">
        <v>35</v>
      </c>
      <c r="I2428" t="s">
        <v>20</v>
      </c>
      <c r="J2428" t="s">
        <v>21</v>
      </c>
      <c r="K2428">
        <v>48</v>
      </c>
      <c r="L2428">
        <v>11.66</v>
      </c>
      <c r="M2428">
        <v>4.4000000000000004</v>
      </c>
      <c r="N2428" t="s">
        <v>22</v>
      </c>
      <c r="O2428" t="str">
        <f t="shared" si="37"/>
        <v>No</v>
      </c>
    </row>
    <row r="2429" spans="1:15" x14ac:dyDescent="0.25">
      <c r="A2429" t="s">
        <v>2490</v>
      </c>
      <c r="B2429" s="1">
        <v>45727</v>
      </c>
      <c r="C2429" s="2">
        <v>45727.194166666668</v>
      </c>
      <c r="D2429" t="s">
        <v>24</v>
      </c>
      <c r="E2429" t="s">
        <v>32</v>
      </c>
      <c r="F2429" t="s">
        <v>33</v>
      </c>
      <c r="G2429" t="s">
        <v>41</v>
      </c>
      <c r="H2429" t="s">
        <v>54</v>
      </c>
      <c r="I2429" t="s">
        <v>20</v>
      </c>
      <c r="J2429" t="s">
        <v>46</v>
      </c>
      <c r="K2429">
        <v>24</v>
      </c>
      <c r="L2429">
        <v>4.66</v>
      </c>
      <c r="M2429">
        <v>4.2</v>
      </c>
      <c r="N2429" t="s">
        <v>22</v>
      </c>
      <c r="O2429" t="str">
        <f t="shared" si="37"/>
        <v>No</v>
      </c>
    </row>
    <row r="2430" spans="1:15" x14ac:dyDescent="0.25">
      <c r="A2430" t="s">
        <v>2491</v>
      </c>
      <c r="B2430" s="1">
        <v>45794</v>
      </c>
      <c r="C2430" s="2">
        <v>45794.069166666668</v>
      </c>
      <c r="D2430" t="s">
        <v>24</v>
      </c>
      <c r="E2430" t="s">
        <v>25</v>
      </c>
      <c r="F2430" t="s">
        <v>48</v>
      </c>
      <c r="G2430" t="s">
        <v>56</v>
      </c>
      <c r="H2430" t="s">
        <v>54</v>
      </c>
      <c r="I2430" t="s">
        <v>45</v>
      </c>
      <c r="J2430" t="s">
        <v>21</v>
      </c>
      <c r="K2430">
        <v>24</v>
      </c>
      <c r="L2430">
        <v>1.66</v>
      </c>
      <c r="M2430">
        <v>4.9000000000000004</v>
      </c>
      <c r="N2430" t="s">
        <v>22</v>
      </c>
      <c r="O2430" t="str">
        <f t="shared" si="37"/>
        <v>No</v>
      </c>
    </row>
    <row r="2431" spans="1:15" x14ac:dyDescent="0.25">
      <c r="A2431" t="s">
        <v>2492</v>
      </c>
      <c r="B2431" s="1">
        <v>45706</v>
      </c>
      <c r="C2431" s="2">
        <v>45706.427916666667</v>
      </c>
      <c r="D2431" t="s">
        <v>15</v>
      </c>
      <c r="E2431" t="s">
        <v>16</v>
      </c>
      <c r="F2431" t="s">
        <v>58</v>
      </c>
      <c r="G2431" t="s">
        <v>51</v>
      </c>
      <c r="H2431" t="s">
        <v>54</v>
      </c>
      <c r="I2431" t="s">
        <v>20</v>
      </c>
      <c r="J2431" t="s">
        <v>29</v>
      </c>
      <c r="K2431">
        <v>48</v>
      </c>
      <c r="L2431">
        <v>10.27</v>
      </c>
      <c r="M2431">
        <v>5</v>
      </c>
      <c r="N2431" t="s">
        <v>22</v>
      </c>
      <c r="O2431" t="str">
        <f t="shared" si="37"/>
        <v>No</v>
      </c>
    </row>
    <row r="2432" spans="1:15" x14ac:dyDescent="0.25">
      <c r="A2432" t="s">
        <v>2493</v>
      </c>
      <c r="B2432" s="1">
        <v>45681</v>
      </c>
      <c r="C2432" s="2">
        <v>45681.217083333337</v>
      </c>
      <c r="D2432" t="s">
        <v>38</v>
      </c>
      <c r="E2432" t="s">
        <v>32</v>
      </c>
      <c r="F2432" t="s">
        <v>33</v>
      </c>
      <c r="G2432" t="s">
        <v>51</v>
      </c>
      <c r="H2432" t="s">
        <v>27</v>
      </c>
      <c r="I2432" t="s">
        <v>36</v>
      </c>
      <c r="J2432" t="s">
        <v>21</v>
      </c>
      <c r="K2432">
        <v>8</v>
      </c>
      <c r="L2432">
        <v>5.21</v>
      </c>
      <c r="M2432">
        <v>4.4000000000000004</v>
      </c>
      <c r="N2432" t="s">
        <v>22</v>
      </c>
      <c r="O2432" t="str">
        <f t="shared" si="37"/>
        <v>No</v>
      </c>
    </row>
    <row r="2433" spans="1:15" x14ac:dyDescent="0.25">
      <c r="A2433" t="s">
        <v>2494</v>
      </c>
      <c r="B2433" s="1">
        <v>45752</v>
      </c>
      <c r="C2433" s="2">
        <v>45752.21125</v>
      </c>
      <c r="D2433" t="s">
        <v>24</v>
      </c>
      <c r="E2433" t="s">
        <v>16</v>
      </c>
      <c r="F2433" t="s">
        <v>43</v>
      </c>
      <c r="G2433" t="s">
        <v>51</v>
      </c>
      <c r="H2433" t="s">
        <v>19</v>
      </c>
      <c r="I2433" t="s">
        <v>20</v>
      </c>
      <c r="J2433" t="s">
        <v>46</v>
      </c>
      <c r="K2433">
        <v>24</v>
      </c>
      <c r="L2433">
        <v>5.07</v>
      </c>
      <c r="M2433">
        <v>5</v>
      </c>
      <c r="N2433" t="s">
        <v>22</v>
      </c>
      <c r="O2433" t="str">
        <f t="shared" si="37"/>
        <v>No</v>
      </c>
    </row>
    <row r="2434" spans="1:15" x14ac:dyDescent="0.25">
      <c r="A2434" t="s">
        <v>2495</v>
      </c>
      <c r="B2434" s="1">
        <v>45687</v>
      </c>
      <c r="C2434" s="2">
        <v>45687.363749999997</v>
      </c>
      <c r="D2434" t="s">
        <v>38</v>
      </c>
      <c r="E2434" t="s">
        <v>16</v>
      </c>
      <c r="F2434" t="s">
        <v>43</v>
      </c>
      <c r="G2434" t="s">
        <v>34</v>
      </c>
      <c r="H2434" t="s">
        <v>27</v>
      </c>
      <c r="I2434" t="s">
        <v>20</v>
      </c>
      <c r="J2434" t="s">
        <v>21</v>
      </c>
      <c r="K2434">
        <v>8</v>
      </c>
      <c r="L2434">
        <v>8.73</v>
      </c>
      <c r="M2434">
        <v>3.3</v>
      </c>
      <c r="N2434" t="s">
        <v>22</v>
      </c>
      <c r="O2434" t="str">
        <f t="shared" si="37"/>
        <v>Yes</v>
      </c>
    </row>
    <row r="2435" spans="1:15" x14ac:dyDescent="0.25">
      <c r="A2435" t="s">
        <v>2496</v>
      </c>
      <c r="B2435" s="1">
        <v>45714</v>
      </c>
      <c r="C2435" s="2">
        <v>45716.419166666667</v>
      </c>
      <c r="D2435" t="s">
        <v>15</v>
      </c>
      <c r="E2435" t="s">
        <v>32</v>
      </c>
      <c r="F2435" t="s">
        <v>64</v>
      </c>
      <c r="G2435" t="s">
        <v>51</v>
      </c>
      <c r="H2435" t="s">
        <v>54</v>
      </c>
      <c r="I2435" t="s">
        <v>45</v>
      </c>
      <c r="J2435" t="s">
        <v>29</v>
      </c>
      <c r="K2435">
        <v>48</v>
      </c>
      <c r="L2435">
        <v>58.06</v>
      </c>
      <c r="M2435">
        <v>4.3</v>
      </c>
      <c r="N2435" t="s">
        <v>22</v>
      </c>
      <c r="O2435" t="str">
        <f t="shared" ref="O2435:O2498" si="38">IF(L2435&gt;K2435,"Yes","No")</f>
        <v>Yes</v>
      </c>
    </row>
    <row r="2436" spans="1:15" x14ac:dyDescent="0.25">
      <c r="A2436" t="s">
        <v>2497</v>
      </c>
      <c r="B2436" s="1">
        <v>45739</v>
      </c>
      <c r="C2436" s="2">
        <v>45740.16333333333</v>
      </c>
      <c r="D2436" t="s">
        <v>24</v>
      </c>
      <c r="E2436" t="s">
        <v>25</v>
      </c>
      <c r="F2436" t="s">
        <v>53</v>
      </c>
      <c r="G2436" t="s">
        <v>51</v>
      </c>
      <c r="H2436" t="s">
        <v>54</v>
      </c>
      <c r="I2436" t="s">
        <v>36</v>
      </c>
      <c r="J2436" t="s">
        <v>46</v>
      </c>
      <c r="K2436">
        <v>24</v>
      </c>
      <c r="L2436">
        <v>27.92</v>
      </c>
      <c r="M2436">
        <v>2.5</v>
      </c>
      <c r="N2436" t="s">
        <v>22</v>
      </c>
      <c r="O2436" t="str">
        <f t="shared" si="38"/>
        <v>Yes</v>
      </c>
    </row>
    <row r="2437" spans="1:15" x14ac:dyDescent="0.25">
      <c r="A2437" t="s">
        <v>2498</v>
      </c>
      <c r="B2437" s="1">
        <v>45760</v>
      </c>
      <c r="C2437" s="2">
        <v>45760.184999999998</v>
      </c>
      <c r="D2437" t="s">
        <v>15</v>
      </c>
      <c r="E2437" t="s">
        <v>39</v>
      </c>
      <c r="F2437" t="s">
        <v>87</v>
      </c>
      <c r="G2437" t="s">
        <v>56</v>
      </c>
      <c r="H2437" t="s">
        <v>44</v>
      </c>
      <c r="I2437" t="s">
        <v>36</v>
      </c>
      <c r="J2437" t="s">
        <v>21</v>
      </c>
      <c r="K2437">
        <v>48</v>
      </c>
      <c r="L2437">
        <v>4.4400000000000004</v>
      </c>
      <c r="M2437">
        <v>4.4000000000000004</v>
      </c>
      <c r="N2437" t="s">
        <v>22</v>
      </c>
      <c r="O2437" t="str">
        <f t="shared" si="38"/>
        <v>No</v>
      </c>
    </row>
    <row r="2438" spans="1:15" x14ac:dyDescent="0.25">
      <c r="A2438" t="s">
        <v>2499</v>
      </c>
      <c r="B2438" s="1">
        <v>45773</v>
      </c>
      <c r="C2438" s="2">
        <v>45773.617083333331</v>
      </c>
      <c r="D2438" t="s">
        <v>24</v>
      </c>
      <c r="E2438" t="s">
        <v>39</v>
      </c>
      <c r="F2438" t="s">
        <v>40</v>
      </c>
      <c r="G2438" t="s">
        <v>51</v>
      </c>
      <c r="H2438" t="s">
        <v>65</v>
      </c>
      <c r="I2438" t="s">
        <v>36</v>
      </c>
      <c r="J2438" t="s">
        <v>21</v>
      </c>
      <c r="K2438">
        <v>24</v>
      </c>
      <c r="L2438">
        <v>14.81</v>
      </c>
      <c r="M2438">
        <v>4.3</v>
      </c>
      <c r="N2438" t="s">
        <v>22</v>
      </c>
      <c r="O2438" t="str">
        <f t="shared" si="38"/>
        <v>No</v>
      </c>
    </row>
    <row r="2439" spans="1:15" x14ac:dyDescent="0.25">
      <c r="A2439" t="s">
        <v>2500</v>
      </c>
      <c r="B2439" s="1">
        <v>45780</v>
      </c>
      <c r="C2439" s="2">
        <v>45780.188333333332</v>
      </c>
      <c r="D2439" t="s">
        <v>38</v>
      </c>
      <c r="E2439" t="s">
        <v>32</v>
      </c>
      <c r="F2439" t="s">
        <v>64</v>
      </c>
      <c r="G2439" t="s">
        <v>51</v>
      </c>
      <c r="H2439" t="s">
        <v>65</v>
      </c>
      <c r="I2439" t="s">
        <v>36</v>
      </c>
      <c r="J2439" t="s">
        <v>85</v>
      </c>
      <c r="K2439">
        <v>8</v>
      </c>
      <c r="L2439">
        <v>4.5199999999999996</v>
      </c>
      <c r="M2439">
        <v>3.9</v>
      </c>
      <c r="N2439" t="s">
        <v>22</v>
      </c>
      <c r="O2439" t="str">
        <f t="shared" si="38"/>
        <v>No</v>
      </c>
    </row>
    <row r="2440" spans="1:15" x14ac:dyDescent="0.25">
      <c r="A2440" t="s">
        <v>2501</v>
      </c>
      <c r="B2440" s="1">
        <v>45810</v>
      </c>
      <c r="C2440" s="2">
        <v>45811.141250000001</v>
      </c>
      <c r="D2440" t="s">
        <v>24</v>
      </c>
      <c r="E2440" t="s">
        <v>25</v>
      </c>
      <c r="F2440" t="s">
        <v>48</v>
      </c>
      <c r="G2440" t="s">
        <v>56</v>
      </c>
      <c r="H2440" t="s">
        <v>65</v>
      </c>
      <c r="I2440" t="s">
        <v>36</v>
      </c>
      <c r="J2440" t="s">
        <v>46</v>
      </c>
      <c r="K2440">
        <v>24</v>
      </c>
      <c r="L2440">
        <v>27.39</v>
      </c>
      <c r="M2440">
        <v>3.4</v>
      </c>
      <c r="N2440" t="s">
        <v>22</v>
      </c>
      <c r="O2440" t="str">
        <f t="shared" si="38"/>
        <v>Yes</v>
      </c>
    </row>
    <row r="2441" spans="1:15" x14ac:dyDescent="0.25">
      <c r="A2441" t="s">
        <v>2502</v>
      </c>
      <c r="B2441" s="1">
        <v>45669</v>
      </c>
      <c r="C2441" s="2">
        <v>45669.237500000003</v>
      </c>
      <c r="D2441" t="s">
        <v>15</v>
      </c>
      <c r="E2441" t="s">
        <v>16</v>
      </c>
      <c r="F2441" t="s">
        <v>43</v>
      </c>
      <c r="G2441" t="s">
        <v>56</v>
      </c>
      <c r="H2441" t="s">
        <v>44</v>
      </c>
      <c r="I2441" t="s">
        <v>36</v>
      </c>
      <c r="J2441" t="s">
        <v>21</v>
      </c>
      <c r="K2441">
        <v>48</v>
      </c>
      <c r="L2441">
        <v>5.7</v>
      </c>
      <c r="M2441">
        <v>4.2</v>
      </c>
      <c r="N2441" t="s">
        <v>22</v>
      </c>
      <c r="O2441" t="str">
        <f t="shared" si="38"/>
        <v>No</v>
      </c>
    </row>
    <row r="2442" spans="1:15" x14ac:dyDescent="0.25">
      <c r="A2442" t="s">
        <v>2503</v>
      </c>
      <c r="B2442" s="1">
        <v>45723</v>
      </c>
      <c r="C2442" s="2">
        <v>45723.186666666668</v>
      </c>
      <c r="D2442" t="s">
        <v>38</v>
      </c>
      <c r="E2442" t="s">
        <v>45</v>
      </c>
      <c r="F2442" t="s">
        <v>104</v>
      </c>
      <c r="G2442" t="s">
        <v>51</v>
      </c>
      <c r="H2442" t="s">
        <v>65</v>
      </c>
      <c r="I2442" t="s">
        <v>36</v>
      </c>
      <c r="J2442" t="s">
        <v>46</v>
      </c>
      <c r="K2442">
        <v>8</v>
      </c>
      <c r="L2442">
        <v>4.4800000000000004</v>
      </c>
      <c r="M2442">
        <v>4.2</v>
      </c>
      <c r="N2442" t="s">
        <v>22</v>
      </c>
      <c r="O2442" t="str">
        <f t="shared" si="38"/>
        <v>No</v>
      </c>
    </row>
    <row r="2443" spans="1:15" x14ac:dyDescent="0.25">
      <c r="A2443" t="s">
        <v>2504</v>
      </c>
      <c r="B2443" s="1">
        <v>45658</v>
      </c>
      <c r="C2443" s="2">
        <v>45658.231249999997</v>
      </c>
      <c r="D2443" t="s">
        <v>15</v>
      </c>
      <c r="E2443" t="s">
        <v>32</v>
      </c>
      <c r="F2443" t="s">
        <v>64</v>
      </c>
      <c r="G2443" t="s">
        <v>18</v>
      </c>
      <c r="H2443" t="s">
        <v>19</v>
      </c>
      <c r="I2443" t="s">
        <v>20</v>
      </c>
      <c r="J2443" t="s">
        <v>21</v>
      </c>
      <c r="K2443">
        <v>48</v>
      </c>
      <c r="L2443">
        <v>5.55</v>
      </c>
      <c r="M2443">
        <v>5</v>
      </c>
      <c r="N2443" t="s">
        <v>22</v>
      </c>
      <c r="O2443" t="str">
        <f t="shared" si="38"/>
        <v>No</v>
      </c>
    </row>
    <row r="2444" spans="1:15" x14ac:dyDescent="0.25">
      <c r="A2444" t="s">
        <v>2505</v>
      </c>
      <c r="B2444" s="1">
        <v>45659</v>
      </c>
      <c r="C2444" s="2">
        <v>45660.028333333335</v>
      </c>
      <c r="D2444" t="s">
        <v>24</v>
      </c>
      <c r="E2444" t="s">
        <v>25</v>
      </c>
      <c r="F2444" t="s">
        <v>48</v>
      </c>
      <c r="G2444" t="s">
        <v>18</v>
      </c>
      <c r="H2444" t="s">
        <v>27</v>
      </c>
      <c r="I2444" t="s">
        <v>45</v>
      </c>
      <c r="J2444" t="s">
        <v>21</v>
      </c>
      <c r="K2444">
        <v>24</v>
      </c>
      <c r="L2444">
        <v>24.68</v>
      </c>
      <c r="M2444">
        <v>3.4</v>
      </c>
      <c r="N2444" t="s">
        <v>22</v>
      </c>
      <c r="O2444" t="str">
        <f t="shared" si="38"/>
        <v>Yes</v>
      </c>
    </row>
    <row r="2445" spans="1:15" x14ac:dyDescent="0.25">
      <c r="A2445" t="s">
        <v>2506</v>
      </c>
      <c r="B2445" s="1">
        <v>45696</v>
      </c>
      <c r="C2445" s="2">
        <v>45696.020833333336</v>
      </c>
      <c r="D2445" t="s">
        <v>31</v>
      </c>
      <c r="E2445" t="s">
        <v>16</v>
      </c>
      <c r="F2445" t="s">
        <v>43</v>
      </c>
      <c r="G2445" t="s">
        <v>56</v>
      </c>
      <c r="H2445" t="s">
        <v>35</v>
      </c>
      <c r="I2445" t="s">
        <v>20</v>
      </c>
      <c r="J2445" t="s">
        <v>46</v>
      </c>
      <c r="K2445">
        <v>4</v>
      </c>
      <c r="L2445">
        <v>0.5</v>
      </c>
      <c r="M2445">
        <v>4.3</v>
      </c>
      <c r="N2445" t="s">
        <v>22</v>
      </c>
      <c r="O2445" t="str">
        <f t="shared" si="38"/>
        <v>No</v>
      </c>
    </row>
    <row r="2446" spans="1:15" x14ac:dyDescent="0.25">
      <c r="A2446" t="s">
        <v>2507</v>
      </c>
      <c r="B2446" s="1">
        <v>45766</v>
      </c>
      <c r="C2446" s="2">
        <v>45767.849583333336</v>
      </c>
      <c r="D2446" t="s">
        <v>24</v>
      </c>
      <c r="E2446" t="s">
        <v>39</v>
      </c>
      <c r="F2446" t="s">
        <v>40</v>
      </c>
      <c r="G2446" t="s">
        <v>51</v>
      </c>
      <c r="H2446" t="s">
        <v>27</v>
      </c>
      <c r="I2446" t="s">
        <v>36</v>
      </c>
      <c r="J2446" t="s">
        <v>85</v>
      </c>
      <c r="K2446">
        <v>24</v>
      </c>
      <c r="L2446">
        <v>44.39</v>
      </c>
      <c r="M2446">
        <v>2.5</v>
      </c>
      <c r="N2446" t="s">
        <v>22</v>
      </c>
      <c r="O2446" t="str">
        <f t="shared" si="38"/>
        <v>Yes</v>
      </c>
    </row>
    <row r="2447" spans="1:15" x14ac:dyDescent="0.25">
      <c r="A2447" t="s">
        <v>2508</v>
      </c>
      <c r="B2447" s="1">
        <v>45819</v>
      </c>
      <c r="C2447" s="2">
        <v>45819.255416666667</v>
      </c>
      <c r="D2447" t="s">
        <v>38</v>
      </c>
      <c r="E2447" t="s">
        <v>32</v>
      </c>
      <c r="F2447" t="s">
        <v>64</v>
      </c>
      <c r="G2447" t="s">
        <v>56</v>
      </c>
      <c r="H2447" t="s">
        <v>35</v>
      </c>
      <c r="I2447" t="s">
        <v>36</v>
      </c>
      <c r="J2447" t="s">
        <v>21</v>
      </c>
      <c r="K2447">
        <v>8</v>
      </c>
      <c r="L2447">
        <v>6.13</v>
      </c>
      <c r="M2447">
        <v>4.8</v>
      </c>
      <c r="N2447" t="s">
        <v>22</v>
      </c>
      <c r="O2447" t="str">
        <f t="shared" si="38"/>
        <v>No</v>
      </c>
    </row>
    <row r="2448" spans="1:15" x14ac:dyDescent="0.25">
      <c r="A2448" t="s">
        <v>2509</v>
      </c>
      <c r="B2448" s="1">
        <v>45798</v>
      </c>
      <c r="C2448" s="2">
        <v>45798.501250000001</v>
      </c>
      <c r="D2448" t="s">
        <v>24</v>
      </c>
      <c r="E2448" t="s">
        <v>25</v>
      </c>
      <c r="F2448" t="s">
        <v>26</v>
      </c>
      <c r="G2448" t="s">
        <v>41</v>
      </c>
      <c r="H2448" t="s">
        <v>35</v>
      </c>
      <c r="I2448" t="s">
        <v>36</v>
      </c>
      <c r="J2448" t="s">
        <v>21</v>
      </c>
      <c r="K2448">
        <v>24</v>
      </c>
      <c r="L2448">
        <v>12.03</v>
      </c>
      <c r="M2448">
        <v>5</v>
      </c>
      <c r="N2448" t="s">
        <v>22</v>
      </c>
      <c r="O2448" t="str">
        <f t="shared" si="38"/>
        <v>No</v>
      </c>
    </row>
    <row r="2449" spans="1:15" x14ac:dyDescent="0.25">
      <c r="A2449" t="s">
        <v>2510</v>
      </c>
      <c r="B2449" s="1">
        <v>45774</v>
      </c>
      <c r="C2449" s="2">
        <v>45774.099166666667</v>
      </c>
      <c r="D2449" t="s">
        <v>38</v>
      </c>
      <c r="E2449" t="s">
        <v>32</v>
      </c>
      <c r="F2449" t="s">
        <v>64</v>
      </c>
      <c r="G2449" t="s">
        <v>34</v>
      </c>
      <c r="H2449" t="s">
        <v>19</v>
      </c>
      <c r="I2449" t="s">
        <v>20</v>
      </c>
      <c r="J2449" t="s">
        <v>21</v>
      </c>
      <c r="K2449">
        <v>8</v>
      </c>
      <c r="L2449">
        <v>2.38</v>
      </c>
      <c r="M2449">
        <v>4.3</v>
      </c>
      <c r="N2449" t="s">
        <v>22</v>
      </c>
      <c r="O2449" t="str">
        <f t="shared" si="38"/>
        <v>No</v>
      </c>
    </row>
    <row r="2450" spans="1:15" x14ac:dyDescent="0.25">
      <c r="A2450" t="s">
        <v>2511</v>
      </c>
      <c r="B2450" s="1">
        <v>45798</v>
      </c>
      <c r="C2450" s="2">
        <v>45799.177499999998</v>
      </c>
      <c r="D2450" t="s">
        <v>24</v>
      </c>
      <c r="E2450" t="s">
        <v>16</v>
      </c>
      <c r="F2450" t="s">
        <v>43</v>
      </c>
      <c r="G2450" t="s">
        <v>56</v>
      </c>
      <c r="H2450" t="s">
        <v>65</v>
      </c>
      <c r="I2450" t="s">
        <v>36</v>
      </c>
      <c r="J2450" t="s">
        <v>29</v>
      </c>
      <c r="K2450">
        <v>24</v>
      </c>
      <c r="L2450">
        <v>28.26</v>
      </c>
      <c r="M2450">
        <v>3.9</v>
      </c>
      <c r="N2450" t="s">
        <v>22</v>
      </c>
      <c r="O2450" t="str">
        <f t="shared" si="38"/>
        <v>Yes</v>
      </c>
    </row>
    <row r="2451" spans="1:15" x14ac:dyDescent="0.25">
      <c r="A2451" t="s">
        <v>2512</v>
      </c>
      <c r="B2451" s="1">
        <v>45689</v>
      </c>
      <c r="C2451" s="2">
        <v>45689.121666666666</v>
      </c>
      <c r="D2451" t="s">
        <v>24</v>
      </c>
      <c r="E2451" t="s">
        <v>16</v>
      </c>
      <c r="F2451" t="s">
        <v>17</v>
      </c>
      <c r="G2451" t="s">
        <v>56</v>
      </c>
      <c r="H2451" t="s">
        <v>44</v>
      </c>
      <c r="I2451" t="s">
        <v>45</v>
      </c>
      <c r="J2451" t="s">
        <v>29</v>
      </c>
      <c r="K2451">
        <v>24</v>
      </c>
      <c r="L2451">
        <v>2.92</v>
      </c>
      <c r="M2451">
        <v>4.8</v>
      </c>
      <c r="N2451" t="s">
        <v>22</v>
      </c>
      <c r="O2451" t="str">
        <f t="shared" si="38"/>
        <v>No</v>
      </c>
    </row>
    <row r="2452" spans="1:15" x14ac:dyDescent="0.25">
      <c r="A2452" t="s">
        <v>2513</v>
      </c>
      <c r="B2452" s="1">
        <v>45810</v>
      </c>
      <c r="C2452" s="2">
        <v>45810.064166666663</v>
      </c>
      <c r="D2452" t="s">
        <v>15</v>
      </c>
      <c r="E2452" t="s">
        <v>32</v>
      </c>
      <c r="F2452" t="s">
        <v>80</v>
      </c>
      <c r="G2452" t="s">
        <v>34</v>
      </c>
      <c r="H2452" t="s">
        <v>65</v>
      </c>
      <c r="I2452" t="s">
        <v>36</v>
      </c>
      <c r="J2452" t="s">
        <v>29</v>
      </c>
      <c r="K2452">
        <v>48</v>
      </c>
      <c r="L2452">
        <v>1.54</v>
      </c>
      <c r="M2452">
        <v>5</v>
      </c>
      <c r="N2452" t="s">
        <v>22</v>
      </c>
      <c r="O2452" t="str">
        <f t="shared" si="38"/>
        <v>No</v>
      </c>
    </row>
    <row r="2453" spans="1:15" x14ac:dyDescent="0.25">
      <c r="A2453" t="s">
        <v>2514</v>
      </c>
      <c r="B2453" s="1">
        <v>45819</v>
      </c>
      <c r="C2453" s="2">
        <v>45819.245416666665</v>
      </c>
      <c r="D2453" t="s">
        <v>38</v>
      </c>
      <c r="E2453" t="s">
        <v>45</v>
      </c>
      <c r="F2453" t="s">
        <v>100</v>
      </c>
      <c r="G2453" t="s">
        <v>56</v>
      </c>
      <c r="H2453" t="s">
        <v>35</v>
      </c>
      <c r="I2453" t="s">
        <v>36</v>
      </c>
      <c r="J2453" t="s">
        <v>21</v>
      </c>
      <c r="K2453">
        <v>8</v>
      </c>
      <c r="L2453">
        <v>5.89</v>
      </c>
      <c r="M2453">
        <v>4.2</v>
      </c>
      <c r="N2453" t="s">
        <v>22</v>
      </c>
      <c r="O2453" t="str">
        <f t="shared" si="38"/>
        <v>No</v>
      </c>
    </row>
    <row r="2454" spans="1:15" x14ac:dyDescent="0.25">
      <c r="A2454" t="s">
        <v>2515</v>
      </c>
      <c r="B2454" s="1">
        <v>45675</v>
      </c>
      <c r="C2454" s="2">
        <v>45675.945833333331</v>
      </c>
      <c r="D2454" t="s">
        <v>15</v>
      </c>
      <c r="E2454" t="s">
        <v>25</v>
      </c>
      <c r="F2454" t="s">
        <v>53</v>
      </c>
      <c r="G2454" t="s">
        <v>41</v>
      </c>
      <c r="H2454" t="s">
        <v>54</v>
      </c>
      <c r="I2454" t="s">
        <v>36</v>
      </c>
      <c r="J2454" t="s">
        <v>21</v>
      </c>
      <c r="K2454">
        <v>48</v>
      </c>
      <c r="L2454">
        <v>22.7</v>
      </c>
      <c r="M2454">
        <v>4.3</v>
      </c>
      <c r="N2454" t="s">
        <v>22</v>
      </c>
      <c r="O2454" t="str">
        <f t="shared" si="38"/>
        <v>No</v>
      </c>
    </row>
    <row r="2455" spans="1:15" x14ac:dyDescent="0.25">
      <c r="A2455" t="s">
        <v>2516</v>
      </c>
      <c r="B2455" s="1">
        <v>45743</v>
      </c>
      <c r="C2455" s="2">
        <v>45743.10833333333</v>
      </c>
      <c r="D2455" t="s">
        <v>31</v>
      </c>
      <c r="E2455" t="s">
        <v>16</v>
      </c>
      <c r="F2455" t="s">
        <v>60</v>
      </c>
      <c r="G2455" t="s">
        <v>34</v>
      </c>
      <c r="H2455" t="s">
        <v>35</v>
      </c>
      <c r="I2455" t="s">
        <v>45</v>
      </c>
      <c r="J2455" t="s">
        <v>21</v>
      </c>
      <c r="K2455">
        <v>4</v>
      </c>
      <c r="L2455">
        <v>2.6</v>
      </c>
      <c r="M2455">
        <v>5</v>
      </c>
      <c r="N2455" t="s">
        <v>22</v>
      </c>
      <c r="O2455" t="str">
        <f t="shared" si="38"/>
        <v>No</v>
      </c>
    </row>
    <row r="2456" spans="1:15" x14ac:dyDescent="0.25">
      <c r="A2456" t="s">
        <v>2517</v>
      </c>
      <c r="B2456" s="1">
        <v>45808</v>
      </c>
      <c r="C2456" s="2">
        <v>45809.165000000001</v>
      </c>
      <c r="D2456" t="s">
        <v>15</v>
      </c>
      <c r="E2456" t="s">
        <v>16</v>
      </c>
      <c r="F2456" t="s">
        <v>17</v>
      </c>
      <c r="G2456" t="s">
        <v>18</v>
      </c>
      <c r="H2456" t="s">
        <v>19</v>
      </c>
      <c r="I2456" t="s">
        <v>36</v>
      </c>
      <c r="J2456" t="s">
        <v>21</v>
      </c>
      <c r="K2456">
        <v>48</v>
      </c>
      <c r="L2456">
        <v>27.96</v>
      </c>
      <c r="M2456">
        <v>3.7</v>
      </c>
      <c r="N2456" t="s">
        <v>22</v>
      </c>
      <c r="O2456" t="str">
        <f t="shared" si="38"/>
        <v>No</v>
      </c>
    </row>
    <row r="2457" spans="1:15" x14ac:dyDescent="0.25">
      <c r="A2457" t="s">
        <v>2518</v>
      </c>
      <c r="B2457" s="1">
        <v>45744</v>
      </c>
      <c r="C2457" s="2">
        <v>45745.628750000003</v>
      </c>
      <c r="D2457" t="s">
        <v>15</v>
      </c>
      <c r="E2457" t="s">
        <v>39</v>
      </c>
      <c r="F2457" t="s">
        <v>119</v>
      </c>
      <c r="G2457" t="s">
        <v>34</v>
      </c>
      <c r="H2457" t="s">
        <v>65</v>
      </c>
      <c r="I2457" t="s">
        <v>20</v>
      </c>
      <c r="J2457" t="s">
        <v>21</v>
      </c>
      <c r="K2457">
        <v>48</v>
      </c>
      <c r="L2457">
        <v>39.090000000000003</v>
      </c>
      <c r="M2457">
        <v>4.2</v>
      </c>
      <c r="N2457" t="s">
        <v>22</v>
      </c>
      <c r="O2457" t="str">
        <f t="shared" si="38"/>
        <v>No</v>
      </c>
    </row>
    <row r="2458" spans="1:15" x14ac:dyDescent="0.25">
      <c r="A2458" t="s">
        <v>2519</v>
      </c>
      <c r="B2458" s="1">
        <v>45810</v>
      </c>
      <c r="C2458" s="2">
        <v>45810.167500000003</v>
      </c>
      <c r="D2458" t="s">
        <v>38</v>
      </c>
      <c r="E2458" t="s">
        <v>25</v>
      </c>
      <c r="F2458" t="s">
        <v>53</v>
      </c>
      <c r="G2458" t="s">
        <v>56</v>
      </c>
      <c r="H2458" t="s">
        <v>27</v>
      </c>
      <c r="I2458" t="s">
        <v>36</v>
      </c>
      <c r="J2458" t="s">
        <v>21</v>
      </c>
      <c r="K2458">
        <v>8</v>
      </c>
      <c r="L2458">
        <v>4.0199999999999996</v>
      </c>
      <c r="M2458">
        <v>5</v>
      </c>
      <c r="N2458" t="s">
        <v>22</v>
      </c>
      <c r="O2458" t="str">
        <f t="shared" si="38"/>
        <v>No</v>
      </c>
    </row>
    <row r="2459" spans="1:15" x14ac:dyDescent="0.25">
      <c r="A2459" t="s">
        <v>2520</v>
      </c>
      <c r="B2459" s="1">
        <v>45827</v>
      </c>
      <c r="C2459" s="2">
        <v>45827.737500000003</v>
      </c>
      <c r="D2459" t="s">
        <v>15</v>
      </c>
      <c r="E2459" t="s">
        <v>32</v>
      </c>
      <c r="F2459" t="s">
        <v>80</v>
      </c>
      <c r="G2459" t="s">
        <v>18</v>
      </c>
      <c r="H2459" t="s">
        <v>27</v>
      </c>
      <c r="I2459" t="s">
        <v>36</v>
      </c>
      <c r="J2459" t="s">
        <v>46</v>
      </c>
      <c r="K2459">
        <v>48</v>
      </c>
      <c r="L2459">
        <v>17.7</v>
      </c>
      <c r="M2459">
        <v>5</v>
      </c>
      <c r="N2459" t="s">
        <v>61</v>
      </c>
      <c r="O2459" t="str">
        <f t="shared" si="38"/>
        <v>No</v>
      </c>
    </row>
    <row r="2460" spans="1:15" x14ac:dyDescent="0.25">
      <c r="A2460" t="s">
        <v>2521</v>
      </c>
      <c r="B2460" s="1">
        <v>45743</v>
      </c>
      <c r="C2460" s="2">
        <v>45743.516250000001</v>
      </c>
      <c r="D2460" t="s">
        <v>24</v>
      </c>
      <c r="E2460" t="s">
        <v>39</v>
      </c>
      <c r="F2460" t="s">
        <v>40</v>
      </c>
      <c r="G2460" t="s">
        <v>18</v>
      </c>
      <c r="H2460" t="s">
        <v>44</v>
      </c>
      <c r="I2460" t="s">
        <v>36</v>
      </c>
      <c r="J2460" t="s">
        <v>46</v>
      </c>
      <c r="K2460">
        <v>24</v>
      </c>
      <c r="L2460">
        <v>12.39</v>
      </c>
      <c r="M2460">
        <v>3.9</v>
      </c>
      <c r="N2460" t="s">
        <v>22</v>
      </c>
      <c r="O2460" t="str">
        <f t="shared" si="38"/>
        <v>No</v>
      </c>
    </row>
    <row r="2461" spans="1:15" x14ac:dyDescent="0.25">
      <c r="A2461" t="s">
        <v>2522</v>
      </c>
      <c r="B2461" s="1">
        <v>45668</v>
      </c>
      <c r="C2461" s="2">
        <v>45668.909583333334</v>
      </c>
      <c r="D2461" t="s">
        <v>24</v>
      </c>
      <c r="E2461" t="s">
        <v>39</v>
      </c>
      <c r="F2461" t="s">
        <v>78</v>
      </c>
      <c r="G2461" t="s">
        <v>34</v>
      </c>
      <c r="H2461" t="s">
        <v>54</v>
      </c>
      <c r="I2461" t="s">
        <v>28</v>
      </c>
      <c r="J2461" t="s">
        <v>46</v>
      </c>
      <c r="K2461">
        <v>24</v>
      </c>
      <c r="L2461">
        <v>21.83</v>
      </c>
      <c r="M2461">
        <v>3.4</v>
      </c>
      <c r="N2461" t="s">
        <v>22</v>
      </c>
      <c r="O2461" t="str">
        <f t="shared" si="38"/>
        <v>No</v>
      </c>
    </row>
    <row r="2462" spans="1:15" x14ac:dyDescent="0.25">
      <c r="A2462" t="s">
        <v>2523</v>
      </c>
      <c r="B2462" s="1">
        <v>45719</v>
      </c>
      <c r="C2462" s="2">
        <v>45720.912083333336</v>
      </c>
      <c r="D2462" t="s">
        <v>15</v>
      </c>
      <c r="E2462" t="s">
        <v>39</v>
      </c>
      <c r="F2462" t="s">
        <v>78</v>
      </c>
      <c r="G2462" t="s">
        <v>34</v>
      </c>
      <c r="H2462" t="s">
        <v>44</v>
      </c>
      <c r="I2462" t="s">
        <v>45</v>
      </c>
      <c r="J2462" t="s">
        <v>21</v>
      </c>
      <c r="K2462">
        <v>48</v>
      </c>
      <c r="L2462">
        <v>45.89</v>
      </c>
      <c r="M2462">
        <v>2.9</v>
      </c>
      <c r="N2462" t="s">
        <v>22</v>
      </c>
      <c r="O2462" t="str">
        <f t="shared" si="38"/>
        <v>No</v>
      </c>
    </row>
    <row r="2463" spans="1:15" x14ac:dyDescent="0.25">
      <c r="A2463" t="s">
        <v>2524</v>
      </c>
      <c r="B2463" s="1">
        <v>45696</v>
      </c>
      <c r="C2463" s="2">
        <v>45697.345000000001</v>
      </c>
      <c r="D2463" t="s">
        <v>15</v>
      </c>
      <c r="E2463" t="s">
        <v>39</v>
      </c>
      <c r="F2463" t="s">
        <v>119</v>
      </c>
      <c r="G2463" t="s">
        <v>41</v>
      </c>
      <c r="H2463" t="s">
        <v>19</v>
      </c>
      <c r="I2463" t="s">
        <v>45</v>
      </c>
      <c r="J2463" t="s">
        <v>46</v>
      </c>
      <c r="K2463">
        <v>48</v>
      </c>
      <c r="L2463">
        <v>32.28</v>
      </c>
      <c r="M2463">
        <v>5</v>
      </c>
      <c r="N2463" t="s">
        <v>22</v>
      </c>
      <c r="O2463" t="str">
        <f t="shared" si="38"/>
        <v>No</v>
      </c>
    </row>
    <row r="2464" spans="1:15" x14ac:dyDescent="0.25">
      <c r="A2464" t="s">
        <v>2525</v>
      </c>
      <c r="B2464" s="1">
        <v>45743</v>
      </c>
      <c r="C2464" s="2">
        <v>45743.049166666664</v>
      </c>
      <c r="D2464" t="s">
        <v>24</v>
      </c>
      <c r="E2464" t="s">
        <v>32</v>
      </c>
      <c r="F2464" t="s">
        <v>33</v>
      </c>
      <c r="G2464" t="s">
        <v>34</v>
      </c>
      <c r="H2464" t="s">
        <v>44</v>
      </c>
      <c r="I2464" t="s">
        <v>45</v>
      </c>
      <c r="J2464" t="s">
        <v>21</v>
      </c>
      <c r="K2464">
        <v>24</v>
      </c>
      <c r="L2464">
        <v>1.18</v>
      </c>
      <c r="M2464">
        <v>4.2</v>
      </c>
      <c r="N2464" t="s">
        <v>22</v>
      </c>
      <c r="O2464" t="str">
        <f t="shared" si="38"/>
        <v>No</v>
      </c>
    </row>
    <row r="2465" spans="1:15" x14ac:dyDescent="0.25">
      <c r="A2465" t="s">
        <v>2526</v>
      </c>
      <c r="B2465" s="1">
        <v>45764</v>
      </c>
      <c r="C2465" s="2">
        <v>45765.23541666667</v>
      </c>
      <c r="D2465" t="s">
        <v>15</v>
      </c>
      <c r="E2465" t="s">
        <v>45</v>
      </c>
      <c r="F2465" t="s">
        <v>50</v>
      </c>
      <c r="G2465" t="s">
        <v>34</v>
      </c>
      <c r="H2465" t="s">
        <v>44</v>
      </c>
      <c r="I2465" t="s">
        <v>20</v>
      </c>
      <c r="J2465" t="s">
        <v>21</v>
      </c>
      <c r="K2465">
        <v>48</v>
      </c>
      <c r="L2465">
        <v>29.65</v>
      </c>
      <c r="M2465">
        <v>4.7</v>
      </c>
      <c r="N2465" t="s">
        <v>22</v>
      </c>
      <c r="O2465" t="str">
        <f t="shared" si="38"/>
        <v>No</v>
      </c>
    </row>
    <row r="2466" spans="1:15" x14ac:dyDescent="0.25">
      <c r="A2466" t="s">
        <v>2527</v>
      </c>
      <c r="B2466" s="1">
        <v>45741</v>
      </c>
      <c r="C2466" s="2">
        <v>45741.2</v>
      </c>
      <c r="D2466" t="s">
        <v>15</v>
      </c>
      <c r="E2466" t="s">
        <v>32</v>
      </c>
      <c r="F2466" t="s">
        <v>33</v>
      </c>
      <c r="G2466" t="s">
        <v>51</v>
      </c>
      <c r="H2466" t="s">
        <v>65</v>
      </c>
      <c r="I2466" t="s">
        <v>36</v>
      </c>
      <c r="J2466" t="s">
        <v>46</v>
      </c>
      <c r="K2466">
        <v>48</v>
      </c>
      <c r="L2466">
        <v>4.8</v>
      </c>
      <c r="M2466">
        <v>4</v>
      </c>
      <c r="N2466" t="s">
        <v>22</v>
      </c>
      <c r="O2466" t="str">
        <f t="shared" si="38"/>
        <v>No</v>
      </c>
    </row>
    <row r="2467" spans="1:15" x14ac:dyDescent="0.25">
      <c r="A2467" t="s">
        <v>2528</v>
      </c>
      <c r="B2467" s="1">
        <v>45693</v>
      </c>
      <c r="C2467" s="2">
        <v>45694.98</v>
      </c>
      <c r="D2467" t="s">
        <v>15</v>
      </c>
      <c r="E2467" t="s">
        <v>32</v>
      </c>
      <c r="F2467" t="s">
        <v>33</v>
      </c>
      <c r="G2467" t="s">
        <v>41</v>
      </c>
      <c r="H2467" t="s">
        <v>19</v>
      </c>
      <c r="I2467" t="s">
        <v>20</v>
      </c>
      <c r="J2467" t="s">
        <v>46</v>
      </c>
      <c r="K2467">
        <v>48</v>
      </c>
      <c r="L2467">
        <v>47.52</v>
      </c>
      <c r="M2467">
        <v>5</v>
      </c>
      <c r="N2467" t="s">
        <v>22</v>
      </c>
      <c r="O2467" t="str">
        <f t="shared" si="38"/>
        <v>No</v>
      </c>
    </row>
    <row r="2468" spans="1:15" x14ac:dyDescent="0.25">
      <c r="A2468" t="s">
        <v>2529</v>
      </c>
      <c r="B2468" s="1">
        <v>45712</v>
      </c>
      <c r="C2468" s="2">
        <v>45712.898333333331</v>
      </c>
      <c r="D2468" t="s">
        <v>24</v>
      </c>
      <c r="E2468" t="s">
        <v>39</v>
      </c>
      <c r="F2468" t="s">
        <v>119</v>
      </c>
      <c r="G2468" t="s">
        <v>56</v>
      </c>
      <c r="H2468" t="s">
        <v>19</v>
      </c>
      <c r="I2468" t="s">
        <v>20</v>
      </c>
      <c r="J2468" t="s">
        <v>21</v>
      </c>
      <c r="K2468">
        <v>24</v>
      </c>
      <c r="L2468">
        <v>21.56</v>
      </c>
      <c r="M2468">
        <v>3</v>
      </c>
      <c r="N2468" t="s">
        <v>22</v>
      </c>
      <c r="O2468" t="str">
        <f t="shared" si="38"/>
        <v>No</v>
      </c>
    </row>
    <row r="2469" spans="1:15" x14ac:dyDescent="0.25">
      <c r="A2469" t="s">
        <v>2530</v>
      </c>
      <c r="B2469" s="1">
        <v>45780</v>
      </c>
      <c r="C2469" s="2">
        <v>45780.231249999997</v>
      </c>
      <c r="D2469" t="s">
        <v>24</v>
      </c>
      <c r="E2469" t="s">
        <v>16</v>
      </c>
      <c r="F2469" t="s">
        <v>17</v>
      </c>
      <c r="G2469" t="s">
        <v>56</v>
      </c>
      <c r="H2469" t="s">
        <v>19</v>
      </c>
      <c r="I2469" t="s">
        <v>36</v>
      </c>
      <c r="J2469" t="s">
        <v>46</v>
      </c>
      <c r="K2469">
        <v>24</v>
      </c>
      <c r="L2469">
        <v>5.55</v>
      </c>
      <c r="M2469">
        <v>4.8</v>
      </c>
      <c r="N2469" t="s">
        <v>22</v>
      </c>
      <c r="O2469" t="str">
        <f t="shared" si="38"/>
        <v>No</v>
      </c>
    </row>
    <row r="2470" spans="1:15" x14ac:dyDescent="0.25">
      <c r="A2470" t="s">
        <v>2531</v>
      </c>
      <c r="B2470" s="1">
        <v>45662</v>
      </c>
      <c r="C2470" s="2">
        <v>45663.589166666665</v>
      </c>
      <c r="D2470" t="s">
        <v>15</v>
      </c>
      <c r="E2470" t="s">
        <v>32</v>
      </c>
      <c r="F2470" t="s">
        <v>33</v>
      </c>
      <c r="G2470" t="s">
        <v>41</v>
      </c>
      <c r="H2470" t="s">
        <v>35</v>
      </c>
      <c r="I2470" t="s">
        <v>36</v>
      </c>
      <c r="J2470" t="s">
        <v>21</v>
      </c>
      <c r="K2470">
        <v>48</v>
      </c>
      <c r="L2470">
        <v>38.14</v>
      </c>
      <c r="M2470">
        <v>4.8</v>
      </c>
      <c r="N2470" t="s">
        <v>22</v>
      </c>
      <c r="O2470" t="str">
        <f t="shared" si="38"/>
        <v>No</v>
      </c>
    </row>
    <row r="2471" spans="1:15" x14ac:dyDescent="0.25">
      <c r="A2471" t="s">
        <v>2532</v>
      </c>
      <c r="B2471" s="1">
        <v>45696</v>
      </c>
      <c r="C2471" s="2">
        <v>45696.544999999998</v>
      </c>
      <c r="D2471" t="s">
        <v>24</v>
      </c>
      <c r="E2471" t="s">
        <v>16</v>
      </c>
      <c r="F2471" t="s">
        <v>17</v>
      </c>
      <c r="G2471" t="s">
        <v>34</v>
      </c>
      <c r="H2471" t="s">
        <v>19</v>
      </c>
      <c r="I2471" t="s">
        <v>45</v>
      </c>
      <c r="J2471" t="s">
        <v>46</v>
      </c>
      <c r="K2471">
        <v>24</v>
      </c>
      <c r="L2471">
        <v>13.08</v>
      </c>
      <c r="M2471">
        <v>3.9</v>
      </c>
      <c r="N2471" t="s">
        <v>22</v>
      </c>
      <c r="O2471" t="str">
        <f t="shared" si="38"/>
        <v>No</v>
      </c>
    </row>
    <row r="2472" spans="1:15" x14ac:dyDescent="0.25">
      <c r="A2472" t="s">
        <v>2533</v>
      </c>
      <c r="B2472" s="1">
        <v>45819</v>
      </c>
      <c r="C2472" s="2">
        <v>45819.273333333331</v>
      </c>
      <c r="D2472" t="s">
        <v>24</v>
      </c>
      <c r="E2472" t="s">
        <v>25</v>
      </c>
      <c r="F2472" t="s">
        <v>48</v>
      </c>
      <c r="G2472" t="s">
        <v>51</v>
      </c>
      <c r="H2472" t="s">
        <v>27</v>
      </c>
      <c r="I2472" t="s">
        <v>36</v>
      </c>
      <c r="J2472" t="s">
        <v>29</v>
      </c>
      <c r="K2472">
        <v>24</v>
      </c>
      <c r="L2472">
        <v>6.56</v>
      </c>
      <c r="M2472">
        <v>5</v>
      </c>
      <c r="N2472" t="s">
        <v>22</v>
      </c>
      <c r="O2472" t="str">
        <f t="shared" si="38"/>
        <v>No</v>
      </c>
    </row>
    <row r="2473" spans="1:15" x14ac:dyDescent="0.25">
      <c r="A2473" t="s">
        <v>2534</v>
      </c>
      <c r="B2473" s="1">
        <v>45675</v>
      </c>
      <c r="C2473" s="2">
        <v>45676.567499999997</v>
      </c>
      <c r="D2473" t="s">
        <v>15</v>
      </c>
      <c r="E2473" t="s">
        <v>32</v>
      </c>
      <c r="F2473" t="s">
        <v>75</v>
      </c>
      <c r="G2473" t="s">
        <v>41</v>
      </c>
      <c r="H2473" t="s">
        <v>44</v>
      </c>
      <c r="I2473" t="s">
        <v>36</v>
      </c>
      <c r="J2473" t="s">
        <v>46</v>
      </c>
      <c r="K2473">
        <v>48</v>
      </c>
      <c r="L2473">
        <v>37.619999999999997</v>
      </c>
      <c r="M2473">
        <v>3.9</v>
      </c>
      <c r="N2473" t="s">
        <v>22</v>
      </c>
      <c r="O2473" t="str">
        <f t="shared" si="38"/>
        <v>No</v>
      </c>
    </row>
    <row r="2474" spans="1:15" x14ac:dyDescent="0.25">
      <c r="A2474" t="s">
        <v>2535</v>
      </c>
      <c r="B2474" s="1">
        <v>45733</v>
      </c>
      <c r="C2474" s="2">
        <v>45734.415000000001</v>
      </c>
      <c r="D2474" t="s">
        <v>24</v>
      </c>
      <c r="E2474" t="s">
        <v>45</v>
      </c>
      <c r="F2474" t="s">
        <v>104</v>
      </c>
      <c r="G2474" t="s">
        <v>18</v>
      </c>
      <c r="H2474" t="s">
        <v>27</v>
      </c>
      <c r="I2474" t="s">
        <v>36</v>
      </c>
      <c r="J2474" t="s">
        <v>21</v>
      </c>
      <c r="K2474">
        <v>24</v>
      </c>
      <c r="L2474">
        <v>33.96</v>
      </c>
      <c r="M2474">
        <v>3.6</v>
      </c>
      <c r="N2474" t="s">
        <v>22</v>
      </c>
      <c r="O2474" t="str">
        <f t="shared" si="38"/>
        <v>Yes</v>
      </c>
    </row>
    <row r="2475" spans="1:15" x14ac:dyDescent="0.25">
      <c r="A2475" t="s">
        <v>2536</v>
      </c>
      <c r="B2475" s="1">
        <v>45695</v>
      </c>
      <c r="C2475" s="2">
        <v>45695.118750000001</v>
      </c>
      <c r="D2475" t="s">
        <v>38</v>
      </c>
      <c r="E2475" t="s">
        <v>39</v>
      </c>
      <c r="F2475" t="s">
        <v>119</v>
      </c>
      <c r="G2475" t="s">
        <v>34</v>
      </c>
      <c r="H2475" t="s">
        <v>65</v>
      </c>
      <c r="I2475" t="s">
        <v>36</v>
      </c>
      <c r="J2475" t="s">
        <v>21</v>
      </c>
      <c r="K2475">
        <v>8</v>
      </c>
      <c r="L2475">
        <v>2.85</v>
      </c>
      <c r="M2475">
        <v>5</v>
      </c>
      <c r="N2475" t="s">
        <v>22</v>
      </c>
      <c r="O2475" t="str">
        <f t="shared" si="38"/>
        <v>No</v>
      </c>
    </row>
    <row r="2476" spans="1:15" x14ac:dyDescent="0.25">
      <c r="A2476" t="s">
        <v>2537</v>
      </c>
      <c r="B2476" s="1">
        <v>45676</v>
      </c>
      <c r="C2476" s="2">
        <v>45676.679166666669</v>
      </c>
      <c r="D2476" t="s">
        <v>24</v>
      </c>
      <c r="E2476" t="s">
        <v>16</v>
      </c>
      <c r="F2476" t="s">
        <v>60</v>
      </c>
      <c r="G2476" t="s">
        <v>56</v>
      </c>
      <c r="H2476" t="s">
        <v>65</v>
      </c>
      <c r="I2476" t="s">
        <v>20</v>
      </c>
      <c r="J2476" t="s">
        <v>21</v>
      </c>
      <c r="K2476">
        <v>24</v>
      </c>
      <c r="L2476">
        <v>16.3</v>
      </c>
      <c r="M2476">
        <v>3.9</v>
      </c>
      <c r="N2476" t="s">
        <v>22</v>
      </c>
      <c r="O2476" t="str">
        <f t="shared" si="38"/>
        <v>No</v>
      </c>
    </row>
    <row r="2477" spans="1:15" x14ac:dyDescent="0.25">
      <c r="A2477" t="s">
        <v>2538</v>
      </c>
      <c r="B2477" s="1">
        <v>45734</v>
      </c>
      <c r="C2477" s="2">
        <v>45734.216249999998</v>
      </c>
      <c r="D2477" t="s">
        <v>24</v>
      </c>
      <c r="E2477" t="s">
        <v>32</v>
      </c>
      <c r="F2477" t="s">
        <v>33</v>
      </c>
      <c r="G2477" t="s">
        <v>56</v>
      </c>
      <c r="H2477" t="s">
        <v>35</v>
      </c>
      <c r="I2477" t="s">
        <v>45</v>
      </c>
      <c r="J2477" t="s">
        <v>46</v>
      </c>
      <c r="K2477">
        <v>24</v>
      </c>
      <c r="L2477">
        <v>5.19</v>
      </c>
      <c r="M2477">
        <v>5</v>
      </c>
      <c r="N2477" t="s">
        <v>22</v>
      </c>
      <c r="O2477" t="str">
        <f t="shared" si="38"/>
        <v>No</v>
      </c>
    </row>
    <row r="2478" spans="1:15" x14ac:dyDescent="0.25">
      <c r="A2478" t="s">
        <v>2539</v>
      </c>
      <c r="B2478" s="1">
        <v>45752</v>
      </c>
      <c r="C2478" s="2">
        <v>45752.296666666669</v>
      </c>
      <c r="D2478" t="s">
        <v>24</v>
      </c>
      <c r="E2478" t="s">
        <v>16</v>
      </c>
      <c r="F2478" t="s">
        <v>60</v>
      </c>
      <c r="G2478" t="s">
        <v>41</v>
      </c>
      <c r="H2478" t="s">
        <v>65</v>
      </c>
      <c r="I2478" t="s">
        <v>45</v>
      </c>
      <c r="J2478" t="s">
        <v>85</v>
      </c>
      <c r="K2478">
        <v>24</v>
      </c>
      <c r="L2478">
        <v>7.12</v>
      </c>
      <c r="M2478">
        <v>4.9000000000000004</v>
      </c>
      <c r="N2478" t="s">
        <v>61</v>
      </c>
      <c r="O2478" t="str">
        <f t="shared" si="38"/>
        <v>No</v>
      </c>
    </row>
    <row r="2479" spans="1:15" x14ac:dyDescent="0.25">
      <c r="A2479" t="s">
        <v>2540</v>
      </c>
      <c r="B2479" s="1">
        <v>45689</v>
      </c>
      <c r="C2479" s="2">
        <v>45690.043749999997</v>
      </c>
      <c r="D2479" t="s">
        <v>15</v>
      </c>
      <c r="E2479" t="s">
        <v>25</v>
      </c>
      <c r="F2479" t="s">
        <v>53</v>
      </c>
      <c r="G2479" t="s">
        <v>41</v>
      </c>
      <c r="H2479" t="s">
        <v>65</v>
      </c>
      <c r="I2479" t="s">
        <v>45</v>
      </c>
      <c r="J2479" t="s">
        <v>46</v>
      </c>
      <c r="K2479">
        <v>48</v>
      </c>
      <c r="L2479">
        <v>25.05</v>
      </c>
      <c r="M2479">
        <v>5</v>
      </c>
      <c r="N2479" t="s">
        <v>22</v>
      </c>
      <c r="O2479" t="str">
        <f t="shared" si="38"/>
        <v>No</v>
      </c>
    </row>
    <row r="2480" spans="1:15" x14ac:dyDescent="0.25">
      <c r="A2480" t="s">
        <v>2541</v>
      </c>
      <c r="B2480" s="1">
        <v>45672</v>
      </c>
      <c r="C2480" s="2">
        <v>45672.087500000001</v>
      </c>
      <c r="D2480" t="s">
        <v>38</v>
      </c>
      <c r="E2480" t="s">
        <v>32</v>
      </c>
      <c r="F2480" t="s">
        <v>80</v>
      </c>
      <c r="G2480" t="s">
        <v>34</v>
      </c>
      <c r="H2480" t="s">
        <v>27</v>
      </c>
      <c r="I2480" t="s">
        <v>36</v>
      </c>
      <c r="J2480" t="s">
        <v>46</v>
      </c>
      <c r="K2480">
        <v>8</v>
      </c>
      <c r="L2480">
        <v>2.1</v>
      </c>
      <c r="M2480">
        <v>4.0999999999999996</v>
      </c>
      <c r="N2480" t="s">
        <v>22</v>
      </c>
      <c r="O2480" t="str">
        <f t="shared" si="38"/>
        <v>No</v>
      </c>
    </row>
    <row r="2481" spans="1:15" x14ac:dyDescent="0.25">
      <c r="A2481" t="s">
        <v>2542</v>
      </c>
      <c r="B2481" s="1">
        <v>45682</v>
      </c>
      <c r="C2481" s="2">
        <v>45682.082083333335</v>
      </c>
      <c r="D2481" t="s">
        <v>38</v>
      </c>
      <c r="E2481" t="s">
        <v>32</v>
      </c>
      <c r="F2481" t="s">
        <v>64</v>
      </c>
      <c r="G2481" t="s">
        <v>34</v>
      </c>
      <c r="H2481" t="s">
        <v>44</v>
      </c>
      <c r="I2481" t="s">
        <v>45</v>
      </c>
      <c r="J2481" t="s">
        <v>46</v>
      </c>
      <c r="K2481">
        <v>8</v>
      </c>
      <c r="L2481">
        <v>1.97</v>
      </c>
      <c r="M2481">
        <v>4.3</v>
      </c>
      <c r="N2481" t="s">
        <v>22</v>
      </c>
      <c r="O2481" t="str">
        <f t="shared" si="38"/>
        <v>No</v>
      </c>
    </row>
    <row r="2482" spans="1:15" x14ac:dyDescent="0.25">
      <c r="A2482" t="s">
        <v>2543</v>
      </c>
      <c r="B2482" s="1">
        <v>45775</v>
      </c>
      <c r="C2482" s="2">
        <v>45775.062083333331</v>
      </c>
      <c r="D2482" t="s">
        <v>38</v>
      </c>
      <c r="E2482" t="s">
        <v>39</v>
      </c>
      <c r="F2482" t="s">
        <v>78</v>
      </c>
      <c r="G2482" t="s">
        <v>41</v>
      </c>
      <c r="H2482" t="s">
        <v>35</v>
      </c>
      <c r="I2482" t="s">
        <v>20</v>
      </c>
      <c r="J2482" t="s">
        <v>46</v>
      </c>
      <c r="K2482">
        <v>8</v>
      </c>
      <c r="L2482">
        <v>1.49</v>
      </c>
      <c r="M2482">
        <v>4.5999999999999996</v>
      </c>
      <c r="N2482" t="s">
        <v>22</v>
      </c>
      <c r="O2482" t="str">
        <f t="shared" si="38"/>
        <v>No</v>
      </c>
    </row>
    <row r="2483" spans="1:15" x14ac:dyDescent="0.25">
      <c r="A2483" t="s">
        <v>2544</v>
      </c>
      <c r="B2483" s="1">
        <v>45813</v>
      </c>
      <c r="C2483" s="2">
        <v>45815.411666666667</v>
      </c>
      <c r="D2483" t="s">
        <v>15</v>
      </c>
      <c r="E2483" t="s">
        <v>32</v>
      </c>
      <c r="F2483" t="s">
        <v>64</v>
      </c>
      <c r="G2483" t="s">
        <v>56</v>
      </c>
      <c r="H2483" t="s">
        <v>35</v>
      </c>
      <c r="I2483" t="s">
        <v>36</v>
      </c>
      <c r="J2483" t="s">
        <v>21</v>
      </c>
      <c r="K2483">
        <v>48</v>
      </c>
      <c r="L2483">
        <v>57.88</v>
      </c>
      <c r="M2483">
        <v>2.8</v>
      </c>
      <c r="N2483" t="s">
        <v>61</v>
      </c>
      <c r="O2483" t="str">
        <f t="shared" si="38"/>
        <v>Yes</v>
      </c>
    </row>
    <row r="2484" spans="1:15" x14ac:dyDescent="0.25">
      <c r="A2484" t="s">
        <v>2545</v>
      </c>
      <c r="B2484" s="1">
        <v>45690</v>
      </c>
      <c r="C2484" s="2">
        <v>45690.92291666667</v>
      </c>
      <c r="D2484" t="s">
        <v>24</v>
      </c>
      <c r="E2484" t="s">
        <v>45</v>
      </c>
      <c r="F2484" t="s">
        <v>104</v>
      </c>
      <c r="G2484" t="s">
        <v>51</v>
      </c>
      <c r="H2484" t="s">
        <v>54</v>
      </c>
      <c r="I2484" t="s">
        <v>45</v>
      </c>
      <c r="J2484" t="s">
        <v>21</v>
      </c>
      <c r="K2484">
        <v>24</v>
      </c>
      <c r="L2484">
        <v>22.15</v>
      </c>
      <c r="M2484">
        <v>4.5</v>
      </c>
      <c r="N2484" t="s">
        <v>22</v>
      </c>
      <c r="O2484" t="str">
        <f t="shared" si="38"/>
        <v>No</v>
      </c>
    </row>
    <row r="2485" spans="1:15" x14ac:dyDescent="0.25">
      <c r="A2485" t="s">
        <v>2546</v>
      </c>
      <c r="B2485" s="1">
        <v>45715</v>
      </c>
      <c r="C2485" s="2">
        <v>45716.02</v>
      </c>
      <c r="D2485" t="s">
        <v>15</v>
      </c>
      <c r="E2485" t="s">
        <v>16</v>
      </c>
      <c r="F2485" t="s">
        <v>58</v>
      </c>
      <c r="G2485" t="s">
        <v>34</v>
      </c>
      <c r="H2485" t="s">
        <v>44</v>
      </c>
      <c r="I2485" t="s">
        <v>20</v>
      </c>
      <c r="J2485" t="s">
        <v>21</v>
      </c>
      <c r="K2485">
        <v>48</v>
      </c>
      <c r="L2485">
        <v>24.48</v>
      </c>
      <c r="M2485">
        <v>4.3</v>
      </c>
      <c r="N2485" t="s">
        <v>22</v>
      </c>
      <c r="O2485" t="str">
        <f t="shared" si="38"/>
        <v>No</v>
      </c>
    </row>
    <row r="2486" spans="1:15" x14ac:dyDescent="0.25">
      <c r="A2486" t="s">
        <v>2547</v>
      </c>
      <c r="B2486" s="1">
        <v>45720</v>
      </c>
      <c r="C2486" s="2">
        <v>45720.969166666669</v>
      </c>
      <c r="D2486" t="s">
        <v>24</v>
      </c>
      <c r="E2486" t="s">
        <v>16</v>
      </c>
      <c r="F2486" t="s">
        <v>58</v>
      </c>
      <c r="G2486" t="s">
        <v>56</v>
      </c>
      <c r="H2486" t="s">
        <v>35</v>
      </c>
      <c r="I2486" t="s">
        <v>45</v>
      </c>
      <c r="J2486" t="s">
        <v>21</v>
      </c>
      <c r="K2486">
        <v>24</v>
      </c>
      <c r="L2486">
        <v>23.26</v>
      </c>
      <c r="M2486">
        <v>3.1</v>
      </c>
      <c r="N2486" t="s">
        <v>22</v>
      </c>
      <c r="O2486" t="str">
        <f t="shared" si="38"/>
        <v>No</v>
      </c>
    </row>
    <row r="2487" spans="1:15" x14ac:dyDescent="0.25">
      <c r="A2487" t="s">
        <v>2548</v>
      </c>
      <c r="B2487" s="1">
        <v>45723</v>
      </c>
      <c r="C2487" s="2">
        <v>45724.024583333332</v>
      </c>
      <c r="D2487" t="s">
        <v>24</v>
      </c>
      <c r="E2487" t="s">
        <v>45</v>
      </c>
      <c r="F2487" t="s">
        <v>104</v>
      </c>
      <c r="G2487" t="s">
        <v>34</v>
      </c>
      <c r="H2487" t="s">
        <v>27</v>
      </c>
      <c r="I2487" t="s">
        <v>36</v>
      </c>
      <c r="J2487" t="s">
        <v>21</v>
      </c>
      <c r="K2487">
        <v>24</v>
      </c>
      <c r="L2487">
        <v>24.59</v>
      </c>
      <c r="M2487">
        <v>3.2</v>
      </c>
      <c r="N2487" t="s">
        <v>22</v>
      </c>
      <c r="O2487" t="str">
        <f t="shared" si="38"/>
        <v>Yes</v>
      </c>
    </row>
    <row r="2488" spans="1:15" x14ac:dyDescent="0.25">
      <c r="A2488" t="s">
        <v>2549</v>
      </c>
      <c r="B2488" s="1">
        <v>45702</v>
      </c>
      <c r="C2488" s="2">
        <v>45702.447500000002</v>
      </c>
      <c r="D2488" t="s">
        <v>24</v>
      </c>
      <c r="E2488" t="s">
        <v>25</v>
      </c>
      <c r="F2488" t="s">
        <v>53</v>
      </c>
      <c r="G2488" t="s">
        <v>41</v>
      </c>
      <c r="H2488" t="s">
        <v>65</v>
      </c>
      <c r="I2488" t="s">
        <v>36</v>
      </c>
      <c r="J2488" t="s">
        <v>85</v>
      </c>
      <c r="K2488">
        <v>24</v>
      </c>
      <c r="L2488">
        <v>10.74</v>
      </c>
      <c r="M2488">
        <v>3.9</v>
      </c>
      <c r="N2488" t="s">
        <v>61</v>
      </c>
      <c r="O2488" t="str">
        <f t="shared" si="38"/>
        <v>No</v>
      </c>
    </row>
    <row r="2489" spans="1:15" x14ac:dyDescent="0.25">
      <c r="A2489" t="s">
        <v>2550</v>
      </c>
      <c r="B2489" s="1">
        <v>45668</v>
      </c>
      <c r="C2489" s="2">
        <v>45668.411666666667</v>
      </c>
      <c r="D2489" t="s">
        <v>15</v>
      </c>
      <c r="E2489" t="s">
        <v>25</v>
      </c>
      <c r="F2489" t="s">
        <v>26</v>
      </c>
      <c r="G2489" t="s">
        <v>41</v>
      </c>
      <c r="H2489" t="s">
        <v>19</v>
      </c>
      <c r="I2489" t="s">
        <v>45</v>
      </c>
      <c r="J2489" t="s">
        <v>29</v>
      </c>
      <c r="K2489">
        <v>48</v>
      </c>
      <c r="L2489">
        <v>9.8800000000000008</v>
      </c>
      <c r="M2489">
        <v>5</v>
      </c>
      <c r="N2489" t="s">
        <v>22</v>
      </c>
      <c r="O2489" t="str">
        <f t="shared" si="38"/>
        <v>No</v>
      </c>
    </row>
    <row r="2490" spans="1:15" x14ac:dyDescent="0.25">
      <c r="A2490" t="s">
        <v>2551</v>
      </c>
      <c r="B2490" s="1">
        <v>45753</v>
      </c>
      <c r="C2490" s="2">
        <v>45753.227916666663</v>
      </c>
      <c r="D2490" t="s">
        <v>38</v>
      </c>
      <c r="E2490" t="s">
        <v>39</v>
      </c>
      <c r="F2490" t="s">
        <v>78</v>
      </c>
      <c r="G2490" t="s">
        <v>56</v>
      </c>
      <c r="H2490" t="s">
        <v>19</v>
      </c>
      <c r="I2490" t="s">
        <v>20</v>
      </c>
      <c r="J2490" t="s">
        <v>46</v>
      </c>
      <c r="K2490">
        <v>8</v>
      </c>
      <c r="L2490">
        <v>5.47</v>
      </c>
      <c r="M2490">
        <v>4.5</v>
      </c>
      <c r="N2490" t="s">
        <v>22</v>
      </c>
      <c r="O2490" t="str">
        <f t="shared" si="38"/>
        <v>No</v>
      </c>
    </row>
    <row r="2491" spans="1:15" x14ac:dyDescent="0.25">
      <c r="A2491" t="s">
        <v>2552</v>
      </c>
      <c r="B2491" s="1">
        <v>45722</v>
      </c>
      <c r="C2491" s="2">
        <v>45724.427916666667</v>
      </c>
      <c r="D2491" t="s">
        <v>15</v>
      </c>
      <c r="E2491" t="s">
        <v>39</v>
      </c>
      <c r="F2491" t="s">
        <v>119</v>
      </c>
      <c r="G2491" t="s">
        <v>18</v>
      </c>
      <c r="H2491" t="s">
        <v>27</v>
      </c>
      <c r="I2491" t="s">
        <v>20</v>
      </c>
      <c r="J2491" t="s">
        <v>46</v>
      </c>
      <c r="K2491">
        <v>48</v>
      </c>
      <c r="L2491">
        <v>58.27</v>
      </c>
      <c r="M2491">
        <v>3.5</v>
      </c>
      <c r="N2491" t="s">
        <v>22</v>
      </c>
      <c r="O2491" t="str">
        <f t="shared" si="38"/>
        <v>Yes</v>
      </c>
    </row>
    <row r="2492" spans="1:15" x14ac:dyDescent="0.25">
      <c r="A2492" t="s">
        <v>2553</v>
      </c>
      <c r="B2492" s="1">
        <v>45719</v>
      </c>
      <c r="C2492" s="2">
        <v>45720.737500000003</v>
      </c>
      <c r="D2492" t="s">
        <v>15</v>
      </c>
      <c r="E2492" t="s">
        <v>39</v>
      </c>
      <c r="F2492" t="s">
        <v>78</v>
      </c>
      <c r="G2492" t="s">
        <v>51</v>
      </c>
      <c r="H2492" t="s">
        <v>27</v>
      </c>
      <c r="I2492" t="s">
        <v>45</v>
      </c>
      <c r="J2492" t="s">
        <v>46</v>
      </c>
      <c r="K2492">
        <v>48</v>
      </c>
      <c r="L2492">
        <v>41.7</v>
      </c>
      <c r="M2492">
        <v>3.7</v>
      </c>
      <c r="N2492" t="s">
        <v>22</v>
      </c>
      <c r="O2492" t="str">
        <f t="shared" si="38"/>
        <v>No</v>
      </c>
    </row>
    <row r="2493" spans="1:15" x14ac:dyDescent="0.25">
      <c r="A2493" t="s">
        <v>2554</v>
      </c>
      <c r="B2493" s="1">
        <v>45705</v>
      </c>
      <c r="C2493" s="2">
        <v>45705.457916666666</v>
      </c>
      <c r="D2493" t="s">
        <v>38</v>
      </c>
      <c r="E2493" t="s">
        <v>39</v>
      </c>
      <c r="F2493" t="s">
        <v>78</v>
      </c>
      <c r="G2493" t="s">
        <v>18</v>
      </c>
      <c r="H2493" t="s">
        <v>19</v>
      </c>
      <c r="I2493" t="s">
        <v>36</v>
      </c>
      <c r="J2493" t="s">
        <v>46</v>
      </c>
      <c r="K2493">
        <v>8</v>
      </c>
      <c r="L2493">
        <v>10.99</v>
      </c>
      <c r="M2493">
        <v>3.2</v>
      </c>
      <c r="N2493" t="s">
        <v>22</v>
      </c>
      <c r="O2493" t="str">
        <f t="shared" si="38"/>
        <v>Yes</v>
      </c>
    </row>
    <row r="2494" spans="1:15" x14ac:dyDescent="0.25">
      <c r="A2494" t="s">
        <v>2555</v>
      </c>
      <c r="B2494" s="1">
        <v>45826</v>
      </c>
      <c r="C2494" s="2">
        <v>45827.014999999999</v>
      </c>
      <c r="D2494" t="s">
        <v>24</v>
      </c>
      <c r="E2494" t="s">
        <v>39</v>
      </c>
      <c r="F2494" t="s">
        <v>40</v>
      </c>
      <c r="G2494" t="s">
        <v>56</v>
      </c>
      <c r="H2494" t="s">
        <v>65</v>
      </c>
      <c r="I2494" t="s">
        <v>20</v>
      </c>
      <c r="J2494" t="s">
        <v>21</v>
      </c>
      <c r="K2494">
        <v>24</v>
      </c>
      <c r="L2494">
        <v>24.36</v>
      </c>
      <c r="M2494">
        <v>4.9000000000000004</v>
      </c>
      <c r="N2494" t="s">
        <v>22</v>
      </c>
      <c r="O2494" t="str">
        <f t="shared" si="38"/>
        <v>Yes</v>
      </c>
    </row>
    <row r="2495" spans="1:15" x14ac:dyDescent="0.25">
      <c r="A2495" t="s">
        <v>2556</v>
      </c>
      <c r="B2495" s="1">
        <v>45768</v>
      </c>
      <c r="C2495" s="2">
        <v>45769.990416666667</v>
      </c>
      <c r="D2495" t="s">
        <v>24</v>
      </c>
      <c r="E2495" t="s">
        <v>32</v>
      </c>
      <c r="F2495" t="s">
        <v>75</v>
      </c>
      <c r="G2495" t="s">
        <v>56</v>
      </c>
      <c r="H2495" t="s">
        <v>27</v>
      </c>
      <c r="I2495" t="s">
        <v>45</v>
      </c>
      <c r="J2495" t="s">
        <v>29</v>
      </c>
      <c r="K2495">
        <v>24</v>
      </c>
      <c r="L2495">
        <v>47.77</v>
      </c>
      <c r="M2495">
        <v>2.5</v>
      </c>
      <c r="N2495" t="s">
        <v>22</v>
      </c>
      <c r="O2495" t="str">
        <f t="shared" si="38"/>
        <v>Yes</v>
      </c>
    </row>
    <row r="2496" spans="1:15" x14ac:dyDescent="0.25">
      <c r="A2496" t="s">
        <v>2557</v>
      </c>
      <c r="B2496" s="1">
        <v>45733</v>
      </c>
      <c r="C2496" s="2">
        <v>45733.714583333334</v>
      </c>
      <c r="D2496" t="s">
        <v>24</v>
      </c>
      <c r="E2496" t="s">
        <v>39</v>
      </c>
      <c r="F2496" t="s">
        <v>119</v>
      </c>
      <c r="G2496" t="s">
        <v>34</v>
      </c>
      <c r="H2496" t="s">
        <v>54</v>
      </c>
      <c r="I2496" t="s">
        <v>28</v>
      </c>
      <c r="J2496" t="s">
        <v>21</v>
      </c>
      <c r="K2496">
        <v>24</v>
      </c>
      <c r="L2496">
        <v>17.149999999999999</v>
      </c>
      <c r="M2496">
        <v>4.7</v>
      </c>
      <c r="N2496" t="s">
        <v>22</v>
      </c>
      <c r="O2496" t="str">
        <f t="shared" si="38"/>
        <v>No</v>
      </c>
    </row>
    <row r="2497" spans="1:15" x14ac:dyDescent="0.25">
      <c r="A2497" t="s">
        <v>2558</v>
      </c>
      <c r="B2497" s="1">
        <v>45695</v>
      </c>
      <c r="C2497" s="2">
        <v>45695.816666666666</v>
      </c>
      <c r="D2497" t="s">
        <v>15</v>
      </c>
      <c r="E2497" t="s">
        <v>39</v>
      </c>
      <c r="F2497" t="s">
        <v>87</v>
      </c>
      <c r="G2497" t="s">
        <v>41</v>
      </c>
      <c r="H2497" t="s">
        <v>27</v>
      </c>
      <c r="I2497" t="s">
        <v>20</v>
      </c>
      <c r="J2497" t="s">
        <v>46</v>
      </c>
      <c r="K2497">
        <v>48</v>
      </c>
      <c r="L2497">
        <v>19.600000000000001</v>
      </c>
      <c r="M2497">
        <v>4.3</v>
      </c>
      <c r="N2497" t="s">
        <v>22</v>
      </c>
      <c r="O2497" t="str">
        <f t="shared" si="38"/>
        <v>No</v>
      </c>
    </row>
    <row r="2498" spans="1:15" x14ac:dyDescent="0.25">
      <c r="A2498" t="s">
        <v>2559</v>
      </c>
      <c r="B2498" s="1">
        <v>45803</v>
      </c>
      <c r="C2498" s="2">
        <v>45804.824583333335</v>
      </c>
      <c r="D2498" t="s">
        <v>15</v>
      </c>
      <c r="E2498" t="s">
        <v>39</v>
      </c>
      <c r="F2498" t="s">
        <v>78</v>
      </c>
      <c r="G2498" t="s">
        <v>56</v>
      </c>
      <c r="H2498" t="s">
        <v>65</v>
      </c>
      <c r="I2498" t="s">
        <v>36</v>
      </c>
      <c r="J2498" t="s">
        <v>21</v>
      </c>
      <c r="K2498">
        <v>48</v>
      </c>
      <c r="L2498">
        <v>43.79</v>
      </c>
      <c r="M2498">
        <v>5</v>
      </c>
      <c r="N2498" t="s">
        <v>22</v>
      </c>
      <c r="O2498" t="str">
        <f t="shared" si="38"/>
        <v>No</v>
      </c>
    </row>
    <row r="2499" spans="1:15" x14ac:dyDescent="0.25">
      <c r="A2499" t="s">
        <v>2560</v>
      </c>
      <c r="B2499" s="1">
        <v>45818</v>
      </c>
      <c r="C2499" s="2">
        <v>45819.248333333337</v>
      </c>
      <c r="D2499" t="s">
        <v>24</v>
      </c>
      <c r="E2499" t="s">
        <v>32</v>
      </c>
      <c r="F2499" t="s">
        <v>80</v>
      </c>
      <c r="G2499" t="s">
        <v>18</v>
      </c>
      <c r="H2499" t="s">
        <v>44</v>
      </c>
      <c r="I2499" t="s">
        <v>45</v>
      </c>
      <c r="J2499" t="s">
        <v>21</v>
      </c>
      <c r="K2499">
        <v>24</v>
      </c>
      <c r="L2499">
        <v>29.96</v>
      </c>
      <c r="M2499">
        <v>2.7</v>
      </c>
      <c r="N2499" t="s">
        <v>22</v>
      </c>
      <c r="O2499" t="str">
        <f t="shared" ref="O2499:O2562" si="39">IF(L2499&gt;K2499,"Yes","No")</f>
        <v>Yes</v>
      </c>
    </row>
    <row r="2500" spans="1:15" x14ac:dyDescent="0.25">
      <c r="A2500" t="s">
        <v>2561</v>
      </c>
      <c r="B2500" s="1">
        <v>45663</v>
      </c>
      <c r="C2500" s="2">
        <v>45663.621666666666</v>
      </c>
      <c r="D2500" t="s">
        <v>24</v>
      </c>
      <c r="E2500" t="s">
        <v>39</v>
      </c>
      <c r="F2500" t="s">
        <v>119</v>
      </c>
      <c r="G2500" t="s">
        <v>41</v>
      </c>
      <c r="H2500" t="s">
        <v>65</v>
      </c>
      <c r="I2500" t="s">
        <v>45</v>
      </c>
      <c r="J2500" t="s">
        <v>21</v>
      </c>
      <c r="K2500">
        <v>24</v>
      </c>
      <c r="L2500">
        <v>14.92</v>
      </c>
      <c r="M2500">
        <v>4.8</v>
      </c>
      <c r="N2500" t="s">
        <v>22</v>
      </c>
      <c r="O2500" t="str">
        <f t="shared" si="39"/>
        <v>No</v>
      </c>
    </row>
    <row r="2501" spans="1:15" x14ac:dyDescent="0.25">
      <c r="A2501" t="s">
        <v>2562</v>
      </c>
      <c r="B2501" s="1">
        <v>45826</v>
      </c>
      <c r="C2501" s="2">
        <v>45827.030416666668</v>
      </c>
      <c r="D2501" t="s">
        <v>24</v>
      </c>
      <c r="E2501" t="s">
        <v>16</v>
      </c>
      <c r="F2501" t="s">
        <v>58</v>
      </c>
      <c r="G2501" t="s">
        <v>34</v>
      </c>
      <c r="H2501" t="s">
        <v>27</v>
      </c>
      <c r="I2501" t="s">
        <v>36</v>
      </c>
      <c r="J2501" t="s">
        <v>46</v>
      </c>
      <c r="K2501">
        <v>24</v>
      </c>
      <c r="L2501">
        <v>24.73</v>
      </c>
      <c r="M2501">
        <v>3.3</v>
      </c>
      <c r="N2501" t="s">
        <v>22</v>
      </c>
      <c r="O2501" t="str">
        <f t="shared" si="39"/>
        <v>Yes</v>
      </c>
    </row>
    <row r="2502" spans="1:15" x14ac:dyDescent="0.25">
      <c r="A2502" t="s">
        <v>2563</v>
      </c>
      <c r="B2502" s="1">
        <v>45784</v>
      </c>
      <c r="C2502" s="2">
        <v>45784.748333333337</v>
      </c>
      <c r="D2502" t="s">
        <v>15</v>
      </c>
      <c r="E2502" t="s">
        <v>25</v>
      </c>
      <c r="F2502" t="s">
        <v>53</v>
      </c>
      <c r="G2502" t="s">
        <v>34</v>
      </c>
      <c r="H2502" t="s">
        <v>19</v>
      </c>
      <c r="I2502" t="s">
        <v>45</v>
      </c>
      <c r="J2502" t="s">
        <v>29</v>
      </c>
      <c r="K2502">
        <v>48</v>
      </c>
      <c r="L2502">
        <v>17.96</v>
      </c>
      <c r="M2502">
        <v>5</v>
      </c>
      <c r="N2502" t="s">
        <v>22</v>
      </c>
      <c r="O2502" t="str">
        <f t="shared" si="39"/>
        <v>No</v>
      </c>
    </row>
    <row r="2503" spans="1:15" x14ac:dyDescent="0.25">
      <c r="A2503" t="s">
        <v>2564</v>
      </c>
      <c r="B2503" s="1">
        <v>45676</v>
      </c>
      <c r="C2503" s="2">
        <v>45677.011250000003</v>
      </c>
      <c r="D2503" t="s">
        <v>24</v>
      </c>
      <c r="E2503" t="s">
        <v>16</v>
      </c>
      <c r="F2503" t="s">
        <v>58</v>
      </c>
      <c r="G2503" t="s">
        <v>41</v>
      </c>
      <c r="H2503" t="s">
        <v>27</v>
      </c>
      <c r="I2503" t="s">
        <v>36</v>
      </c>
      <c r="J2503" t="s">
        <v>21</v>
      </c>
      <c r="K2503">
        <v>24</v>
      </c>
      <c r="L2503">
        <v>24.27</v>
      </c>
      <c r="M2503">
        <v>4.2</v>
      </c>
      <c r="N2503" t="s">
        <v>22</v>
      </c>
      <c r="O2503" t="str">
        <f t="shared" si="39"/>
        <v>Yes</v>
      </c>
    </row>
    <row r="2504" spans="1:15" x14ac:dyDescent="0.25">
      <c r="A2504" t="s">
        <v>2565</v>
      </c>
      <c r="B2504" s="1">
        <v>45794</v>
      </c>
      <c r="C2504" s="2">
        <v>45794.870416666665</v>
      </c>
      <c r="D2504" t="s">
        <v>38</v>
      </c>
      <c r="E2504" t="s">
        <v>32</v>
      </c>
      <c r="F2504" t="s">
        <v>64</v>
      </c>
      <c r="G2504" t="s">
        <v>51</v>
      </c>
      <c r="H2504" t="s">
        <v>44</v>
      </c>
      <c r="I2504" t="s">
        <v>36</v>
      </c>
      <c r="J2504" t="s">
        <v>21</v>
      </c>
      <c r="K2504">
        <v>8</v>
      </c>
      <c r="L2504">
        <v>20.89</v>
      </c>
      <c r="M2504">
        <v>1</v>
      </c>
      <c r="N2504" t="s">
        <v>22</v>
      </c>
      <c r="O2504" t="str">
        <f t="shared" si="39"/>
        <v>Yes</v>
      </c>
    </row>
    <row r="2505" spans="1:15" x14ac:dyDescent="0.25">
      <c r="A2505" t="s">
        <v>2566</v>
      </c>
      <c r="B2505" s="1">
        <v>45677</v>
      </c>
      <c r="C2505" s="2">
        <v>45677.754166666666</v>
      </c>
      <c r="D2505" t="s">
        <v>15</v>
      </c>
      <c r="E2505" t="s">
        <v>32</v>
      </c>
      <c r="F2505" t="s">
        <v>64</v>
      </c>
      <c r="G2505" t="s">
        <v>51</v>
      </c>
      <c r="H2505" t="s">
        <v>19</v>
      </c>
      <c r="I2505" t="s">
        <v>20</v>
      </c>
      <c r="J2505" t="s">
        <v>29</v>
      </c>
      <c r="K2505">
        <v>48</v>
      </c>
      <c r="L2505">
        <v>18.100000000000001</v>
      </c>
      <c r="M2505">
        <v>3.9</v>
      </c>
      <c r="N2505" t="s">
        <v>22</v>
      </c>
      <c r="O2505" t="str">
        <f t="shared" si="39"/>
        <v>No</v>
      </c>
    </row>
    <row r="2506" spans="1:15" x14ac:dyDescent="0.25">
      <c r="A2506" t="s">
        <v>2567</v>
      </c>
      <c r="B2506" s="1">
        <v>45667</v>
      </c>
      <c r="C2506" s="2">
        <v>45668.305</v>
      </c>
      <c r="D2506" t="s">
        <v>15</v>
      </c>
      <c r="E2506" t="s">
        <v>39</v>
      </c>
      <c r="F2506" t="s">
        <v>119</v>
      </c>
      <c r="G2506" t="s">
        <v>51</v>
      </c>
      <c r="H2506" t="s">
        <v>27</v>
      </c>
      <c r="I2506" t="s">
        <v>36</v>
      </c>
      <c r="J2506" t="s">
        <v>21</v>
      </c>
      <c r="K2506">
        <v>48</v>
      </c>
      <c r="L2506">
        <v>31.32</v>
      </c>
      <c r="M2506">
        <v>4.7</v>
      </c>
      <c r="N2506" t="s">
        <v>22</v>
      </c>
      <c r="O2506" t="str">
        <f t="shared" si="39"/>
        <v>No</v>
      </c>
    </row>
    <row r="2507" spans="1:15" x14ac:dyDescent="0.25">
      <c r="A2507" t="s">
        <v>2568</v>
      </c>
      <c r="B2507" s="1">
        <v>45678</v>
      </c>
      <c r="C2507" s="2">
        <v>45678.83</v>
      </c>
      <c r="D2507" t="s">
        <v>24</v>
      </c>
      <c r="E2507" t="s">
        <v>32</v>
      </c>
      <c r="F2507" t="s">
        <v>75</v>
      </c>
      <c r="G2507" t="s">
        <v>56</v>
      </c>
      <c r="H2507" t="s">
        <v>19</v>
      </c>
      <c r="I2507" t="s">
        <v>20</v>
      </c>
      <c r="J2507" t="s">
        <v>46</v>
      </c>
      <c r="K2507">
        <v>24</v>
      </c>
      <c r="L2507">
        <v>19.920000000000002</v>
      </c>
      <c r="M2507">
        <v>4.4000000000000004</v>
      </c>
      <c r="N2507" t="s">
        <v>22</v>
      </c>
      <c r="O2507" t="str">
        <f t="shared" si="39"/>
        <v>No</v>
      </c>
    </row>
    <row r="2508" spans="1:15" x14ac:dyDescent="0.25">
      <c r="A2508" t="s">
        <v>2569</v>
      </c>
      <c r="B2508" s="1">
        <v>45741</v>
      </c>
      <c r="C2508" s="2">
        <v>45741.16333333333</v>
      </c>
      <c r="D2508" t="s">
        <v>38</v>
      </c>
      <c r="E2508" t="s">
        <v>39</v>
      </c>
      <c r="F2508" t="s">
        <v>78</v>
      </c>
      <c r="G2508" t="s">
        <v>18</v>
      </c>
      <c r="H2508" t="s">
        <v>44</v>
      </c>
      <c r="I2508" t="s">
        <v>45</v>
      </c>
      <c r="J2508" t="s">
        <v>46</v>
      </c>
      <c r="K2508">
        <v>8</v>
      </c>
      <c r="L2508">
        <v>3.92</v>
      </c>
      <c r="M2508">
        <v>4.8</v>
      </c>
      <c r="N2508" t="s">
        <v>22</v>
      </c>
      <c r="O2508" t="str">
        <f t="shared" si="39"/>
        <v>No</v>
      </c>
    </row>
    <row r="2509" spans="1:15" x14ac:dyDescent="0.25">
      <c r="A2509" t="s">
        <v>2570</v>
      </c>
      <c r="B2509" s="1">
        <v>45770</v>
      </c>
      <c r="C2509" s="2">
        <v>45770.397916666669</v>
      </c>
      <c r="D2509" t="s">
        <v>24</v>
      </c>
      <c r="E2509" t="s">
        <v>45</v>
      </c>
      <c r="F2509" t="s">
        <v>112</v>
      </c>
      <c r="G2509" t="s">
        <v>41</v>
      </c>
      <c r="H2509" t="s">
        <v>44</v>
      </c>
      <c r="I2509" t="s">
        <v>20</v>
      </c>
      <c r="J2509" t="s">
        <v>46</v>
      </c>
      <c r="K2509">
        <v>24</v>
      </c>
      <c r="L2509">
        <v>9.5500000000000007</v>
      </c>
      <c r="M2509">
        <v>4.5999999999999996</v>
      </c>
      <c r="N2509" t="s">
        <v>22</v>
      </c>
      <c r="O2509" t="str">
        <f t="shared" si="39"/>
        <v>No</v>
      </c>
    </row>
    <row r="2510" spans="1:15" x14ac:dyDescent="0.25">
      <c r="A2510" t="s">
        <v>2571</v>
      </c>
      <c r="B2510" s="1">
        <v>45731</v>
      </c>
      <c r="C2510" s="2">
        <v>45731.560833333337</v>
      </c>
      <c r="D2510" t="s">
        <v>24</v>
      </c>
      <c r="E2510" t="s">
        <v>32</v>
      </c>
      <c r="F2510" t="s">
        <v>64</v>
      </c>
      <c r="G2510" t="s">
        <v>41</v>
      </c>
      <c r="H2510" t="s">
        <v>19</v>
      </c>
      <c r="I2510" t="s">
        <v>20</v>
      </c>
      <c r="J2510" t="s">
        <v>21</v>
      </c>
      <c r="K2510">
        <v>24</v>
      </c>
      <c r="L2510">
        <v>13.46</v>
      </c>
      <c r="M2510">
        <v>4.0999999999999996</v>
      </c>
      <c r="N2510" t="s">
        <v>22</v>
      </c>
      <c r="O2510" t="str">
        <f t="shared" si="39"/>
        <v>No</v>
      </c>
    </row>
    <row r="2511" spans="1:15" x14ac:dyDescent="0.25">
      <c r="A2511" t="s">
        <v>2572</v>
      </c>
      <c r="B2511" s="1">
        <v>45680</v>
      </c>
      <c r="C2511" s="2">
        <v>45681.137071759258</v>
      </c>
      <c r="D2511" t="s">
        <v>24</v>
      </c>
      <c r="E2511" t="s">
        <v>39</v>
      </c>
      <c r="F2511" t="s">
        <v>87</v>
      </c>
      <c r="G2511" t="s">
        <v>41</v>
      </c>
      <c r="H2511" t="s">
        <v>44</v>
      </c>
      <c r="I2511" t="s">
        <v>20</v>
      </c>
      <c r="J2511" t="s">
        <v>46</v>
      </c>
      <c r="K2511">
        <v>24</v>
      </c>
      <c r="L2511">
        <v>27.29</v>
      </c>
      <c r="M2511">
        <v>4.3</v>
      </c>
      <c r="N2511" t="s">
        <v>22</v>
      </c>
      <c r="O2511" t="str">
        <f t="shared" si="39"/>
        <v>Yes</v>
      </c>
    </row>
    <row r="2512" spans="1:15" x14ac:dyDescent="0.25">
      <c r="A2512" t="s">
        <v>2573</v>
      </c>
      <c r="B2512" s="1">
        <v>45694</v>
      </c>
      <c r="C2512" s="2">
        <v>45694.254583333335</v>
      </c>
      <c r="D2512" t="s">
        <v>15</v>
      </c>
      <c r="E2512" t="s">
        <v>25</v>
      </c>
      <c r="F2512" t="s">
        <v>48</v>
      </c>
      <c r="G2512" t="s">
        <v>56</v>
      </c>
      <c r="H2512" t="s">
        <v>44</v>
      </c>
      <c r="I2512" t="s">
        <v>36</v>
      </c>
      <c r="J2512" t="s">
        <v>85</v>
      </c>
      <c r="K2512">
        <v>48</v>
      </c>
      <c r="L2512">
        <v>6.11</v>
      </c>
      <c r="M2512">
        <v>4.3</v>
      </c>
      <c r="N2512" t="s">
        <v>61</v>
      </c>
      <c r="O2512" t="str">
        <f t="shared" si="39"/>
        <v>No</v>
      </c>
    </row>
    <row r="2513" spans="1:15" x14ac:dyDescent="0.25">
      <c r="A2513" t="s">
        <v>2574</v>
      </c>
      <c r="B2513" s="1">
        <v>45812</v>
      </c>
      <c r="C2513" s="2">
        <v>45812.253750000003</v>
      </c>
      <c r="D2513" t="s">
        <v>24</v>
      </c>
      <c r="E2513" t="s">
        <v>16</v>
      </c>
      <c r="F2513" t="s">
        <v>17</v>
      </c>
      <c r="G2513" t="s">
        <v>41</v>
      </c>
      <c r="H2513" t="s">
        <v>54</v>
      </c>
      <c r="I2513" t="s">
        <v>28</v>
      </c>
      <c r="J2513" t="s">
        <v>21</v>
      </c>
      <c r="K2513">
        <v>24</v>
      </c>
      <c r="L2513">
        <v>6.09</v>
      </c>
      <c r="M2513">
        <v>4.7</v>
      </c>
      <c r="N2513" t="s">
        <v>22</v>
      </c>
      <c r="O2513" t="str">
        <f t="shared" si="39"/>
        <v>No</v>
      </c>
    </row>
    <row r="2514" spans="1:15" x14ac:dyDescent="0.25">
      <c r="A2514" t="s">
        <v>2575</v>
      </c>
      <c r="B2514" s="1">
        <v>45832</v>
      </c>
      <c r="C2514" s="2">
        <v>45832.957916666666</v>
      </c>
      <c r="D2514" t="s">
        <v>15</v>
      </c>
      <c r="E2514" t="s">
        <v>32</v>
      </c>
      <c r="F2514" t="s">
        <v>75</v>
      </c>
      <c r="G2514" t="s">
        <v>51</v>
      </c>
      <c r="H2514" t="s">
        <v>65</v>
      </c>
      <c r="I2514" t="s">
        <v>36</v>
      </c>
      <c r="J2514" t="s">
        <v>46</v>
      </c>
      <c r="K2514">
        <v>48</v>
      </c>
      <c r="L2514">
        <v>22.99</v>
      </c>
      <c r="M2514">
        <v>4</v>
      </c>
      <c r="N2514" t="s">
        <v>22</v>
      </c>
      <c r="O2514" t="str">
        <f t="shared" si="39"/>
        <v>No</v>
      </c>
    </row>
    <row r="2515" spans="1:15" x14ac:dyDescent="0.25">
      <c r="A2515" t="s">
        <v>2576</v>
      </c>
      <c r="B2515" s="1">
        <v>45794</v>
      </c>
      <c r="C2515" s="2">
        <v>45794.350416666668</v>
      </c>
      <c r="D2515" t="s">
        <v>38</v>
      </c>
      <c r="E2515" t="s">
        <v>32</v>
      </c>
      <c r="F2515" t="s">
        <v>75</v>
      </c>
      <c r="G2515" t="s">
        <v>51</v>
      </c>
      <c r="H2515" t="s">
        <v>27</v>
      </c>
      <c r="I2515" t="s">
        <v>20</v>
      </c>
      <c r="J2515" t="s">
        <v>21</v>
      </c>
      <c r="K2515">
        <v>8</v>
      </c>
      <c r="L2515">
        <v>8.41</v>
      </c>
      <c r="M2515">
        <v>3.3</v>
      </c>
      <c r="N2515" t="s">
        <v>22</v>
      </c>
      <c r="O2515" t="str">
        <f t="shared" si="39"/>
        <v>Yes</v>
      </c>
    </row>
    <row r="2516" spans="1:15" x14ac:dyDescent="0.25">
      <c r="A2516" t="s">
        <v>2577</v>
      </c>
      <c r="B2516" s="1">
        <v>45676</v>
      </c>
      <c r="C2516" s="2">
        <v>45677.114583333336</v>
      </c>
      <c r="D2516" t="s">
        <v>15</v>
      </c>
      <c r="E2516" t="s">
        <v>45</v>
      </c>
      <c r="F2516" t="s">
        <v>50</v>
      </c>
      <c r="G2516" t="s">
        <v>18</v>
      </c>
      <c r="H2516" t="s">
        <v>27</v>
      </c>
      <c r="I2516" t="s">
        <v>45</v>
      </c>
      <c r="J2516" t="s">
        <v>85</v>
      </c>
      <c r="K2516">
        <v>48</v>
      </c>
      <c r="L2516">
        <v>26.75</v>
      </c>
      <c r="M2516">
        <v>4</v>
      </c>
      <c r="N2516" t="s">
        <v>22</v>
      </c>
      <c r="O2516" t="str">
        <f t="shared" si="39"/>
        <v>No</v>
      </c>
    </row>
    <row r="2517" spans="1:15" x14ac:dyDescent="0.25">
      <c r="A2517" t="s">
        <v>2578</v>
      </c>
      <c r="B2517" s="1">
        <v>45806</v>
      </c>
      <c r="C2517" s="2">
        <v>45806.643333333333</v>
      </c>
      <c r="D2517" t="s">
        <v>15</v>
      </c>
      <c r="E2517" t="s">
        <v>32</v>
      </c>
      <c r="F2517" t="s">
        <v>33</v>
      </c>
      <c r="G2517" t="s">
        <v>41</v>
      </c>
      <c r="H2517" t="s">
        <v>65</v>
      </c>
      <c r="I2517" t="s">
        <v>36</v>
      </c>
      <c r="J2517" t="s">
        <v>21</v>
      </c>
      <c r="K2517">
        <v>48</v>
      </c>
      <c r="L2517">
        <v>15.44</v>
      </c>
      <c r="M2517">
        <v>4.0999999999999996</v>
      </c>
      <c r="N2517" t="s">
        <v>22</v>
      </c>
      <c r="O2517" t="str">
        <f t="shared" si="39"/>
        <v>No</v>
      </c>
    </row>
    <row r="2518" spans="1:15" x14ac:dyDescent="0.25">
      <c r="A2518" t="s">
        <v>2579</v>
      </c>
      <c r="B2518" s="1">
        <v>45783</v>
      </c>
      <c r="C2518" s="2">
        <v>45784.467916666668</v>
      </c>
      <c r="D2518" t="s">
        <v>24</v>
      </c>
      <c r="E2518" t="s">
        <v>16</v>
      </c>
      <c r="F2518" t="s">
        <v>17</v>
      </c>
      <c r="G2518" t="s">
        <v>56</v>
      </c>
      <c r="H2518" t="s">
        <v>27</v>
      </c>
      <c r="I2518" t="s">
        <v>45</v>
      </c>
      <c r="J2518" t="s">
        <v>21</v>
      </c>
      <c r="K2518">
        <v>24</v>
      </c>
      <c r="L2518">
        <v>35.229999999999997</v>
      </c>
      <c r="M2518">
        <v>3.6</v>
      </c>
      <c r="N2518" t="s">
        <v>61</v>
      </c>
      <c r="O2518" t="str">
        <f t="shared" si="39"/>
        <v>Yes</v>
      </c>
    </row>
    <row r="2519" spans="1:15" x14ac:dyDescent="0.25">
      <c r="A2519" t="s">
        <v>2580</v>
      </c>
      <c r="B2519" s="1">
        <v>45753</v>
      </c>
      <c r="C2519" s="2">
        <v>45753.638749999998</v>
      </c>
      <c r="D2519" t="s">
        <v>24</v>
      </c>
      <c r="E2519" t="s">
        <v>25</v>
      </c>
      <c r="F2519" t="s">
        <v>48</v>
      </c>
      <c r="G2519" t="s">
        <v>34</v>
      </c>
      <c r="H2519" t="s">
        <v>65</v>
      </c>
      <c r="I2519" t="s">
        <v>45</v>
      </c>
      <c r="J2519" t="s">
        <v>21</v>
      </c>
      <c r="K2519">
        <v>24</v>
      </c>
      <c r="L2519">
        <v>15.33</v>
      </c>
      <c r="M2519">
        <v>3.3</v>
      </c>
      <c r="N2519" t="s">
        <v>61</v>
      </c>
      <c r="O2519" t="str">
        <f t="shared" si="39"/>
        <v>No</v>
      </c>
    </row>
    <row r="2520" spans="1:15" x14ac:dyDescent="0.25">
      <c r="A2520" t="s">
        <v>2581</v>
      </c>
      <c r="B2520" s="1">
        <v>45683</v>
      </c>
      <c r="C2520" s="2">
        <v>45683.39166666667</v>
      </c>
      <c r="D2520" t="s">
        <v>24</v>
      </c>
      <c r="E2520" t="s">
        <v>32</v>
      </c>
      <c r="F2520" t="s">
        <v>80</v>
      </c>
      <c r="G2520" t="s">
        <v>18</v>
      </c>
      <c r="H2520" t="s">
        <v>65</v>
      </c>
      <c r="I2520" t="s">
        <v>36</v>
      </c>
      <c r="J2520" t="s">
        <v>85</v>
      </c>
      <c r="K2520">
        <v>24</v>
      </c>
      <c r="L2520">
        <v>9.4</v>
      </c>
      <c r="M2520">
        <v>4.8</v>
      </c>
      <c r="N2520" t="s">
        <v>22</v>
      </c>
      <c r="O2520" t="str">
        <f t="shared" si="39"/>
        <v>No</v>
      </c>
    </row>
    <row r="2521" spans="1:15" x14ac:dyDescent="0.25">
      <c r="A2521" t="s">
        <v>2582</v>
      </c>
      <c r="B2521" s="1">
        <v>45838</v>
      </c>
      <c r="C2521" s="2">
        <v>45838.820833333331</v>
      </c>
      <c r="D2521" t="s">
        <v>24</v>
      </c>
      <c r="E2521" t="s">
        <v>25</v>
      </c>
      <c r="F2521" t="s">
        <v>70</v>
      </c>
      <c r="G2521" t="s">
        <v>34</v>
      </c>
      <c r="H2521" t="s">
        <v>65</v>
      </c>
      <c r="I2521" t="s">
        <v>36</v>
      </c>
      <c r="J2521" t="s">
        <v>21</v>
      </c>
      <c r="K2521">
        <v>24</v>
      </c>
      <c r="L2521">
        <v>19.7</v>
      </c>
      <c r="M2521">
        <v>3.6</v>
      </c>
      <c r="N2521" t="s">
        <v>22</v>
      </c>
      <c r="O2521" t="str">
        <f t="shared" si="39"/>
        <v>No</v>
      </c>
    </row>
    <row r="2522" spans="1:15" x14ac:dyDescent="0.25">
      <c r="A2522" t="s">
        <v>2583</v>
      </c>
      <c r="B2522" s="1">
        <v>45738</v>
      </c>
      <c r="C2522" s="2">
        <v>45738.264166666668</v>
      </c>
      <c r="D2522" t="s">
        <v>38</v>
      </c>
      <c r="E2522" t="s">
        <v>32</v>
      </c>
      <c r="F2522" t="s">
        <v>64</v>
      </c>
      <c r="G2522" t="s">
        <v>18</v>
      </c>
      <c r="H2522" t="s">
        <v>44</v>
      </c>
      <c r="I2522" t="s">
        <v>36</v>
      </c>
      <c r="J2522" t="s">
        <v>21</v>
      </c>
      <c r="K2522">
        <v>8</v>
      </c>
      <c r="L2522">
        <v>6.34</v>
      </c>
      <c r="M2522">
        <v>4.0999999999999996</v>
      </c>
      <c r="N2522" t="s">
        <v>22</v>
      </c>
      <c r="O2522" t="str">
        <f t="shared" si="39"/>
        <v>No</v>
      </c>
    </row>
    <row r="2523" spans="1:15" x14ac:dyDescent="0.25">
      <c r="A2523" t="s">
        <v>2584</v>
      </c>
      <c r="B2523" s="1">
        <v>45665</v>
      </c>
      <c r="C2523" s="2">
        <v>45665.217083333337</v>
      </c>
      <c r="D2523" t="s">
        <v>38</v>
      </c>
      <c r="E2523" t="s">
        <v>39</v>
      </c>
      <c r="F2523" t="s">
        <v>87</v>
      </c>
      <c r="G2523" t="s">
        <v>41</v>
      </c>
      <c r="H2523" t="s">
        <v>54</v>
      </c>
      <c r="I2523" t="s">
        <v>28</v>
      </c>
      <c r="J2523" t="s">
        <v>21</v>
      </c>
      <c r="K2523">
        <v>8</v>
      </c>
      <c r="L2523">
        <v>5.21</v>
      </c>
      <c r="M2523">
        <v>4.0999999999999996</v>
      </c>
      <c r="N2523" t="s">
        <v>22</v>
      </c>
      <c r="O2523" t="str">
        <f t="shared" si="39"/>
        <v>No</v>
      </c>
    </row>
    <row r="2524" spans="1:15" x14ac:dyDescent="0.25">
      <c r="A2524" t="s">
        <v>2585</v>
      </c>
      <c r="B2524" s="1">
        <v>45696</v>
      </c>
      <c r="C2524" s="2">
        <v>45696.101666666669</v>
      </c>
      <c r="D2524" t="s">
        <v>38</v>
      </c>
      <c r="E2524" t="s">
        <v>39</v>
      </c>
      <c r="F2524" t="s">
        <v>40</v>
      </c>
      <c r="G2524" t="s">
        <v>51</v>
      </c>
      <c r="H2524" t="s">
        <v>54</v>
      </c>
      <c r="I2524" t="s">
        <v>45</v>
      </c>
      <c r="J2524" t="s">
        <v>29</v>
      </c>
      <c r="K2524">
        <v>8</v>
      </c>
      <c r="L2524">
        <v>2.44</v>
      </c>
      <c r="M2524">
        <v>4.3</v>
      </c>
      <c r="N2524" t="s">
        <v>22</v>
      </c>
      <c r="O2524" t="str">
        <f t="shared" si="39"/>
        <v>No</v>
      </c>
    </row>
    <row r="2525" spans="1:15" x14ac:dyDescent="0.25">
      <c r="A2525" t="s">
        <v>2586</v>
      </c>
      <c r="B2525" s="1">
        <v>45730</v>
      </c>
      <c r="C2525" s="2">
        <v>45731.036666666667</v>
      </c>
      <c r="D2525" t="s">
        <v>24</v>
      </c>
      <c r="E2525" t="s">
        <v>45</v>
      </c>
      <c r="F2525" t="s">
        <v>104</v>
      </c>
      <c r="G2525" t="s">
        <v>34</v>
      </c>
      <c r="H2525" t="s">
        <v>44</v>
      </c>
      <c r="I2525" t="s">
        <v>36</v>
      </c>
      <c r="J2525" t="s">
        <v>21</v>
      </c>
      <c r="K2525">
        <v>24</v>
      </c>
      <c r="L2525">
        <v>24.88</v>
      </c>
      <c r="M2525">
        <v>4.5</v>
      </c>
      <c r="N2525" t="s">
        <v>22</v>
      </c>
      <c r="O2525" t="str">
        <f t="shared" si="39"/>
        <v>Yes</v>
      </c>
    </row>
    <row r="2526" spans="1:15" x14ac:dyDescent="0.25">
      <c r="A2526" t="s">
        <v>2587</v>
      </c>
      <c r="B2526" s="1">
        <v>45669</v>
      </c>
      <c r="C2526" s="2">
        <v>45670.640416666669</v>
      </c>
      <c r="D2526" t="s">
        <v>24</v>
      </c>
      <c r="E2526" t="s">
        <v>32</v>
      </c>
      <c r="F2526" t="s">
        <v>75</v>
      </c>
      <c r="G2526" t="s">
        <v>34</v>
      </c>
      <c r="H2526" t="s">
        <v>27</v>
      </c>
      <c r="I2526" t="s">
        <v>20</v>
      </c>
      <c r="J2526" t="s">
        <v>46</v>
      </c>
      <c r="K2526">
        <v>24</v>
      </c>
      <c r="L2526">
        <v>39.369999999999997</v>
      </c>
      <c r="M2526">
        <v>2.8</v>
      </c>
      <c r="N2526" t="s">
        <v>22</v>
      </c>
      <c r="O2526" t="str">
        <f t="shared" si="39"/>
        <v>Yes</v>
      </c>
    </row>
    <row r="2527" spans="1:15" x14ac:dyDescent="0.25">
      <c r="A2527" t="s">
        <v>2588</v>
      </c>
      <c r="B2527" s="1">
        <v>45716</v>
      </c>
      <c r="C2527" s="2">
        <v>45716.730416666665</v>
      </c>
      <c r="D2527" t="s">
        <v>24</v>
      </c>
      <c r="E2527" t="s">
        <v>32</v>
      </c>
      <c r="F2527" t="s">
        <v>33</v>
      </c>
      <c r="G2527" t="s">
        <v>34</v>
      </c>
      <c r="H2527" t="s">
        <v>35</v>
      </c>
      <c r="I2527" t="s">
        <v>45</v>
      </c>
      <c r="J2527" t="s">
        <v>46</v>
      </c>
      <c r="K2527">
        <v>24</v>
      </c>
      <c r="L2527">
        <v>17.53</v>
      </c>
      <c r="M2527">
        <v>4.5999999999999996</v>
      </c>
      <c r="N2527" t="s">
        <v>22</v>
      </c>
      <c r="O2527" t="str">
        <f t="shared" si="39"/>
        <v>No</v>
      </c>
    </row>
    <row r="2528" spans="1:15" x14ac:dyDescent="0.25">
      <c r="A2528" t="s">
        <v>2589</v>
      </c>
      <c r="B2528" s="1">
        <v>45742</v>
      </c>
      <c r="C2528" s="2">
        <v>45742.147499999999</v>
      </c>
      <c r="D2528" t="s">
        <v>24</v>
      </c>
      <c r="E2528" t="s">
        <v>45</v>
      </c>
      <c r="F2528" t="s">
        <v>50</v>
      </c>
      <c r="G2528" t="s">
        <v>41</v>
      </c>
      <c r="H2528" t="s">
        <v>44</v>
      </c>
      <c r="I2528" t="s">
        <v>20</v>
      </c>
      <c r="J2528" t="s">
        <v>46</v>
      </c>
      <c r="K2528">
        <v>24</v>
      </c>
      <c r="L2528">
        <v>3.54</v>
      </c>
      <c r="M2528">
        <v>5</v>
      </c>
      <c r="N2528" t="s">
        <v>22</v>
      </c>
      <c r="O2528" t="str">
        <f t="shared" si="39"/>
        <v>No</v>
      </c>
    </row>
    <row r="2529" spans="1:15" x14ac:dyDescent="0.25">
      <c r="A2529" t="s">
        <v>2590</v>
      </c>
      <c r="B2529" s="1">
        <v>45829</v>
      </c>
      <c r="C2529" s="2">
        <v>45831.192083333335</v>
      </c>
      <c r="D2529" t="s">
        <v>24</v>
      </c>
      <c r="E2529" t="s">
        <v>32</v>
      </c>
      <c r="F2529" t="s">
        <v>33</v>
      </c>
      <c r="G2529" t="s">
        <v>41</v>
      </c>
      <c r="H2529" t="s">
        <v>65</v>
      </c>
      <c r="I2529" t="s">
        <v>45</v>
      </c>
      <c r="J2529" t="s">
        <v>46</v>
      </c>
      <c r="K2529">
        <v>24</v>
      </c>
      <c r="L2529">
        <v>52.61</v>
      </c>
      <c r="M2529">
        <v>2.2000000000000002</v>
      </c>
      <c r="N2529" t="s">
        <v>22</v>
      </c>
      <c r="O2529" t="str">
        <f t="shared" si="39"/>
        <v>Yes</v>
      </c>
    </row>
    <row r="2530" spans="1:15" x14ac:dyDescent="0.25">
      <c r="A2530" t="s">
        <v>2591</v>
      </c>
      <c r="B2530" s="1">
        <v>45673</v>
      </c>
      <c r="C2530" s="2">
        <v>45673.815821759257</v>
      </c>
      <c r="D2530" t="s">
        <v>24</v>
      </c>
      <c r="E2530" t="s">
        <v>25</v>
      </c>
      <c r="F2530" t="s">
        <v>70</v>
      </c>
      <c r="G2530" t="s">
        <v>56</v>
      </c>
      <c r="H2530" t="s">
        <v>19</v>
      </c>
      <c r="I2530" t="s">
        <v>36</v>
      </c>
      <c r="J2530" t="s">
        <v>46</v>
      </c>
      <c r="K2530">
        <v>24</v>
      </c>
      <c r="L2530">
        <v>19.579999999999998</v>
      </c>
      <c r="M2530">
        <v>3.2</v>
      </c>
      <c r="N2530" t="s">
        <v>22</v>
      </c>
      <c r="O2530" t="str">
        <f t="shared" si="39"/>
        <v>No</v>
      </c>
    </row>
    <row r="2531" spans="1:15" x14ac:dyDescent="0.25">
      <c r="A2531" t="s">
        <v>2592</v>
      </c>
      <c r="B2531" s="1">
        <v>45762</v>
      </c>
      <c r="C2531" s="2">
        <v>45762.455833333333</v>
      </c>
      <c r="D2531" t="s">
        <v>15</v>
      </c>
      <c r="E2531" t="s">
        <v>16</v>
      </c>
      <c r="F2531" t="s">
        <v>58</v>
      </c>
      <c r="G2531" t="s">
        <v>34</v>
      </c>
      <c r="H2531" t="s">
        <v>27</v>
      </c>
      <c r="I2531" t="s">
        <v>36</v>
      </c>
      <c r="J2531" t="s">
        <v>21</v>
      </c>
      <c r="K2531">
        <v>48</v>
      </c>
      <c r="L2531">
        <v>10.94</v>
      </c>
      <c r="M2531">
        <v>4.2</v>
      </c>
      <c r="N2531" t="s">
        <v>22</v>
      </c>
      <c r="O2531" t="str">
        <f t="shared" si="39"/>
        <v>No</v>
      </c>
    </row>
    <row r="2532" spans="1:15" x14ac:dyDescent="0.25">
      <c r="A2532" t="s">
        <v>2593</v>
      </c>
      <c r="B2532" s="1">
        <v>45823</v>
      </c>
      <c r="C2532" s="2">
        <v>45825.000416666669</v>
      </c>
      <c r="D2532" t="s">
        <v>15</v>
      </c>
      <c r="E2532" t="s">
        <v>16</v>
      </c>
      <c r="F2532" t="s">
        <v>60</v>
      </c>
      <c r="G2532" t="s">
        <v>34</v>
      </c>
      <c r="H2532" t="s">
        <v>44</v>
      </c>
      <c r="I2532" t="s">
        <v>20</v>
      </c>
      <c r="J2532" t="s">
        <v>21</v>
      </c>
      <c r="K2532">
        <v>48</v>
      </c>
      <c r="L2532">
        <v>48.01</v>
      </c>
      <c r="M2532">
        <v>4.5999999999999996</v>
      </c>
      <c r="N2532" t="s">
        <v>22</v>
      </c>
      <c r="O2532" t="str">
        <f t="shared" si="39"/>
        <v>Yes</v>
      </c>
    </row>
    <row r="2533" spans="1:15" x14ac:dyDescent="0.25">
      <c r="A2533" t="s">
        <v>2594</v>
      </c>
      <c r="B2533" s="1">
        <v>45803</v>
      </c>
      <c r="C2533" s="2">
        <v>45803.405833333331</v>
      </c>
      <c r="D2533" t="s">
        <v>38</v>
      </c>
      <c r="E2533" t="s">
        <v>25</v>
      </c>
      <c r="F2533" t="s">
        <v>26</v>
      </c>
      <c r="G2533" t="s">
        <v>18</v>
      </c>
      <c r="H2533" t="s">
        <v>54</v>
      </c>
      <c r="I2533" t="s">
        <v>20</v>
      </c>
      <c r="J2533" t="s">
        <v>21</v>
      </c>
      <c r="K2533">
        <v>8</v>
      </c>
      <c r="L2533">
        <v>9.74</v>
      </c>
      <c r="M2533">
        <v>3.9</v>
      </c>
      <c r="N2533" t="s">
        <v>22</v>
      </c>
      <c r="O2533" t="str">
        <f t="shared" si="39"/>
        <v>Yes</v>
      </c>
    </row>
    <row r="2534" spans="1:15" x14ac:dyDescent="0.25">
      <c r="A2534" t="s">
        <v>2595</v>
      </c>
      <c r="B2534" s="1">
        <v>45825</v>
      </c>
      <c r="C2534" s="2">
        <v>45826.148333333331</v>
      </c>
      <c r="D2534" t="s">
        <v>15</v>
      </c>
      <c r="E2534" t="s">
        <v>25</v>
      </c>
      <c r="F2534" t="s">
        <v>48</v>
      </c>
      <c r="G2534" t="s">
        <v>18</v>
      </c>
      <c r="H2534" t="s">
        <v>27</v>
      </c>
      <c r="I2534" t="s">
        <v>20</v>
      </c>
      <c r="J2534" t="s">
        <v>21</v>
      </c>
      <c r="K2534">
        <v>48</v>
      </c>
      <c r="L2534">
        <v>27.56</v>
      </c>
      <c r="M2534">
        <v>4.4000000000000004</v>
      </c>
      <c r="N2534" t="s">
        <v>22</v>
      </c>
      <c r="O2534" t="str">
        <f t="shared" si="39"/>
        <v>No</v>
      </c>
    </row>
    <row r="2535" spans="1:15" x14ac:dyDescent="0.25">
      <c r="A2535" t="s">
        <v>2596</v>
      </c>
      <c r="B2535" s="1">
        <v>45688</v>
      </c>
      <c r="C2535" s="2">
        <v>45688.102916666663</v>
      </c>
      <c r="D2535" t="s">
        <v>24</v>
      </c>
      <c r="E2535" t="s">
        <v>32</v>
      </c>
      <c r="F2535" t="s">
        <v>64</v>
      </c>
      <c r="G2535" t="s">
        <v>51</v>
      </c>
      <c r="H2535" t="s">
        <v>65</v>
      </c>
      <c r="I2535" t="s">
        <v>36</v>
      </c>
      <c r="J2535" t="s">
        <v>21</v>
      </c>
      <c r="K2535">
        <v>24</v>
      </c>
      <c r="L2535">
        <v>2.4700000000000002</v>
      </c>
      <c r="M2535">
        <v>4.5</v>
      </c>
      <c r="N2535" t="s">
        <v>22</v>
      </c>
      <c r="O2535" t="str">
        <f t="shared" si="39"/>
        <v>No</v>
      </c>
    </row>
    <row r="2536" spans="1:15" x14ac:dyDescent="0.25">
      <c r="A2536" t="s">
        <v>2597</v>
      </c>
      <c r="B2536" s="1">
        <v>45803</v>
      </c>
      <c r="C2536" s="2">
        <v>45803.675000000003</v>
      </c>
      <c r="D2536" t="s">
        <v>24</v>
      </c>
      <c r="E2536" t="s">
        <v>45</v>
      </c>
      <c r="F2536" t="s">
        <v>112</v>
      </c>
      <c r="G2536" t="s">
        <v>34</v>
      </c>
      <c r="H2536" t="s">
        <v>44</v>
      </c>
      <c r="I2536" t="s">
        <v>20</v>
      </c>
      <c r="J2536" t="s">
        <v>21</v>
      </c>
      <c r="K2536">
        <v>24</v>
      </c>
      <c r="L2536">
        <v>16.2</v>
      </c>
      <c r="M2536">
        <v>5</v>
      </c>
      <c r="N2536" t="s">
        <v>22</v>
      </c>
      <c r="O2536" t="str">
        <f t="shared" si="39"/>
        <v>No</v>
      </c>
    </row>
    <row r="2537" spans="1:15" x14ac:dyDescent="0.25">
      <c r="A2537" t="s">
        <v>2598</v>
      </c>
      <c r="B2537" s="1">
        <v>45835</v>
      </c>
      <c r="C2537" s="2">
        <v>45835.443333333336</v>
      </c>
      <c r="D2537" t="s">
        <v>15</v>
      </c>
      <c r="E2537" t="s">
        <v>45</v>
      </c>
      <c r="F2537" t="s">
        <v>50</v>
      </c>
      <c r="G2537" t="s">
        <v>41</v>
      </c>
      <c r="H2537" t="s">
        <v>19</v>
      </c>
      <c r="I2537" t="s">
        <v>36</v>
      </c>
      <c r="J2537" t="s">
        <v>29</v>
      </c>
      <c r="K2537">
        <v>48</v>
      </c>
      <c r="L2537">
        <v>10.64</v>
      </c>
      <c r="M2537">
        <v>4.2</v>
      </c>
      <c r="N2537" t="s">
        <v>22</v>
      </c>
      <c r="O2537" t="str">
        <f t="shared" si="39"/>
        <v>No</v>
      </c>
    </row>
    <row r="2538" spans="1:15" x14ac:dyDescent="0.25">
      <c r="A2538" t="s">
        <v>2599</v>
      </c>
      <c r="B2538" s="1">
        <v>45717</v>
      </c>
      <c r="C2538" s="2">
        <v>45717.278333333335</v>
      </c>
      <c r="D2538" t="s">
        <v>38</v>
      </c>
      <c r="E2538" t="s">
        <v>45</v>
      </c>
      <c r="F2538" t="s">
        <v>100</v>
      </c>
      <c r="G2538" t="s">
        <v>34</v>
      </c>
      <c r="H2538" t="s">
        <v>35</v>
      </c>
      <c r="I2538" t="s">
        <v>45</v>
      </c>
      <c r="J2538" t="s">
        <v>29</v>
      </c>
      <c r="K2538">
        <v>8</v>
      </c>
      <c r="L2538">
        <v>6.68</v>
      </c>
      <c r="M2538">
        <v>4.0999999999999996</v>
      </c>
      <c r="N2538" t="s">
        <v>22</v>
      </c>
      <c r="O2538" t="str">
        <f t="shared" si="39"/>
        <v>No</v>
      </c>
    </row>
    <row r="2539" spans="1:15" x14ac:dyDescent="0.25">
      <c r="A2539" t="s">
        <v>2600</v>
      </c>
      <c r="B2539" s="1">
        <v>45748</v>
      </c>
      <c r="C2539" s="2">
        <v>45748.632916666669</v>
      </c>
      <c r="D2539" t="s">
        <v>15</v>
      </c>
      <c r="E2539" t="s">
        <v>16</v>
      </c>
      <c r="F2539" t="s">
        <v>60</v>
      </c>
      <c r="G2539" t="s">
        <v>34</v>
      </c>
      <c r="H2539" t="s">
        <v>35</v>
      </c>
      <c r="I2539" t="s">
        <v>36</v>
      </c>
      <c r="J2539" t="s">
        <v>21</v>
      </c>
      <c r="K2539">
        <v>48</v>
      </c>
      <c r="L2539">
        <v>15.19</v>
      </c>
      <c r="M2539">
        <v>4.9000000000000004</v>
      </c>
      <c r="N2539" t="s">
        <v>22</v>
      </c>
      <c r="O2539" t="str">
        <f t="shared" si="39"/>
        <v>No</v>
      </c>
    </row>
    <row r="2540" spans="1:15" x14ac:dyDescent="0.25">
      <c r="A2540" t="s">
        <v>2601</v>
      </c>
      <c r="B2540" s="1">
        <v>45754</v>
      </c>
      <c r="C2540" s="2">
        <v>45754.256249999999</v>
      </c>
      <c r="D2540" t="s">
        <v>38</v>
      </c>
      <c r="E2540" t="s">
        <v>16</v>
      </c>
      <c r="F2540" t="s">
        <v>58</v>
      </c>
      <c r="G2540" t="s">
        <v>41</v>
      </c>
      <c r="H2540" t="s">
        <v>44</v>
      </c>
      <c r="I2540" t="s">
        <v>20</v>
      </c>
      <c r="J2540" t="s">
        <v>46</v>
      </c>
      <c r="K2540">
        <v>8</v>
      </c>
      <c r="L2540">
        <v>6.15</v>
      </c>
      <c r="M2540">
        <v>3.2</v>
      </c>
      <c r="N2540" t="s">
        <v>22</v>
      </c>
      <c r="O2540" t="str">
        <f t="shared" si="39"/>
        <v>No</v>
      </c>
    </row>
    <row r="2541" spans="1:15" x14ac:dyDescent="0.25">
      <c r="A2541" t="s">
        <v>2602</v>
      </c>
      <c r="B2541" s="1">
        <v>45747</v>
      </c>
      <c r="C2541" s="2">
        <v>45747.134583333333</v>
      </c>
      <c r="D2541" t="s">
        <v>38</v>
      </c>
      <c r="E2541" t="s">
        <v>16</v>
      </c>
      <c r="F2541" t="s">
        <v>60</v>
      </c>
      <c r="G2541" t="s">
        <v>34</v>
      </c>
      <c r="H2541" t="s">
        <v>19</v>
      </c>
      <c r="I2541" t="s">
        <v>28</v>
      </c>
      <c r="J2541" t="s">
        <v>46</v>
      </c>
      <c r="K2541">
        <v>8</v>
      </c>
      <c r="L2541">
        <v>3.23</v>
      </c>
      <c r="M2541">
        <v>4</v>
      </c>
      <c r="N2541" t="s">
        <v>22</v>
      </c>
      <c r="O2541" t="str">
        <f t="shared" si="39"/>
        <v>No</v>
      </c>
    </row>
    <row r="2542" spans="1:15" x14ac:dyDescent="0.25">
      <c r="A2542" t="s">
        <v>2603</v>
      </c>
      <c r="B2542" s="1">
        <v>45710</v>
      </c>
      <c r="C2542" s="2">
        <v>45711.396666666667</v>
      </c>
      <c r="D2542" t="s">
        <v>15</v>
      </c>
      <c r="E2542" t="s">
        <v>32</v>
      </c>
      <c r="F2542" t="s">
        <v>75</v>
      </c>
      <c r="G2542" t="s">
        <v>51</v>
      </c>
      <c r="H2542" t="s">
        <v>27</v>
      </c>
      <c r="I2542" t="s">
        <v>36</v>
      </c>
      <c r="J2542" t="s">
        <v>85</v>
      </c>
      <c r="K2542">
        <v>48</v>
      </c>
      <c r="L2542">
        <v>33.520000000000003</v>
      </c>
      <c r="M2542">
        <v>3.9</v>
      </c>
      <c r="N2542" t="s">
        <v>22</v>
      </c>
      <c r="O2542" t="str">
        <f t="shared" si="39"/>
        <v>No</v>
      </c>
    </row>
    <row r="2543" spans="1:15" x14ac:dyDescent="0.25">
      <c r="A2543" t="s">
        <v>2604</v>
      </c>
      <c r="B2543" s="1">
        <v>45833</v>
      </c>
      <c r="C2543" s="2">
        <v>45835.040416666663</v>
      </c>
      <c r="D2543" t="s">
        <v>15</v>
      </c>
      <c r="E2543" t="s">
        <v>16</v>
      </c>
      <c r="F2543" t="s">
        <v>17</v>
      </c>
      <c r="G2543" t="s">
        <v>34</v>
      </c>
      <c r="H2543" t="s">
        <v>27</v>
      </c>
      <c r="I2543" t="s">
        <v>20</v>
      </c>
      <c r="J2543" t="s">
        <v>21</v>
      </c>
      <c r="K2543">
        <v>48</v>
      </c>
      <c r="L2543">
        <v>48.97</v>
      </c>
      <c r="M2543">
        <v>4.3</v>
      </c>
      <c r="N2543" t="s">
        <v>22</v>
      </c>
      <c r="O2543" t="str">
        <f t="shared" si="39"/>
        <v>Yes</v>
      </c>
    </row>
    <row r="2544" spans="1:15" x14ac:dyDescent="0.25">
      <c r="A2544" t="s">
        <v>2605</v>
      </c>
      <c r="B2544" s="1">
        <v>45831</v>
      </c>
      <c r="C2544" s="2">
        <v>45832.04</v>
      </c>
      <c r="D2544" t="s">
        <v>24</v>
      </c>
      <c r="E2544" t="s">
        <v>16</v>
      </c>
      <c r="F2544" t="s">
        <v>17</v>
      </c>
      <c r="G2544" t="s">
        <v>18</v>
      </c>
      <c r="H2544" t="s">
        <v>19</v>
      </c>
      <c r="I2544" t="s">
        <v>45</v>
      </c>
      <c r="J2544" t="s">
        <v>46</v>
      </c>
      <c r="K2544">
        <v>24</v>
      </c>
      <c r="L2544">
        <v>24.96</v>
      </c>
      <c r="M2544">
        <v>3.5</v>
      </c>
      <c r="N2544" t="s">
        <v>22</v>
      </c>
      <c r="O2544" t="str">
        <f t="shared" si="39"/>
        <v>Yes</v>
      </c>
    </row>
    <row r="2545" spans="1:15" x14ac:dyDescent="0.25">
      <c r="A2545" t="s">
        <v>2606</v>
      </c>
      <c r="B2545" s="1">
        <v>45726</v>
      </c>
      <c r="C2545" s="2">
        <v>45726.28125</v>
      </c>
      <c r="D2545" t="s">
        <v>24</v>
      </c>
      <c r="E2545" t="s">
        <v>16</v>
      </c>
      <c r="F2545" t="s">
        <v>60</v>
      </c>
      <c r="G2545" t="s">
        <v>34</v>
      </c>
      <c r="H2545" t="s">
        <v>27</v>
      </c>
      <c r="I2545" t="s">
        <v>36</v>
      </c>
      <c r="J2545" t="s">
        <v>21</v>
      </c>
      <c r="K2545">
        <v>24</v>
      </c>
      <c r="L2545">
        <v>6.75</v>
      </c>
      <c r="M2545">
        <v>3.7</v>
      </c>
      <c r="N2545" t="s">
        <v>61</v>
      </c>
      <c r="O2545" t="str">
        <f t="shared" si="39"/>
        <v>No</v>
      </c>
    </row>
    <row r="2546" spans="1:15" x14ac:dyDescent="0.25">
      <c r="A2546" t="s">
        <v>2607</v>
      </c>
      <c r="B2546" s="1">
        <v>45803</v>
      </c>
      <c r="C2546" s="2">
        <v>45803.886666666665</v>
      </c>
      <c r="D2546" t="s">
        <v>15</v>
      </c>
      <c r="E2546" t="s">
        <v>39</v>
      </c>
      <c r="F2546" t="s">
        <v>87</v>
      </c>
      <c r="G2546" t="s">
        <v>41</v>
      </c>
      <c r="H2546" t="s">
        <v>65</v>
      </c>
      <c r="I2546" t="s">
        <v>36</v>
      </c>
      <c r="J2546" t="s">
        <v>21</v>
      </c>
      <c r="K2546">
        <v>48</v>
      </c>
      <c r="L2546">
        <v>21.28</v>
      </c>
      <c r="M2546">
        <v>3.5</v>
      </c>
      <c r="N2546" t="s">
        <v>22</v>
      </c>
      <c r="O2546" t="str">
        <f t="shared" si="39"/>
        <v>No</v>
      </c>
    </row>
    <row r="2547" spans="1:15" x14ac:dyDescent="0.25">
      <c r="A2547" t="s">
        <v>2608</v>
      </c>
      <c r="B2547" s="1">
        <v>45729</v>
      </c>
      <c r="C2547" s="2">
        <v>45729.076666666668</v>
      </c>
      <c r="D2547" t="s">
        <v>31</v>
      </c>
      <c r="E2547" t="s">
        <v>39</v>
      </c>
      <c r="F2547" t="s">
        <v>119</v>
      </c>
      <c r="G2547" t="s">
        <v>41</v>
      </c>
      <c r="H2547" t="s">
        <v>65</v>
      </c>
      <c r="I2547" t="s">
        <v>20</v>
      </c>
      <c r="J2547" t="s">
        <v>46</v>
      </c>
      <c r="K2547">
        <v>4</v>
      </c>
      <c r="L2547">
        <v>1.84</v>
      </c>
      <c r="M2547">
        <v>3.9</v>
      </c>
      <c r="N2547" t="s">
        <v>22</v>
      </c>
      <c r="O2547" t="str">
        <f t="shared" si="39"/>
        <v>No</v>
      </c>
    </row>
    <row r="2548" spans="1:15" x14ac:dyDescent="0.25">
      <c r="A2548" t="s">
        <v>2609</v>
      </c>
      <c r="B2548" s="1">
        <v>45801</v>
      </c>
      <c r="C2548" s="2">
        <v>45802.333749999998</v>
      </c>
      <c r="D2548" t="s">
        <v>15</v>
      </c>
      <c r="E2548" t="s">
        <v>16</v>
      </c>
      <c r="F2548" t="s">
        <v>17</v>
      </c>
      <c r="G2548" t="s">
        <v>56</v>
      </c>
      <c r="H2548" t="s">
        <v>19</v>
      </c>
      <c r="I2548" t="s">
        <v>36</v>
      </c>
      <c r="J2548" t="s">
        <v>21</v>
      </c>
      <c r="K2548">
        <v>48</v>
      </c>
      <c r="L2548">
        <v>32.01</v>
      </c>
      <c r="M2548">
        <v>3.2</v>
      </c>
      <c r="N2548" t="s">
        <v>61</v>
      </c>
      <c r="O2548" t="str">
        <f t="shared" si="39"/>
        <v>No</v>
      </c>
    </row>
    <row r="2549" spans="1:15" x14ac:dyDescent="0.25">
      <c r="A2549" t="s">
        <v>2610</v>
      </c>
      <c r="B2549" s="1">
        <v>45763</v>
      </c>
      <c r="C2549" s="2">
        <v>45763.425416666665</v>
      </c>
      <c r="D2549" t="s">
        <v>38</v>
      </c>
      <c r="E2549" t="s">
        <v>39</v>
      </c>
      <c r="F2549" t="s">
        <v>119</v>
      </c>
      <c r="G2549" t="s">
        <v>51</v>
      </c>
      <c r="H2549" t="s">
        <v>54</v>
      </c>
      <c r="I2549" t="s">
        <v>36</v>
      </c>
      <c r="J2549" t="s">
        <v>21</v>
      </c>
      <c r="K2549">
        <v>8</v>
      </c>
      <c r="L2549">
        <v>10.210000000000001</v>
      </c>
      <c r="M2549">
        <v>4</v>
      </c>
      <c r="N2549" t="s">
        <v>22</v>
      </c>
      <c r="O2549" t="str">
        <f t="shared" si="39"/>
        <v>Yes</v>
      </c>
    </row>
    <row r="2550" spans="1:15" x14ac:dyDescent="0.25">
      <c r="A2550" t="s">
        <v>2611</v>
      </c>
      <c r="B2550" s="1">
        <v>45743</v>
      </c>
      <c r="C2550" s="2">
        <v>45744.00708333333</v>
      </c>
      <c r="D2550" t="s">
        <v>15</v>
      </c>
      <c r="E2550" t="s">
        <v>45</v>
      </c>
      <c r="F2550" t="s">
        <v>104</v>
      </c>
      <c r="G2550" t="s">
        <v>41</v>
      </c>
      <c r="H2550" t="s">
        <v>54</v>
      </c>
      <c r="I2550" t="s">
        <v>20</v>
      </c>
      <c r="J2550" t="s">
        <v>46</v>
      </c>
      <c r="K2550">
        <v>48</v>
      </c>
      <c r="L2550">
        <v>24.17</v>
      </c>
      <c r="M2550">
        <v>4.9000000000000004</v>
      </c>
      <c r="N2550" t="s">
        <v>22</v>
      </c>
      <c r="O2550" t="str">
        <f t="shared" si="39"/>
        <v>No</v>
      </c>
    </row>
    <row r="2551" spans="1:15" x14ac:dyDescent="0.25">
      <c r="A2551" t="s">
        <v>2612</v>
      </c>
      <c r="B2551" s="1">
        <v>45681</v>
      </c>
      <c r="C2551" s="2">
        <v>45681.129583333335</v>
      </c>
      <c r="D2551" t="s">
        <v>31</v>
      </c>
      <c r="E2551" t="s">
        <v>16</v>
      </c>
      <c r="F2551" t="s">
        <v>17</v>
      </c>
      <c r="G2551" t="s">
        <v>18</v>
      </c>
      <c r="H2551" t="s">
        <v>54</v>
      </c>
      <c r="I2551" t="s">
        <v>45</v>
      </c>
      <c r="J2551" t="s">
        <v>21</v>
      </c>
      <c r="K2551">
        <v>4</v>
      </c>
      <c r="L2551">
        <v>3.11</v>
      </c>
      <c r="M2551">
        <v>4.0999999999999996</v>
      </c>
      <c r="N2551" t="s">
        <v>22</v>
      </c>
      <c r="O2551" t="str">
        <f t="shared" si="39"/>
        <v>No</v>
      </c>
    </row>
    <row r="2552" spans="1:15" x14ac:dyDescent="0.25">
      <c r="A2552" t="s">
        <v>2613</v>
      </c>
      <c r="B2552" s="1">
        <v>45776</v>
      </c>
      <c r="C2552" s="2">
        <v>45776.969166666669</v>
      </c>
      <c r="D2552" t="s">
        <v>15</v>
      </c>
      <c r="E2552" t="s">
        <v>32</v>
      </c>
      <c r="F2552" t="s">
        <v>75</v>
      </c>
      <c r="G2552" t="s">
        <v>18</v>
      </c>
      <c r="H2552" t="s">
        <v>65</v>
      </c>
      <c r="I2552" t="s">
        <v>20</v>
      </c>
      <c r="J2552" t="s">
        <v>21</v>
      </c>
      <c r="K2552">
        <v>48</v>
      </c>
      <c r="L2552">
        <v>23.26</v>
      </c>
      <c r="M2552">
        <v>4.2</v>
      </c>
      <c r="N2552" t="s">
        <v>22</v>
      </c>
      <c r="O2552" t="str">
        <f t="shared" si="39"/>
        <v>No</v>
      </c>
    </row>
    <row r="2553" spans="1:15" x14ac:dyDescent="0.25">
      <c r="A2553" t="s">
        <v>2614</v>
      </c>
      <c r="B2553" s="1">
        <v>45716</v>
      </c>
      <c r="C2553" s="2">
        <v>45716.318333333336</v>
      </c>
      <c r="D2553" t="s">
        <v>24</v>
      </c>
      <c r="E2553" t="s">
        <v>32</v>
      </c>
      <c r="F2553" t="s">
        <v>33</v>
      </c>
      <c r="G2553" t="s">
        <v>41</v>
      </c>
      <c r="H2553" t="s">
        <v>27</v>
      </c>
      <c r="I2553" t="s">
        <v>45</v>
      </c>
      <c r="J2553" t="s">
        <v>21</v>
      </c>
      <c r="K2553">
        <v>24</v>
      </c>
      <c r="L2553">
        <v>7.64</v>
      </c>
      <c r="M2553">
        <v>5</v>
      </c>
      <c r="N2553" t="s">
        <v>22</v>
      </c>
      <c r="O2553" t="str">
        <f t="shared" si="39"/>
        <v>No</v>
      </c>
    </row>
    <row r="2554" spans="1:15" x14ac:dyDescent="0.25">
      <c r="A2554" t="s">
        <v>2615</v>
      </c>
      <c r="B2554" s="1">
        <v>45697</v>
      </c>
      <c r="C2554" s="2">
        <v>45697.137071759258</v>
      </c>
      <c r="D2554" t="s">
        <v>24</v>
      </c>
      <c r="E2554" t="s">
        <v>16</v>
      </c>
      <c r="F2554" t="s">
        <v>43</v>
      </c>
      <c r="G2554" t="s">
        <v>41</v>
      </c>
      <c r="H2554" t="s">
        <v>19</v>
      </c>
      <c r="I2554" t="s">
        <v>45</v>
      </c>
      <c r="J2554" t="s">
        <v>46</v>
      </c>
      <c r="K2554">
        <v>24</v>
      </c>
      <c r="L2554">
        <v>3.29</v>
      </c>
      <c r="M2554">
        <v>5</v>
      </c>
      <c r="N2554" t="s">
        <v>22</v>
      </c>
      <c r="O2554" t="str">
        <f t="shared" si="39"/>
        <v>No</v>
      </c>
    </row>
    <row r="2555" spans="1:15" x14ac:dyDescent="0.25">
      <c r="A2555" t="s">
        <v>2616</v>
      </c>
      <c r="B2555" s="1">
        <v>45692</v>
      </c>
      <c r="C2555" s="2">
        <v>45692.767916666664</v>
      </c>
      <c r="D2555" t="s">
        <v>15</v>
      </c>
      <c r="E2555" t="s">
        <v>39</v>
      </c>
      <c r="F2555" t="s">
        <v>87</v>
      </c>
      <c r="G2555" t="s">
        <v>41</v>
      </c>
      <c r="H2555" t="s">
        <v>44</v>
      </c>
      <c r="I2555" t="s">
        <v>20</v>
      </c>
      <c r="J2555" t="s">
        <v>46</v>
      </c>
      <c r="K2555">
        <v>48</v>
      </c>
      <c r="L2555">
        <v>18.43</v>
      </c>
      <c r="M2555">
        <v>3.9</v>
      </c>
      <c r="N2555" t="s">
        <v>22</v>
      </c>
      <c r="O2555" t="str">
        <f t="shared" si="39"/>
        <v>No</v>
      </c>
    </row>
    <row r="2556" spans="1:15" x14ac:dyDescent="0.25">
      <c r="A2556" t="s">
        <v>2617</v>
      </c>
      <c r="B2556" s="1">
        <v>45835</v>
      </c>
      <c r="C2556" s="2">
        <v>45835.064166666663</v>
      </c>
      <c r="D2556" t="s">
        <v>38</v>
      </c>
      <c r="E2556" t="s">
        <v>25</v>
      </c>
      <c r="F2556" t="s">
        <v>26</v>
      </c>
      <c r="G2556" t="s">
        <v>34</v>
      </c>
      <c r="H2556" t="s">
        <v>19</v>
      </c>
      <c r="I2556" t="s">
        <v>36</v>
      </c>
      <c r="J2556" t="s">
        <v>85</v>
      </c>
      <c r="K2556">
        <v>8</v>
      </c>
      <c r="L2556">
        <v>1.54</v>
      </c>
      <c r="M2556">
        <v>4.2</v>
      </c>
      <c r="N2556" t="s">
        <v>22</v>
      </c>
      <c r="O2556" t="str">
        <f t="shared" si="39"/>
        <v>No</v>
      </c>
    </row>
    <row r="2557" spans="1:15" x14ac:dyDescent="0.25">
      <c r="A2557" t="s">
        <v>2618</v>
      </c>
      <c r="B2557" s="1">
        <v>45676</v>
      </c>
      <c r="C2557" s="2">
        <v>45676.404999999999</v>
      </c>
      <c r="D2557" t="s">
        <v>15</v>
      </c>
      <c r="E2557" t="s">
        <v>32</v>
      </c>
      <c r="F2557" t="s">
        <v>75</v>
      </c>
      <c r="G2557" t="s">
        <v>34</v>
      </c>
      <c r="H2557" t="s">
        <v>65</v>
      </c>
      <c r="I2557" t="s">
        <v>36</v>
      </c>
      <c r="J2557" t="s">
        <v>21</v>
      </c>
      <c r="K2557">
        <v>48</v>
      </c>
      <c r="L2557">
        <v>9.7200000000000006</v>
      </c>
      <c r="M2557">
        <v>5</v>
      </c>
      <c r="N2557" t="s">
        <v>22</v>
      </c>
      <c r="O2557" t="str">
        <f t="shared" si="39"/>
        <v>No</v>
      </c>
    </row>
    <row r="2558" spans="1:15" x14ac:dyDescent="0.25">
      <c r="A2558" t="s">
        <v>2619</v>
      </c>
      <c r="B2558" s="1">
        <v>45802</v>
      </c>
      <c r="C2558" s="2">
        <v>45802.708749999998</v>
      </c>
      <c r="D2558" t="s">
        <v>24</v>
      </c>
      <c r="E2558" t="s">
        <v>32</v>
      </c>
      <c r="F2558" t="s">
        <v>33</v>
      </c>
      <c r="G2558" t="s">
        <v>51</v>
      </c>
      <c r="H2558" t="s">
        <v>65</v>
      </c>
      <c r="I2558" t="s">
        <v>45</v>
      </c>
      <c r="J2558" t="s">
        <v>21</v>
      </c>
      <c r="K2558">
        <v>24</v>
      </c>
      <c r="L2558">
        <v>17.010000000000002</v>
      </c>
      <c r="M2558">
        <v>4.3</v>
      </c>
      <c r="N2558" t="s">
        <v>22</v>
      </c>
      <c r="O2558" t="str">
        <f t="shared" si="39"/>
        <v>No</v>
      </c>
    </row>
    <row r="2559" spans="1:15" x14ac:dyDescent="0.25">
      <c r="A2559" t="s">
        <v>2620</v>
      </c>
      <c r="B2559" s="1">
        <v>45814</v>
      </c>
      <c r="C2559" s="2">
        <v>45814.770416666666</v>
      </c>
      <c r="D2559" t="s">
        <v>24</v>
      </c>
      <c r="E2559" t="s">
        <v>39</v>
      </c>
      <c r="F2559" t="s">
        <v>40</v>
      </c>
      <c r="G2559" t="s">
        <v>51</v>
      </c>
      <c r="H2559" t="s">
        <v>44</v>
      </c>
      <c r="I2559" t="s">
        <v>28</v>
      </c>
      <c r="J2559" t="s">
        <v>21</v>
      </c>
      <c r="K2559">
        <v>24</v>
      </c>
      <c r="L2559">
        <v>18.489999999999998</v>
      </c>
      <c r="M2559">
        <v>4.5</v>
      </c>
      <c r="N2559" t="s">
        <v>22</v>
      </c>
      <c r="O2559" t="str">
        <f t="shared" si="39"/>
        <v>No</v>
      </c>
    </row>
    <row r="2560" spans="1:15" x14ac:dyDescent="0.25">
      <c r="A2560" t="s">
        <v>2621</v>
      </c>
      <c r="B2560" s="1">
        <v>45663</v>
      </c>
      <c r="C2560" s="2">
        <v>45664.072500000002</v>
      </c>
      <c r="D2560" t="s">
        <v>24</v>
      </c>
      <c r="E2560" t="s">
        <v>25</v>
      </c>
      <c r="F2560" t="s">
        <v>70</v>
      </c>
      <c r="G2560" t="s">
        <v>41</v>
      </c>
      <c r="H2560" t="s">
        <v>54</v>
      </c>
      <c r="I2560" t="s">
        <v>36</v>
      </c>
      <c r="J2560" t="s">
        <v>21</v>
      </c>
      <c r="K2560">
        <v>24</v>
      </c>
      <c r="L2560">
        <v>25.74</v>
      </c>
      <c r="M2560">
        <v>3.1</v>
      </c>
      <c r="N2560" t="s">
        <v>22</v>
      </c>
      <c r="O2560" t="str">
        <f t="shared" si="39"/>
        <v>Yes</v>
      </c>
    </row>
    <row r="2561" spans="1:15" x14ac:dyDescent="0.25">
      <c r="A2561" t="s">
        <v>2622</v>
      </c>
      <c r="B2561" s="1">
        <v>45764</v>
      </c>
      <c r="C2561" s="2">
        <v>45764.166250000002</v>
      </c>
      <c r="D2561" t="s">
        <v>15</v>
      </c>
      <c r="E2561" t="s">
        <v>45</v>
      </c>
      <c r="F2561" t="s">
        <v>104</v>
      </c>
      <c r="G2561" t="s">
        <v>41</v>
      </c>
      <c r="H2561" t="s">
        <v>65</v>
      </c>
      <c r="I2561" t="s">
        <v>28</v>
      </c>
      <c r="J2561" t="s">
        <v>21</v>
      </c>
      <c r="K2561">
        <v>48</v>
      </c>
      <c r="L2561">
        <v>3.99</v>
      </c>
      <c r="M2561">
        <v>4.4000000000000004</v>
      </c>
      <c r="N2561" t="s">
        <v>22</v>
      </c>
      <c r="O2561" t="str">
        <f t="shared" si="39"/>
        <v>No</v>
      </c>
    </row>
    <row r="2562" spans="1:15" x14ac:dyDescent="0.25">
      <c r="A2562" t="s">
        <v>2623</v>
      </c>
      <c r="B2562" s="1">
        <v>45762</v>
      </c>
      <c r="C2562" s="2">
        <v>45763.901250000003</v>
      </c>
      <c r="D2562" t="s">
        <v>15</v>
      </c>
      <c r="E2562" t="s">
        <v>45</v>
      </c>
      <c r="F2562" t="s">
        <v>112</v>
      </c>
      <c r="G2562" t="s">
        <v>18</v>
      </c>
      <c r="H2562" t="s">
        <v>27</v>
      </c>
      <c r="I2562" t="s">
        <v>20</v>
      </c>
      <c r="J2562" t="s">
        <v>29</v>
      </c>
      <c r="K2562">
        <v>48</v>
      </c>
      <c r="L2562">
        <v>45.63</v>
      </c>
      <c r="M2562">
        <v>4.2</v>
      </c>
      <c r="N2562" t="s">
        <v>22</v>
      </c>
      <c r="O2562" t="str">
        <f t="shared" si="39"/>
        <v>No</v>
      </c>
    </row>
    <row r="2563" spans="1:15" x14ac:dyDescent="0.25">
      <c r="A2563" t="s">
        <v>2624</v>
      </c>
      <c r="B2563" s="1">
        <v>45722</v>
      </c>
      <c r="C2563" s="2">
        <v>45722.054583333331</v>
      </c>
      <c r="D2563" t="s">
        <v>15</v>
      </c>
      <c r="E2563" t="s">
        <v>16</v>
      </c>
      <c r="F2563" t="s">
        <v>60</v>
      </c>
      <c r="G2563" t="s">
        <v>34</v>
      </c>
      <c r="H2563" t="s">
        <v>54</v>
      </c>
      <c r="I2563" t="s">
        <v>45</v>
      </c>
      <c r="J2563" t="s">
        <v>21</v>
      </c>
      <c r="K2563">
        <v>48</v>
      </c>
      <c r="L2563">
        <v>1.31</v>
      </c>
      <c r="M2563">
        <v>4.5</v>
      </c>
      <c r="N2563" t="s">
        <v>22</v>
      </c>
      <c r="O2563" t="str">
        <f t="shared" ref="O2563:O2626" si="40">IF(L2563&gt;K2563,"Yes","No")</f>
        <v>No</v>
      </c>
    </row>
    <row r="2564" spans="1:15" x14ac:dyDescent="0.25">
      <c r="A2564" t="s">
        <v>2625</v>
      </c>
      <c r="B2564" s="1">
        <v>45778</v>
      </c>
      <c r="C2564" s="2">
        <v>45778.32</v>
      </c>
      <c r="D2564" t="s">
        <v>24</v>
      </c>
      <c r="E2564" t="s">
        <v>25</v>
      </c>
      <c r="F2564" t="s">
        <v>70</v>
      </c>
      <c r="G2564" t="s">
        <v>56</v>
      </c>
      <c r="H2564" t="s">
        <v>54</v>
      </c>
      <c r="I2564" t="s">
        <v>36</v>
      </c>
      <c r="J2564" t="s">
        <v>21</v>
      </c>
      <c r="K2564">
        <v>24</v>
      </c>
      <c r="L2564">
        <v>7.68</v>
      </c>
      <c r="M2564">
        <v>3.6</v>
      </c>
      <c r="N2564" t="s">
        <v>22</v>
      </c>
      <c r="O2564" t="str">
        <f t="shared" si="40"/>
        <v>No</v>
      </c>
    </row>
    <row r="2565" spans="1:15" x14ac:dyDescent="0.25">
      <c r="A2565" t="s">
        <v>2626</v>
      </c>
      <c r="B2565" s="1">
        <v>45731</v>
      </c>
      <c r="C2565" s="2">
        <v>45731.971666666665</v>
      </c>
      <c r="D2565" t="s">
        <v>15</v>
      </c>
      <c r="E2565" t="s">
        <v>32</v>
      </c>
      <c r="F2565" t="s">
        <v>75</v>
      </c>
      <c r="G2565" t="s">
        <v>34</v>
      </c>
      <c r="H2565" t="s">
        <v>19</v>
      </c>
      <c r="I2565" t="s">
        <v>36</v>
      </c>
      <c r="J2565" t="s">
        <v>29</v>
      </c>
      <c r="K2565">
        <v>48</v>
      </c>
      <c r="L2565">
        <v>23.32</v>
      </c>
      <c r="M2565">
        <v>4</v>
      </c>
      <c r="N2565" t="s">
        <v>22</v>
      </c>
      <c r="O2565" t="str">
        <f t="shared" si="40"/>
        <v>No</v>
      </c>
    </row>
    <row r="2566" spans="1:15" x14ac:dyDescent="0.25">
      <c r="A2566" t="s">
        <v>2627</v>
      </c>
      <c r="B2566" s="1">
        <v>45737</v>
      </c>
      <c r="C2566" s="2">
        <v>45737.106249999997</v>
      </c>
      <c r="D2566" t="s">
        <v>38</v>
      </c>
      <c r="E2566" t="s">
        <v>16</v>
      </c>
      <c r="F2566" t="s">
        <v>58</v>
      </c>
      <c r="G2566" t="s">
        <v>18</v>
      </c>
      <c r="H2566" t="s">
        <v>54</v>
      </c>
      <c r="I2566" t="s">
        <v>45</v>
      </c>
      <c r="J2566" t="s">
        <v>46</v>
      </c>
      <c r="K2566">
        <v>8</v>
      </c>
      <c r="L2566">
        <v>2.5499999999999998</v>
      </c>
      <c r="M2566">
        <v>4.5</v>
      </c>
      <c r="N2566" t="s">
        <v>22</v>
      </c>
      <c r="O2566" t="str">
        <f t="shared" si="40"/>
        <v>No</v>
      </c>
    </row>
    <row r="2567" spans="1:15" x14ac:dyDescent="0.25">
      <c r="A2567" t="s">
        <v>2628</v>
      </c>
      <c r="B2567" s="1">
        <v>45736</v>
      </c>
      <c r="C2567" s="2">
        <v>45736.544166666667</v>
      </c>
      <c r="D2567" t="s">
        <v>24</v>
      </c>
      <c r="E2567" t="s">
        <v>45</v>
      </c>
      <c r="F2567" t="s">
        <v>104</v>
      </c>
      <c r="G2567" t="s">
        <v>18</v>
      </c>
      <c r="H2567" t="s">
        <v>65</v>
      </c>
      <c r="I2567" t="s">
        <v>36</v>
      </c>
      <c r="J2567" t="s">
        <v>46</v>
      </c>
      <c r="K2567">
        <v>24</v>
      </c>
      <c r="L2567">
        <v>13.06</v>
      </c>
      <c r="M2567">
        <v>5</v>
      </c>
      <c r="N2567" t="s">
        <v>61</v>
      </c>
      <c r="O2567" t="str">
        <f t="shared" si="40"/>
        <v>No</v>
      </c>
    </row>
    <row r="2568" spans="1:15" x14ac:dyDescent="0.25">
      <c r="A2568" t="s">
        <v>2629</v>
      </c>
      <c r="B2568" s="1">
        <v>45802</v>
      </c>
      <c r="C2568" s="2">
        <v>45802.634583333333</v>
      </c>
      <c r="D2568" t="s">
        <v>24</v>
      </c>
      <c r="E2568" t="s">
        <v>39</v>
      </c>
      <c r="F2568" t="s">
        <v>119</v>
      </c>
      <c r="G2568" t="s">
        <v>34</v>
      </c>
      <c r="H2568" t="s">
        <v>35</v>
      </c>
      <c r="I2568" t="s">
        <v>36</v>
      </c>
      <c r="J2568" t="s">
        <v>21</v>
      </c>
      <c r="K2568">
        <v>24</v>
      </c>
      <c r="L2568">
        <v>15.23</v>
      </c>
      <c r="M2568">
        <v>3.7</v>
      </c>
      <c r="N2568" t="s">
        <v>22</v>
      </c>
      <c r="O2568" t="str">
        <f t="shared" si="40"/>
        <v>No</v>
      </c>
    </row>
    <row r="2569" spans="1:15" x14ac:dyDescent="0.25">
      <c r="A2569" t="s">
        <v>2630</v>
      </c>
      <c r="B2569" s="1">
        <v>45772</v>
      </c>
      <c r="C2569" s="2">
        <v>45772.020833333336</v>
      </c>
      <c r="D2569" t="s">
        <v>24</v>
      </c>
      <c r="E2569" t="s">
        <v>45</v>
      </c>
      <c r="F2569" t="s">
        <v>112</v>
      </c>
      <c r="G2569" t="s">
        <v>56</v>
      </c>
      <c r="H2569" t="s">
        <v>44</v>
      </c>
      <c r="I2569" t="s">
        <v>36</v>
      </c>
      <c r="J2569" t="s">
        <v>21</v>
      </c>
      <c r="K2569">
        <v>24</v>
      </c>
      <c r="L2569">
        <v>0.5</v>
      </c>
      <c r="M2569">
        <v>4.9000000000000004</v>
      </c>
      <c r="N2569" t="s">
        <v>22</v>
      </c>
      <c r="O2569" t="str">
        <f t="shared" si="40"/>
        <v>No</v>
      </c>
    </row>
    <row r="2570" spans="1:15" x14ac:dyDescent="0.25">
      <c r="A2570" t="s">
        <v>2631</v>
      </c>
      <c r="B2570" s="1">
        <v>45726</v>
      </c>
      <c r="C2570" s="2">
        <v>45727.575833333336</v>
      </c>
      <c r="D2570" t="s">
        <v>15</v>
      </c>
      <c r="E2570" t="s">
        <v>32</v>
      </c>
      <c r="F2570" t="s">
        <v>33</v>
      </c>
      <c r="G2570" t="s">
        <v>51</v>
      </c>
      <c r="H2570" t="s">
        <v>19</v>
      </c>
      <c r="I2570" t="s">
        <v>28</v>
      </c>
      <c r="J2570" t="s">
        <v>21</v>
      </c>
      <c r="K2570">
        <v>48</v>
      </c>
      <c r="L2570">
        <v>37.82</v>
      </c>
      <c r="M2570">
        <v>5</v>
      </c>
      <c r="N2570" t="s">
        <v>22</v>
      </c>
      <c r="O2570" t="str">
        <f t="shared" si="40"/>
        <v>No</v>
      </c>
    </row>
    <row r="2571" spans="1:15" x14ac:dyDescent="0.25">
      <c r="A2571" t="s">
        <v>2632</v>
      </c>
      <c r="B2571" s="1">
        <v>45825</v>
      </c>
      <c r="C2571" s="2">
        <v>45825.362083333333</v>
      </c>
      <c r="D2571" t="s">
        <v>24</v>
      </c>
      <c r="E2571" t="s">
        <v>32</v>
      </c>
      <c r="F2571" t="s">
        <v>75</v>
      </c>
      <c r="G2571" t="s">
        <v>51</v>
      </c>
      <c r="H2571" t="s">
        <v>65</v>
      </c>
      <c r="I2571" t="s">
        <v>36</v>
      </c>
      <c r="J2571" t="s">
        <v>21</v>
      </c>
      <c r="K2571">
        <v>24</v>
      </c>
      <c r="L2571">
        <v>8.69</v>
      </c>
      <c r="M2571">
        <v>3.9</v>
      </c>
      <c r="N2571" t="s">
        <v>22</v>
      </c>
      <c r="O2571" t="str">
        <f t="shared" si="40"/>
        <v>No</v>
      </c>
    </row>
    <row r="2572" spans="1:15" x14ac:dyDescent="0.25">
      <c r="A2572" t="s">
        <v>2633</v>
      </c>
      <c r="B2572" s="1">
        <v>45803</v>
      </c>
      <c r="C2572" s="2">
        <v>45804.852500000001</v>
      </c>
      <c r="D2572" t="s">
        <v>15</v>
      </c>
      <c r="E2572" t="s">
        <v>16</v>
      </c>
      <c r="F2572" t="s">
        <v>58</v>
      </c>
      <c r="G2572" t="s">
        <v>51</v>
      </c>
      <c r="H2572" t="s">
        <v>35</v>
      </c>
      <c r="I2572" t="s">
        <v>45</v>
      </c>
      <c r="J2572" t="s">
        <v>21</v>
      </c>
      <c r="K2572">
        <v>48</v>
      </c>
      <c r="L2572">
        <v>44.46</v>
      </c>
      <c r="M2572">
        <v>4.3</v>
      </c>
      <c r="N2572" t="s">
        <v>22</v>
      </c>
      <c r="O2572" t="str">
        <f t="shared" si="40"/>
        <v>No</v>
      </c>
    </row>
    <row r="2573" spans="1:15" x14ac:dyDescent="0.25">
      <c r="A2573" t="s">
        <v>2634</v>
      </c>
      <c r="B2573" s="1">
        <v>45826</v>
      </c>
      <c r="C2573" s="2">
        <v>45826.950416666667</v>
      </c>
      <c r="D2573" t="s">
        <v>24</v>
      </c>
      <c r="E2573" t="s">
        <v>45</v>
      </c>
      <c r="F2573" t="s">
        <v>104</v>
      </c>
      <c r="G2573" t="s">
        <v>51</v>
      </c>
      <c r="H2573" t="s">
        <v>44</v>
      </c>
      <c r="I2573" t="s">
        <v>36</v>
      </c>
      <c r="J2573" t="s">
        <v>29</v>
      </c>
      <c r="K2573">
        <v>24</v>
      </c>
      <c r="L2573">
        <v>22.81</v>
      </c>
      <c r="M2573">
        <v>3.4</v>
      </c>
      <c r="N2573" t="s">
        <v>22</v>
      </c>
      <c r="O2573" t="str">
        <f t="shared" si="40"/>
        <v>No</v>
      </c>
    </row>
    <row r="2574" spans="1:15" x14ac:dyDescent="0.25">
      <c r="A2574" t="s">
        <v>2635</v>
      </c>
      <c r="B2574" s="1">
        <v>45790</v>
      </c>
      <c r="C2574" s="2">
        <v>45790.591666666667</v>
      </c>
      <c r="D2574" t="s">
        <v>24</v>
      </c>
      <c r="E2574" t="s">
        <v>39</v>
      </c>
      <c r="F2574" t="s">
        <v>78</v>
      </c>
      <c r="G2574" t="s">
        <v>34</v>
      </c>
      <c r="H2574" t="s">
        <v>27</v>
      </c>
      <c r="I2574" t="s">
        <v>36</v>
      </c>
      <c r="J2574" t="s">
        <v>21</v>
      </c>
      <c r="K2574">
        <v>24</v>
      </c>
      <c r="L2574">
        <v>14.2</v>
      </c>
      <c r="M2574">
        <v>4.5999999999999996</v>
      </c>
      <c r="N2574" t="s">
        <v>22</v>
      </c>
      <c r="O2574" t="str">
        <f t="shared" si="40"/>
        <v>No</v>
      </c>
    </row>
    <row r="2575" spans="1:15" x14ac:dyDescent="0.25">
      <c r="A2575" t="s">
        <v>2636</v>
      </c>
      <c r="B2575" s="1">
        <v>45728</v>
      </c>
      <c r="C2575" s="2">
        <v>45729.039166666669</v>
      </c>
      <c r="D2575" t="s">
        <v>24</v>
      </c>
      <c r="E2575" t="s">
        <v>25</v>
      </c>
      <c r="F2575" t="s">
        <v>26</v>
      </c>
      <c r="G2575" t="s">
        <v>56</v>
      </c>
      <c r="H2575" t="s">
        <v>35</v>
      </c>
      <c r="I2575" t="s">
        <v>36</v>
      </c>
      <c r="J2575" t="s">
        <v>21</v>
      </c>
      <c r="K2575">
        <v>24</v>
      </c>
      <c r="L2575">
        <v>24.94</v>
      </c>
      <c r="M2575">
        <v>5</v>
      </c>
      <c r="N2575" t="s">
        <v>22</v>
      </c>
      <c r="O2575" t="str">
        <f t="shared" si="40"/>
        <v>Yes</v>
      </c>
    </row>
    <row r="2576" spans="1:15" x14ac:dyDescent="0.25">
      <c r="A2576" t="s">
        <v>2637</v>
      </c>
      <c r="B2576" s="1">
        <v>45797</v>
      </c>
      <c r="C2576" s="2">
        <v>45797.042916666665</v>
      </c>
      <c r="D2576" t="s">
        <v>31</v>
      </c>
      <c r="E2576" t="s">
        <v>32</v>
      </c>
      <c r="F2576" t="s">
        <v>64</v>
      </c>
      <c r="G2576" t="s">
        <v>18</v>
      </c>
      <c r="H2576" t="s">
        <v>54</v>
      </c>
      <c r="I2576" t="s">
        <v>20</v>
      </c>
      <c r="J2576" t="s">
        <v>21</v>
      </c>
      <c r="K2576">
        <v>4</v>
      </c>
      <c r="L2576">
        <v>1.03</v>
      </c>
      <c r="M2576">
        <v>5</v>
      </c>
      <c r="N2576" t="s">
        <v>22</v>
      </c>
      <c r="O2576" t="str">
        <f t="shared" si="40"/>
        <v>No</v>
      </c>
    </row>
    <row r="2577" spans="1:15" x14ac:dyDescent="0.25">
      <c r="A2577" t="s">
        <v>2638</v>
      </c>
      <c r="B2577" s="1">
        <v>45717</v>
      </c>
      <c r="C2577" s="2">
        <v>45717.647916666669</v>
      </c>
      <c r="D2577" t="s">
        <v>15</v>
      </c>
      <c r="E2577" t="s">
        <v>25</v>
      </c>
      <c r="F2577" t="s">
        <v>48</v>
      </c>
      <c r="G2577" t="s">
        <v>56</v>
      </c>
      <c r="H2577" t="s">
        <v>44</v>
      </c>
      <c r="I2577" t="s">
        <v>45</v>
      </c>
      <c r="J2577" t="s">
        <v>29</v>
      </c>
      <c r="K2577">
        <v>48</v>
      </c>
      <c r="L2577">
        <v>15.55</v>
      </c>
      <c r="M2577">
        <v>4.7</v>
      </c>
      <c r="N2577" t="s">
        <v>22</v>
      </c>
      <c r="O2577" t="str">
        <f t="shared" si="40"/>
        <v>No</v>
      </c>
    </row>
    <row r="2578" spans="1:15" x14ac:dyDescent="0.25">
      <c r="A2578" t="s">
        <v>2639</v>
      </c>
      <c r="B2578" s="1">
        <v>45707</v>
      </c>
      <c r="C2578" s="2">
        <v>45707.08</v>
      </c>
      <c r="D2578" t="s">
        <v>24</v>
      </c>
      <c r="E2578" t="s">
        <v>16</v>
      </c>
      <c r="F2578" t="s">
        <v>43</v>
      </c>
      <c r="G2578" t="s">
        <v>18</v>
      </c>
      <c r="H2578" t="s">
        <v>44</v>
      </c>
      <c r="I2578" t="s">
        <v>36</v>
      </c>
      <c r="J2578" t="s">
        <v>21</v>
      </c>
      <c r="K2578">
        <v>24</v>
      </c>
      <c r="L2578">
        <v>1.92</v>
      </c>
      <c r="M2578">
        <v>4.3</v>
      </c>
      <c r="N2578" t="s">
        <v>61</v>
      </c>
      <c r="O2578" t="str">
        <f t="shared" si="40"/>
        <v>No</v>
      </c>
    </row>
    <row r="2579" spans="1:15" x14ac:dyDescent="0.25">
      <c r="A2579" t="s">
        <v>2640</v>
      </c>
      <c r="B2579" s="1">
        <v>45739</v>
      </c>
      <c r="C2579" s="2">
        <v>45740.616249999999</v>
      </c>
      <c r="D2579" t="s">
        <v>15</v>
      </c>
      <c r="E2579" t="s">
        <v>32</v>
      </c>
      <c r="F2579" t="s">
        <v>80</v>
      </c>
      <c r="G2579" t="s">
        <v>41</v>
      </c>
      <c r="H2579" t="s">
        <v>19</v>
      </c>
      <c r="I2579" t="s">
        <v>20</v>
      </c>
      <c r="J2579" t="s">
        <v>21</v>
      </c>
      <c r="K2579">
        <v>48</v>
      </c>
      <c r="L2579">
        <v>38.79</v>
      </c>
      <c r="M2579">
        <v>3.9</v>
      </c>
      <c r="N2579" t="s">
        <v>22</v>
      </c>
      <c r="O2579" t="str">
        <f t="shared" si="40"/>
        <v>No</v>
      </c>
    </row>
    <row r="2580" spans="1:15" x14ac:dyDescent="0.25">
      <c r="A2580" t="s">
        <v>2641</v>
      </c>
      <c r="B2580" s="1">
        <v>45833</v>
      </c>
      <c r="C2580" s="2">
        <v>45833.551666666666</v>
      </c>
      <c r="D2580" t="s">
        <v>24</v>
      </c>
      <c r="E2580" t="s">
        <v>16</v>
      </c>
      <c r="F2580" t="s">
        <v>60</v>
      </c>
      <c r="G2580" t="s">
        <v>18</v>
      </c>
      <c r="H2580" t="s">
        <v>54</v>
      </c>
      <c r="I2580" t="s">
        <v>36</v>
      </c>
      <c r="J2580" t="s">
        <v>46</v>
      </c>
      <c r="K2580">
        <v>24</v>
      </c>
      <c r="L2580">
        <v>13.24</v>
      </c>
      <c r="M2580">
        <v>4</v>
      </c>
      <c r="N2580" t="s">
        <v>22</v>
      </c>
      <c r="O2580" t="str">
        <f t="shared" si="40"/>
        <v>No</v>
      </c>
    </row>
    <row r="2581" spans="1:15" x14ac:dyDescent="0.25">
      <c r="A2581" t="s">
        <v>2642</v>
      </c>
      <c r="B2581" s="1">
        <v>45760</v>
      </c>
      <c r="C2581" s="2">
        <v>45760.481666666667</v>
      </c>
      <c r="D2581" t="s">
        <v>24</v>
      </c>
      <c r="E2581" t="s">
        <v>16</v>
      </c>
      <c r="F2581" t="s">
        <v>58</v>
      </c>
      <c r="G2581" t="s">
        <v>56</v>
      </c>
      <c r="H2581" t="s">
        <v>19</v>
      </c>
      <c r="I2581" t="s">
        <v>20</v>
      </c>
      <c r="J2581" t="s">
        <v>21</v>
      </c>
      <c r="K2581">
        <v>24</v>
      </c>
      <c r="L2581">
        <v>11.56</v>
      </c>
      <c r="M2581">
        <v>3.5</v>
      </c>
      <c r="N2581" t="s">
        <v>22</v>
      </c>
      <c r="O2581" t="str">
        <f t="shared" si="40"/>
        <v>No</v>
      </c>
    </row>
    <row r="2582" spans="1:15" x14ac:dyDescent="0.25">
      <c r="A2582" t="s">
        <v>2643</v>
      </c>
      <c r="B2582" s="1">
        <v>45727</v>
      </c>
      <c r="C2582" s="2">
        <v>45727.915000000001</v>
      </c>
      <c r="D2582" t="s">
        <v>15</v>
      </c>
      <c r="E2582" t="s">
        <v>16</v>
      </c>
      <c r="F2582" t="s">
        <v>17</v>
      </c>
      <c r="G2582" t="s">
        <v>56</v>
      </c>
      <c r="H2582" t="s">
        <v>44</v>
      </c>
      <c r="I2582" t="s">
        <v>36</v>
      </c>
      <c r="J2582" t="s">
        <v>46</v>
      </c>
      <c r="K2582">
        <v>48</v>
      </c>
      <c r="L2582">
        <v>21.96</v>
      </c>
      <c r="M2582">
        <v>3.1</v>
      </c>
      <c r="N2582" t="s">
        <v>22</v>
      </c>
      <c r="O2582" t="str">
        <f t="shared" si="40"/>
        <v>No</v>
      </c>
    </row>
    <row r="2583" spans="1:15" x14ac:dyDescent="0.25">
      <c r="A2583" t="s">
        <v>2644</v>
      </c>
      <c r="B2583" s="1">
        <v>45741</v>
      </c>
      <c r="C2583" s="2">
        <v>45741.405833333331</v>
      </c>
      <c r="D2583" t="s">
        <v>24</v>
      </c>
      <c r="E2583" t="s">
        <v>32</v>
      </c>
      <c r="F2583" t="s">
        <v>33</v>
      </c>
      <c r="G2583" t="s">
        <v>18</v>
      </c>
      <c r="H2583" t="s">
        <v>27</v>
      </c>
      <c r="I2583" t="s">
        <v>20</v>
      </c>
      <c r="J2583" t="s">
        <v>21</v>
      </c>
      <c r="K2583">
        <v>24</v>
      </c>
      <c r="L2583">
        <v>9.74</v>
      </c>
      <c r="M2583">
        <v>4</v>
      </c>
      <c r="N2583" t="s">
        <v>22</v>
      </c>
      <c r="O2583" t="str">
        <f t="shared" si="40"/>
        <v>No</v>
      </c>
    </row>
    <row r="2584" spans="1:15" x14ac:dyDescent="0.25">
      <c r="A2584" t="s">
        <v>2645</v>
      </c>
      <c r="B2584" s="1">
        <v>45710</v>
      </c>
      <c r="C2584" s="2">
        <v>45710.203750000001</v>
      </c>
      <c r="D2584" t="s">
        <v>24</v>
      </c>
      <c r="E2584" t="s">
        <v>32</v>
      </c>
      <c r="F2584" t="s">
        <v>64</v>
      </c>
      <c r="G2584" t="s">
        <v>51</v>
      </c>
      <c r="H2584" t="s">
        <v>54</v>
      </c>
      <c r="I2584" t="s">
        <v>28</v>
      </c>
      <c r="J2584" t="s">
        <v>46</v>
      </c>
      <c r="K2584">
        <v>24</v>
      </c>
      <c r="L2584">
        <v>4.8899999999999997</v>
      </c>
      <c r="M2584">
        <v>4.7</v>
      </c>
      <c r="N2584" t="s">
        <v>22</v>
      </c>
      <c r="O2584" t="str">
        <f t="shared" si="40"/>
        <v>No</v>
      </c>
    </row>
    <row r="2585" spans="1:15" x14ac:dyDescent="0.25">
      <c r="A2585" t="s">
        <v>2646</v>
      </c>
      <c r="B2585" s="1">
        <v>45777</v>
      </c>
      <c r="C2585" s="2">
        <v>45777.332499999997</v>
      </c>
      <c r="D2585" t="s">
        <v>15</v>
      </c>
      <c r="E2585" t="s">
        <v>45</v>
      </c>
      <c r="F2585" t="s">
        <v>100</v>
      </c>
      <c r="G2585" t="s">
        <v>18</v>
      </c>
      <c r="H2585" t="s">
        <v>19</v>
      </c>
      <c r="I2585" t="s">
        <v>20</v>
      </c>
      <c r="J2585" t="s">
        <v>21</v>
      </c>
      <c r="K2585">
        <v>48</v>
      </c>
      <c r="L2585">
        <v>7.98</v>
      </c>
      <c r="M2585">
        <v>5</v>
      </c>
      <c r="N2585" t="s">
        <v>22</v>
      </c>
      <c r="O2585" t="str">
        <f t="shared" si="40"/>
        <v>No</v>
      </c>
    </row>
    <row r="2586" spans="1:15" x14ac:dyDescent="0.25">
      <c r="A2586" t="s">
        <v>2647</v>
      </c>
      <c r="B2586" s="1">
        <v>45721</v>
      </c>
      <c r="C2586" s="2">
        <v>45721.549583333333</v>
      </c>
      <c r="D2586" t="s">
        <v>38</v>
      </c>
      <c r="E2586" t="s">
        <v>16</v>
      </c>
      <c r="F2586" t="s">
        <v>58</v>
      </c>
      <c r="G2586" t="s">
        <v>51</v>
      </c>
      <c r="H2586" t="s">
        <v>35</v>
      </c>
      <c r="I2586" t="s">
        <v>36</v>
      </c>
      <c r="J2586" t="s">
        <v>21</v>
      </c>
      <c r="K2586">
        <v>8</v>
      </c>
      <c r="L2586">
        <v>13.19</v>
      </c>
      <c r="M2586">
        <v>2.5</v>
      </c>
      <c r="N2586" t="s">
        <v>22</v>
      </c>
      <c r="O2586" t="str">
        <f t="shared" si="40"/>
        <v>Yes</v>
      </c>
    </row>
    <row r="2587" spans="1:15" x14ac:dyDescent="0.25">
      <c r="A2587" t="s">
        <v>2648</v>
      </c>
      <c r="B2587" s="1">
        <v>45758</v>
      </c>
      <c r="C2587" s="2">
        <v>45758.754583333335</v>
      </c>
      <c r="D2587" t="s">
        <v>24</v>
      </c>
      <c r="E2587" t="s">
        <v>25</v>
      </c>
      <c r="F2587" t="s">
        <v>70</v>
      </c>
      <c r="G2587" t="s">
        <v>18</v>
      </c>
      <c r="H2587" t="s">
        <v>54</v>
      </c>
      <c r="I2587" t="s">
        <v>45</v>
      </c>
      <c r="J2587" t="s">
        <v>21</v>
      </c>
      <c r="K2587">
        <v>24</v>
      </c>
      <c r="L2587">
        <v>18.11</v>
      </c>
      <c r="M2587">
        <v>4.2</v>
      </c>
      <c r="N2587" t="s">
        <v>22</v>
      </c>
      <c r="O2587" t="str">
        <f t="shared" si="40"/>
        <v>No</v>
      </c>
    </row>
    <row r="2588" spans="1:15" x14ac:dyDescent="0.25">
      <c r="A2588" t="s">
        <v>2649</v>
      </c>
      <c r="B2588" s="1">
        <v>45724</v>
      </c>
      <c r="C2588" s="2">
        <v>45724.157083333332</v>
      </c>
      <c r="D2588" t="s">
        <v>38</v>
      </c>
      <c r="E2588" t="s">
        <v>16</v>
      </c>
      <c r="F2588" t="s">
        <v>60</v>
      </c>
      <c r="G2588" t="s">
        <v>34</v>
      </c>
      <c r="H2588" t="s">
        <v>65</v>
      </c>
      <c r="I2588" t="s">
        <v>20</v>
      </c>
      <c r="J2588" t="s">
        <v>29</v>
      </c>
      <c r="K2588">
        <v>8</v>
      </c>
      <c r="L2588">
        <v>3.77</v>
      </c>
      <c r="M2588">
        <v>3.3</v>
      </c>
      <c r="N2588" t="s">
        <v>22</v>
      </c>
      <c r="O2588" t="str">
        <f t="shared" si="40"/>
        <v>No</v>
      </c>
    </row>
    <row r="2589" spans="1:15" x14ac:dyDescent="0.25">
      <c r="A2589" t="s">
        <v>2650</v>
      </c>
      <c r="B2589" s="1">
        <v>45716</v>
      </c>
      <c r="C2589" s="2">
        <v>45716.425000000003</v>
      </c>
      <c r="D2589" t="s">
        <v>24</v>
      </c>
      <c r="E2589" t="s">
        <v>25</v>
      </c>
      <c r="F2589" t="s">
        <v>26</v>
      </c>
      <c r="G2589" t="s">
        <v>51</v>
      </c>
      <c r="H2589" t="s">
        <v>19</v>
      </c>
      <c r="I2589" t="s">
        <v>45</v>
      </c>
      <c r="J2589" t="s">
        <v>21</v>
      </c>
      <c r="K2589">
        <v>24</v>
      </c>
      <c r="L2589">
        <v>10.199999999999999</v>
      </c>
      <c r="M2589">
        <v>4</v>
      </c>
      <c r="N2589" t="s">
        <v>22</v>
      </c>
      <c r="O2589" t="str">
        <f t="shared" si="40"/>
        <v>No</v>
      </c>
    </row>
    <row r="2590" spans="1:15" x14ac:dyDescent="0.25">
      <c r="A2590" t="s">
        <v>2651</v>
      </c>
      <c r="B2590" s="1">
        <v>45833</v>
      </c>
      <c r="C2590" s="2">
        <v>45833.231666666667</v>
      </c>
      <c r="D2590" t="s">
        <v>38</v>
      </c>
      <c r="E2590" t="s">
        <v>32</v>
      </c>
      <c r="F2590" t="s">
        <v>33</v>
      </c>
      <c r="G2590" t="s">
        <v>56</v>
      </c>
      <c r="H2590" t="s">
        <v>65</v>
      </c>
      <c r="I2590" t="s">
        <v>36</v>
      </c>
      <c r="J2590" t="s">
        <v>46</v>
      </c>
      <c r="K2590">
        <v>8</v>
      </c>
      <c r="L2590">
        <v>5.56</v>
      </c>
      <c r="M2590">
        <v>2.6</v>
      </c>
      <c r="N2590" t="s">
        <v>22</v>
      </c>
      <c r="O2590" t="str">
        <f t="shared" si="40"/>
        <v>No</v>
      </c>
    </row>
    <row r="2591" spans="1:15" x14ac:dyDescent="0.25">
      <c r="A2591" t="s">
        <v>2652</v>
      </c>
      <c r="B2591" s="1">
        <v>45720</v>
      </c>
      <c r="C2591" s="2">
        <v>45722.368333333332</v>
      </c>
      <c r="D2591" t="s">
        <v>15</v>
      </c>
      <c r="E2591" t="s">
        <v>16</v>
      </c>
      <c r="F2591" t="s">
        <v>43</v>
      </c>
      <c r="G2591" t="s">
        <v>56</v>
      </c>
      <c r="H2591" t="s">
        <v>65</v>
      </c>
      <c r="I2591" t="s">
        <v>45</v>
      </c>
      <c r="J2591" t="s">
        <v>21</v>
      </c>
      <c r="K2591">
        <v>48</v>
      </c>
      <c r="L2591">
        <v>56.84</v>
      </c>
      <c r="M2591">
        <v>5</v>
      </c>
      <c r="N2591" t="s">
        <v>61</v>
      </c>
      <c r="O2591" t="str">
        <f t="shared" si="40"/>
        <v>Yes</v>
      </c>
    </row>
    <row r="2592" spans="1:15" x14ac:dyDescent="0.25">
      <c r="A2592" t="s">
        <v>2653</v>
      </c>
      <c r="B2592" s="1">
        <v>45670</v>
      </c>
      <c r="C2592" s="2">
        <v>45670.602083333331</v>
      </c>
      <c r="D2592" t="s">
        <v>24</v>
      </c>
      <c r="E2592" t="s">
        <v>16</v>
      </c>
      <c r="F2592" t="s">
        <v>58</v>
      </c>
      <c r="G2592" t="s">
        <v>51</v>
      </c>
      <c r="H2592" t="s">
        <v>35</v>
      </c>
      <c r="I2592" t="s">
        <v>36</v>
      </c>
      <c r="J2592" t="s">
        <v>46</v>
      </c>
      <c r="K2592">
        <v>24</v>
      </c>
      <c r="L2592">
        <v>14.45</v>
      </c>
      <c r="M2592">
        <v>4.4000000000000004</v>
      </c>
      <c r="N2592" t="s">
        <v>22</v>
      </c>
      <c r="O2592" t="str">
        <f t="shared" si="40"/>
        <v>No</v>
      </c>
    </row>
    <row r="2593" spans="1:15" x14ac:dyDescent="0.25">
      <c r="A2593" t="s">
        <v>2654</v>
      </c>
      <c r="B2593" s="1">
        <v>45726</v>
      </c>
      <c r="C2593" s="2">
        <v>45726.687916666669</v>
      </c>
      <c r="D2593" t="s">
        <v>38</v>
      </c>
      <c r="E2593" t="s">
        <v>32</v>
      </c>
      <c r="F2593" t="s">
        <v>64</v>
      </c>
      <c r="G2593" t="s">
        <v>56</v>
      </c>
      <c r="H2593" t="s">
        <v>19</v>
      </c>
      <c r="I2593" t="s">
        <v>45</v>
      </c>
      <c r="J2593" t="s">
        <v>21</v>
      </c>
      <c r="K2593">
        <v>8</v>
      </c>
      <c r="L2593">
        <v>16.510000000000002</v>
      </c>
      <c r="M2593">
        <v>2.6</v>
      </c>
      <c r="N2593" t="s">
        <v>22</v>
      </c>
      <c r="O2593" t="str">
        <f t="shared" si="40"/>
        <v>Yes</v>
      </c>
    </row>
    <row r="2594" spans="1:15" x14ac:dyDescent="0.25">
      <c r="A2594" t="s">
        <v>2655</v>
      </c>
      <c r="B2594" s="1">
        <v>45754</v>
      </c>
      <c r="C2594" s="2">
        <v>45754.830416666664</v>
      </c>
      <c r="D2594" t="s">
        <v>24</v>
      </c>
      <c r="E2594" t="s">
        <v>32</v>
      </c>
      <c r="F2594" t="s">
        <v>33</v>
      </c>
      <c r="G2594" t="s">
        <v>34</v>
      </c>
      <c r="H2594" t="s">
        <v>19</v>
      </c>
      <c r="I2594" t="s">
        <v>36</v>
      </c>
      <c r="J2594" t="s">
        <v>21</v>
      </c>
      <c r="K2594">
        <v>24</v>
      </c>
      <c r="L2594">
        <v>19.93</v>
      </c>
      <c r="M2594">
        <v>4.4000000000000004</v>
      </c>
      <c r="N2594" t="s">
        <v>61</v>
      </c>
      <c r="O2594" t="str">
        <f t="shared" si="40"/>
        <v>No</v>
      </c>
    </row>
    <row r="2595" spans="1:15" x14ac:dyDescent="0.25">
      <c r="A2595" t="s">
        <v>2656</v>
      </c>
      <c r="B2595" s="1">
        <v>45675</v>
      </c>
      <c r="C2595" s="2">
        <v>45675.363333333335</v>
      </c>
      <c r="D2595" t="s">
        <v>24</v>
      </c>
      <c r="E2595" t="s">
        <v>16</v>
      </c>
      <c r="F2595" t="s">
        <v>43</v>
      </c>
      <c r="G2595" t="s">
        <v>41</v>
      </c>
      <c r="H2595" t="s">
        <v>65</v>
      </c>
      <c r="I2595" t="s">
        <v>45</v>
      </c>
      <c r="J2595" t="s">
        <v>46</v>
      </c>
      <c r="K2595">
        <v>24</v>
      </c>
      <c r="L2595">
        <v>8.7200000000000006</v>
      </c>
      <c r="M2595">
        <v>5</v>
      </c>
      <c r="N2595" t="s">
        <v>22</v>
      </c>
      <c r="O2595" t="str">
        <f t="shared" si="40"/>
        <v>No</v>
      </c>
    </row>
    <row r="2596" spans="1:15" x14ac:dyDescent="0.25">
      <c r="A2596" t="s">
        <v>2657</v>
      </c>
      <c r="B2596" s="1">
        <v>45713</v>
      </c>
      <c r="C2596" s="2">
        <v>45713.027083333334</v>
      </c>
      <c r="D2596" t="s">
        <v>31</v>
      </c>
      <c r="E2596" t="s">
        <v>25</v>
      </c>
      <c r="F2596" t="s">
        <v>53</v>
      </c>
      <c r="G2596" t="s">
        <v>34</v>
      </c>
      <c r="H2596" t="s">
        <v>35</v>
      </c>
      <c r="I2596" t="s">
        <v>36</v>
      </c>
      <c r="J2596" t="s">
        <v>21</v>
      </c>
      <c r="K2596">
        <v>4</v>
      </c>
      <c r="L2596">
        <v>0.65</v>
      </c>
      <c r="M2596">
        <v>4.5</v>
      </c>
      <c r="N2596" t="s">
        <v>22</v>
      </c>
      <c r="O2596" t="str">
        <f t="shared" si="40"/>
        <v>No</v>
      </c>
    </row>
    <row r="2597" spans="1:15" x14ac:dyDescent="0.25">
      <c r="A2597" t="s">
        <v>2658</v>
      </c>
      <c r="B2597" s="1">
        <v>45688</v>
      </c>
      <c r="C2597" s="2">
        <v>45689.142916666664</v>
      </c>
      <c r="D2597" t="s">
        <v>24</v>
      </c>
      <c r="E2597" t="s">
        <v>16</v>
      </c>
      <c r="F2597" t="s">
        <v>60</v>
      </c>
      <c r="G2597" t="s">
        <v>34</v>
      </c>
      <c r="H2597" t="s">
        <v>27</v>
      </c>
      <c r="I2597" t="s">
        <v>36</v>
      </c>
      <c r="J2597" t="s">
        <v>29</v>
      </c>
      <c r="K2597">
        <v>24</v>
      </c>
      <c r="L2597">
        <v>27.43</v>
      </c>
      <c r="M2597">
        <v>3</v>
      </c>
      <c r="N2597" t="s">
        <v>22</v>
      </c>
      <c r="O2597" t="str">
        <f t="shared" si="40"/>
        <v>Yes</v>
      </c>
    </row>
    <row r="2598" spans="1:15" x14ac:dyDescent="0.25">
      <c r="A2598" t="s">
        <v>2659</v>
      </c>
      <c r="B2598" s="1">
        <v>45748</v>
      </c>
      <c r="C2598" s="2">
        <v>45748.231666666667</v>
      </c>
      <c r="D2598" t="s">
        <v>24</v>
      </c>
      <c r="E2598" t="s">
        <v>32</v>
      </c>
      <c r="F2598" t="s">
        <v>64</v>
      </c>
      <c r="G2598" t="s">
        <v>18</v>
      </c>
      <c r="H2598" t="s">
        <v>65</v>
      </c>
      <c r="I2598" t="s">
        <v>36</v>
      </c>
      <c r="J2598" t="s">
        <v>29</v>
      </c>
      <c r="K2598">
        <v>24</v>
      </c>
      <c r="L2598">
        <v>5.56</v>
      </c>
      <c r="M2598">
        <v>5</v>
      </c>
      <c r="N2598" t="s">
        <v>61</v>
      </c>
      <c r="O2598" t="str">
        <f t="shared" si="40"/>
        <v>No</v>
      </c>
    </row>
    <row r="2599" spans="1:15" x14ac:dyDescent="0.25">
      <c r="A2599" t="s">
        <v>2660</v>
      </c>
      <c r="B2599" s="1">
        <v>45788</v>
      </c>
      <c r="C2599" s="2">
        <v>45788.929166666669</v>
      </c>
      <c r="D2599" t="s">
        <v>24</v>
      </c>
      <c r="E2599" t="s">
        <v>45</v>
      </c>
      <c r="F2599" t="s">
        <v>112</v>
      </c>
      <c r="G2599" t="s">
        <v>18</v>
      </c>
      <c r="H2599" t="s">
        <v>19</v>
      </c>
      <c r="I2599" t="s">
        <v>28</v>
      </c>
      <c r="J2599" t="s">
        <v>21</v>
      </c>
      <c r="K2599">
        <v>24</v>
      </c>
      <c r="L2599">
        <v>22.3</v>
      </c>
      <c r="M2599">
        <v>3.1</v>
      </c>
      <c r="N2599" t="s">
        <v>61</v>
      </c>
      <c r="O2599" t="str">
        <f t="shared" si="40"/>
        <v>No</v>
      </c>
    </row>
    <row r="2600" spans="1:15" x14ac:dyDescent="0.25">
      <c r="A2600" t="s">
        <v>2661</v>
      </c>
      <c r="B2600" s="1">
        <v>45833</v>
      </c>
      <c r="C2600" s="2">
        <v>45833.235000000001</v>
      </c>
      <c r="D2600" t="s">
        <v>38</v>
      </c>
      <c r="E2600" t="s">
        <v>32</v>
      </c>
      <c r="F2600" t="s">
        <v>33</v>
      </c>
      <c r="G2600" t="s">
        <v>34</v>
      </c>
      <c r="H2600" t="s">
        <v>19</v>
      </c>
      <c r="I2600" t="s">
        <v>45</v>
      </c>
      <c r="J2600" t="s">
        <v>29</v>
      </c>
      <c r="K2600">
        <v>8</v>
      </c>
      <c r="L2600">
        <v>5.64</v>
      </c>
      <c r="M2600">
        <v>5</v>
      </c>
      <c r="N2600" t="s">
        <v>22</v>
      </c>
      <c r="O2600" t="str">
        <f t="shared" si="40"/>
        <v>No</v>
      </c>
    </row>
    <row r="2601" spans="1:15" x14ac:dyDescent="0.25">
      <c r="A2601" t="s">
        <v>2662</v>
      </c>
      <c r="B2601" s="1">
        <v>45728</v>
      </c>
      <c r="C2601" s="2">
        <v>45728.043333333335</v>
      </c>
      <c r="D2601" t="s">
        <v>38</v>
      </c>
      <c r="E2601" t="s">
        <v>32</v>
      </c>
      <c r="F2601" t="s">
        <v>64</v>
      </c>
      <c r="G2601" t="s">
        <v>56</v>
      </c>
      <c r="H2601" t="s">
        <v>27</v>
      </c>
      <c r="I2601" t="s">
        <v>45</v>
      </c>
      <c r="J2601" t="s">
        <v>21</v>
      </c>
      <c r="K2601">
        <v>8</v>
      </c>
      <c r="L2601">
        <v>1.04</v>
      </c>
      <c r="M2601">
        <v>4.8</v>
      </c>
      <c r="N2601" t="s">
        <v>22</v>
      </c>
      <c r="O2601" t="str">
        <f t="shared" si="40"/>
        <v>No</v>
      </c>
    </row>
    <row r="2602" spans="1:15" x14ac:dyDescent="0.25">
      <c r="A2602" t="s">
        <v>2663</v>
      </c>
      <c r="B2602" s="1">
        <v>45814</v>
      </c>
      <c r="C2602" s="2">
        <v>45814.682083333333</v>
      </c>
      <c r="D2602" t="s">
        <v>24</v>
      </c>
      <c r="E2602" t="s">
        <v>45</v>
      </c>
      <c r="F2602" t="s">
        <v>112</v>
      </c>
      <c r="G2602" t="s">
        <v>51</v>
      </c>
      <c r="H2602" t="s">
        <v>44</v>
      </c>
      <c r="I2602" t="s">
        <v>20</v>
      </c>
      <c r="J2602" t="s">
        <v>46</v>
      </c>
      <c r="K2602">
        <v>24</v>
      </c>
      <c r="L2602">
        <v>16.37</v>
      </c>
      <c r="M2602">
        <v>4.5</v>
      </c>
      <c r="N2602" t="s">
        <v>61</v>
      </c>
      <c r="O2602" t="str">
        <f t="shared" si="40"/>
        <v>No</v>
      </c>
    </row>
    <row r="2603" spans="1:15" x14ac:dyDescent="0.25">
      <c r="A2603" t="s">
        <v>2664</v>
      </c>
      <c r="B2603" s="1">
        <v>45696</v>
      </c>
      <c r="C2603" s="2">
        <v>45697.558749999997</v>
      </c>
      <c r="D2603" t="s">
        <v>15</v>
      </c>
      <c r="E2603" t="s">
        <v>25</v>
      </c>
      <c r="F2603" t="s">
        <v>70</v>
      </c>
      <c r="G2603" t="s">
        <v>41</v>
      </c>
      <c r="H2603" t="s">
        <v>65</v>
      </c>
      <c r="I2603" t="s">
        <v>45</v>
      </c>
      <c r="J2603" t="s">
        <v>46</v>
      </c>
      <c r="K2603">
        <v>48</v>
      </c>
      <c r="L2603">
        <v>37.409999999999997</v>
      </c>
      <c r="M2603">
        <v>3.1</v>
      </c>
      <c r="N2603" t="s">
        <v>61</v>
      </c>
      <c r="O2603" t="str">
        <f t="shared" si="40"/>
        <v>No</v>
      </c>
    </row>
    <row r="2604" spans="1:15" x14ac:dyDescent="0.25">
      <c r="A2604" t="s">
        <v>2665</v>
      </c>
      <c r="B2604" s="1">
        <v>45799</v>
      </c>
      <c r="C2604" s="2">
        <v>45799.821250000001</v>
      </c>
      <c r="D2604" t="s">
        <v>15</v>
      </c>
      <c r="E2604" t="s">
        <v>45</v>
      </c>
      <c r="F2604" t="s">
        <v>104</v>
      </c>
      <c r="G2604" t="s">
        <v>56</v>
      </c>
      <c r="H2604" t="s">
        <v>54</v>
      </c>
      <c r="I2604" t="s">
        <v>36</v>
      </c>
      <c r="J2604" t="s">
        <v>21</v>
      </c>
      <c r="K2604">
        <v>48</v>
      </c>
      <c r="L2604">
        <v>19.71</v>
      </c>
      <c r="M2604">
        <v>5</v>
      </c>
      <c r="N2604" t="s">
        <v>22</v>
      </c>
      <c r="O2604" t="str">
        <f t="shared" si="40"/>
        <v>No</v>
      </c>
    </row>
    <row r="2605" spans="1:15" x14ac:dyDescent="0.25">
      <c r="A2605" t="s">
        <v>2666</v>
      </c>
      <c r="B2605" s="1">
        <v>45759</v>
      </c>
      <c r="C2605" s="2">
        <v>45759.390416666669</v>
      </c>
      <c r="D2605" t="s">
        <v>24</v>
      </c>
      <c r="E2605" t="s">
        <v>25</v>
      </c>
      <c r="F2605" t="s">
        <v>53</v>
      </c>
      <c r="G2605" t="s">
        <v>51</v>
      </c>
      <c r="H2605" t="s">
        <v>44</v>
      </c>
      <c r="I2605" t="s">
        <v>45</v>
      </c>
      <c r="J2605" t="s">
        <v>21</v>
      </c>
      <c r="K2605">
        <v>24</v>
      </c>
      <c r="L2605">
        <v>9.3699999999999992</v>
      </c>
      <c r="M2605">
        <v>4.3</v>
      </c>
      <c r="N2605" t="s">
        <v>22</v>
      </c>
      <c r="O2605" t="str">
        <f t="shared" si="40"/>
        <v>No</v>
      </c>
    </row>
    <row r="2606" spans="1:15" x14ac:dyDescent="0.25">
      <c r="A2606" t="s">
        <v>2667</v>
      </c>
      <c r="B2606" s="1">
        <v>45795</v>
      </c>
      <c r="C2606" s="2">
        <v>45795.143333333333</v>
      </c>
      <c r="D2606" t="s">
        <v>38</v>
      </c>
      <c r="E2606" t="s">
        <v>16</v>
      </c>
      <c r="F2606" t="s">
        <v>60</v>
      </c>
      <c r="G2606" t="s">
        <v>34</v>
      </c>
      <c r="H2606" t="s">
        <v>65</v>
      </c>
      <c r="I2606" t="s">
        <v>36</v>
      </c>
      <c r="J2606" t="s">
        <v>46</v>
      </c>
      <c r="K2606">
        <v>8</v>
      </c>
      <c r="L2606">
        <v>3.44</v>
      </c>
      <c r="M2606">
        <v>4</v>
      </c>
      <c r="N2606" t="s">
        <v>22</v>
      </c>
      <c r="O2606" t="str">
        <f t="shared" si="40"/>
        <v>No</v>
      </c>
    </row>
    <row r="2607" spans="1:15" x14ac:dyDescent="0.25">
      <c r="A2607" t="s">
        <v>2668</v>
      </c>
      <c r="B2607" s="1">
        <v>45794</v>
      </c>
      <c r="C2607" s="2">
        <v>45795.122916666667</v>
      </c>
      <c r="D2607" t="s">
        <v>24</v>
      </c>
      <c r="E2607" t="s">
        <v>39</v>
      </c>
      <c r="F2607" t="s">
        <v>40</v>
      </c>
      <c r="G2607" t="s">
        <v>56</v>
      </c>
      <c r="H2607" t="s">
        <v>44</v>
      </c>
      <c r="I2607" t="s">
        <v>45</v>
      </c>
      <c r="J2607" t="s">
        <v>21</v>
      </c>
      <c r="K2607">
        <v>24</v>
      </c>
      <c r="L2607">
        <v>26.95</v>
      </c>
      <c r="M2607">
        <v>4</v>
      </c>
      <c r="N2607" t="s">
        <v>22</v>
      </c>
      <c r="O2607" t="str">
        <f t="shared" si="40"/>
        <v>Yes</v>
      </c>
    </row>
    <row r="2608" spans="1:15" x14ac:dyDescent="0.25">
      <c r="A2608" t="s">
        <v>2669</v>
      </c>
      <c r="B2608" s="1">
        <v>45754</v>
      </c>
      <c r="C2608" s="2">
        <v>45754.746666666666</v>
      </c>
      <c r="D2608" t="s">
        <v>15</v>
      </c>
      <c r="E2608" t="s">
        <v>39</v>
      </c>
      <c r="F2608" t="s">
        <v>40</v>
      </c>
      <c r="G2608" t="s">
        <v>41</v>
      </c>
      <c r="H2608" t="s">
        <v>19</v>
      </c>
      <c r="I2608" t="s">
        <v>36</v>
      </c>
      <c r="J2608" t="s">
        <v>21</v>
      </c>
      <c r="K2608">
        <v>48</v>
      </c>
      <c r="L2608">
        <v>17.920000000000002</v>
      </c>
      <c r="M2608">
        <v>4.0999999999999996</v>
      </c>
      <c r="N2608" t="s">
        <v>22</v>
      </c>
      <c r="O2608" t="str">
        <f t="shared" si="40"/>
        <v>No</v>
      </c>
    </row>
    <row r="2609" spans="1:15" x14ac:dyDescent="0.25">
      <c r="A2609" t="s">
        <v>2670</v>
      </c>
      <c r="B2609" s="1">
        <v>45704</v>
      </c>
      <c r="C2609" s="2">
        <v>45704.177083333336</v>
      </c>
      <c r="D2609" t="s">
        <v>15</v>
      </c>
      <c r="E2609" t="s">
        <v>45</v>
      </c>
      <c r="F2609" t="s">
        <v>104</v>
      </c>
      <c r="G2609" t="s">
        <v>56</v>
      </c>
      <c r="H2609" t="s">
        <v>27</v>
      </c>
      <c r="I2609" t="s">
        <v>28</v>
      </c>
      <c r="J2609" t="s">
        <v>46</v>
      </c>
      <c r="K2609">
        <v>48</v>
      </c>
      <c r="L2609">
        <v>4.25</v>
      </c>
      <c r="M2609">
        <v>5</v>
      </c>
      <c r="N2609" t="s">
        <v>22</v>
      </c>
      <c r="O2609" t="str">
        <f t="shared" si="40"/>
        <v>No</v>
      </c>
    </row>
    <row r="2610" spans="1:15" x14ac:dyDescent="0.25">
      <c r="A2610" t="s">
        <v>2671</v>
      </c>
      <c r="B2610" s="1">
        <v>45753</v>
      </c>
      <c r="C2610" s="2">
        <v>45753.553738425922</v>
      </c>
      <c r="D2610" t="s">
        <v>24</v>
      </c>
      <c r="E2610" t="s">
        <v>25</v>
      </c>
      <c r="F2610" t="s">
        <v>26</v>
      </c>
      <c r="G2610" t="s">
        <v>51</v>
      </c>
      <c r="H2610" t="s">
        <v>27</v>
      </c>
      <c r="I2610" t="s">
        <v>45</v>
      </c>
      <c r="J2610" t="s">
        <v>21</v>
      </c>
      <c r="K2610">
        <v>24</v>
      </c>
      <c r="L2610">
        <v>13.29</v>
      </c>
      <c r="M2610">
        <v>3.5</v>
      </c>
      <c r="N2610" t="s">
        <v>22</v>
      </c>
      <c r="O2610" t="str">
        <f t="shared" si="40"/>
        <v>No</v>
      </c>
    </row>
    <row r="2611" spans="1:15" x14ac:dyDescent="0.25">
      <c r="A2611" t="s">
        <v>2672</v>
      </c>
      <c r="B2611" s="1">
        <v>45807</v>
      </c>
      <c r="C2611" s="2">
        <v>45807.025416666664</v>
      </c>
      <c r="D2611" t="s">
        <v>38</v>
      </c>
      <c r="E2611" t="s">
        <v>39</v>
      </c>
      <c r="F2611" t="s">
        <v>119</v>
      </c>
      <c r="G2611" t="s">
        <v>34</v>
      </c>
      <c r="H2611" t="s">
        <v>27</v>
      </c>
      <c r="I2611" t="s">
        <v>36</v>
      </c>
      <c r="J2611" t="s">
        <v>21</v>
      </c>
      <c r="K2611">
        <v>8</v>
      </c>
      <c r="L2611">
        <v>0.61</v>
      </c>
      <c r="M2611">
        <v>5</v>
      </c>
      <c r="N2611" t="s">
        <v>22</v>
      </c>
      <c r="O2611" t="str">
        <f t="shared" si="40"/>
        <v>No</v>
      </c>
    </row>
    <row r="2612" spans="1:15" x14ac:dyDescent="0.25">
      <c r="A2612" t="s">
        <v>2673</v>
      </c>
      <c r="B2612" s="1">
        <v>45833</v>
      </c>
      <c r="C2612" s="2">
        <v>45834.333749999998</v>
      </c>
      <c r="D2612" t="s">
        <v>15</v>
      </c>
      <c r="E2612" t="s">
        <v>39</v>
      </c>
      <c r="F2612" t="s">
        <v>87</v>
      </c>
      <c r="G2612" t="s">
        <v>34</v>
      </c>
      <c r="H2612" t="s">
        <v>44</v>
      </c>
      <c r="I2612" t="s">
        <v>45</v>
      </c>
      <c r="J2612" t="s">
        <v>85</v>
      </c>
      <c r="K2612">
        <v>48</v>
      </c>
      <c r="L2612">
        <v>32.01</v>
      </c>
      <c r="M2612">
        <v>3.8</v>
      </c>
      <c r="N2612" t="s">
        <v>22</v>
      </c>
      <c r="O2612" t="str">
        <f t="shared" si="40"/>
        <v>No</v>
      </c>
    </row>
    <row r="2613" spans="1:15" x14ac:dyDescent="0.25">
      <c r="A2613" t="s">
        <v>2674</v>
      </c>
      <c r="B2613" s="1">
        <v>45825</v>
      </c>
      <c r="C2613" s="2">
        <v>45825.214999999997</v>
      </c>
      <c r="D2613" t="s">
        <v>24</v>
      </c>
      <c r="E2613" t="s">
        <v>39</v>
      </c>
      <c r="F2613" t="s">
        <v>40</v>
      </c>
      <c r="G2613" t="s">
        <v>51</v>
      </c>
      <c r="H2613" t="s">
        <v>54</v>
      </c>
      <c r="I2613" t="s">
        <v>36</v>
      </c>
      <c r="J2613" t="s">
        <v>46</v>
      </c>
      <c r="K2613">
        <v>24</v>
      </c>
      <c r="L2613">
        <v>5.16</v>
      </c>
      <c r="M2613">
        <v>4.2</v>
      </c>
      <c r="N2613" t="s">
        <v>22</v>
      </c>
      <c r="O2613" t="str">
        <f t="shared" si="40"/>
        <v>No</v>
      </c>
    </row>
    <row r="2614" spans="1:15" x14ac:dyDescent="0.25">
      <c r="A2614" t="s">
        <v>2675</v>
      </c>
      <c r="B2614" s="1">
        <v>45690</v>
      </c>
      <c r="C2614" s="2">
        <v>45690.150833333333</v>
      </c>
      <c r="D2614" t="s">
        <v>38</v>
      </c>
      <c r="E2614" t="s">
        <v>39</v>
      </c>
      <c r="F2614" t="s">
        <v>40</v>
      </c>
      <c r="G2614" t="s">
        <v>41</v>
      </c>
      <c r="H2614" t="s">
        <v>19</v>
      </c>
      <c r="I2614" t="s">
        <v>36</v>
      </c>
      <c r="J2614" t="s">
        <v>46</v>
      </c>
      <c r="K2614">
        <v>8</v>
      </c>
      <c r="L2614">
        <v>3.62</v>
      </c>
      <c r="M2614">
        <v>3.8</v>
      </c>
      <c r="N2614" t="s">
        <v>22</v>
      </c>
      <c r="O2614" t="str">
        <f t="shared" si="40"/>
        <v>No</v>
      </c>
    </row>
    <row r="2615" spans="1:15" x14ac:dyDescent="0.25">
      <c r="A2615" t="s">
        <v>2676</v>
      </c>
      <c r="B2615" s="1">
        <v>45766</v>
      </c>
      <c r="C2615" s="2">
        <v>45766.072916666664</v>
      </c>
      <c r="D2615" t="s">
        <v>38</v>
      </c>
      <c r="E2615" t="s">
        <v>25</v>
      </c>
      <c r="F2615" t="s">
        <v>48</v>
      </c>
      <c r="G2615" t="s">
        <v>56</v>
      </c>
      <c r="H2615" t="s">
        <v>35</v>
      </c>
      <c r="I2615" t="s">
        <v>20</v>
      </c>
      <c r="J2615" t="s">
        <v>21</v>
      </c>
      <c r="K2615">
        <v>8</v>
      </c>
      <c r="L2615">
        <v>1.75</v>
      </c>
      <c r="M2615">
        <v>5</v>
      </c>
      <c r="N2615" t="s">
        <v>22</v>
      </c>
      <c r="O2615" t="str">
        <f t="shared" si="40"/>
        <v>No</v>
      </c>
    </row>
    <row r="2616" spans="1:15" x14ac:dyDescent="0.25">
      <c r="A2616" t="s">
        <v>2677</v>
      </c>
      <c r="B2616" s="1">
        <v>45676</v>
      </c>
      <c r="C2616" s="2">
        <v>45678.796666666669</v>
      </c>
      <c r="D2616" t="s">
        <v>15</v>
      </c>
      <c r="E2616" t="s">
        <v>32</v>
      </c>
      <c r="F2616" t="s">
        <v>33</v>
      </c>
      <c r="G2616" t="s">
        <v>56</v>
      </c>
      <c r="H2616" t="s">
        <v>65</v>
      </c>
      <c r="I2616" t="s">
        <v>20</v>
      </c>
      <c r="J2616" t="s">
        <v>85</v>
      </c>
      <c r="K2616">
        <v>48</v>
      </c>
      <c r="L2616">
        <v>67.12</v>
      </c>
      <c r="M2616">
        <v>3.1</v>
      </c>
      <c r="N2616" t="s">
        <v>22</v>
      </c>
      <c r="O2616" t="str">
        <f t="shared" si="40"/>
        <v>Yes</v>
      </c>
    </row>
    <row r="2617" spans="1:15" x14ac:dyDescent="0.25">
      <c r="A2617" t="s">
        <v>2678</v>
      </c>
      <c r="B2617" s="1">
        <v>45779</v>
      </c>
      <c r="C2617" s="2">
        <v>45779.233749999999</v>
      </c>
      <c r="D2617" t="s">
        <v>38</v>
      </c>
      <c r="E2617" t="s">
        <v>39</v>
      </c>
      <c r="F2617" t="s">
        <v>87</v>
      </c>
      <c r="G2617" t="s">
        <v>56</v>
      </c>
      <c r="H2617" t="s">
        <v>44</v>
      </c>
      <c r="I2617" t="s">
        <v>20</v>
      </c>
      <c r="J2617" t="s">
        <v>21</v>
      </c>
      <c r="K2617">
        <v>8</v>
      </c>
      <c r="L2617">
        <v>5.61</v>
      </c>
      <c r="M2617">
        <v>4</v>
      </c>
      <c r="N2617" t="s">
        <v>22</v>
      </c>
      <c r="O2617" t="str">
        <f t="shared" si="40"/>
        <v>No</v>
      </c>
    </row>
    <row r="2618" spans="1:15" x14ac:dyDescent="0.25">
      <c r="A2618" t="s">
        <v>2679</v>
      </c>
      <c r="B2618" s="1">
        <v>45837</v>
      </c>
      <c r="C2618" s="2">
        <v>45837.207083333335</v>
      </c>
      <c r="D2618" t="s">
        <v>24</v>
      </c>
      <c r="E2618" t="s">
        <v>45</v>
      </c>
      <c r="F2618" t="s">
        <v>112</v>
      </c>
      <c r="G2618" t="s">
        <v>34</v>
      </c>
      <c r="H2618" t="s">
        <v>35</v>
      </c>
      <c r="I2618" t="s">
        <v>45</v>
      </c>
      <c r="J2618" t="s">
        <v>21</v>
      </c>
      <c r="K2618">
        <v>24</v>
      </c>
      <c r="L2618">
        <v>4.97</v>
      </c>
      <c r="M2618">
        <v>5</v>
      </c>
      <c r="N2618" t="s">
        <v>22</v>
      </c>
      <c r="O2618" t="str">
        <f t="shared" si="40"/>
        <v>No</v>
      </c>
    </row>
    <row r="2619" spans="1:15" x14ac:dyDescent="0.25">
      <c r="A2619" t="s">
        <v>2680</v>
      </c>
      <c r="B2619" s="1">
        <v>45667</v>
      </c>
      <c r="C2619" s="2">
        <v>45667.199583333335</v>
      </c>
      <c r="D2619" t="s">
        <v>38</v>
      </c>
      <c r="E2619" t="s">
        <v>16</v>
      </c>
      <c r="F2619" t="s">
        <v>58</v>
      </c>
      <c r="G2619" t="s">
        <v>34</v>
      </c>
      <c r="H2619" t="s">
        <v>19</v>
      </c>
      <c r="I2619" t="s">
        <v>36</v>
      </c>
      <c r="J2619" t="s">
        <v>21</v>
      </c>
      <c r="K2619">
        <v>8</v>
      </c>
      <c r="L2619">
        <v>4.79</v>
      </c>
      <c r="M2619">
        <v>5</v>
      </c>
      <c r="N2619" t="s">
        <v>61</v>
      </c>
      <c r="O2619" t="str">
        <f t="shared" si="40"/>
        <v>No</v>
      </c>
    </row>
    <row r="2620" spans="1:15" x14ac:dyDescent="0.25">
      <c r="A2620" t="s">
        <v>2681</v>
      </c>
      <c r="B2620" s="1">
        <v>45776</v>
      </c>
      <c r="C2620" s="2">
        <v>45776.34375</v>
      </c>
      <c r="D2620" t="s">
        <v>15</v>
      </c>
      <c r="E2620" t="s">
        <v>39</v>
      </c>
      <c r="F2620" t="s">
        <v>87</v>
      </c>
      <c r="G2620" t="s">
        <v>18</v>
      </c>
      <c r="H2620" t="s">
        <v>19</v>
      </c>
      <c r="I2620" t="s">
        <v>36</v>
      </c>
      <c r="J2620" t="s">
        <v>46</v>
      </c>
      <c r="K2620">
        <v>48</v>
      </c>
      <c r="L2620">
        <v>8.25</v>
      </c>
      <c r="M2620">
        <v>4.2</v>
      </c>
      <c r="N2620" t="s">
        <v>22</v>
      </c>
      <c r="O2620" t="str">
        <f t="shared" si="40"/>
        <v>No</v>
      </c>
    </row>
    <row r="2621" spans="1:15" x14ac:dyDescent="0.25">
      <c r="A2621" t="s">
        <v>2682</v>
      </c>
      <c r="B2621" s="1">
        <v>45829</v>
      </c>
      <c r="C2621" s="2">
        <v>45829.446666666663</v>
      </c>
      <c r="D2621" t="s">
        <v>24</v>
      </c>
      <c r="E2621" t="s">
        <v>39</v>
      </c>
      <c r="F2621" t="s">
        <v>78</v>
      </c>
      <c r="G2621" t="s">
        <v>34</v>
      </c>
      <c r="H2621" t="s">
        <v>54</v>
      </c>
      <c r="I2621" t="s">
        <v>45</v>
      </c>
      <c r="J2621" t="s">
        <v>21</v>
      </c>
      <c r="K2621">
        <v>24</v>
      </c>
      <c r="L2621">
        <v>10.72</v>
      </c>
      <c r="M2621">
        <v>4.5999999999999996</v>
      </c>
      <c r="N2621" t="s">
        <v>22</v>
      </c>
      <c r="O2621" t="str">
        <f t="shared" si="40"/>
        <v>No</v>
      </c>
    </row>
    <row r="2622" spans="1:15" x14ac:dyDescent="0.25">
      <c r="A2622" t="s">
        <v>2683</v>
      </c>
      <c r="B2622" s="1">
        <v>45811</v>
      </c>
      <c r="C2622" s="2">
        <v>45812.182916666665</v>
      </c>
      <c r="D2622" t="s">
        <v>24</v>
      </c>
      <c r="E2622" t="s">
        <v>32</v>
      </c>
      <c r="F2622" t="s">
        <v>33</v>
      </c>
      <c r="G2622" t="s">
        <v>34</v>
      </c>
      <c r="H2622" t="s">
        <v>27</v>
      </c>
      <c r="I2622" t="s">
        <v>45</v>
      </c>
      <c r="J2622" t="s">
        <v>21</v>
      </c>
      <c r="K2622">
        <v>24</v>
      </c>
      <c r="L2622">
        <v>28.39</v>
      </c>
      <c r="M2622">
        <v>3</v>
      </c>
      <c r="N2622" t="s">
        <v>22</v>
      </c>
      <c r="O2622" t="str">
        <f t="shared" si="40"/>
        <v>Yes</v>
      </c>
    </row>
    <row r="2623" spans="1:15" x14ac:dyDescent="0.25">
      <c r="A2623" t="s">
        <v>2684</v>
      </c>
      <c r="B2623" s="1">
        <v>45729</v>
      </c>
      <c r="C2623" s="2">
        <v>45729.710833333331</v>
      </c>
      <c r="D2623" t="s">
        <v>24</v>
      </c>
      <c r="E2623" t="s">
        <v>32</v>
      </c>
      <c r="F2623" t="s">
        <v>80</v>
      </c>
      <c r="G2623" t="s">
        <v>51</v>
      </c>
      <c r="H2623" t="s">
        <v>35</v>
      </c>
      <c r="I2623" t="s">
        <v>36</v>
      </c>
      <c r="J2623" t="s">
        <v>21</v>
      </c>
      <c r="K2623">
        <v>24</v>
      </c>
      <c r="L2623">
        <v>17.059999999999999</v>
      </c>
      <c r="M2623">
        <v>4</v>
      </c>
      <c r="N2623" t="s">
        <v>22</v>
      </c>
      <c r="O2623" t="str">
        <f t="shared" si="40"/>
        <v>No</v>
      </c>
    </row>
    <row r="2624" spans="1:15" x14ac:dyDescent="0.25">
      <c r="A2624" t="s">
        <v>2685</v>
      </c>
      <c r="B2624" s="1">
        <v>45676</v>
      </c>
      <c r="C2624" s="2">
        <v>45676.230833333335</v>
      </c>
      <c r="D2624" t="s">
        <v>24</v>
      </c>
      <c r="E2624" t="s">
        <v>32</v>
      </c>
      <c r="F2624" t="s">
        <v>64</v>
      </c>
      <c r="G2624" t="s">
        <v>18</v>
      </c>
      <c r="H2624" t="s">
        <v>35</v>
      </c>
      <c r="I2624" t="s">
        <v>36</v>
      </c>
      <c r="J2624" t="s">
        <v>46</v>
      </c>
      <c r="K2624">
        <v>24</v>
      </c>
      <c r="L2624">
        <v>5.54</v>
      </c>
      <c r="M2624">
        <v>5</v>
      </c>
      <c r="N2624" t="s">
        <v>22</v>
      </c>
      <c r="O2624" t="str">
        <f t="shared" si="40"/>
        <v>No</v>
      </c>
    </row>
    <row r="2625" spans="1:15" x14ac:dyDescent="0.25">
      <c r="A2625" t="s">
        <v>2686</v>
      </c>
      <c r="B2625" s="1">
        <v>45825</v>
      </c>
      <c r="C2625" s="2">
        <v>45825.143750000003</v>
      </c>
      <c r="D2625" t="s">
        <v>24</v>
      </c>
      <c r="E2625" t="s">
        <v>32</v>
      </c>
      <c r="F2625" t="s">
        <v>64</v>
      </c>
      <c r="G2625" t="s">
        <v>51</v>
      </c>
      <c r="H2625" t="s">
        <v>35</v>
      </c>
      <c r="I2625" t="s">
        <v>36</v>
      </c>
      <c r="J2625" t="s">
        <v>21</v>
      </c>
      <c r="K2625">
        <v>24</v>
      </c>
      <c r="L2625">
        <v>3.45</v>
      </c>
      <c r="M2625">
        <v>3.3</v>
      </c>
      <c r="N2625" t="s">
        <v>22</v>
      </c>
      <c r="O2625" t="str">
        <f t="shared" si="40"/>
        <v>No</v>
      </c>
    </row>
    <row r="2626" spans="1:15" x14ac:dyDescent="0.25">
      <c r="A2626" t="s">
        <v>2687</v>
      </c>
      <c r="B2626" s="1">
        <v>45824</v>
      </c>
      <c r="C2626" s="2">
        <v>45824.783750000002</v>
      </c>
      <c r="D2626" t="s">
        <v>24</v>
      </c>
      <c r="E2626" t="s">
        <v>32</v>
      </c>
      <c r="F2626" t="s">
        <v>75</v>
      </c>
      <c r="G2626" t="s">
        <v>56</v>
      </c>
      <c r="H2626" t="s">
        <v>65</v>
      </c>
      <c r="I2626" t="s">
        <v>36</v>
      </c>
      <c r="J2626" t="s">
        <v>46</v>
      </c>
      <c r="K2626">
        <v>24</v>
      </c>
      <c r="L2626">
        <v>18.809999999999999</v>
      </c>
      <c r="M2626">
        <v>3.5</v>
      </c>
      <c r="N2626" t="s">
        <v>22</v>
      </c>
      <c r="O2626" t="str">
        <f t="shared" si="40"/>
        <v>No</v>
      </c>
    </row>
    <row r="2627" spans="1:15" x14ac:dyDescent="0.25">
      <c r="A2627" t="s">
        <v>2688</v>
      </c>
      <c r="B2627" s="1">
        <v>45762</v>
      </c>
      <c r="C2627" s="2">
        <v>45765.149155092593</v>
      </c>
      <c r="D2627" t="s">
        <v>15</v>
      </c>
      <c r="E2627" t="s">
        <v>39</v>
      </c>
      <c r="F2627" t="s">
        <v>119</v>
      </c>
      <c r="G2627" t="s">
        <v>34</v>
      </c>
      <c r="H2627" t="s">
        <v>19</v>
      </c>
      <c r="I2627" t="s">
        <v>36</v>
      </c>
      <c r="J2627" t="s">
        <v>21</v>
      </c>
      <c r="K2627">
        <v>48</v>
      </c>
      <c r="L2627">
        <v>75.58</v>
      </c>
      <c r="M2627">
        <v>3</v>
      </c>
      <c r="N2627" t="s">
        <v>22</v>
      </c>
      <c r="O2627" t="str">
        <f t="shared" ref="O2627:O2690" si="41">IF(L2627&gt;K2627,"Yes","No")</f>
        <v>Yes</v>
      </c>
    </row>
    <row r="2628" spans="1:15" x14ac:dyDescent="0.25">
      <c r="A2628" t="s">
        <v>2689</v>
      </c>
      <c r="B2628" s="1">
        <v>45835</v>
      </c>
      <c r="C2628" s="2">
        <v>45835.467499999999</v>
      </c>
      <c r="D2628" t="s">
        <v>24</v>
      </c>
      <c r="E2628" t="s">
        <v>32</v>
      </c>
      <c r="F2628" t="s">
        <v>33</v>
      </c>
      <c r="G2628" t="s">
        <v>51</v>
      </c>
      <c r="H2628" t="s">
        <v>44</v>
      </c>
      <c r="I2628" t="s">
        <v>36</v>
      </c>
      <c r="J2628" t="s">
        <v>21</v>
      </c>
      <c r="K2628">
        <v>24</v>
      </c>
      <c r="L2628">
        <v>11.22</v>
      </c>
      <c r="M2628">
        <v>4.7</v>
      </c>
      <c r="N2628" t="s">
        <v>22</v>
      </c>
      <c r="O2628" t="str">
        <f t="shared" si="41"/>
        <v>No</v>
      </c>
    </row>
    <row r="2629" spans="1:15" x14ac:dyDescent="0.25">
      <c r="A2629" t="s">
        <v>2690</v>
      </c>
      <c r="B2629" s="1">
        <v>45658</v>
      </c>
      <c r="C2629" s="2">
        <v>45660.285833333335</v>
      </c>
      <c r="D2629" t="s">
        <v>15</v>
      </c>
      <c r="E2629" t="s">
        <v>45</v>
      </c>
      <c r="F2629" t="s">
        <v>104</v>
      </c>
      <c r="G2629" t="s">
        <v>34</v>
      </c>
      <c r="H2629" t="s">
        <v>44</v>
      </c>
      <c r="I2629" t="s">
        <v>45</v>
      </c>
      <c r="J2629" t="s">
        <v>21</v>
      </c>
      <c r="K2629">
        <v>48</v>
      </c>
      <c r="L2629">
        <v>54.86</v>
      </c>
      <c r="M2629">
        <v>4.4000000000000004</v>
      </c>
      <c r="N2629" t="s">
        <v>22</v>
      </c>
      <c r="O2629" t="str">
        <f t="shared" si="41"/>
        <v>Yes</v>
      </c>
    </row>
    <row r="2630" spans="1:15" x14ac:dyDescent="0.25">
      <c r="A2630" t="s">
        <v>2691</v>
      </c>
      <c r="B2630" s="1">
        <v>45769</v>
      </c>
      <c r="C2630" s="2">
        <v>45769.24</v>
      </c>
      <c r="D2630" t="s">
        <v>38</v>
      </c>
      <c r="E2630" t="s">
        <v>32</v>
      </c>
      <c r="F2630" t="s">
        <v>75</v>
      </c>
      <c r="G2630" t="s">
        <v>56</v>
      </c>
      <c r="H2630" t="s">
        <v>54</v>
      </c>
      <c r="I2630" t="s">
        <v>36</v>
      </c>
      <c r="J2630" t="s">
        <v>85</v>
      </c>
      <c r="K2630">
        <v>8</v>
      </c>
      <c r="L2630">
        <v>5.76</v>
      </c>
      <c r="M2630">
        <v>3</v>
      </c>
      <c r="N2630" t="s">
        <v>22</v>
      </c>
      <c r="O2630" t="str">
        <f t="shared" si="41"/>
        <v>No</v>
      </c>
    </row>
    <row r="2631" spans="1:15" x14ac:dyDescent="0.25">
      <c r="A2631" t="s">
        <v>2692</v>
      </c>
      <c r="B2631" s="1">
        <v>45664</v>
      </c>
      <c r="C2631" s="2">
        <v>45664.129166666666</v>
      </c>
      <c r="D2631" t="s">
        <v>31</v>
      </c>
      <c r="E2631" t="s">
        <v>39</v>
      </c>
      <c r="F2631" t="s">
        <v>119</v>
      </c>
      <c r="G2631" t="s">
        <v>41</v>
      </c>
      <c r="H2631" t="s">
        <v>54</v>
      </c>
      <c r="I2631" t="s">
        <v>36</v>
      </c>
      <c r="J2631" t="s">
        <v>46</v>
      </c>
      <c r="K2631">
        <v>4</v>
      </c>
      <c r="L2631">
        <v>3.1</v>
      </c>
      <c r="M2631">
        <v>5</v>
      </c>
      <c r="N2631" t="s">
        <v>22</v>
      </c>
      <c r="O2631" t="str">
        <f t="shared" si="41"/>
        <v>No</v>
      </c>
    </row>
    <row r="2632" spans="1:15" x14ac:dyDescent="0.25">
      <c r="A2632" t="s">
        <v>2693</v>
      </c>
      <c r="B2632" s="1">
        <v>45827</v>
      </c>
      <c r="C2632" s="2">
        <v>45827.335416666669</v>
      </c>
      <c r="D2632" t="s">
        <v>15</v>
      </c>
      <c r="E2632" t="s">
        <v>25</v>
      </c>
      <c r="F2632" t="s">
        <v>53</v>
      </c>
      <c r="G2632" t="s">
        <v>56</v>
      </c>
      <c r="H2632" t="s">
        <v>54</v>
      </c>
      <c r="I2632" t="s">
        <v>45</v>
      </c>
      <c r="J2632" t="s">
        <v>21</v>
      </c>
      <c r="K2632">
        <v>48</v>
      </c>
      <c r="L2632">
        <v>8.0500000000000007</v>
      </c>
      <c r="M2632">
        <v>5</v>
      </c>
      <c r="N2632" t="s">
        <v>22</v>
      </c>
      <c r="O2632" t="str">
        <f t="shared" si="41"/>
        <v>No</v>
      </c>
    </row>
    <row r="2633" spans="1:15" x14ac:dyDescent="0.25">
      <c r="A2633" t="s">
        <v>2694</v>
      </c>
      <c r="B2633" s="1">
        <v>45781</v>
      </c>
      <c r="C2633" s="2">
        <v>45781.887916666667</v>
      </c>
      <c r="D2633" t="s">
        <v>15</v>
      </c>
      <c r="E2633" t="s">
        <v>32</v>
      </c>
      <c r="F2633" t="s">
        <v>75</v>
      </c>
      <c r="G2633" t="s">
        <v>34</v>
      </c>
      <c r="H2633" t="s">
        <v>19</v>
      </c>
      <c r="I2633" t="s">
        <v>20</v>
      </c>
      <c r="J2633" t="s">
        <v>21</v>
      </c>
      <c r="K2633">
        <v>48</v>
      </c>
      <c r="L2633">
        <v>21.31</v>
      </c>
      <c r="M2633">
        <v>4.3</v>
      </c>
      <c r="N2633" t="s">
        <v>22</v>
      </c>
      <c r="O2633" t="str">
        <f t="shared" si="41"/>
        <v>No</v>
      </c>
    </row>
    <row r="2634" spans="1:15" x14ac:dyDescent="0.25">
      <c r="A2634" t="s">
        <v>2695</v>
      </c>
      <c r="B2634" s="1">
        <v>45823</v>
      </c>
      <c r="C2634" s="2">
        <v>45823.939166666663</v>
      </c>
      <c r="D2634" t="s">
        <v>15</v>
      </c>
      <c r="E2634" t="s">
        <v>16</v>
      </c>
      <c r="F2634" t="s">
        <v>17</v>
      </c>
      <c r="G2634" t="s">
        <v>51</v>
      </c>
      <c r="H2634" t="s">
        <v>19</v>
      </c>
      <c r="I2634" t="s">
        <v>36</v>
      </c>
      <c r="J2634" t="s">
        <v>21</v>
      </c>
      <c r="K2634">
        <v>48</v>
      </c>
      <c r="L2634">
        <v>22.54</v>
      </c>
      <c r="M2634">
        <v>3.5</v>
      </c>
      <c r="N2634" t="s">
        <v>22</v>
      </c>
      <c r="O2634" t="str">
        <f t="shared" si="41"/>
        <v>No</v>
      </c>
    </row>
    <row r="2635" spans="1:15" x14ac:dyDescent="0.25">
      <c r="A2635" t="s">
        <v>2696</v>
      </c>
      <c r="B2635" s="1">
        <v>45759</v>
      </c>
      <c r="C2635" s="2">
        <v>45759.048750000002</v>
      </c>
      <c r="D2635" t="s">
        <v>24</v>
      </c>
      <c r="E2635" t="s">
        <v>25</v>
      </c>
      <c r="F2635" t="s">
        <v>26</v>
      </c>
      <c r="G2635" t="s">
        <v>51</v>
      </c>
      <c r="H2635" t="s">
        <v>35</v>
      </c>
      <c r="I2635" t="s">
        <v>36</v>
      </c>
      <c r="J2635" t="s">
        <v>21</v>
      </c>
      <c r="K2635">
        <v>24</v>
      </c>
      <c r="L2635">
        <v>1.17</v>
      </c>
      <c r="M2635">
        <v>4.5999999999999996</v>
      </c>
      <c r="N2635" t="s">
        <v>22</v>
      </c>
      <c r="O2635" t="str">
        <f t="shared" si="41"/>
        <v>No</v>
      </c>
    </row>
    <row r="2636" spans="1:15" x14ac:dyDescent="0.25">
      <c r="A2636" t="s">
        <v>2697</v>
      </c>
      <c r="B2636" s="1">
        <v>45673</v>
      </c>
      <c r="C2636" s="2">
        <v>45673.098749999997</v>
      </c>
      <c r="D2636" t="s">
        <v>38</v>
      </c>
      <c r="E2636" t="s">
        <v>16</v>
      </c>
      <c r="F2636" t="s">
        <v>60</v>
      </c>
      <c r="G2636" t="s">
        <v>51</v>
      </c>
      <c r="H2636" t="s">
        <v>44</v>
      </c>
      <c r="I2636" t="s">
        <v>45</v>
      </c>
      <c r="J2636" t="s">
        <v>46</v>
      </c>
      <c r="K2636">
        <v>8</v>
      </c>
      <c r="L2636">
        <v>2.37</v>
      </c>
      <c r="M2636">
        <v>5</v>
      </c>
      <c r="N2636" t="s">
        <v>22</v>
      </c>
      <c r="O2636" t="str">
        <f t="shared" si="41"/>
        <v>No</v>
      </c>
    </row>
    <row r="2637" spans="1:15" x14ac:dyDescent="0.25">
      <c r="A2637" t="s">
        <v>2698</v>
      </c>
      <c r="B2637" s="1">
        <v>45662</v>
      </c>
      <c r="C2637" s="2">
        <v>45662.326666666668</v>
      </c>
      <c r="D2637" t="s">
        <v>24</v>
      </c>
      <c r="E2637" t="s">
        <v>32</v>
      </c>
      <c r="F2637" t="s">
        <v>75</v>
      </c>
      <c r="G2637" t="s">
        <v>56</v>
      </c>
      <c r="H2637" t="s">
        <v>44</v>
      </c>
      <c r="I2637" t="s">
        <v>36</v>
      </c>
      <c r="J2637" t="s">
        <v>21</v>
      </c>
      <c r="K2637">
        <v>24</v>
      </c>
      <c r="L2637">
        <v>7.84</v>
      </c>
      <c r="M2637">
        <v>4.5999999999999996</v>
      </c>
      <c r="N2637" t="s">
        <v>22</v>
      </c>
      <c r="O2637" t="str">
        <f t="shared" si="41"/>
        <v>No</v>
      </c>
    </row>
    <row r="2638" spans="1:15" x14ac:dyDescent="0.25">
      <c r="A2638" t="s">
        <v>2699</v>
      </c>
      <c r="B2638" s="1">
        <v>45718</v>
      </c>
      <c r="C2638" s="2">
        <v>45718.452499999999</v>
      </c>
      <c r="D2638" t="s">
        <v>15</v>
      </c>
      <c r="E2638" t="s">
        <v>25</v>
      </c>
      <c r="F2638" t="s">
        <v>53</v>
      </c>
      <c r="G2638" t="s">
        <v>41</v>
      </c>
      <c r="H2638" t="s">
        <v>44</v>
      </c>
      <c r="I2638" t="s">
        <v>36</v>
      </c>
      <c r="J2638" t="s">
        <v>29</v>
      </c>
      <c r="K2638">
        <v>48</v>
      </c>
      <c r="L2638">
        <v>10.86</v>
      </c>
      <c r="M2638">
        <v>4.5999999999999996</v>
      </c>
      <c r="N2638" t="s">
        <v>22</v>
      </c>
      <c r="O2638" t="str">
        <f t="shared" si="41"/>
        <v>No</v>
      </c>
    </row>
    <row r="2639" spans="1:15" x14ac:dyDescent="0.25">
      <c r="A2639" t="s">
        <v>2700</v>
      </c>
      <c r="B2639" s="1">
        <v>45792</v>
      </c>
      <c r="C2639" s="2">
        <v>45792.86041666667</v>
      </c>
      <c r="D2639" t="s">
        <v>15</v>
      </c>
      <c r="E2639" t="s">
        <v>16</v>
      </c>
      <c r="F2639" t="s">
        <v>60</v>
      </c>
      <c r="G2639" t="s">
        <v>56</v>
      </c>
      <c r="H2639" t="s">
        <v>54</v>
      </c>
      <c r="I2639" t="s">
        <v>45</v>
      </c>
      <c r="J2639" t="s">
        <v>21</v>
      </c>
      <c r="K2639">
        <v>48</v>
      </c>
      <c r="L2639">
        <v>20.65</v>
      </c>
      <c r="M2639">
        <v>3.9</v>
      </c>
      <c r="N2639" t="s">
        <v>22</v>
      </c>
      <c r="O2639" t="str">
        <f t="shared" si="41"/>
        <v>No</v>
      </c>
    </row>
    <row r="2640" spans="1:15" x14ac:dyDescent="0.25">
      <c r="A2640" t="s">
        <v>2701</v>
      </c>
      <c r="B2640" s="1">
        <v>45685</v>
      </c>
      <c r="C2640" s="2">
        <v>45686.793749999997</v>
      </c>
      <c r="D2640" t="s">
        <v>15</v>
      </c>
      <c r="E2640" t="s">
        <v>39</v>
      </c>
      <c r="F2640" t="s">
        <v>40</v>
      </c>
      <c r="G2640" t="s">
        <v>41</v>
      </c>
      <c r="H2640" t="s">
        <v>35</v>
      </c>
      <c r="I2640" t="s">
        <v>36</v>
      </c>
      <c r="J2640" t="s">
        <v>21</v>
      </c>
      <c r="K2640">
        <v>48</v>
      </c>
      <c r="L2640">
        <v>43.05</v>
      </c>
      <c r="M2640">
        <v>4.4000000000000004</v>
      </c>
      <c r="N2640" t="s">
        <v>22</v>
      </c>
      <c r="O2640" t="str">
        <f t="shared" si="41"/>
        <v>No</v>
      </c>
    </row>
    <row r="2641" spans="1:15" x14ac:dyDescent="0.25">
      <c r="A2641" t="s">
        <v>2702</v>
      </c>
      <c r="B2641" s="1">
        <v>45812</v>
      </c>
      <c r="C2641" s="2">
        <v>45812.30541666667</v>
      </c>
      <c r="D2641" t="s">
        <v>38</v>
      </c>
      <c r="E2641" t="s">
        <v>32</v>
      </c>
      <c r="F2641" t="s">
        <v>75</v>
      </c>
      <c r="G2641" t="s">
        <v>18</v>
      </c>
      <c r="H2641" t="s">
        <v>35</v>
      </c>
      <c r="I2641" t="s">
        <v>20</v>
      </c>
      <c r="J2641" t="s">
        <v>21</v>
      </c>
      <c r="K2641">
        <v>8</v>
      </c>
      <c r="L2641">
        <v>7.33</v>
      </c>
      <c r="M2641">
        <v>3.8</v>
      </c>
      <c r="N2641" t="s">
        <v>22</v>
      </c>
      <c r="O2641" t="str">
        <f t="shared" si="41"/>
        <v>No</v>
      </c>
    </row>
    <row r="2642" spans="1:15" x14ac:dyDescent="0.25">
      <c r="A2642" t="s">
        <v>2703</v>
      </c>
      <c r="B2642" s="1">
        <v>45701</v>
      </c>
      <c r="C2642" s="2">
        <v>45702.287499999999</v>
      </c>
      <c r="D2642" t="s">
        <v>24</v>
      </c>
      <c r="E2642" t="s">
        <v>32</v>
      </c>
      <c r="F2642" t="s">
        <v>80</v>
      </c>
      <c r="G2642" t="s">
        <v>51</v>
      </c>
      <c r="H2642" t="s">
        <v>44</v>
      </c>
      <c r="I2642" t="s">
        <v>20</v>
      </c>
      <c r="J2642" t="s">
        <v>21</v>
      </c>
      <c r="K2642">
        <v>24</v>
      </c>
      <c r="L2642">
        <v>30.9</v>
      </c>
      <c r="M2642">
        <v>3.3</v>
      </c>
      <c r="N2642" t="s">
        <v>22</v>
      </c>
      <c r="O2642" t="str">
        <f t="shared" si="41"/>
        <v>Yes</v>
      </c>
    </row>
    <row r="2643" spans="1:15" x14ac:dyDescent="0.25">
      <c r="A2643" t="s">
        <v>2704</v>
      </c>
      <c r="B2643" s="1">
        <v>45747</v>
      </c>
      <c r="C2643" s="2">
        <v>45748.01</v>
      </c>
      <c r="D2643" t="s">
        <v>24</v>
      </c>
      <c r="E2643" t="s">
        <v>25</v>
      </c>
      <c r="F2643" t="s">
        <v>53</v>
      </c>
      <c r="G2643" t="s">
        <v>34</v>
      </c>
      <c r="H2643" t="s">
        <v>65</v>
      </c>
      <c r="I2643" t="s">
        <v>36</v>
      </c>
      <c r="J2643" t="s">
        <v>46</v>
      </c>
      <c r="K2643">
        <v>24</v>
      </c>
      <c r="L2643">
        <v>24.24</v>
      </c>
      <c r="M2643">
        <v>3.7</v>
      </c>
      <c r="N2643" t="s">
        <v>22</v>
      </c>
      <c r="O2643" t="str">
        <f t="shared" si="41"/>
        <v>Yes</v>
      </c>
    </row>
    <row r="2644" spans="1:15" x14ac:dyDescent="0.25">
      <c r="A2644" t="s">
        <v>2705</v>
      </c>
      <c r="B2644" s="1">
        <v>45694</v>
      </c>
      <c r="C2644" s="2">
        <v>45694.634583333333</v>
      </c>
      <c r="D2644" t="s">
        <v>24</v>
      </c>
      <c r="E2644" t="s">
        <v>39</v>
      </c>
      <c r="F2644" t="s">
        <v>40</v>
      </c>
      <c r="G2644" t="s">
        <v>18</v>
      </c>
      <c r="H2644" t="s">
        <v>27</v>
      </c>
      <c r="I2644" t="s">
        <v>36</v>
      </c>
      <c r="J2644" t="s">
        <v>21</v>
      </c>
      <c r="K2644">
        <v>24</v>
      </c>
      <c r="L2644">
        <v>15.23</v>
      </c>
      <c r="M2644">
        <v>3.8</v>
      </c>
      <c r="N2644" t="s">
        <v>22</v>
      </c>
      <c r="O2644" t="str">
        <f t="shared" si="41"/>
        <v>No</v>
      </c>
    </row>
    <row r="2645" spans="1:15" x14ac:dyDescent="0.25">
      <c r="A2645" t="s">
        <v>2706</v>
      </c>
      <c r="B2645" s="1">
        <v>45742</v>
      </c>
      <c r="C2645" s="2">
        <v>45742.438333333332</v>
      </c>
      <c r="D2645" t="s">
        <v>38</v>
      </c>
      <c r="E2645" t="s">
        <v>32</v>
      </c>
      <c r="F2645" t="s">
        <v>75</v>
      </c>
      <c r="G2645" t="s">
        <v>51</v>
      </c>
      <c r="H2645" t="s">
        <v>54</v>
      </c>
      <c r="I2645" t="s">
        <v>28</v>
      </c>
      <c r="J2645" t="s">
        <v>46</v>
      </c>
      <c r="K2645">
        <v>8</v>
      </c>
      <c r="L2645">
        <v>10.52</v>
      </c>
      <c r="M2645">
        <v>2.9</v>
      </c>
      <c r="N2645" t="s">
        <v>22</v>
      </c>
      <c r="O2645" t="str">
        <f t="shared" si="41"/>
        <v>Yes</v>
      </c>
    </row>
    <row r="2646" spans="1:15" x14ac:dyDescent="0.25">
      <c r="A2646" t="s">
        <v>2707</v>
      </c>
      <c r="B2646" s="1">
        <v>45739</v>
      </c>
      <c r="C2646" s="2">
        <v>45739.348749999997</v>
      </c>
      <c r="D2646" t="s">
        <v>24</v>
      </c>
      <c r="E2646" t="s">
        <v>16</v>
      </c>
      <c r="F2646" t="s">
        <v>58</v>
      </c>
      <c r="G2646" t="s">
        <v>18</v>
      </c>
      <c r="H2646" t="s">
        <v>44</v>
      </c>
      <c r="I2646" t="s">
        <v>45</v>
      </c>
      <c r="J2646" t="s">
        <v>21</v>
      </c>
      <c r="K2646">
        <v>24</v>
      </c>
      <c r="L2646">
        <v>8.3699999999999992</v>
      </c>
      <c r="M2646">
        <v>3.6</v>
      </c>
      <c r="N2646" t="s">
        <v>22</v>
      </c>
      <c r="O2646" t="str">
        <f t="shared" si="41"/>
        <v>No</v>
      </c>
    </row>
    <row r="2647" spans="1:15" x14ac:dyDescent="0.25">
      <c r="A2647" t="s">
        <v>2708</v>
      </c>
      <c r="B2647" s="1">
        <v>45658</v>
      </c>
      <c r="C2647" s="2">
        <v>45658.168749999997</v>
      </c>
      <c r="D2647" t="s">
        <v>38</v>
      </c>
      <c r="E2647" t="s">
        <v>45</v>
      </c>
      <c r="F2647" t="s">
        <v>50</v>
      </c>
      <c r="G2647" t="s">
        <v>18</v>
      </c>
      <c r="H2647" t="s">
        <v>19</v>
      </c>
      <c r="I2647" t="s">
        <v>28</v>
      </c>
      <c r="J2647" t="s">
        <v>21</v>
      </c>
      <c r="K2647">
        <v>8</v>
      </c>
      <c r="L2647">
        <v>4.05</v>
      </c>
      <c r="M2647">
        <v>4</v>
      </c>
      <c r="N2647" t="s">
        <v>22</v>
      </c>
      <c r="O2647" t="str">
        <f t="shared" si="41"/>
        <v>No</v>
      </c>
    </row>
    <row r="2648" spans="1:15" x14ac:dyDescent="0.25">
      <c r="A2648" t="s">
        <v>2709</v>
      </c>
      <c r="B2648" s="1">
        <v>45760</v>
      </c>
      <c r="C2648" s="2">
        <v>45760.552083333336</v>
      </c>
      <c r="D2648" t="s">
        <v>38</v>
      </c>
      <c r="E2648" t="s">
        <v>32</v>
      </c>
      <c r="F2648" t="s">
        <v>80</v>
      </c>
      <c r="G2648" t="s">
        <v>34</v>
      </c>
      <c r="H2648" t="s">
        <v>44</v>
      </c>
      <c r="I2648" t="s">
        <v>20</v>
      </c>
      <c r="J2648" t="s">
        <v>21</v>
      </c>
      <c r="K2648">
        <v>8</v>
      </c>
      <c r="L2648">
        <v>13.25</v>
      </c>
      <c r="M2648">
        <v>1.8</v>
      </c>
      <c r="N2648" t="s">
        <v>22</v>
      </c>
      <c r="O2648" t="str">
        <f t="shared" si="41"/>
        <v>Yes</v>
      </c>
    </row>
    <row r="2649" spans="1:15" x14ac:dyDescent="0.25">
      <c r="A2649" t="s">
        <v>2710</v>
      </c>
      <c r="B2649" s="1">
        <v>45800</v>
      </c>
      <c r="C2649" s="2">
        <v>45800.339583333334</v>
      </c>
      <c r="D2649" t="s">
        <v>24</v>
      </c>
      <c r="E2649" t="s">
        <v>32</v>
      </c>
      <c r="F2649" t="s">
        <v>75</v>
      </c>
      <c r="G2649" t="s">
        <v>51</v>
      </c>
      <c r="H2649" t="s">
        <v>54</v>
      </c>
      <c r="I2649" t="s">
        <v>36</v>
      </c>
      <c r="J2649" t="s">
        <v>21</v>
      </c>
      <c r="K2649">
        <v>24</v>
      </c>
      <c r="L2649">
        <v>8.15</v>
      </c>
      <c r="M2649">
        <v>4.9000000000000004</v>
      </c>
      <c r="N2649" t="s">
        <v>22</v>
      </c>
      <c r="O2649" t="str">
        <f t="shared" si="41"/>
        <v>No</v>
      </c>
    </row>
    <row r="2650" spans="1:15" x14ac:dyDescent="0.25">
      <c r="A2650" t="s">
        <v>2711</v>
      </c>
      <c r="B2650" s="1">
        <v>45827</v>
      </c>
      <c r="C2650" s="2">
        <v>45827.020833333336</v>
      </c>
      <c r="D2650" t="s">
        <v>38</v>
      </c>
      <c r="E2650" t="s">
        <v>39</v>
      </c>
      <c r="F2650" t="s">
        <v>40</v>
      </c>
      <c r="G2650" t="s">
        <v>41</v>
      </c>
      <c r="H2650" t="s">
        <v>19</v>
      </c>
      <c r="I2650" t="s">
        <v>36</v>
      </c>
      <c r="J2650" t="s">
        <v>21</v>
      </c>
      <c r="K2650">
        <v>8</v>
      </c>
      <c r="L2650">
        <v>0.5</v>
      </c>
      <c r="M2650">
        <v>4.5</v>
      </c>
      <c r="N2650" t="s">
        <v>22</v>
      </c>
      <c r="O2650" t="str">
        <f t="shared" si="41"/>
        <v>No</v>
      </c>
    </row>
    <row r="2651" spans="1:15" x14ac:dyDescent="0.25">
      <c r="A2651" t="s">
        <v>2712</v>
      </c>
      <c r="B2651" s="1">
        <v>45717</v>
      </c>
      <c r="C2651" s="2">
        <v>45717.294583333336</v>
      </c>
      <c r="D2651" t="s">
        <v>15</v>
      </c>
      <c r="E2651" t="s">
        <v>16</v>
      </c>
      <c r="F2651" t="s">
        <v>43</v>
      </c>
      <c r="G2651" t="s">
        <v>41</v>
      </c>
      <c r="H2651" t="s">
        <v>65</v>
      </c>
      <c r="I2651" t="s">
        <v>36</v>
      </c>
      <c r="J2651" t="s">
        <v>21</v>
      </c>
      <c r="K2651">
        <v>48</v>
      </c>
      <c r="L2651">
        <v>7.07</v>
      </c>
      <c r="M2651">
        <v>4.5999999999999996</v>
      </c>
      <c r="N2651" t="s">
        <v>22</v>
      </c>
      <c r="O2651" t="str">
        <f t="shared" si="41"/>
        <v>No</v>
      </c>
    </row>
    <row r="2652" spans="1:15" x14ac:dyDescent="0.25">
      <c r="A2652" t="s">
        <v>2713</v>
      </c>
      <c r="B2652" s="1">
        <v>45817</v>
      </c>
      <c r="C2652" s="2">
        <v>45817.464583333334</v>
      </c>
      <c r="D2652" t="s">
        <v>24</v>
      </c>
      <c r="E2652" t="s">
        <v>39</v>
      </c>
      <c r="F2652" t="s">
        <v>78</v>
      </c>
      <c r="G2652" t="s">
        <v>41</v>
      </c>
      <c r="H2652" t="s">
        <v>35</v>
      </c>
      <c r="I2652" t="s">
        <v>20</v>
      </c>
      <c r="J2652" t="s">
        <v>85</v>
      </c>
      <c r="K2652">
        <v>24</v>
      </c>
      <c r="L2652">
        <v>11.15</v>
      </c>
      <c r="M2652">
        <v>4.4000000000000004</v>
      </c>
      <c r="N2652" t="s">
        <v>22</v>
      </c>
      <c r="O2652" t="str">
        <f t="shared" si="41"/>
        <v>No</v>
      </c>
    </row>
    <row r="2653" spans="1:15" x14ac:dyDescent="0.25">
      <c r="A2653" t="s">
        <v>2714</v>
      </c>
      <c r="B2653" s="1">
        <v>45817</v>
      </c>
      <c r="C2653" s="2">
        <v>45817.448333333334</v>
      </c>
      <c r="D2653" t="s">
        <v>15</v>
      </c>
      <c r="E2653" t="s">
        <v>45</v>
      </c>
      <c r="F2653" t="s">
        <v>104</v>
      </c>
      <c r="G2653" t="s">
        <v>56</v>
      </c>
      <c r="H2653" t="s">
        <v>54</v>
      </c>
      <c r="I2653" t="s">
        <v>36</v>
      </c>
      <c r="J2653" t="s">
        <v>46</v>
      </c>
      <c r="K2653">
        <v>48</v>
      </c>
      <c r="L2653">
        <v>10.76</v>
      </c>
      <c r="M2653">
        <v>4.2</v>
      </c>
      <c r="N2653" t="s">
        <v>22</v>
      </c>
      <c r="O2653" t="str">
        <f t="shared" si="41"/>
        <v>No</v>
      </c>
    </row>
    <row r="2654" spans="1:15" x14ac:dyDescent="0.25">
      <c r="A2654" t="s">
        <v>2715</v>
      </c>
      <c r="B2654" s="1">
        <v>45836</v>
      </c>
      <c r="C2654" s="2">
        <v>45836.13208333333</v>
      </c>
      <c r="D2654" t="s">
        <v>24</v>
      </c>
      <c r="E2654" t="s">
        <v>32</v>
      </c>
      <c r="F2654" t="s">
        <v>80</v>
      </c>
      <c r="G2654" t="s">
        <v>41</v>
      </c>
      <c r="H2654" t="s">
        <v>35</v>
      </c>
      <c r="I2654" t="s">
        <v>45</v>
      </c>
      <c r="J2654" t="s">
        <v>21</v>
      </c>
      <c r="K2654">
        <v>24</v>
      </c>
      <c r="L2654">
        <v>3.17</v>
      </c>
      <c r="M2654">
        <v>4.0999999999999996</v>
      </c>
      <c r="N2654" t="s">
        <v>61</v>
      </c>
      <c r="O2654" t="str">
        <f t="shared" si="41"/>
        <v>No</v>
      </c>
    </row>
    <row r="2655" spans="1:15" x14ac:dyDescent="0.25">
      <c r="A2655" t="s">
        <v>2716</v>
      </c>
      <c r="B2655" s="1">
        <v>45725</v>
      </c>
      <c r="C2655" s="2">
        <v>45726.865416666667</v>
      </c>
      <c r="D2655" t="s">
        <v>15</v>
      </c>
      <c r="E2655" t="s">
        <v>39</v>
      </c>
      <c r="F2655" t="s">
        <v>87</v>
      </c>
      <c r="G2655" t="s">
        <v>56</v>
      </c>
      <c r="H2655" t="s">
        <v>54</v>
      </c>
      <c r="I2655" t="s">
        <v>45</v>
      </c>
      <c r="J2655" t="s">
        <v>46</v>
      </c>
      <c r="K2655">
        <v>48</v>
      </c>
      <c r="L2655">
        <v>44.77</v>
      </c>
      <c r="M2655">
        <v>4</v>
      </c>
      <c r="N2655" t="s">
        <v>22</v>
      </c>
      <c r="O2655" t="str">
        <f t="shared" si="41"/>
        <v>No</v>
      </c>
    </row>
    <row r="2656" spans="1:15" x14ac:dyDescent="0.25">
      <c r="A2656" t="s">
        <v>2717</v>
      </c>
      <c r="B2656" s="1">
        <v>45812</v>
      </c>
      <c r="C2656" s="2">
        <v>45813.442083333335</v>
      </c>
      <c r="D2656" t="s">
        <v>15</v>
      </c>
      <c r="E2656" t="s">
        <v>39</v>
      </c>
      <c r="F2656" t="s">
        <v>119</v>
      </c>
      <c r="G2656" t="s">
        <v>56</v>
      </c>
      <c r="H2656" t="s">
        <v>19</v>
      </c>
      <c r="I2656" t="s">
        <v>20</v>
      </c>
      <c r="J2656" t="s">
        <v>21</v>
      </c>
      <c r="K2656">
        <v>48</v>
      </c>
      <c r="L2656">
        <v>34.61</v>
      </c>
      <c r="M2656">
        <v>5</v>
      </c>
      <c r="N2656" t="s">
        <v>22</v>
      </c>
      <c r="O2656" t="str">
        <f t="shared" si="41"/>
        <v>No</v>
      </c>
    </row>
    <row r="2657" spans="1:15" x14ac:dyDescent="0.25">
      <c r="A2657" t="s">
        <v>2718</v>
      </c>
      <c r="B2657" s="1">
        <v>45760</v>
      </c>
      <c r="C2657" s="2">
        <v>45760.107488425929</v>
      </c>
      <c r="D2657" t="s">
        <v>15</v>
      </c>
      <c r="E2657" t="s">
        <v>39</v>
      </c>
      <c r="F2657" t="s">
        <v>119</v>
      </c>
      <c r="G2657" t="s">
        <v>51</v>
      </c>
      <c r="H2657" t="s">
        <v>27</v>
      </c>
      <c r="I2657" t="s">
        <v>20</v>
      </c>
      <c r="J2657" t="s">
        <v>46</v>
      </c>
      <c r="K2657">
        <v>48</v>
      </c>
      <c r="L2657">
        <v>2.58</v>
      </c>
      <c r="M2657">
        <v>5</v>
      </c>
      <c r="N2657" t="s">
        <v>22</v>
      </c>
      <c r="O2657" t="str">
        <f t="shared" si="41"/>
        <v>No</v>
      </c>
    </row>
    <row r="2658" spans="1:15" x14ac:dyDescent="0.25">
      <c r="A2658" t="s">
        <v>2719</v>
      </c>
      <c r="B2658" s="1">
        <v>45668</v>
      </c>
      <c r="C2658" s="2">
        <v>45669.067916666667</v>
      </c>
      <c r="D2658" t="s">
        <v>24</v>
      </c>
      <c r="E2658" t="s">
        <v>16</v>
      </c>
      <c r="F2658" t="s">
        <v>60</v>
      </c>
      <c r="G2658" t="s">
        <v>18</v>
      </c>
      <c r="H2658" t="s">
        <v>44</v>
      </c>
      <c r="I2658" t="s">
        <v>36</v>
      </c>
      <c r="J2658" t="s">
        <v>85</v>
      </c>
      <c r="K2658">
        <v>24</v>
      </c>
      <c r="L2658">
        <v>25.63</v>
      </c>
      <c r="M2658">
        <v>4.5999999999999996</v>
      </c>
      <c r="N2658" t="s">
        <v>22</v>
      </c>
      <c r="O2658" t="str">
        <f t="shared" si="41"/>
        <v>Yes</v>
      </c>
    </row>
    <row r="2659" spans="1:15" x14ac:dyDescent="0.25">
      <c r="A2659" t="s">
        <v>2720</v>
      </c>
      <c r="B2659" s="1">
        <v>45706</v>
      </c>
      <c r="C2659" s="2">
        <v>45707.95416666667</v>
      </c>
      <c r="D2659" t="s">
        <v>24</v>
      </c>
      <c r="E2659" t="s">
        <v>25</v>
      </c>
      <c r="F2659" t="s">
        <v>70</v>
      </c>
      <c r="G2659" t="s">
        <v>41</v>
      </c>
      <c r="H2659" t="s">
        <v>35</v>
      </c>
      <c r="I2659" t="s">
        <v>36</v>
      </c>
      <c r="J2659" t="s">
        <v>21</v>
      </c>
      <c r="K2659">
        <v>24</v>
      </c>
      <c r="L2659">
        <v>46.9</v>
      </c>
      <c r="M2659">
        <v>1.8</v>
      </c>
      <c r="N2659" t="s">
        <v>22</v>
      </c>
      <c r="O2659" t="str">
        <f t="shared" si="41"/>
        <v>Yes</v>
      </c>
    </row>
    <row r="2660" spans="1:15" x14ac:dyDescent="0.25">
      <c r="A2660" t="s">
        <v>2721</v>
      </c>
      <c r="B2660" s="1">
        <v>45779</v>
      </c>
      <c r="C2660" s="2">
        <v>45779.291666666664</v>
      </c>
      <c r="D2660" t="s">
        <v>24</v>
      </c>
      <c r="E2660" t="s">
        <v>39</v>
      </c>
      <c r="F2660" t="s">
        <v>40</v>
      </c>
      <c r="G2660" t="s">
        <v>41</v>
      </c>
      <c r="H2660" t="s">
        <v>19</v>
      </c>
      <c r="I2660" t="s">
        <v>45</v>
      </c>
      <c r="J2660" t="s">
        <v>85</v>
      </c>
      <c r="K2660">
        <v>24</v>
      </c>
      <c r="L2660">
        <v>7</v>
      </c>
      <c r="M2660">
        <v>4.5</v>
      </c>
      <c r="N2660" t="s">
        <v>22</v>
      </c>
      <c r="O2660" t="str">
        <f t="shared" si="41"/>
        <v>No</v>
      </c>
    </row>
    <row r="2661" spans="1:15" x14ac:dyDescent="0.25">
      <c r="A2661" t="s">
        <v>2722</v>
      </c>
      <c r="B2661" s="1">
        <v>45687</v>
      </c>
      <c r="C2661" s="2">
        <v>45687.731666666667</v>
      </c>
      <c r="D2661" t="s">
        <v>24</v>
      </c>
      <c r="E2661" t="s">
        <v>25</v>
      </c>
      <c r="F2661" t="s">
        <v>48</v>
      </c>
      <c r="G2661" t="s">
        <v>41</v>
      </c>
      <c r="H2661" t="s">
        <v>27</v>
      </c>
      <c r="I2661" t="s">
        <v>20</v>
      </c>
      <c r="J2661" t="s">
        <v>21</v>
      </c>
      <c r="K2661">
        <v>24</v>
      </c>
      <c r="L2661">
        <v>17.559999999999999</v>
      </c>
      <c r="M2661">
        <v>4</v>
      </c>
      <c r="N2661" t="s">
        <v>22</v>
      </c>
      <c r="O2661" t="str">
        <f t="shared" si="41"/>
        <v>No</v>
      </c>
    </row>
    <row r="2662" spans="1:15" x14ac:dyDescent="0.25">
      <c r="A2662" t="s">
        <v>2723</v>
      </c>
      <c r="B2662" s="1">
        <v>45736</v>
      </c>
      <c r="C2662" s="2">
        <v>45736.033333333333</v>
      </c>
      <c r="D2662" t="s">
        <v>31</v>
      </c>
      <c r="E2662" t="s">
        <v>32</v>
      </c>
      <c r="F2662" t="s">
        <v>75</v>
      </c>
      <c r="G2662" t="s">
        <v>41</v>
      </c>
      <c r="H2662" t="s">
        <v>35</v>
      </c>
      <c r="I2662" t="s">
        <v>20</v>
      </c>
      <c r="J2662" t="s">
        <v>21</v>
      </c>
      <c r="K2662">
        <v>4</v>
      </c>
      <c r="L2662">
        <v>0.8</v>
      </c>
      <c r="M2662">
        <v>5</v>
      </c>
      <c r="N2662" t="s">
        <v>22</v>
      </c>
      <c r="O2662" t="str">
        <f t="shared" si="41"/>
        <v>No</v>
      </c>
    </row>
    <row r="2663" spans="1:15" x14ac:dyDescent="0.25">
      <c r="A2663" t="s">
        <v>2724</v>
      </c>
      <c r="B2663" s="1">
        <v>45798</v>
      </c>
      <c r="C2663" s="2">
        <v>45798.192083333335</v>
      </c>
      <c r="D2663" t="s">
        <v>38</v>
      </c>
      <c r="E2663" t="s">
        <v>16</v>
      </c>
      <c r="F2663" t="s">
        <v>43</v>
      </c>
      <c r="G2663" t="s">
        <v>18</v>
      </c>
      <c r="H2663" t="s">
        <v>19</v>
      </c>
      <c r="I2663" t="s">
        <v>45</v>
      </c>
      <c r="J2663" t="s">
        <v>46</v>
      </c>
      <c r="K2663">
        <v>8</v>
      </c>
      <c r="L2663">
        <v>4.6100000000000003</v>
      </c>
      <c r="M2663">
        <v>4.9000000000000004</v>
      </c>
      <c r="N2663" t="s">
        <v>22</v>
      </c>
      <c r="O2663" t="str">
        <f t="shared" si="41"/>
        <v>No</v>
      </c>
    </row>
    <row r="2664" spans="1:15" x14ac:dyDescent="0.25">
      <c r="A2664" t="s">
        <v>2725</v>
      </c>
      <c r="B2664" s="1">
        <v>45685</v>
      </c>
      <c r="C2664" s="2">
        <v>45686.498333333337</v>
      </c>
      <c r="D2664" t="s">
        <v>15</v>
      </c>
      <c r="E2664" t="s">
        <v>39</v>
      </c>
      <c r="F2664" t="s">
        <v>78</v>
      </c>
      <c r="G2664" t="s">
        <v>34</v>
      </c>
      <c r="H2664" t="s">
        <v>54</v>
      </c>
      <c r="I2664" t="s">
        <v>20</v>
      </c>
      <c r="J2664" t="s">
        <v>46</v>
      </c>
      <c r="K2664">
        <v>48</v>
      </c>
      <c r="L2664">
        <v>35.96</v>
      </c>
      <c r="M2664">
        <v>4</v>
      </c>
      <c r="N2664" t="s">
        <v>22</v>
      </c>
      <c r="O2664" t="str">
        <f t="shared" si="41"/>
        <v>No</v>
      </c>
    </row>
    <row r="2665" spans="1:15" x14ac:dyDescent="0.25">
      <c r="A2665" t="s">
        <v>2726</v>
      </c>
      <c r="B2665" s="1">
        <v>45747</v>
      </c>
      <c r="C2665" s="2">
        <v>45747.466666666667</v>
      </c>
      <c r="D2665" t="s">
        <v>24</v>
      </c>
      <c r="E2665" t="s">
        <v>16</v>
      </c>
      <c r="F2665" t="s">
        <v>43</v>
      </c>
      <c r="G2665" t="s">
        <v>51</v>
      </c>
      <c r="H2665" t="s">
        <v>35</v>
      </c>
      <c r="I2665" t="s">
        <v>36</v>
      </c>
      <c r="J2665" t="s">
        <v>21</v>
      </c>
      <c r="K2665">
        <v>24</v>
      </c>
      <c r="L2665">
        <v>11.2</v>
      </c>
      <c r="M2665">
        <v>3</v>
      </c>
      <c r="N2665" t="s">
        <v>22</v>
      </c>
      <c r="O2665" t="str">
        <f t="shared" si="41"/>
        <v>No</v>
      </c>
    </row>
    <row r="2666" spans="1:15" x14ac:dyDescent="0.25">
      <c r="A2666" t="s">
        <v>2727</v>
      </c>
      <c r="B2666" s="1">
        <v>45696</v>
      </c>
      <c r="C2666" s="2">
        <v>45696.254999999997</v>
      </c>
      <c r="D2666" t="s">
        <v>24</v>
      </c>
      <c r="E2666" t="s">
        <v>32</v>
      </c>
      <c r="F2666" t="s">
        <v>75</v>
      </c>
      <c r="G2666" t="s">
        <v>18</v>
      </c>
      <c r="H2666" t="s">
        <v>54</v>
      </c>
      <c r="I2666" t="s">
        <v>36</v>
      </c>
      <c r="J2666" t="s">
        <v>21</v>
      </c>
      <c r="K2666">
        <v>24</v>
      </c>
      <c r="L2666">
        <v>6.12</v>
      </c>
      <c r="M2666">
        <v>3.9</v>
      </c>
      <c r="N2666" t="s">
        <v>22</v>
      </c>
      <c r="O2666" t="str">
        <f t="shared" si="41"/>
        <v>No</v>
      </c>
    </row>
    <row r="2667" spans="1:15" x14ac:dyDescent="0.25">
      <c r="A2667" t="s">
        <v>2728</v>
      </c>
      <c r="B2667" s="1">
        <v>45755</v>
      </c>
      <c r="C2667" s="2">
        <v>45755.112083333333</v>
      </c>
      <c r="D2667" t="s">
        <v>38</v>
      </c>
      <c r="E2667" t="s">
        <v>45</v>
      </c>
      <c r="F2667" t="s">
        <v>50</v>
      </c>
      <c r="G2667" t="s">
        <v>34</v>
      </c>
      <c r="H2667" t="s">
        <v>35</v>
      </c>
      <c r="I2667" t="s">
        <v>20</v>
      </c>
      <c r="J2667" t="s">
        <v>21</v>
      </c>
      <c r="K2667">
        <v>8</v>
      </c>
      <c r="L2667">
        <v>2.69</v>
      </c>
      <c r="M2667">
        <v>5</v>
      </c>
      <c r="N2667" t="s">
        <v>22</v>
      </c>
      <c r="O2667" t="str">
        <f t="shared" si="41"/>
        <v>No</v>
      </c>
    </row>
    <row r="2668" spans="1:15" x14ac:dyDescent="0.25">
      <c r="A2668" t="s">
        <v>2729</v>
      </c>
      <c r="B2668" s="1">
        <v>45701</v>
      </c>
      <c r="C2668" s="2">
        <v>45701.072083333333</v>
      </c>
      <c r="D2668" t="s">
        <v>24</v>
      </c>
      <c r="E2668" t="s">
        <v>45</v>
      </c>
      <c r="F2668" t="s">
        <v>100</v>
      </c>
      <c r="G2668" t="s">
        <v>51</v>
      </c>
      <c r="H2668" t="s">
        <v>27</v>
      </c>
      <c r="I2668" t="s">
        <v>45</v>
      </c>
      <c r="J2668" t="s">
        <v>21</v>
      </c>
      <c r="K2668">
        <v>24</v>
      </c>
      <c r="L2668">
        <v>1.73</v>
      </c>
      <c r="M2668">
        <v>4.7</v>
      </c>
      <c r="N2668" t="s">
        <v>22</v>
      </c>
      <c r="O2668" t="str">
        <f t="shared" si="41"/>
        <v>No</v>
      </c>
    </row>
    <row r="2669" spans="1:15" x14ac:dyDescent="0.25">
      <c r="A2669" t="s">
        <v>2730</v>
      </c>
      <c r="B2669" s="1">
        <v>45832</v>
      </c>
      <c r="C2669" s="2">
        <v>45832.176249999997</v>
      </c>
      <c r="D2669" t="s">
        <v>38</v>
      </c>
      <c r="E2669" t="s">
        <v>25</v>
      </c>
      <c r="F2669" t="s">
        <v>53</v>
      </c>
      <c r="G2669" t="s">
        <v>51</v>
      </c>
      <c r="H2669" t="s">
        <v>54</v>
      </c>
      <c r="I2669" t="s">
        <v>20</v>
      </c>
      <c r="J2669" t="s">
        <v>21</v>
      </c>
      <c r="K2669">
        <v>8</v>
      </c>
      <c r="L2669">
        <v>4.2300000000000004</v>
      </c>
      <c r="M2669">
        <v>4.3</v>
      </c>
      <c r="N2669" t="s">
        <v>22</v>
      </c>
      <c r="O2669" t="str">
        <f t="shared" si="41"/>
        <v>No</v>
      </c>
    </row>
    <row r="2670" spans="1:15" x14ac:dyDescent="0.25">
      <c r="A2670" t="s">
        <v>2731</v>
      </c>
      <c r="B2670" s="1">
        <v>45671</v>
      </c>
      <c r="C2670" s="2">
        <v>45673.966249999998</v>
      </c>
      <c r="D2670" t="s">
        <v>15</v>
      </c>
      <c r="E2670" t="s">
        <v>45</v>
      </c>
      <c r="F2670" t="s">
        <v>50</v>
      </c>
      <c r="G2670" t="s">
        <v>34</v>
      </c>
      <c r="H2670" t="s">
        <v>44</v>
      </c>
      <c r="I2670" t="s">
        <v>36</v>
      </c>
      <c r="J2670" t="s">
        <v>21</v>
      </c>
      <c r="K2670">
        <v>48</v>
      </c>
      <c r="L2670">
        <v>71.19</v>
      </c>
      <c r="M2670">
        <v>3.6</v>
      </c>
      <c r="N2670" t="s">
        <v>61</v>
      </c>
      <c r="O2670" t="str">
        <f t="shared" si="41"/>
        <v>Yes</v>
      </c>
    </row>
    <row r="2671" spans="1:15" x14ac:dyDescent="0.25">
      <c r="A2671" t="s">
        <v>2732</v>
      </c>
      <c r="B2671" s="1">
        <v>45832</v>
      </c>
      <c r="C2671" s="2">
        <v>45832.146666666667</v>
      </c>
      <c r="D2671" t="s">
        <v>24</v>
      </c>
      <c r="E2671" t="s">
        <v>32</v>
      </c>
      <c r="F2671" t="s">
        <v>64</v>
      </c>
      <c r="G2671" t="s">
        <v>51</v>
      </c>
      <c r="H2671" t="s">
        <v>65</v>
      </c>
      <c r="I2671" t="s">
        <v>45</v>
      </c>
      <c r="J2671" t="s">
        <v>85</v>
      </c>
      <c r="K2671">
        <v>24</v>
      </c>
      <c r="L2671">
        <v>3.52</v>
      </c>
      <c r="M2671">
        <v>5</v>
      </c>
      <c r="N2671" t="s">
        <v>22</v>
      </c>
      <c r="O2671" t="str">
        <f t="shared" si="41"/>
        <v>No</v>
      </c>
    </row>
    <row r="2672" spans="1:15" x14ac:dyDescent="0.25">
      <c r="A2672" t="s">
        <v>2733</v>
      </c>
      <c r="B2672" s="1">
        <v>45801</v>
      </c>
      <c r="C2672" s="2">
        <v>45802.280833333331</v>
      </c>
      <c r="D2672" t="s">
        <v>24</v>
      </c>
      <c r="E2672" t="s">
        <v>16</v>
      </c>
      <c r="F2672" t="s">
        <v>60</v>
      </c>
      <c r="G2672" t="s">
        <v>34</v>
      </c>
      <c r="H2672" t="s">
        <v>54</v>
      </c>
      <c r="I2672" t="s">
        <v>36</v>
      </c>
      <c r="J2672" t="s">
        <v>46</v>
      </c>
      <c r="K2672">
        <v>24</v>
      </c>
      <c r="L2672">
        <v>30.74</v>
      </c>
      <c r="M2672">
        <v>3</v>
      </c>
      <c r="N2672" t="s">
        <v>22</v>
      </c>
      <c r="O2672" t="str">
        <f t="shared" si="41"/>
        <v>Yes</v>
      </c>
    </row>
    <row r="2673" spans="1:15" x14ac:dyDescent="0.25">
      <c r="A2673" t="s">
        <v>2734</v>
      </c>
      <c r="B2673" s="1">
        <v>45812</v>
      </c>
      <c r="C2673" s="2">
        <v>45812.401250000003</v>
      </c>
      <c r="D2673" t="s">
        <v>24</v>
      </c>
      <c r="E2673" t="s">
        <v>39</v>
      </c>
      <c r="F2673" t="s">
        <v>78</v>
      </c>
      <c r="G2673" t="s">
        <v>18</v>
      </c>
      <c r="H2673" t="s">
        <v>35</v>
      </c>
      <c r="I2673" t="s">
        <v>36</v>
      </c>
      <c r="J2673" t="s">
        <v>85</v>
      </c>
      <c r="K2673">
        <v>24</v>
      </c>
      <c r="L2673">
        <v>9.6300000000000008</v>
      </c>
      <c r="M2673">
        <v>4.9000000000000004</v>
      </c>
      <c r="N2673" t="s">
        <v>22</v>
      </c>
      <c r="O2673" t="str">
        <f t="shared" si="41"/>
        <v>No</v>
      </c>
    </row>
    <row r="2674" spans="1:15" x14ac:dyDescent="0.25">
      <c r="A2674" t="s">
        <v>2735</v>
      </c>
      <c r="B2674" s="1">
        <v>45812</v>
      </c>
      <c r="C2674" s="2">
        <v>45812.023333333331</v>
      </c>
      <c r="D2674" t="s">
        <v>38</v>
      </c>
      <c r="E2674" t="s">
        <v>45</v>
      </c>
      <c r="F2674" t="s">
        <v>100</v>
      </c>
      <c r="G2674" t="s">
        <v>34</v>
      </c>
      <c r="H2674" t="s">
        <v>44</v>
      </c>
      <c r="I2674" t="s">
        <v>36</v>
      </c>
      <c r="J2674" t="s">
        <v>21</v>
      </c>
      <c r="K2674">
        <v>8</v>
      </c>
      <c r="L2674">
        <v>0.56000000000000005</v>
      </c>
      <c r="M2674">
        <v>5</v>
      </c>
      <c r="N2674" t="s">
        <v>22</v>
      </c>
      <c r="O2674" t="str">
        <f t="shared" si="41"/>
        <v>No</v>
      </c>
    </row>
    <row r="2675" spans="1:15" x14ac:dyDescent="0.25">
      <c r="A2675" t="s">
        <v>2736</v>
      </c>
      <c r="B2675" s="1">
        <v>45691</v>
      </c>
      <c r="C2675" s="2">
        <v>45692.883333333331</v>
      </c>
      <c r="D2675" t="s">
        <v>15</v>
      </c>
      <c r="E2675" t="s">
        <v>32</v>
      </c>
      <c r="F2675" t="s">
        <v>75</v>
      </c>
      <c r="G2675" t="s">
        <v>41</v>
      </c>
      <c r="H2675" t="s">
        <v>44</v>
      </c>
      <c r="I2675" t="s">
        <v>20</v>
      </c>
      <c r="J2675" t="s">
        <v>21</v>
      </c>
      <c r="K2675">
        <v>48</v>
      </c>
      <c r="L2675">
        <v>45.2</v>
      </c>
      <c r="M2675">
        <v>4.8</v>
      </c>
      <c r="N2675" t="s">
        <v>22</v>
      </c>
      <c r="O2675" t="str">
        <f t="shared" si="41"/>
        <v>No</v>
      </c>
    </row>
    <row r="2676" spans="1:15" x14ac:dyDescent="0.25">
      <c r="A2676" t="s">
        <v>2737</v>
      </c>
      <c r="B2676" s="1">
        <v>45826</v>
      </c>
      <c r="C2676" s="2">
        <v>45827.068333333336</v>
      </c>
      <c r="D2676" t="s">
        <v>15</v>
      </c>
      <c r="E2676" t="s">
        <v>32</v>
      </c>
      <c r="F2676" t="s">
        <v>64</v>
      </c>
      <c r="G2676" t="s">
        <v>18</v>
      </c>
      <c r="H2676" t="s">
        <v>44</v>
      </c>
      <c r="I2676" t="s">
        <v>36</v>
      </c>
      <c r="J2676" t="s">
        <v>21</v>
      </c>
      <c r="K2676">
        <v>48</v>
      </c>
      <c r="L2676">
        <v>25.64</v>
      </c>
      <c r="M2676">
        <v>4</v>
      </c>
      <c r="N2676" t="s">
        <v>22</v>
      </c>
      <c r="O2676" t="str">
        <f t="shared" si="41"/>
        <v>No</v>
      </c>
    </row>
    <row r="2677" spans="1:15" x14ac:dyDescent="0.25">
      <c r="A2677" t="s">
        <v>2738</v>
      </c>
      <c r="B2677" s="1">
        <v>45765</v>
      </c>
      <c r="C2677" s="2">
        <v>45765.36791666667</v>
      </c>
      <c r="D2677" t="s">
        <v>15</v>
      </c>
      <c r="E2677" t="s">
        <v>16</v>
      </c>
      <c r="F2677" t="s">
        <v>60</v>
      </c>
      <c r="G2677" t="s">
        <v>34</v>
      </c>
      <c r="H2677" t="s">
        <v>54</v>
      </c>
      <c r="I2677" t="s">
        <v>36</v>
      </c>
      <c r="J2677" t="s">
        <v>46</v>
      </c>
      <c r="K2677">
        <v>48</v>
      </c>
      <c r="L2677">
        <v>8.83</v>
      </c>
      <c r="M2677">
        <v>5</v>
      </c>
      <c r="N2677" t="s">
        <v>22</v>
      </c>
      <c r="O2677" t="str">
        <f t="shared" si="41"/>
        <v>No</v>
      </c>
    </row>
    <row r="2678" spans="1:15" x14ac:dyDescent="0.25">
      <c r="A2678" t="s">
        <v>2739</v>
      </c>
      <c r="B2678" s="1">
        <v>45832</v>
      </c>
      <c r="C2678" s="2">
        <v>45832.534583333334</v>
      </c>
      <c r="D2678" t="s">
        <v>15</v>
      </c>
      <c r="E2678" t="s">
        <v>32</v>
      </c>
      <c r="F2678" t="s">
        <v>80</v>
      </c>
      <c r="G2678" t="s">
        <v>41</v>
      </c>
      <c r="H2678" t="s">
        <v>27</v>
      </c>
      <c r="I2678" t="s">
        <v>36</v>
      </c>
      <c r="J2678" t="s">
        <v>46</v>
      </c>
      <c r="K2678">
        <v>48</v>
      </c>
      <c r="L2678">
        <v>12.83</v>
      </c>
      <c r="M2678">
        <v>5</v>
      </c>
      <c r="N2678" t="s">
        <v>22</v>
      </c>
      <c r="O2678" t="str">
        <f t="shared" si="41"/>
        <v>No</v>
      </c>
    </row>
    <row r="2679" spans="1:15" x14ac:dyDescent="0.25">
      <c r="A2679" t="s">
        <v>2740</v>
      </c>
      <c r="B2679" s="1">
        <v>45816</v>
      </c>
      <c r="C2679" s="2">
        <v>45816.642916666664</v>
      </c>
      <c r="D2679" t="s">
        <v>15</v>
      </c>
      <c r="E2679" t="s">
        <v>25</v>
      </c>
      <c r="F2679" t="s">
        <v>26</v>
      </c>
      <c r="G2679" t="s">
        <v>56</v>
      </c>
      <c r="H2679" t="s">
        <v>44</v>
      </c>
      <c r="I2679" t="s">
        <v>36</v>
      </c>
      <c r="J2679" t="s">
        <v>21</v>
      </c>
      <c r="K2679">
        <v>48</v>
      </c>
      <c r="L2679">
        <v>15.43</v>
      </c>
      <c r="M2679">
        <v>4.5999999999999996</v>
      </c>
      <c r="N2679" t="s">
        <v>22</v>
      </c>
      <c r="O2679" t="str">
        <f t="shared" si="41"/>
        <v>No</v>
      </c>
    </row>
    <row r="2680" spans="1:15" x14ac:dyDescent="0.25">
      <c r="A2680" t="s">
        <v>2741</v>
      </c>
      <c r="B2680" s="1">
        <v>45762</v>
      </c>
      <c r="C2680" s="2">
        <v>45762.447083333333</v>
      </c>
      <c r="D2680" t="s">
        <v>24</v>
      </c>
      <c r="E2680" t="s">
        <v>32</v>
      </c>
      <c r="F2680" t="s">
        <v>80</v>
      </c>
      <c r="G2680" t="s">
        <v>18</v>
      </c>
      <c r="H2680" t="s">
        <v>35</v>
      </c>
      <c r="I2680" t="s">
        <v>45</v>
      </c>
      <c r="J2680" t="s">
        <v>46</v>
      </c>
      <c r="K2680">
        <v>24</v>
      </c>
      <c r="L2680">
        <v>10.73</v>
      </c>
      <c r="M2680">
        <v>4.3</v>
      </c>
      <c r="N2680" t="s">
        <v>22</v>
      </c>
      <c r="O2680" t="str">
        <f t="shared" si="41"/>
        <v>No</v>
      </c>
    </row>
    <row r="2681" spans="1:15" x14ac:dyDescent="0.25">
      <c r="A2681" t="s">
        <v>2742</v>
      </c>
      <c r="B2681" s="1">
        <v>45725</v>
      </c>
      <c r="C2681" s="2">
        <v>45725.574999999997</v>
      </c>
      <c r="D2681" t="s">
        <v>24</v>
      </c>
      <c r="E2681" t="s">
        <v>16</v>
      </c>
      <c r="F2681" t="s">
        <v>58</v>
      </c>
      <c r="G2681" t="s">
        <v>41</v>
      </c>
      <c r="H2681" t="s">
        <v>54</v>
      </c>
      <c r="I2681" t="s">
        <v>45</v>
      </c>
      <c r="J2681" t="s">
        <v>21</v>
      </c>
      <c r="K2681">
        <v>24</v>
      </c>
      <c r="L2681">
        <v>13.8</v>
      </c>
      <c r="M2681">
        <v>3.2</v>
      </c>
      <c r="N2681" t="s">
        <v>22</v>
      </c>
      <c r="O2681" t="str">
        <f t="shared" si="41"/>
        <v>No</v>
      </c>
    </row>
    <row r="2682" spans="1:15" x14ac:dyDescent="0.25">
      <c r="A2682" t="s">
        <v>2743</v>
      </c>
      <c r="B2682" s="1">
        <v>45679</v>
      </c>
      <c r="C2682" s="2">
        <v>45679.590833333335</v>
      </c>
      <c r="D2682" t="s">
        <v>24</v>
      </c>
      <c r="E2682" t="s">
        <v>25</v>
      </c>
      <c r="F2682" t="s">
        <v>53</v>
      </c>
      <c r="G2682" t="s">
        <v>18</v>
      </c>
      <c r="H2682" t="s">
        <v>44</v>
      </c>
      <c r="I2682" t="s">
        <v>45</v>
      </c>
      <c r="J2682" t="s">
        <v>21</v>
      </c>
      <c r="K2682">
        <v>24</v>
      </c>
      <c r="L2682">
        <v>14.18</v>
      </c>
      <c r="M2682">
        <v>3.7</v>
      </c>
      <c r="N2682" t="s">
        <v>22</v>
      </c>
      <c r="O2682" t="str">
        <f t="shared" si="41"/>
        <v>No</v>
      </c>
    </row>
    <row r="2683" spans="1:15" x14ac:dyDescent="0.25">
      <c r="A2683" t="s">
        <v>2744</v>
      </c>
      <c r="B2683" s="1">
        <v>45676</v>
      </c>
      <c r="C2683" s="2">
        <v>45676.875833333332</v>
      </c>
      <c r="D2683" t="s">
        <v>24</v>
      </c>
      <c r="E2683" t="s">
        <v>16</v>
      </c>
      <c r="F2683" t="s">
        <v>43</v>
      </c>
      <c r="G2683" t="s">
        <v>56</v>
      </c>
      <c r="H2683" t="s">
        <v>35</v>
      </c>
      <c r="I2683" t="s">
        <v>36</v>
      </c>
      <c r="J2683" t="s">
        <v>21</v>
      </c>
      <c r="K2683">
        <v>24</v>
      </c>
      <c r="L2683">
        <v>21.02</v>
      </c>
      <c r="M2683">
        <v>3.5</v>
      </c>
      <c r="N2683" t="s">
        <v>61</v>
      </c>
      <c r="O2683" t="str">
        <f t="shared" si="41"/>
        <v>No</v>
      </c>
    </row>
    <row r="2684" spans="1:15" x14ac:dyDescent="0.25">
      <c r="A2684" t="s">
        <v>2745</v>
      </c>
      <c r="B2684" s="1">
        <v>45728</v>
      </c>
      <c r="C2684" s="2">
        <v>45729.037083333336</v>
      </c>
      <c r="D2684" t="s">
        <v>15</v>
      </c>
      <c r="E2684" t="s">
        <v>32</v>
      </c>
      <c r="F2684" t="s">
        <v>75</v>
      </c>
      <c r="G2684" t="s">
        <v>51</v>
      </c>
      <c r="H2684" t="s">
        <v>19</v>
      </c>
      <c r="I2684" t="s">
        <v>45</v>
      </c>
      <c r="J2684" t="s">
        <v>21</v>
      </c>
      <c r="K2684">
        <v>48</v>
      </c>
      <c r="L2684">
        <v>24.89</v>
      </c>
      <c r="M2684">
        <v>3.6</v>
      </c>
      <c r="N2684" t="s">
        <v>22</v>
      </c>
      <c r="O2684" t="str">
        <f t="shared" si="41"/>
        <v>No</v>
      </c>
    </row>
    <row r="2685" spans="1:15" x14ac:dyDescent="0.25">
      <c r="A2685" t="s">
        <v>2746</v>
      </c>
      <c r="B2685" s="1">
        <v>45804</v>
      </c>
      <c r="C2685" s="2">
        <v>45804.656666666669</v>
      </c>
      <c r="D2685" t="s">
        <v>24</v>
      </c>
      <c r="E2685" t="s">
        <v>32</v>
      </c>
      <c r="F2685" t="s">
        <v>64</v>
      </c>
      <c r="G2685" t="s">
        <v>51</v>
      </c>
      <c r="H2685" t="s">
        <v>27</v>
      </c>
      <c r="I2685" t="s">
        <v>36</v>
      </c>
      <c r="J2685" t="s">
        <v>21</v>
      </c>
      <c r="K2685">
        <v>24</v>
      </c>
      <c r="L2685">
        <v>15.76</v>
      </c>
      <c r="M2685">
        <v>4.3</v>
      </c>
      <c r="N2685" t="s">
        <v>22</v>
      </c>
      <c r="O2685" t="str">
        <f t="shared" si="41"/>
        <v>No</v>
      </c>
    </row>
    <row r="2686" spans="1:15" x14ac:dyDescent="0.25">
      <c r="A2686" t="s">
        <v>2747</v>
      </c>
      <c r="B2686" s="1">
        <v>45749</v>
      </c>
      <c r="C2686" s="2">
        <v>45750.06958333333</v>
      </c>
      <c r="D2686" t="s">
        <v>15</v>
      </c>
      <c r="E2686" t="s">
        <v>32</v>
      </c>
      <c r="F2686" t="s">
        <v>80</v>
      </c>
      <c r="G2686" t="s">
        <v>41</v>
      </c>
      <c r="H2686" t="s">
        <v>19</v>
      </c>
      <c r="I2686" t="s">
        <v>45</v>
      </c>
      <c r="J2686" t="s">
        <v>85</v>
      </c>
      <c r="K2686">
        <v>48</v>
      </c>
      <c r="L2686">
        <v>25.67</v>
      </c>
      <c r="M2686">
        <v>4.9000000000000004</v>
      </c>
      <c r="N2686" t="s">
        <v>61</v>
      </c>
      <c r="O2686" t="str">
        <f t="shared" si="41"/>
        <v>No</v>
      </c>
    </row>
    <row r="2687" spans="1:15" x14ac:dyDescent="0.25">
      <c r="A2687" t="s">
        <v>2748</v>
      </c>
      <c r="B2687" s="1">
        <v>45745</v>
      </c>
      <c r="C2687" s="2">
        <v>45745.020833333336</v>
      </c>
      <c r="D2687" t="s">
        <v>38</v>
      </c>
      <c r="E2687" t="s">
        <v>32</v>
      </c>
      <c r="F2687" t="s">
        <v>64</v>
      </c>
      <c r="G2687" t="s">
        <v>18</v>
      </c>
      <c r="H2687" t="s">
        <v>27</v>
      </c>
      <c r="I2687" t="s">
        <v>20</v>
      </c>
      <c r="J2687" t="s">
        <v>21</v>
      </c>
      <c r="K2687">
        <v>8</v>
      </c>
      <c r="L2687">
        <v>0.5</v>
      </c>
      <c r="M2687">
        <v>4.7</v>
      </c>
      <c r="N2687" t="s">
        <v>61</v>
      </c>
      <c r="O2687" t="str">
        <f t="shared" si="41"/>
        <v>No</v>
      </c>
    </row>
    <row r="2688" spans="1:15" x14ac:dyDescent="0.25">
      <c r="A2688" t="s">
        <v>2749</v>
      </c>
      <c r="B2688" s="1">
        <v>45702</v>
      </c>
      <c r="C2688" s="2">
        <v>45702.306250000001</v>
      </c>
      <c r="D2688" t="s">
        <v>15</v>
      </c>
      <c r="E2688" t="s">
        <v>16</v>
      </c>
      <c r="F2688" t="s">
        <v>43</v>
      </c>
      <c r="G2688" t="s">
        <v>41</v>
      </c>
      <c r="H2688" t="s">
        <v>44</v>
      </c>
      <c r="I2688" t="s">
        <v>45</v>
      </c>
      <c r="J2688" t="s">
        <v>21</v>
      </c>
      <c r="K2688">
        <v>48</v>
      </c>
      <c r="L2688">
        <v>7.35</v>
      </c>
      <c r="M2688">
        <v>3.4</v>
      </c>
      <c r="N2688" t="s">
        <v>22</v>
      </c>
      <c r="O2688" t="str">
        <f t="shared" si="41"/>
        <v>No</v>
      </c>
    </row>
    <row r="2689" spans="1:15" x14ac:dyDescent="0.25">
      <c r="A2689" t="s">
        <v>2750</v>
      </c>
      <c r="B2689" s="1">
        <v>45760</v>
      </c>
      <c r="C2689" s="2">
        <v>45760.198333333334</v>
      </c>
      <c r="D2689" t="s">
        <v>24</v>
      </c>
      <c r="E2689" t="s">
        <v>39</v>
      </c>
      <c r="F2689" t="s">
        <v>119</v>
      </c>
      <c r="G2689" t="s">
        <v>41</v>
      </c>
      <c r="H2689" t="s">
        <v>44</v>
      </c>
      <c r="I2689" t="s">
        <v>28</v>
      </c>
      <c r="J2689" t="s">
        <v>21</v>
      </c>
      <c r="K2689">
        <v>24</v>
      </c>
      <c r="L2689">
        <v>4.76</v>
      </c>
      <c r="M2689">
        <v>4.7</v>
      </c>
      <c r="N2689" t="s">
        <v>22</v>
      </c>
      <c r="O2689" t="str">
        <f t="shared" si="41"/>
        <v>No</v>
      </c>
    </row>
    <row r="2690" spans="1:15" x14ac:dyDescent="0.25">
      <c r="A2690" t="s">
        <v>2751</v>
      </c>
      <c r="B2690" s="1">
        <v>45773</v>
      </c>
      <c r="C2690" s="2">
        <v>45773.167083333334</v>
      </c>
      <c r="D2690" t="s">
        <v>38</v>
      </c>
      <c r="E2690" t="s">
        <v>32</v>
      </c>
      <c r="F2690" t="s">
        <v>64</v>
      </c>
      <c r="G2690" t="s">
        <v>18</v>
      </c>
      <c r="H2690" t="s">
        <v>44</v>
      </c>
      <c r="I2690" t="s">
        <v>36</v>
      </c>
      <c r="J2690" t="s">
        <v>21</v>
      </c>
      <c r="K2690">
        <v>8</v>
      </c>
      <c r="L2690">
        <v>4.01</v>
      </c>
      <c r="M2690">
        <v>4.5999999999999996</v>
      </c>
      <c r="N2690" t="s">
        <v>22</v>
      </c>
      <c r="O2690" t="str">
        <f t="shared" si="41"/>
        <v>No</v>
      </c>
    </row>
    <row r="2691" spans="1:15" x14ac:dyDescent="0.25">
      <c r="A2691" t="s">
        <v>2752</v>
      </c>
      <c r="B2691" s="1">
        <v>45835</v>
      </c>
      <c r="C2691" s="2">
        <v>45835.537499999999</v>
      </c>
      <c r="D2691" t="s">
        <v>24</v>
      </c>
      <c r="E2691" t="s">
        <v>32</v>
      </c>
      <c r="F2691" t="s">
        <v>64</v>
      </c>
      <c r="G2691" t="s">
        <v>51</v>
      </c>
      <c r="H2691" t="s">
        <v>65</v>
      </c>
      <c r="I2691" t="s">
        <v>20</v>
      </c>
      <c r="J2691" t="s">
        <v>29</v>
      </c>
      <c r="K2691">
        <v>24</v>
      </c>
      <c r="L2691">
        <v>12.9</v>
      </c>
      <c r="M2691">
        <v>4.5</v>
      </c>
      <c r="N2691" t="s">
        <v>22</v>
      </c>
      <c r="O2691" t="str">
        <f t="shared" ref="O2691:O2754" si="42">IF(L2691&gt;K2691,"Yes","No")</f>
        <v>No</v>
      </c>
    </row>
    <row r="2692" spans="1:15" x14ac:dyDescent="0.25">
      <c r="A2692" t="s">
        <v>2753</v>
      </c>
      <c r="B2692" s="1">
        <v>45790</v>
      </c>
      <c r="C2692" s="2">
        <v>45790.408333333333</v>
      </c>
      <c r="D2692" t="s">
        <v>24</v>
      </c>
      <c r="E2692" t="s">
        <v>45</v>
      </c>
      <c r="F2692" t="s">
        <v>50</v>
      </c>
      <c r="G2692" t="s">
        <v>18</v>
      </c>
      <c r="H2692" t="s">
        <v>27</v>
      </c>
      <c r="I2692" t="s">
        <v>20</v>
      </c>
      <c r="J2692" t="s">
        <v>46</v>
      </c>
      <c r="K2692">
        <v>24</v>
      </c>
      <c r="L2692">
        <v>9.8000000000000007</v>
      </c>
      <c r="M2692">
        <v>4</v>
      </c>
      <c r="N2692" t="s">
        <v>22</v>
      </c>
      <c r="O2692" t="str">
        <f t="shared" si="42"/>
        <v>No</v>
      </c>
    </row>
    <row r="2693" spans="1:15" x14ac:dyDescent="0.25">
      <c r="A2693" t="s">
        <v>2754</v>
      </c>
      <c r="B2693" s="1">
        <v>45767</v>
      </c>
      <c r="C2693" s="2">
        <v>45767.735000000001</v>
      </c>
      <c r="D2693" t="s">
        <v>24</v>
      </c>
      <c r="E2693" t="s">
        <v>32</v>
      </c>
      <c r="F2693" t="s">
        <v>80</v>
      </c>
      <c r="G2693" t="s">
        <v>41</v>
      </c>
      <c r="H2693" t="s">
        <v>27</v>
      </c>
      <c r="I2693" t="s">
        <v>45</v>
      </c>
      <c r="J2693" t="s">
        <v>21</v>
      </c>
      <c r="K2693">
        <v>24</v>
      </c>
      <c r="L2693">
        <v>17.64</v>
      </c>
      <c r="M2693">
        <v>3.3</v>
      </c>
      <c r="N2693" t="s">
        <v>22</v>
      </c>
      <c r="O2693" t="str">
        <f t="shared" si="42"/>
        <v>No</v>
      </c>
    </row>
    <row r="2694" spans="1:15" x14ac:dyDescent="0.25">
      <c r="A2694" t="s">
        <v>2755</v>
      </c>
      <c r="B2694" s="1">
        <v>45822</v>
      </c>
      <c r="C2694" s="2">
        <v>45823.625416666669</v>
      </c>
      <c r="D2694" t="s">
        <v>15</v>
      </c>
      <c r="E2694" t="s">
        <v>39</v>
      </c>
      <c r="F2694" t="s">
        <v>87</v>
      </c>
      <c r="G2694" t="s">
        <v>18</v>
      </c>
      <c r="H2694" t="s">
        <v>27</v>
      </c>
      <c r="I2694" t="s">
        <v>45</v>
      </c>
      <c r="J2694" t="s">
        <v>85</v>
      </c>
      <c r="K2694">
        <v>48</v>
      </c>
      <c r="L2694">
        <v>39.01</v>
      </c>
      <c r="M2694">
        <v>4.5999999999999996</v>
      </c>
      <c r="N2694" t="s">
        <v>22</v>
      </c>
      <c r="O2694" t="str">
        <f t="shared" si="42"/>
        <v>No</v>
      </c>
    </row>
    <row r="2695" spans="1:15" x14ac:dyDescent="0.25">
      <c r="A2695" t="s">
        <v>2756</v>
      </c>
      <c r="B2695" s="1">
        <v>45734</v>
      </c>
      <c r="C2695" s="2">
        <v>45734.443333333336</v>
      </c>
      <c r="D2695" t="s">
        <v>24</v>
      </c>
      <c r="E2695" t="s">
        <v>39</v>
      </c>
      <c r="F2695" t="s">
        <v>78</v>
      </c>
      <c r="G2695" t="s">
        <v>56</v>
      </c>
      <c r="H2695" t="s">
        <v>19</v>
      </c>
      <c r="I2695" t="s">
        <v>36</v>
      </c>
      <c r="J2695" t="s">
        <v>21</v>
      </c>
      <c r="K2695">
        <v>24</v>
      </c>
      <c r="L2695">
        <v>10.64</v>
      </c>
      <c r="M2695">
        <v>4.7</v>
      </c>
      <c r="N2695" t="s">
        <v>22</v>
      </c>
      <c r="O2695" t="str">
        <f t="shared" si="42"/>
        <v>No</v>
      </c>
    </row>
    <row r="2696" spans="1:15" x14ac:dyDescent="0.25">
      <c r="A2696" t="s">
        <v>2757</v>
      </c>
      <c r="B2696" s="1">
        <v>45827</v>
      </c>
      <c r="C2696" s="2">
        <v>45827.295416666668</v>
      </c>
      <c r="D2696" t="s">
        <v>38</v>
      </c>
      <c r="E2696" t="s">
        <v>32</v>
      </c>
      <c r="F2696" t="s">
        <v>75</v>
      </c>
      <c r="G2696" t="s">
        <v>18</v>
      </c>
      <c r="H2696" t="s">
        <v>44</v>
      </c>
      <c r="I2696" t="s">
        <v>20</v>
      </c>
      <c r="J2696" t="s">
        <v>29</v>
      </c>
      <c r="K2696">
        <v>8</v>
      </c>
      <c r="L2696">
        <v>7.09</v>
      </c>
      <c r="M2696">
        <v>3.5</v>
      </c>
      <c r="N2696" t="s">
        <v>22</v>
      </c>
      <c r="O2696" t="str">
        <f t="shared" si="42"/>
        <v>No</v>
      </c>
    </row>
    <row r="2697" spans="1:15" x14ac:dyDescent="0.25">
      <c r="A2697" t="s">
        <v>2758</v>
      </c>
      <c r="B2697" s="1">
        <v>45724</v>
      </c>
      <c r="C2697" s="2">
        <v>45724.065405092595</v>
      </c>
      <c r="D2697" t="s">
        <v>31</v>
      </c>
      <c r="E2697" t="s">
        <v>45</v>
      </c>
      <c r="F2697" t="s">
        <v>112</v>
      </c>
      <c r="G2697" t="s">
        <v>34</v>
      </c>
      <c r="H2697" t="s">
        <v>19</v>
      </c>
      <c r="I2697" t="s">
        <v>45</v>
      </c>
      <c r="J2697" t="s">
        <v>21</v>
      </c>
      <c r="K2697">
        <v>4</v>
      </c>
      <c r="L2697">
        <v>1.57</v>
      </c>
      <c r="M2697">
        <v>3.6</v>
      </c>
      <c r="N2697" t="s">
        <v>22</v>
      </c>
      <c r="O2697" t="str">
        <f t="shared" si="42"/>
        <v>No</v>
      </c>
    </row>
    <row r="2698" spans="1:15" x14ac:dyDescent="0.25">
      <c r="A2698" t="s">
        <v>2759</v>
      </c>
      <c r="B2698" s="1">
        <v>45681</v>
      </c>
      <c r="C2698" s="2">
        <v>45681.627500000002</v>
      </c>
      <c r="D2698" t="s">
        <v>24</v>
      </c>
      <c r="E2698" t="s">
        <v>32</v>
      </c>
      <c r="F2698" t="s">
        <v>33</v>
      </c>
      <c r="G2698" t="s">
        <v>56</v>
      </c>
      <c r="H2698" t="s">
        <v>65</v>
      </c>
      <c r="I2698" t="s">
        <v>45</v>
      </c>
      <c r="J2698" t="s">
        <v>46</v>
      </c>
      <c r="K2698">
        <v>24</v>
      </c>
      <c r="L2698">
        <v>15.06</v>
      </c>
      <c r="M2698">
        <v>4.4000000000000004</v>
      </c>
      <c r="N2698" t="s">
        <v>22</v>
      </c>
      <c r="O2698" t="str">
        <f t="shared" si="42"/>
        <v>No</v>
      </c>
    </row>
    <row r="2699" spans="1:15" x14ac:dyDescent="0.25">
      <c r="A2699" t="s">
        <v>2760</v>
      </c>
      <c r="B2699" s="1">
        <v>45733</v>
      </c>
      <c r="C2699" s="2">
        <v>45733.030416666668</v>
      </c>
      <c r="D2699" t="s">
        <v>24</v>
      </c>
      <c r="E2699" t="s">
        <v>16</v>
      </c>
      <c r="F2699" t="s">
        <v>17</v>
      </c>
      <c r="G2699" t="s">
        <v>34</v>
      </c>
      <c r="H2699" t="s">
        <v>19</v>
      </c>
      <c r="I2699" t="s">
        <v>36</v>
      </c>
      <c r="J2699" t="s">
        <v>29</v>
      </c>
      <c r="K2699">
        <v>24</v>
      </c>
      <c r="L2699">
        <v>0.73</v>
      </c>
      <c r="M2699">
        <v>4.4000000000000004</v>
      </c>
      <c r="N2699" t="s">
        <v>22</v>
      </c>
      <c r="O2699" t="str">
        <f t="shared" si="42"/>
        <v>No</v>
      </c>
    </row>
    <row r="2700" spans="1:15" x14ac:dyDescent="0.25">
      <c r="A2700" t="s">
        <v>2761</v>
      </c>
      <c r="B2700" s="1">
        <v>45681</v>
      </c>
      <c r="C2700" s="2">
        <v>45681.149583333332</v>
      </c>
      <c r="D2700" t="s">
        <v>38</v>
      </c>
      <c r="E2700" t="s">
        <v>16</v>
      </c>
      <c r="F2700" t="s">
        <v>60</v>
      </c>
      <c r="G2700" t="s">
        <v>41</v>
      </c>
      <c r="H2700" t="s">
        <v>44</v>
      </c>
      <c r="I2700" t="s">
        <v>36</v>
      </c>
      <c r="J2700" t="s">
        <v>21</v>
      </c>
      <c r="K2700">
        <v>8</v>
      </c>
      <c r="L2700">
        <v>3.59</v>
      </c>
      <c r="M2700">
        <v>4.7</v>
      </c>
      <c r="N2700" t="s">
        <v>22</v>
      </c>
      <c r="O2700" t="str">
        <f t="shared" si="42"/>
        <v>No</v>
      </c>
    </row>
    <row r="2701" spans="1:15" x14ac:dyDescent="0.25">
      <c r="A2701" t="s">
        <v>2762</v>
      </c>
      <c r="B2701" s="1">
        <v>45679</v>
      </c>
      <c r="C2701" s="2">
        <v>45679.912083333336</v>
      </c>
      <c r="D2701" t="s">
        <v>24</v>
      </c>
      <c r="E2701" t="s">
        <v>25</v>
      </c>
      <c r="F2701" t="s">
        <v>48</v>
      </c>
      <c r="G2701" t="s">
        <v>18</v>
      </c>
      <c r="H2701" t="s">
        <v>44</v>
      </c>
      <c r="I2701" t="s">
        <v>28</v>
      </c>
      <c r="J2701" t="s">
        <v>21</v>
      </c>
      <c r="K2701">
        <v>24</v>
      </c>
      <c r="L2701">
        <v>21.89</v>
      </c>
      <c r="M2701">
        <v>4</v>
      </c>
      <c r="N2701" t="s">
        <v>22</v>
      </c>
      <c r="O2701" t="str">
        <f t="shared" si="42"/>
        <v>No</v>
      </c>
    </row>
    <row r="2702" spans="1:15" x14ac:dyDescent="0.25">
      <c r="A2702" t="s">
        <v>2763</v>
      </c>
      <c r="B2702" s="1">
        <v>45817</v>
      </c>
      <c r="C2702" s="2">
        <v>45818.012071759258</v>
      </c>
      <c r="D2702" t="s">
        <v>15</v>
      </c>
      <c r="E2702" t="s">
        <v>16</v>
      </c>
      <c r="F2702" t="s">
        <v>17</v>
      </c>
      <c r="G2702" t="s">
        <v>41</v>
      </c>
      <c r="H2702" t="s">
        <v>44</v>
      </c>
      <c r="I2702" t="s">
        <v>36</v>
      </c>
      <c r="J2702" t="s">
        <v>21</v>
      </c>
      <c r="K2702">
        <v>48</v>
      </c>
      <c r="L2702">
        <v>24.29</v>
      </c>
      <c r="M2702">
        <v>5</v>
      </c>
      <c r="N2702" t="s">
        <v>22</v>
      </c>
      <c r="O2702" t="str">
        <f t="shared" si="42"/>
        <v>No</v>
      </c>
    </row>
    <row r="2703" spans="1:15" x14ac:dyDescent="0.25">
      <c r="A2703" t="s">
        <v>2764</v>
      </c>
      <c r="B2703" s="1">
        <v>45801</v>
      </c>
      <c r="C2703" s="2">
        <v>45801.377916666665</v>
      </c>
      <c r="D2703" t="s">
        <v>15</v>
      </c>
      <c r="E2703" t="s">
        <v>25</v>
      </c>
      <c r="F2703" t="s">
        <v>70</v>
      </c>
      <c r="G2703" t="s">
        <v>41</v>
      </c>
      <c r="H2703" t="s">
        <v>65</v>
      </c>
      <c r="I2703" t="s">
        <v>36</v>
      </c>
      <c r="J2703" t="s">
        <v>21</v>
      </c>
      <c r="K2703">
        <v>48</v>
      </c>
      <c r="L2703">
        <v>9.07</v>
      </c>
      <c r="M2703">
        <v>4.7</v>
      </c>
      <c r="N2703" t="s">
        <v>22</v>
      </c>
      <c r="O2703" t="str">
        <f t="shared" si="42"/>
        <v>No</v>
      </c>
    </row>
    <row r="2704" spans="1:15" x14ac:dyDescent="0.25">
      <c r="A2704" t="s">
        <v>2765</v>
      </c>
      <c r="B2704" s="1">
        <v>45698</v>
      </c>
      <c r="C2704" s="2">
        <v>45699.191666666666</v>
      </c>
      <c r="D2704" t="s">
        <v>15</v>
      </c>
      <c r="E2704" t="s">
        <v>39</v>
      </c>
      <c r="F2704" t="s">
        <v>119</v>
      </c>
      <c r="G2704" t="s">
        <v>34</v>
      </c>
      <c r="H2704" t="s">
        <v>19</v>
      </c>
      <c r="I2704" t="s">
        <v>36</v>
      </c>
      <c r="J2704" t="s">
        <v>21</v>
      </c>
      <c r="K2704">
        <v>48</v>
      </c>
      <c r="L2704">
        <v>28.6</v>
      </c>
      <c r="M2704">
        <v>5</v>
      </c>
      <c r="N2704" t="s">
        <v>22</v>
      </c>
      <c r="O2704" t="str">
        <f t="shared" si="42"/>
        <v>No</v>
      </c>
    </row>
    <row r="2705" spans="1:15" x14ac:dyDescent="0.25">
      <c r="A2705" t="s">
        <v>2766</v>
      </c>
      <c r="B2705" s="1">
        <v>45809</v>
      </c>
      <c r="C2705" s="2">
        <v>45809.406666666669</v>
      </c>
      <c r="D2705" t="s">
        <v>24</v>
      </c>
      <c r="E2705" t="s">
        <v>16</v>
      </c>
      <c r="F2705" t="s">
        <v>60</v>
      </c>
      <c r="G2705" t="s">
        <v>56</v>
      </c>
      <c r="H2705" t="s">
        <v>27</v>
      </c>
      <c r="I2705" t="s">
        <v>45</v>
      </c>
      <c r="J2705" t="s">
        <v>21</v>
      </c>
      <c r="K2705">
        <v>24</v>
      </c>
      <c r="L2705">
        <v>9.76</v>
      </c>
      <c r="M2705">
        <v>4.5999999999999996</v>
      </c>
      <c r="N2705" t="s">
        <v>22</v>
      </c>
      <c r="O2705" t="str">
        <f t="shared" si="42"/>
        <v>No</v>
      </c>
    </row>
    <row r="2706" spans="1:15" x14ac:dyDescent="0.25">
      <c r="A2706" t="s">
        <v>2767</v>
      </c>
      <c r="B2706" s="1">
        <v>45670</v>
      </c>
      <c r="C2706" s="2">
        <v>45671.292083333334</v>
      </c>
      <c r="D2706" t="s">
        <v>15</v>
      </c>
      <c r="E2706" t="s">
        <v>16</v>
      </c>
      <c r="F2706" t="s">
        <v>58</v>
      </c>
      <c r="G2706" t="s">
        <v>51</v>
      </c>
      <c r="H2706" t="s">
        <v>44</v>
      </c>
      <c r="I2706" t="s">
        <v>20</v>
      </c>
      <c r="J2706" t="s">
        <v>21</v>
      </c>
      <c r="K2706">
        <v>48</v>
      </c>
      <c r="L2706">
        <v>31.01</v>
      </c>
      <c r="M2706">
        <v>3.8</v>
      </c>
      <c r="N2706" t="s">
        <v>22</v>
      </c>
      <c r="O2706" t="str">
        <f t="shared" si="42"/>
        <v>No</v>
      </c>
    </row>
    <row r="2707" spans="1:15" x14ac:dyDescent="0.25">
      <c r="A2707" t="s">
        <v>2768</v>
      </c>
      <c r="B2707" s="1">
        <v>45709</v>
      </c>
      <c r="C2707" s="2">
        <v>45709.510416666664</v>
      </c>
      <c r="D2707" t="s">
        <v>15</v>
      </c>
      <c r="E2707" t="s">
        <v>16</v>
      </c>
      <c r="F2707" t="s">
        <v>60</v>
      </c>
      <c r="G2707" t="s">
        <v>18</v>
      </c>
      <c r="H2707" t="s">
        <v>54</v>
      </c>
      <c r="I2707" t="s">
        <v>28</v>
      </c>
      <c r="J2707" t="s">
        <v>21</v>
      </c>
      <c r="K2707">
        <v>48</v>
      </c>
      <c r="L2707">
        <v>12.25</v>
      </c>
      <c r="M2707">
        <v>4</v>
      </c>
      <c r="N2707" t="s">
        <v>22</v>
      </c>
      <c r="O2707" t="str">
        <f t="shared" si="42"/>
        <v>No</v>
      </c>
    </row>
    <row r="2708" spans="1:15" x14ac:dyDescent="0.25">
      <c r="A2708" t="s">
        <v>2769</v>
      </c>
      <c r="B2708" s="1">
        <v>45785</v>
      </c>
      <c r="C2708" s="2">
        <v>45785.862083333333</v>
      </c>
      <c r="D2708" t="s">
        <v>15</v>
      </c>
      <c r="E2708" t="s">
        <v>16</v>
      </c>
      <c r="F2708" t="s">
        <v>58</v>
      </c>
      <c r="G2708" t="s">
        <v>41</v>
      </c>
      <c r="H2708" t="s">
        <v>54</v>
      </c>
      <c r="I2708" t="s">
        <v>45</v>
      </c>
      <c r="J2708" t="s">
        <v>29</v>
      </c>
      <c r="K2708">
        <v>48</v>
      </c>
      <c r="L2708">
        <v>20.69</v>
      </c>
      <c r="M2708">
        <v>3.9</v>
      </c>
      <c r="N2708" t="s">
        <v>22</v>
      </c>
      <c r="O2708" t="str">
        <f t="shared" si="42"/>
        <v>No</v>
      </c>
    </row>
    <row r="2709" spans="1:15" x14ac:dyDescent="0.25">
      <c r="A2709" t="s">
        <v>2770</v>
      </c>
      <c r="B2709" s="1">
        <v>45712</v>
      </c>
      <c r="C2709" s="2">
        <v>45712.06</v>
      </c>
      <c r="D2709" t="s">
        <v>38</v>
      </c>
      <c r="E2709" t="s">
        <v>32</v>
      </c>
      <c r="F2709" t="s">
        <v>33</v>
      </c>
      <c r="G2709" t="s">
        <v>34</v>
      </c>
      <c r="H2709" t="s">
        <v>35</v>
      </c>
      <c r="I2709" t="s">
        <v>36</v>
      </c>
      <c r="J2709" t="s">
        <v>21</v>
      </c>
      <c r="K2709">
        <v>8</v>
      </c>
      <c r="L2709">
        <v>1.44</v>
      </c>
      <c r="M2709">
        <v>5</v>
      </c>
      <c r="N2709" t="s">
        <v>22</v>
      </c>
      <c r="O2709" t="str">
        <f t="shared" si="42"/>
        <v>No</v>
      </c>
    </row>
    <row r="2710" spans="1:15" x14ac:dyDescent="0.25">
      <c r="A2710" t="s">
        <v>2771</v>
      </c>
      <c r="B2710" s="1">
        <v>45790</v>
      </c>
      <c r="C2710" s="2">
        <v>45790.643333333333</v>
      </c>
      <c r="D2710" t="s">
        <v>15</v>
      </c>
      <c r="E2710" t="s">
        <v>32</v>
      </c>
      <c r="F2710" t="s">
        <v>64</v>
      </c>
      <c r="G2710" t="s">
        <v>51</v>
      </c>
      <c r="H2710" t="s">
        <v>35</v>
      </c>
      <c r="I2710" t="s">
        <v>36</v>
      </c>
      <c r="J2710" t="s">
        <v>21</v>
      </c>
      <c r="K2710">
        <v>48</v>
      </c>
      <c r="L2710">
        <v>15.44</v>
      </c>
      <c r="M2710">
        <v>4.7</v>
      </c>
      <c r="N2710" t="s">
        <v>22</v>
      </c>
      <c r="O2710" t="str">
        <f t="shared" si="42"/>
        <v>No</v>
      </c>
    </row>
    <row r="2711" spans="1:15" x14ac:dyDescent="0.25">
      <c r="A2711" t="s">
        <v>2772</v>
      </c>
      <c r="B2711" s="1">
        <v>45816</v>
      </c>
      <c r="C2711" s="2">
        <v>45817.120416666665</v>
      </c>
      <c r="D2711" t="s">
        <v>15</v>
      </c>
      <c r="E2711" t="s">
        <v>39</v>
      </c>
      <c r="F2711" t="s">
        <v>40</v>
      </c>
      <c r="G2711" t="s">
        <v>51</v>
      </c>
      <c r="H2711" t="s">
        <v>35</v>
      </c>
      <c r="I2711" t="s">
        <v>36</v>
      </c>
      <c r="J2711" t="s">
        <v>21</v>
      </c>
      <c r="K2711">
        <v>48</v>
      </c>
      <c r="L2711">
        <v>26.89</v>
      </c>
      <c r="M2711">
        <v>3.1</v>
      </c>
      <c r="N2711" t="s">
        <v>22</v>
      </c>
      <c r="O2711" t="str">
        <f t="shared" si="42"/>
        <v>No</v>
      </c>
    </row>
    <row r="2712" spans="1:15" x14ac:dyDescent="0.25">
      <c r="A2712" t="s">
        <v>2773</v>
      </c>
      <c r="B2712" s="1">
        <v>45669</v>
      </c>
      <c r="C2712" s="2">
        <v>45669.085416666669</v>
      </c>
      <c r="D2712" t="s">
        <v>24</v>
      </c>
      <c r="E2712" t="s">
        <v>32</v>
      </c>
      <c r="F2712" t="s">
        <v>80</v>
      </c>
      <c r="G2712" t="s">
        <v>56</v>
      </c>
      <c r="H2712" t="s">
        <v>44</v>
      </c>
      <c r="I2712" t="s">
        <v>45</v>
      </c>
      <c r="J2712" t="s">
        <v>85</v>
      </c>
      <c r="K2712">
        <v>24</v>
      </c>
      <c r="L2712">
        <v>2.0499999999999998</v>
      </c>
      <c r="M2712">
        <v>5</v>
      </c>
      <c r="N2712" t="s">
        <v>61</v>
      </c>
      <c r="O2712" t="str">
        <f t="shared" si="42"/>
        <v>No</v>
      </c>
    </row>
    <row r="2713" spans="1:15" x14ac:dyDescent="0.25">
      <c r="A2713" t="s">
        <v>2774</v>
      </c>
      <c r="B2713" s="1">
        <v>45662</v>
      </c>
      <c r="C2713" s="2">
        <v>45662.896249999998</v>
      </c>
      <c r="D2713" t="s">
        <v>15</v>
      </c>
      <c r="E2713" t="s">
        <v>39</v>
      </c>
      <c r="F2713" t="s">
        <v>119</v>
      </c>
      <c r="G2713" t="s">
        <v>56</v>
      </c>
      <c r="H2713" t="s">
        <v>27</v>
      </c>
      <c r="I2713" t="s">
        <v>28</v>
      </c>
      <c r="J2713" t="s">
        <v>21</v>
      </c>
      <c r="K2713">
        <v>48</v>
      </c>
      <c r="L2713">
        <v>21.51</v>
      </c>
      <c r="M2713">
        <v>5</v>
      </c>
      <c r="N2713" t="s">
        <v>22</v>
      </c>
      <c r="O2713" t="str">
        <f t="shared" si="42"/>
        <v>No</v>
      </c>
    </row>
    <row r="2714" spans="1:15" x14ac:dyDescent="0.25">
      <c r="A2714" t="s">
        <v>2775</v>
      </c>
      <c r="B2714" s="1">
        <v>45828</v>
      </c>
      <c r="C2714" s="2">
        <v>45828.024583333332</v>
      </c>
      <c r="D2714" t="s">
        <v>31</v>
      </c>
      <c r="E2714" t="s">
        <v>32</v>
      </c>
      <c r="F2714" t="s">
        <v>80</v>
      </c>
      <c r="G2714" t="s">
        <v>56</v>
      </c>
      <c r="H2714" t="s">
        <v>54</v>
      </c>
      <c r="I2714" t="s">
        <v>36</v>
      </c>
      <c r="J2714" t="s">
        <v>21</v>
      </c>
      <c r="K2714">
        <v>4</v>
      </c>
      <c r="L2714">
        <v>0.59</v>
      </c>
      <c r="M2714">
        <v>3.6</v>
      </c>
      <c r="N2714" t="s">
        <v>22</v>
      </c>
      <c r="O2714" t="str">
        <f t="shared" si="42"/>
        <v>No</v>
      </c>
    </row>
    <row r="2715" spans="1:15" x14ac:dyDescent="0.25">
      <c r="A2715" t="s">
        <v>2776</v>
      </c>
      <c r="B2715" s="1">
        <v>45752</v>
      </c>
      <c r="C2715" s="2">
        <v>45752.127916666665</v>
      </c>
      <c r="D2715" t="s">
        <v>38</v>
      </c>
      <c r="E2715" t="s">
        <v>16</v>
      </c>
      <c r="F2715" t="s">
        <v>17</v>
      </c>
      <c r="G2715" t="s">
        <v>51</v>
      </c>
      <c r="H2715" t="s">
        <v>54</v>
      </c>
      <c r="I2715" t="s">
        <v>36</v>
      </c>
      <c r="J2715" t="s">
        <v>21</v>
      </c>
      <c r="K2715">
        <v>8</v>
      </c>
      <c r="L2715">
        <v>3.07</v>
      </c>
      <c r="M2715">
        <v>5</v>
      </c>
      <c r="N2715" t="s">
        <v>22</v>
      </c>
      <c r="O2715" t="str">
        <f t="shared" si="42"/>
        <v>No</v>
      </c>
    </row>
    <row r="2716" spans="1:15" x14ac:dyDescent="0.25">
      <c r="A2716" t="s">
        <v>2777</v>
      </c>
      <c r="B2716" s="1">
        <v>45749</v>
      </c>
      <c r="C2716" s="2">
        <v>45749.125833333332</v>
      </c>
      <c r="D2716" t="s">
        <v>24</v>
      </c>
      <c r="E2716" t="s">
        <v>16</v>
      </c>
      <c r="F2716" t="s">
        <v>17</v>
      </c>
      <c r="G2716" t="s">
        <v>18</v>
      </c>
      <c r="H2716" t="s">
        <v>19</v>
      </c>
      <c r="I2716" t="s">
        <v>45</v>
      </c>
      <c r="J2716" t="s">
        <v>21</v>
      </c>
      <c r="K2716">
        <v>24</v>
      </c>
      <c r="L2716">
        <v>3.02</v>
      </c>
      <c r="M2716">
        <v>5</v>
      </c>
      <c r="N2716" t="s">
        <v>22</v>
      </c>
      <c r="O2716" t="str">
        <f t="shared" si="42"/>
        <v>No</v>
      </c>
    </row>
    <row r="2717" spans="1:15" x14ac:dyDescent="0.25">
      <c r="A2717" t="s">
        <v>2778</v>
      </c>
      <c r="B2717" s="1">
        <v>45741</v>
      </c>
      <c r="C2717" s="2">
        <v>45742.790416666663</v>
      </c>
      <c r="D2717" t="s">
        <v>24</v>
      </c>
      <c r="E2717" t="s">
        <v>16</v>
      </c>
      <c r="F2717" t="s">
        <v>60</v>
      </c>
      <c r="G2717" t="s">
        <v>18</v>
      </c>
      <c r="H2717" t="s">
        <v>19</v>
      </c>
      <c r="I2717" t="s">
        <v>45</v>
      </c>
      <c r="J2717" t="s">
        <v>85</v>
      </c>
      <c r="K2717">
        <v>24</v>
      </c>
      <c r="L2717">
        <v>42.97</v>
      </c>
      <c r="M2717">
        <v>1.7</v>
      </c>
      <c r="N2717" t="s">
        <v>22</v>
      </c>
      <c r="O2717" t="str">
        <f t="shared" si="42"/>
        <v>Yes</v>
      </c>
    </row>
    <row r="2718" spans="1:15" x14ac:dyDescent="0.25">
      <c r="A2718" t="s">
        <v>2779</v>
      </c>
      <c r="B2718" s="1">
        <v>45736</v>
      </c>
      <c r="C2718" s="2">
        <v>45736.908750000002</v>
      </c>
      <c r="D2718" t="s">
        <v>24</v>
      </c>
      <c r="E2718" t="s">
        <v>16</v>
      </c>
      <c r="F2718" t="s">
        <v>60</v>
      </c>
      <c r="G2718" t="s">
        <v>18</v>
      </c>
      <c r="H2718" t="s">
        <v>35</v>
      </c>
      <c r="I2718" t="s">
        <v>45</v>
      </c>
      <c r="J2718" t="s">
        <v>21</v>
      </c>
      <c r="K2718">
        <v>24</v>
      </c>
      <c r="L2718">
        <v>21.81</v>
      </c>
      <c r="M2718">
        <v>3.6</v>
      </c>
      <c r="N2718" t="s">
        <v>61</v>
      </c>
      <c r="O2718" t="str">
        <f t="shared" si="42"/>
        <v>No</v>
      </c>
    </row>
    <row r="2719" spans="1:15" x14ac:dyDescent="0.25">
      <c r="A2719" t="s">
        <v>2780</v>
      </c>
      <c r="B2719" s="1">
        <v>45782</v>
      </c>
      <c r="C2719" s="2">
        <v>45782.809583333335</v>
      </c>
      <c r="D2719" t="s">
        <v>15</v>
      </c>
      <c r="E2719" t="s">
        <v>32</v>
      </c>
      <c r="F2719" t="s">
        <v>64</v>
      </c>
      <c r="G2719" t="s">
        <v>56</v>
      </c>
      <c r="H2719" t="s">
        <v>65</v>
      </c>
      <c r="I2719" t="s">
        <v>45</v>
      </c>
      <c r="J2719" t="s">
        <v>21</v>
      </c>
      <c r="K2719">
        <v>48</v>
      </c>
      <c r="L2719">
        <v>19.43</v>
      </c>
      <c r="M2719">
        <v>4</v>
      </c>
      <c r="N2719" t="s">
        <v>22</v>
      </c>
      <c r="O2719" t="str">
        <f t="shared" si="42"/>
        <v>No</v>
      </c>
    </row>
    <row r="2720" spans="1:15" x14ac:dyDescent="0.25">
      <c r="A2720" t="s">
        <v>2781</v>
      </c>
      <c r="B2720" s="1">
        <v>45762</v>
      </c>
      <c r="C2720" s="2">
        <v>45764.548333333332</v>
      </c>
      <c r="D2720" t="s">
        <v>15</v>
      </c>
      <c r="E2720" t="s">
        <v>32</v>
      </c>
      <c r="F2720" t="s">
        <v>80</v>
      </c>
      <c r="G2720" t="s">
        <v>34</v>
      </c>
      <c r="H2720" t="s">
        <v>54</v>
      </c>
      <c r="I2720" t="s">
        <v>36</v>
      </c>
      <c r="J2720" t="s">
        <v>21</v>
      </c>
      <c r="K2720">
        <v>48</v>
      </c>
      <c r="L2720">
        <v>61.16</v>
      </c>
      <c r="M2720">
        <v>4.0999999999999996</v>
      </c>
      <c r="N2720" t="s">
        <v>22</v>
      </c>
      <c r="O2720" t="str">
        <f t="shared" si="42"/>
        <v>Yes</v>
      </c>
    </row>
    <row r="2721" spans="1:15" x14ac:dyDescent="0.25">
      <c r="A2721" t="s">
        <v>2782</v>
      </c>
      <c r="B2721" s="1">
        <v>45687</v>
      </c>
      <c r="C2721" s="2">
        <v>45687.525416666664</v>
      </c>
      <c r="D2721" t="s">
        <v>15</v>
      </c>
      <c r="E2721" t="s">
        <v>16</v>
      </c>
      <c r="F2721" t="s">
        <v>17</v>
      </c>
      <c r="G2721" t="s">
        <v>34</v>
      </c>
      <c r="H2721" t="s">
        <v>35</v>
      </c>
      <c r="I2721" t="s">
        <v>45</v>
      </c>
      <c r="J2721" t="s">
        <v>21</v>
      </c>
      <c r="K2721">
        <v>48</v>
      </c>
      <c r="L2721">
        <v>12.61</v>
      </c>
      <c r="M2721">
        <v>4.4000000000000004</v>
      </c>
      <c r="N2721" t="s">
        <v>22</v>
      </c>
      <c r="O2721" t="str">
        <f t="shared" si="42"/>
        <v>No</v>
      </c>
    </row>
    <row r="2722" spans="1:15" x14ac:dyDescent="0.25">
      <c r="A2722" t="s">
        <v>2783</v>
      </c>
      <c r="B2722" s="1">
        <v>45771</v>
      </c>
      <c r="C2722" s="2">
        <v>45773.173333333332</v>
      </c>
      <c r="D2722" t="s">
        <v>15</v>
      </c>
      <c r="E2722" t="s">
        <v>25</v>
      </c>
      <c r="F2722" t="s">
        <v>48</v>
      </c>
      <c r="G2722" t="s">
        <v>56</v>
      </c>
      <c r="H2722" t="s">
        <v>65</v>
      </c>
      <c r="I2722" t="s">
        <v>36</v>
      </c>
      <c r="J2722" t="s">
        <v>21</v>
      </c>
      <c r="K2722">
        <v>48</v>
      </c>
      <c r="L2722">
        <v>52.16</v>
      </c>
      <c r="M2722">
        <v>3.4</v>
      </c>
      <c r="N2722" t="s">
        <v>22</v>
      </c>
      <c r="O2722" t="str">
        <f t="shared" si="42"/>
        <v>Yes</v>
      </c>
    </row>
    <row r="2723" spans="1:15" x14ac:dyDescent="0.25">
      <c r="A2723" t="s">
        <v>2784</v>
      </c>
      <c r="B2723" s="1">
        <v>45778</v>
      </c>
      <c r="C2723" s="2">
        <v>45778.65625</v>
      </c>
      <c r="D2723" t="s">
        <v>24</v>
      </c>
      <c r="E2723" t="s">
        <v>16</v>
      </c>
      <c r="F2723" t="s">
        <v>60</v>
      </c>
      <c r="G2723" t="s">
        <v>18</v>
      </c>
      <c r="H2723" t="s">
        <v>35</v>
      </c>
      <c r="I2723" t="s">
        <v>20</v>
      </c>
      <c r="J2723" t="s">
        <v>21</v>
      </c>
      <c r="K2723">
        <v>24</v>
      </c>
      <c r="L2723">
        <v>15.75</v>
      </c>
      <c r="M2723">
        <v>4.5</v>
      </c>
      <c r="N2723" t="s">
        <v>22</v>
      </c>
      <c r="O2723" t="str">
        <f t="shared" si="42"/>
        <v>No</v>
      </c>
    </row>
    <row r="2724" spans="1:15" x14ac:dyDescent="0.25">
      <c r="A2724" t="s">
        <v>2785</v>
      </c>
      <c r="B2724" s="1">
        <v>45678</v>
      </c>
      <c r="C2724" s="2">
        <v>45678.546249999999</v>
      </c>
      <c r="D2724" t="s">
        <v>15</v>
      </c>
      <c r="E2724" t="s">
        <v>16</v>
      </c>
      <c r="F2724" t="s">
        <v>43</v>
      </c>
      <c r="G2724" t="s">
        <v>34</v>
      </c>
      <c r="H2724" t="s">
        <v>65</v>
      </c>
      <c r="I2724" t="s">
        <v>36</v>
      </c>
      <c r="J2724" t="s">
        <v>46</v>
      </c>
      <c r="K2724">
        <v>48</v>
      </c>
      <c r="L2724">
        <v>13.11</v>
      </c>
      <c r="M2724">
        <v>5</v>
      </c>
      <c r="N2724" t="s">
        <v>22</v>
      </c>
      <c r="O2724" t="str">
        <f t="shared" si="42"/>
        <v>No</v>
      </c>
    </row>
    <row r="2725" spans="1:15" x14ac:dyDescent="0.25">
      <c r="A2725" t="s">
        <v>2786</v>
      </c>
      <c r="B2725" s="1">
        <v>45726</v>
      </c>
      <c r="C2725" s="2">
        <v>45727.501666666663</v>
      </c>
      <c r="D2725" t="s">
        <v>15</v>
      </c>
      <c r="E2725" t="s">
        <v>16</v>
      </c>
      <c r="F2725" t="s">
        <v>17</v>
      </c>
      <c r="G2725" t="s">
        <v>18</v>
      </c>
      <c r="H2725" t="s">
        <v>44</v>
      </c>
      <c r="I2725" t="s">
        <v>45</v>
      </c>
      <c r="J2725" t="s">
        <v>21</v>
      </c>
      <c r="K2725">
        <v>48</v>
      </c>
      <c r="L2725">
        <v>36.04</v>
      </c>
      <c r="M2725">
        <v>4.0999999999999996</v>
      </c>
      <c r="N2725" t="s">
        <v>22</v>
      </c>
      <c r="O2725" t="str">
        <f t="shared" si="42"/>
        <v>No</v>
      </c>
    </row>
    <row r="2726" spans="1:15" x14ac:dyDescent="0.25">
      <c r="A2726" t="s">
        <v>2787</v>
      </c>
      <c r="B2726" s="1">
        <v>45801</v>
      </c>
      <c r="C2726" s="2">
        <v>45801.939583333333</v>
      </c>
      <c r="D2726" t="s">
        <v>24</v>
      </c>
      <c r="E2726" t="s">
        <v>25</v>
      </c>
      <c r="F2726" t="s">
        <v>48</v>
      </c>
      <c r="G2726" t="s">
        <v>18</v>
      </c>
      <c r="H2726" t="s">
        <v>65</v>
      </c>
      <c r="I2726" t="s">
        <v>28</v>
      </c>
      <c r="J2726" t="s">
        <v>21</v>
      </c>
      <c r="K2726">
        <v>24</v>
      </c>
      <c r="L2726">
        <v>22.55</v>
      </c>
      <c r="M2726">
        <v>3.6</v>
      </c>
      <c r="N2726" t="s">
        <v>22</v>
      </c>
      <c r="O2726" t="str">
        <f t="shared" si="42"/>
        <v>No</v>
      </c>
    </row>
    <row r="2727" spans="1:15" x14ac:dyDescent="0.25">
      <c r="A2727" t="s">
        <v>2788</v>
      </c>
      <c r="B2727" s="1">
        <v>45769</v>
      </c>
      <c r="C2727" s="2">
        <v>45769.46166666667</v>
      </c>
      <c r="D2727" t="s">
        <v>24</v>
      </c>
      <c r="E2727" t="s">
        <v>25</v>
      </c>
      <c r="F2727" t="s">
        <v>70</v>
      </c>
      <c r="G2727" t="s">
        <v>34</v>
      </c>
      <c r="H2727" t="s">
        <v>19</v>
      </c>
      <c r="I2727" t="s">
        <v>45</v>
      </c>
      <c r="J2727" t="s">
        <v>21</v>
      </c>
      <c r="K2727">
        <v>24</v>
      </c>
      <c r="L2727">
        <v>11.08</v>
      </c>
      <c r="M2727">
        <v>4.3</v>
      </c>
      <c r="N2727" t="s">
        <v>22</v>
      </c>
      <c r="O2727" t="str">
        <f t="shared" si="42"/>
        <v>No</v>
      </c>
    </row>
    <row r="2728" spans="1:15" x14ac:dyDescent="0.25">
      <c r="A2728" t="s">
        <v>2789</v>
      </c>
      <c r="B2728" s="1">
        <v>45682</v>
      </c>
      <c r="C2728" s="2">
        <v>45683.722916666666</v>
      </c>
      <c r="D2728" t="s">
        <v>15</v>
      </c>
      <c r="E2728" t="s">
        <v>25</v>
      </c>
      <c r="F2728" t="s">
        <v>53</v>
      </c>
      <c r="G2728" t="s">
        <v>18</v>
      </c>
      <c r="H2728" t="s">
        <v>19</v>
      </c>
      <c r="I2728" t="s">
        <v>36</v>
      </c>
      <c r="J2728" t="s">
        <v>46</v>
      </c>
      <c r="K2728">
        <v>48</v>
      </c>
      <c r="L2728">
        <v>41.35</v>
      </c>
      <c r="M2728">
        <v>4.4000000000000004</v>
      </c>
      <c r="N2728" t="s">
        <v>22</v>
      </c>
      <c r="O2728" t="str">
        <f t="shared" si="42"/>
        <v>No</v>
      </c>
    </row>
    <row r="2729" spans="1:15" x14ac:dyDescent="0.25">
      <c r="A2729" t="s">
        <v>2790</v>
      </c>
      <c r="B2729" s="1">
        <v>45665</v>
      </c>
      <c r="C2729" s="2">
        <v>45666.615416666667</v>
      </c>
      <c r="D2729" t="s">
        <v>15</v>
      </c>
      <c r="E2729" t="s">
        <v>32</v>
      </c>
      <c r="F2729" t="s">
        <v>33</v>
      </c>
      <c r="G2729" t="s">
        <v>56</v>
      </c>
      <c r="H2729" t="s">
        <v>19</v>
      </c>
      <c r="I2729" t="s">
        <v>28</v>
      </c>
      <c r="J2729" t="s">
        <v>21</v>
      </c>
      <c r="K2729">
        <v>48</v>
      </c>
      <c r="L2729">
        <v>38.770000000000003</v>
      </c>
      <c r="M2729">
        <v>3.2</v>
      </c>
      <c r="N2729" t="s">
        <v>22</v>
      </c>
      <c r="O2729" t="str">
        <f t="shared" si="42"/>
        <v>No</v>
      </c>
    </row>
    <row r="2730" spans="1:15" x14ac:dyDescent="0.25">
      <c r="A2730" t="s">
        <v>2791</v>
      </c>
      <c r="B2730" s="1">
        <v>45763</v>
      </c>
      <c r="C2730" s="2">
        <v>45764.205833333333</v>
      </c>
      <c r="D2730" t="s">
        <v>15</v>
      </c>
      <c r="E2730" t="s">
        <v>32</v>
      </c>
      <c r="F2730" t="s">
        <v>80</v>
      </c>
      <c r="G2730" t="s">
        <v>34</v>
      </c>
      <c r="H2730" t="s">
        <v>65</v>
      </c>
      <c r="I2730" t="s">
        <v>36</v>
      </c>
      <c r="J2730" t="s">
        <v>46</v>
      </c>
      <c r="K2730">
        <v>48</v>
      </c>
      <c r="L2730">
        <v>28.94</v>
      </c>
      <c r="M2730">
        <v>4.3</v>
      </c>
      <c r="N2730" t="s">
        <v>22</v>
      </c>
      <c r="O2730" t="str">
        <f t="shared" si="42"/>
        <v>No</v>
      </c>
    </row>
    <row r="2731" spans="1:15" x14ac:dyDescent="0.25">
      <c r="A2731" t="s">
        <v>2792</v>
      </c>
      <c r="B2731" s="1">
        <v>45741</v>
      </c>
      <c r="C2731" s="2">
        <v>45741.25</v>
      </c>
      <c r="D2731" t="s">
        <v>15</v>
      </c>
      <c r="E2731" t="s">
        <v>39</v>
      </c>
      <c r="F2731" t="s">
        <v>40</v>
      </c>
      <c r="G2731" t="s">
        <v>18</v>
      </c>
      <c r="H2731" t="s">
        <v>35</v>
      </c>
      <c r="I2731" t="s">
        <v>20</v>
      </c>
      <c r="J2731" t="s">
        <v>46</v>
      </c>
      <c r="K2731">
        <v>48</v>
      </c>
      <c r="L2731">
        <v>6</v>
      </c>
      <c r="M2731">
        <v>4.2</v>
      </c>
      <c r="N2731" t="s">
        <v>22</v>
      </c>
      <c r="O2731" t="str">
        <f t="shared" si="42"/>
        <v>No</v>
      </c>
    </row>
    <row r="2732" spans="1:15" x14ac:dyDescent="0.25">
      <c r="A2732" t="s">
        <v>2793</v>
      </c>
      <c r="B2732" s="1">
        <v>45831</v>
      </c>
      <c r="C2732" s="2">
        <v>45831.195</v>
      </c>
      <c r="D2732" t="s">
        <v>38</v>
      </c>
      <c r="E2732" t="s">
        <v>16</v>
      </c>
      <c r="F2732" t="s">
        <v>58</v>
      </c>
      <c r="G2732" t="s">
        <v>51</v>
      </c>
      <c r="H2732" t="s">
        <v>65</v>
      </c>
      <c r="I2732" t="s">
        <v>36</v>
      </c>
      <c r="J2732" t="s">
        <v>29</v>
      </c>
      <c r="K2732">
        <v>8</v>
      </c>
      <c r="L2732">
        <v>4.68</v>
      </c>
      <c r="M2732">
        <v>3.5</v>
      </c>
      <c r="N2732" t="s">
        <v>22</v>
      </c>
      <c r="O2732" t="str">
        <f t="shared" si="42"/>
        <v>No</v>
      </c>
    </row>
    <row r="2733" spans="1:15" x14ac:dyDescent="0.25">
      <c r="A2733" t="s">
        <v>2794</v>
      </c>
      <c r="B2733" s="1">
        <v>45752</v>
      </c>
      <c r="C2733" s="2">
        <v>45752.150416666664</v>
      </c>
      <c r="D2733" t="s">
        <v>38</v>
      </c>
      <c r="E2733" t="s">
        <v>25</v>
      </c>
      <c r="F2733" t="s">
        <v>48</v>
      </c>
      <c r="G2733" t="s">
        <v>41</v>
      </c>
      <c r="H2733" t="s">
        <v>44</v>
      </c>
      <c r="I2733" t="s">
        <v>20</v>
      </c>
      <c r="J2733" t="s">
        <v>21</v>
      </c>
      <c r="K2733">
        <v>8</v>
      </c>
      <c r="L2733">
        <v>3.61</v>
      </c>
      <c r="M2733">
        <v>3.2</v>
      </c>
      <c r="N2733" t="s">
        <v>22</v>
      </c>
      <c r="O2733" t="str">
        <f t="shared" si="42"/>
        <v>No</v>
      </c>
    </row>
    <row r="2734" spans="1:15" x14ac:dyDescent="0.25">
      <c r="A2734" t="s">
        <v>2795</v>
      </c>
      <c r="B2734" s="1">
        <v>45826</v>
      </c>
      <c r="C2734" s="2">
        <v>45826.713750000003</v>
      </c>
      <c r="D2734" t="s">
        <v>24</v>
      </c>
      <c r="E2734" t="s">
        <v>39</v>
      </c>
      <c r="F2734" t="s">
        <v>87</v>
      </c>
      <c r="G2734" t="s">
        <v>34</v>
      </c>
      <c r="H2734" t="s">
        <v>65</v>
      </c>
      <c r="I2734" t="s">
        <v>36</v>
      </c>
      <c r="J2734" t="s">
        <v>29</v>
      </c>
      <c r="K2734">
        <v>24</v>
      </c>
      <c r="L2734">
        <v>17.13</v>
      </c>
      <c r="M2734">
        <v>3.8</v>
      </c>
      <c r="N2734" t="s">
        <v>22</v>
      </c>
      <c r="O2734" t="str">
        <f t="shared" si="42"/>
        <v>No</v>
      </c>
    </row>
    <row r="2735" spans="1:15" x14ac:dyDescent="0.25">
      <c r="A2735" t="s">
        <v>2796</v>
      </c>
      <c r="B2735" s="1">
        <v>45696</v>
      </c>
      <c r="C2735" s="2">
        <v>45696.195416666669</v>
      </c>
      <c r="D2735" t="s">
        <v>24</v>
      </c>
      <c r="E2735" t="s">
        <v>32</v>
      </c>
      <c r="F2735" t="s">
        <v>64</v>
      </c>
      <c r="G2735" t="s">
        <v>56</v>
      </c>
      <c r="H2735" t="s">
        <v>44</v>
      </c>
      <c r="I2735" t="s">
        <v>36</v>
      </c>
      <c r="J2735" t="s">
        <v>46</v>
      </c>
      <c r="K2735">
        <v>24</v>
      </c>
      <c r="L2735">
        <v>4.6900000000000004</v>
      </c>
      <c r="M2735">
        <v>5</v>
      </c>
      <c r="N2735" t="s">
        <v>22</v>
      </c>
      <c r="O2735" t="str">
        <f t="shared" si="42"/>
        <v>No</v>
      </c>
    </row>
    <row r="2736" spans="1:15" x14ac:dyDescent="0.25">
      <c r="A2736" t="s">
        <v>2797</v>
      </c>
      <c r="B2736" s="1">
        <v>45738</v>
      </c>
      <c r="C2736" s="2">
        <v>45738.879583333335</v>
      </c>
      <c r="D2736" t="s">
        <v>24</v>
      </c>
      <c r="E2736" t="s">
        <v>25</v>
      </c>
      <c r="F2736" t="s">
        <v>70</v>
      </c>
      <c r="G2736" t="s">
        <v>51</v>
      </c>
      <c r="H2736" t="s">
        <v>54</v>
      </c>
      <c r="I2736" t="s">
        <v>28</v>
      </c>
      <c r="J2736" t="s">
        <v>46</v>
      </c>
      <c r="K2736">
        <v>24</v>
      </c>
      <c r="L2736">
        <v>21.11</v>
      </c>
      <c r="M2736">
        <v>2.7</v>
      </c>
      <c r="N2736" t="s">
        <v>22</v>
      </c>
      <c r="O2736" t="str">
        <f t="shared" si="42"/>
        <v>No</v>
      </c>
    </row>
    <row r="2737" spans="1:15" x14ac:dyDescent="0.25">
      <c r="A2737" t="s">
        <v>2798</v>
      </c>
      <c r="B2737" s="1">
        <v>45683</v>
      </c>
      <c r="C2737" s="2">
        <v>45683.308333333334</v>
      </c>
      <c r="D2737" t="s">
        <v>24</v>
      </c>
      <c r="E2737" t="s">
        <v>32</v>
      </c>
      <c r="F2737" t="s">
        <v>75</v>
      </c>
      <c r="G2737" t="s">
        <v>56</v>
      </c>
      <c r="H2737" t="s">
        <v>35</v>
      </c>
      <c r="I2737" t="s">
        <v>45</v>
      </c>
      <c r="J2737" t="s">
        <v>21</v>
      </c>
      <c r="K2737">
        <v>24</v>
      </c>
      <c r="L2737">
        <v>7.4</v>
      </c>
      <c r="M2737">
        <v>5</v>
      </c>
      <c r="N2737" t="s">
        <v>22</v>
      </c>
      <c r="O2737" t="str">
        <f t="shared" si="42"/>
        <v>No</v>
      </c>
    </row>
    <row r="2738" spans="1:15" x14ac:dyDescent="0.25">
      <c r="A2738" t="s">
        <v>2799</v>
      </c>
      <c r="B2738" s="1">
        <v>45761</v>
      </c>
      <c r="C2738" s="2">
        <v>45761.4</v>
      </c>
      <c r="D2738" t="s">
        <v>15</v>
      </c>
      <c r="E2738" t="s">
        <v>25</v>
      </c>
      <c r="F2738" t="s">
        <v>26</v>
      </c>
      <c r="G2738" t="s">
        <v>56</v>
      </c>
      <c r="H2738" t="s">
        <v>44</v>
      </c>
      <c r="I2738" t="s">
        <v>36</v>
      </c>
      <c r="J2738" t="s">
        <v>21</v>
      </c>
      <c r="K2738">
        <v>48</v>
      </c>
      <c r="L2738">
        <v>9.6</v>
      </c>
      <c r="M2738">
        <v>4.3</v>
      </c>
      <c r="N2738" t="s">
        <v>22</v>
      </c>
      <c r="O2738" t="str">
        <f t="shared" si="42"/>
        <v>No</v>
      </c>
    </row>
    <row r="2739" spans="1:15" x14ac:dyDescent="0.25">
      <c r="A2739" t="s">
        <v>2800</v>
      </c>
      <c r="B2739" s="1">
        <v>45692</v>
      </c>
      <c r="C2739" s="2">
        <v>45693.57708333333</v>
      </c>
      <c r="D2739" t="s">
        <v>15</v>
      </c>
      <c r="E2739" t="s">
        <v>32</v>
      </c>
      <c r="F2739" t="s">
        <v>80</v>
      </c>
      <c r="G2739" t="s">
        <v>56</v>
      </c>
      <c r="H2739" t="s">
        <v>44</v>
      </c>
      <c r="I2739" t="s">
        <v>36</v>
      </c>
      <c r="J2739" t="s">
        <v>21</v>
      </c>
      <c r="K2739">
        <v>48</v>
      </c>
      <c r="L2739">
        <v>37.85</v>
      </c>
      <c r="M2739">
        <v>3.4</v>
      </c>
      <c r="N2739" t="s">
        <v>22</v>
      </c>
      <c r="O2739" t="str">
        <f t="shared" si="42"/>
        <v>No</v>
      </c>
    </row>
    <row r="2740" spans="1:15" x14ac:dyDescent="0.25">
      <c r="A2740" t="s">
        <v>2801</v>
      </c>
      <c r="B2740" s="1">
        <v>45747</v>
      </c>
      <c r="C2740" s="2">
        <v>45748.297083333331</v>
      </c>
      <c r="D2740" t="s">
        <v>24</v>
      </c>
      <c r="E2740" t="s">
        <v>39</v>
      </c>
      <c r="F2740" t="s">
        <v>78</v>
      </c>
      <c r="G2740" t="s">
        <v>41</v>
      </c>
      <c r="H2740" t="s">
        <v>27</v>
      </c>
      <c r="I2740" t="s">
        <v>36</v>
      </c>
      <c r="J2740" t="s">
        <v>46</v>
      </c>
      <c r="K2740">
        <v>24</v>
      </c>
      <c r="L2740">
        <v>31.13</v>
      </c>
      <c r="M2740">
        <v>3.7</v>
      </c>
      <c r="N2740" t="s">
        <v>22</v>
      </c>
      <c r="O2740" t="str">
        <f t="shared" si="42"/>
        <v>Yes</v>
      </c>
    </row>
    <row r="2741" spans="1:15" x14ac:dyDescent="0.25">
      <c r="A2741" t="s">
        <v>2802</v>
      </c>
      <c r="B2741" s="1">
        <v>45720</v>
      </c>
      <c r="C2741" s="2">
        <v>45720.533750000002</v>
      </c>
      <c r="D2741" t="s">
        <v>24</v>
      </c>
      <c r="E2741" t="s">
        <v>39</v>
      </c>
      <c r="F2741" t="s">
        <v>78</v>
      </c>
      <c r="G2741" t="s">
        <v>18</v>
      </c>
      <c r="H2741" t="s">
        <v>44</v>
      </c>
      <c r="I2741" t="s">
        <v>36</v>
      </c>
      <c r="J2741" t="s">
        <v>85</v>
      </c>
      <c r="K2741">
        <v>24</v>
      </c>
      <c r="L2741">
        <v>12.81</v>
      </c>
      <c r="M2741">
        <v>5</v>
      </c>
      <c r="N2741" t="s">
        <v>22</v>
      </c>
      <c r="O2741" t="str">
        <f t="shared" si="42"/>
        <v>No</v>
      </c>
    </row>
    <row r="2742" spans="1:15" x14ac:dyDescent="0.25">
      <c r="A2742" t="s">
        <v>2803</v>
      </c>
      <c r="B2742" s="1">
        <v>45691</v>
      </c>
      <c r="C2742" s="2">
        <v>45693.465416666666</v>
      </c>
      <c r="D2742" t="s">
        <v>15</v>
      </c>
      <c r="E2742" t="s">
        <v>39</v>
      </c>
      <c r="F2742" t="s">
        <v>40</v>
      </c>
      <c r="G2742" t="s">
        <v>18</v>
      </c>
      <c r="H2742" t="s">
        <v>35</v>
      </c>
      <c r="I2742" t="s">
        <v>45</v>
      </c>
      <c r="J2742" t="s">
        <v>21</v>
      </c>
      <c r="K2742">
        <v>48</v>
      </c>
      <c r="L2742">
        <v>59.17</v>
      </c>
      <c r="M2742">
        <v>4.5</v>
      </c>
      <c r="N2742" t="s">
        <v>61</v>
      </c>
      <c r="O2742" t="str">
        <f t="shared" si="42"/>
        <v>Yes</v>
      </c>
    </row>
    <row r="2743" spans="1:15" x14ac:dyDescent="0.25">
      <c r="A2743" t="s">
        <v>2804</v>
      </c>
      <c r="B2743" s="1">
        <v>45675</v>
      </c>
      <c r="C2743" s="2">
        <v>45675.546666666669</v>
      </c>
      <c r="D2743" t="s">
        <v>15</v>
      </c>
      <c r="E2743" t="s">
        <v>32</v>
      </c>
      <c r="F2743" t="s">
        <v>33</v>
      </c>
      <c r="G2743" t="s">
        <v>18</v>
      </c>
      <c r="H2743" t="s">
        <v>27</v>
      </c>
      <c r="I2743" t="s">
        <v>45</v>
      </c>
      <c r="J2743" t="s">
        <v>85</v>
      </c>
      <c r="K2743">
        <v>48</v>
      </c>
      <c r="L2743">
        <v>13.12</v>
      </c>
      <c r="M2743">
        <v>4.9000000000000004</v>
      </c>
      <c r="N2743" t="s">
        <v>22</v>
      </c>
      <c r="O2743" t="str">
        <f t="shared" si="42"/>
        <v>No</v>
      </c>
    </row>
    <row r="2744" spans="1:15" x14ac:dyDescent="0.25">
      <c r="A2744" t="s">
        <v>2805</v>
      </c>
      <c r="B2744" s="1">
        <v>45750</v>
      </c>
      <c r="C2744" s="2">
        <v>45750.227083333331</v>
      </c>
      <c r="D2744" t="s">
        <v>24</v>
      </c>
      <c r="E2744" t="s">
        <v>32</v>
      </c>
      <c r="F2744" t="s">
        <v>33</v>
      </c>
      <c r="G2744" t="s">
        <v>18</v>
      </c>
      <c r="H2744" t="s">
        <v>27</v>
      </c>
      <c r="I2744" t="s">
        <v>28</v>
      </c>
      <c r="J2744" t="s">
        <v>21</v>
      </c>
      <c r="K2744">
        <v>24</v>
      </c>
      <c r="L2744">
        <v>5.45</v>
      </c>
      <c r="M2744">
        <v>4.7</v>
      </c>
      <c r="N2744" t="s">
        <v>22</v>
      </c>
      <c r="O2744" t="str">
        <f t="shared" si="42"/>
        <v>No</v>
      </c>
    </row>
    <row r="2745" spans="1:15" x14ac:dyDescent="0.25">
      <c r="A2745" t="s">
        <v>2806</v>
      </c>
      <c r="B2745" s="1">
        <v>45829</v>
      </c>
      <c r="C2745" s="2">
        <v>45831.065405092595</v>
      </c>
      <c r="D2745" t="s">
        <v>15</v>
      </c>
      <c r="E2745" t="s">
        <v>39</v>
      </c>
      <c r="F2745" t="s">
        <v>87</v>
      </c>
      <c r="G2745" t="s">
        <v>51</v>
      </c>
      <c r="H2745" t="s">
        <v>44</v>
      </c>
      <c r="I2745" t="s">
        <v>20</v>
      </c>
      <c r="J2745" t="s">
        <v>85</v>
      </c>
      <c r="K2745">
        <v>48</v>
      </c>
      <c r="L2745">
        <v>49.57</v>
      </c>
      <c r="M2745">
        <v>4</v>
      </c>
      <c r="N2745" t="s">
        <v>22</v>
      </c>
      <c r="O2745" t="str">
        <f t="shared" si="42"/>
        <v>Yes</v>
      </c>
    </row>
    <row r="2746" spans="1:15" x14ac:dyDescent="0.25">
      <c r="A2746" t="s">
        <v>2807</v>
      </c>
      <c r="B2746" s="1">
        <v>45693</v>
      </c>
      <c r="C2746" s="2">
        <v>45693.716666666667</v>
      </c>
      <c r="D2746" t="s">
        <v>24</v>
      </c>
      <c r="E2746" t="s">
        <v>39</v>
      </c>
      <c r="F2746" t="s">
        <v>87</v>
      </c>
      <c r="G2746" t="s">
        <v>34</v>
      </c>
      <c r="H2746" t="s">
        <v>35</v>
      </c>
      <c r="I2746" t="s">
        <v>28</v>
      </c>
      <c r="J2746" t="s">
        <v>21</v>
      </c>
      <c r="K2746">
        <v>24</v>
      </c>
      <c r="L2746">
        <v>17.2</v>
      </c>
      <c r="M2746">
        <v>5</v>
      </c>
      <c r="N2746" t="s">
        <v>22</v>
      </c>
      <c r="O2746" t="str">
        <f t="shared" si="42"/>
        <v>No</v>
      </c>
    </row>
    <row r="2747" spans="1:15" x14ac:dyDescent="0.25">
      <c r="A2747" t="s">
        <v>2808</v>
      </c>
      <c r="B2747" s="1">
        <v>45731</v>
      </c>
      <c r="C2747" s="2">
        <v>45731.13958333333</v>
      </c>
      <c r="D2747" t="s">
        <v>24</v>
      </c>
      <c r="E2747" t="s">
        <v>25</v>
      </c>
      <c r="F2747" t="s">
        <v>53</v>
      </c>
      <c r="G2747" t="s">
        <v>34</v>
      </c>
      <c r="H2747" t="s">
        <v>35</v>
      </c>
      <c r="I2747" t="s">
        <v>45</v>
      </c>
      <c r="J2747" t="s">
        <v>46</v>
      </c>
      <c r="K2747">
        <v>24</v>
      </c>
      <c r="L2747">
        <v>3.35</v>
      </c>
      <c r="M2747">
        <v>4.5999999999999996</v>
      </c>
      <c r="N2747" t="s">
        <v>22</v>
      </c>
      <c r="O2747" t="str">
        <f t="shared" si="42"/>
        <v>No</v>
      </c>
    </row>
    <row r="2748" spans="1:15" x14ac:dyDescent="0.25">
      <c r="A2748" t="s">
        <v>2809</v>
      </c>
      <c r="B2748" s="1">
        <v>45698</v>
      </c>
      <c r="C2748" s="2">
        <v>45699.377916666665</v>
      </c>
      <c r="D2748" t="s">
        <v>24</v>
      </c>
      <c r="E2748" t="s">
        <v>32</v>
      </c>
      <c r="F2748" t="s">
        <v>64</v>
      </c>
      <c r="G2748" t="s">
        <v>34</v>
      </c>
      <c r="H2748" t="s">
        <v>35</v>
      </c>
      <c r="I2748" t="s">
        <v>36</v>
      </c>
      <c r="J2748" t="s">
        <v>21</v>
      </c>
      <c r="K2748">
        <v>24</v>
      </c>
      <c r="L2748">
        <v>33.07</v>
      </c>
      <c r="M2748">
        <v>4.0999999999999996</v>
      </c>
      <c r="N2748" t="s">
        <v>61</v>
      </c>
      <c r="O2748" t="str">
        <f t="shared" si="42"/>
        <v>Yes</v>
      </c>
    </row>
    <row r="2749" spans="1:15" x14ac:dyDescent="0.25">
      <c r="A2749" t="s">
        <v>2810</v>
      </c>
      <c r="B2749" s="1">
        <v>45804</v>
      </c>
      <c r="C2749" s="2">
        <v>45804.903333333335</v>
      </c>
      <c r="D2749" t="s">
        <v>15</v>
      </c>
      <c r="E2749" t="s">
        <v>39</v>
      </c>
      <c r="F2749" t="s">
        <v>78</v>
      </c>
      <c r="G2749" t="s">
        <v>51</v>
      </c>
      <c r="H2749" t="s">
        <v>54</v>
      </c>
      <c r="I2749" t="s">
        <v>45</v>
      </c>
      <c r="J2749" t="s">
        <v>85</v>
      </c>
      <c r="K2749">
        <v>48</v>
      </c>
      <c r="L2749">
        <v>21.68</v>
      </c>
      <c r="M2749">
        <v>4.0999999999999996</v>
      </c>
      <c r="N2749" t="s">
        <v>22</v>
      </c>
      <c r="O2749" t="str">
        <f t="shared" si="42"/>
        <v>No</v>
      </c>
    </row>
    <row r="2750" spans="1:15" x14ac:dyDescent="0.25">
      <c r="A2750" t="s">
        <v>2811</v>
      </c>
      <c r="B2750" s="1">
        <v>45733</v>
      </c>
      <c r="C2750" s="2">
        <v>45733.966666666667</v>
      </c>
      <c r="D2750" t="s">
        <v>15</v>
      </c>
      <c r="E2750" t="s">
        <v>32</v>
      </c>
      <c r="F2750" t="s">
        <v>33</v>
      </c>
      <c r="G2750" t="s">
        <v>56</v>
      </c>
      <c r="H2750" t="s">
        <v>65</v>
      </c>
      <c r="I2750" t="s">
        <v>36</v>
      </c>
      <c r="J2750" t="s">
        <v>21</v>
      </c>
      <c r="K2750">
        <v>48</v>
      </c>
      <c r="L2750">
        <v>23.2</v>
      </c>
      <c r="M2750">
        <v>3.9</v>
      </c>
      <c r="N2750" t="s">
        <v>22</v>
      </c>
      <c r="O2750" t="str">
        <f t="shared" si="42"/>
        <v>No</v>
      </c>
    </row>
    <row r="2751" spans="1:15" x14ac:dyDescent="0.25">
      <c r="A2751" t="s">
        <v>2812</v>
      </c>
      <c r="B2751" s="1">
        <v>45834</v>
      </c>
      <c r="C2751" s="2">
        <v>45834.503333333334</v>
      </c>
      <c r="D2751" t="s">
        <v>38</v>
      </c>
      <c r="E2751" t="s">
        <v>45</v>
      </c>
      <c r="F2751" t="s">
        <v>104</v>
      </c>
      <c r="G2751" t="s">
        <v>51</v>
      </c>
      <c r="H2751" t="s">
        <v>44</v>
      </c>
      <c r="I2751" t="s">
        <v>36</v>
      </c>
      <c r="J2751" t="s">
        <v>21</v>
      </c>
      <c r="K2751">
        <v>8</v>
      </c>
      <c r="L2751">
        <v>12.08</v>
      </c>
      <c r="M2751">
        <v>4.3</v>
      </c>
      <c r="N2751" t="s">
        <v>22</v>
      </c>
      <c r="O2751" t="str">
        <f t="shared" si="42"/>
        <v>Yes</v>
      </c>
    </row>
    <row r="2752" spans="1:15" x14ac:dyDescent="0.25">
      <c r="A2752" t="s">
        <v>2813</v>
      </c>
      <c r="B2752" s="1">
        <v>45702</v>
      </c>
      <c r="C2752" s="2">
        <v>45703.256666666668</v>
      </c>
      <c r="D2752" t="s">
        <v>24</v>
      </c>
      <c r="E2752" t="s">
        <v>25</v>
      </c>
      <c r="F2752" t="s">
        <v>48</v>
      </c>
      <c r="G2752" t="s">
        <v>41</v>
      </c>
      <c r="H2752" t="s">
        <v>65</v>
      </c>
      <c r="I2752" t="s">
        <v>20</v>
      </c>
      <c r="J2752" t="s">
        <v>29</v>
      </c>
      <c r="K2752">
        <v>24</v>
      </c>
      <c r="L2752">
        <v>30.16</v>
      </c>
      <c r="M2752">
        <v>3.5</v>
      </c>
      <c r="N2752" t="s">
        <v>22</v>
      </c>
      <c r="O2752" t="str">
        <f t="shared" si="42"/>
        <v>Yes</v>
      </c>
    </row>
    <row r="2753" spans="1:15" x14ac:dyDescent="0.25">
      <c r="A2753" t="s">
        <v>2814</v>
      </c>
      <c r="B2753" s="1">
        <v>45672</v>
      </c>
      <c r="C2753" s="2">
        <v>45674.38</v>
      </c>
      <c r="D2753" t="s">
        <v>15</v>
      </c>
      <c r="E2753" t="s">
        <v>45</v>
      </c>
      <c r="F2753" t="s">
        <v>50</v>
      </c>
      <c r="G2753" t="s">
        <v>34</v>
      </c>
      <c r="H2753" t="s">
        <v>54</v>
      </c>
      <c r="I2753" t="s">
        <v>45</v>
      </c>
      <c r="J2753" t="s">
        <v>21</v>
      </c>
      <c r="K2753">
        <v>48</v>
      </c>
      <c r="L2753">
        <v>57.12</v>
      </c>
      <c r="M2753">
        <v>3.7</v>
      </c>
      <c r="N2753" t="s">
        <v>22</v>
      </c>
      <c r="O2753" t="str">
        <f t="shared" si="42"/>
        <v>Yes</v>
      </c>
    </row>
    <row r="2754" spans="1:15" x14ac:dyDescent="0.25">
      <c r="A2754" t="s">
        <v>2815</v>
      </c>
      <c r="B2754" s="1">
        <v>45763</v>
      </c>
      <c r="C2754" s="2">
        <v>45763.548333333332</v>
      </c>
      <c r="D2754" t="s">
        <v>15</v>
      </c>
      <c r="E2754" t="s">
        <v>45</v>
      </c>
      <c r="F2754" t="s">
        <v>104</v>
      </c>
      <c r="G2754" t="s">
        <v>56</v>
      </c>
      <c r="H2754" t="s">
        <v>44</v>
      </c>
      <c r="I2754" t="s">
        <v>36</v>
      </c>
      <c r="J2754" t="s">
        <v>21</v>
      </c>
      <c r="K2754">
        <v>48</v>
      </c>
      <c r="L2754">
        <v>13.16</v>
      </c>
      <c r="M2754">
        <v>5</v>
      </c>
      <c r="N2754" t="s">
        <v>22</v>
      </c>
      <c r="O2754" t="str">
        <f t="shared" si="42"/>
        <v>No</v>
      </c>
    </row>
    <row r="2755" spans="1:15" x14ac:dyDescent="0.25">
      <c r="A2755" t="s">
        <v>2816</v>
      </c>
      <c r="B2755" s="1">
        <v>45775</v>
      </c>
      <c r="C2755" s="2">
        <v>45775.200416666667</v>
      </c>
      <c r="D2755" t="s">
        <v>38</v>
      </c>
      <c r="E2755" t="s">
        <v>39</v>
      </c>
      <c r="F2755" t="s">
        <v>40</v>
      </c>
      <c r="G2755" t="s">
        <v>41</v>
      </c>
      <c r="H2755" t="s">
        <v>44</v>
      </c>
      <c r="I2755" t="s">
        <v>36</v>
      </c>
      <c r="J2755" t="s">
        <v>21</v>
      </c>
      <c r="K2755">
        <v>8</v>
      </c>
      <c r="L2755">
        <v>4.8099999999999996</v>
      </c>
      <c r="M2755">
        <v>3.7</v>
      </c>
      <c r="N2755" t="s">
        <v>22</v>
      </c>
      <c r="O2755" t="str">
        <f t="shared" ref="O2755:O2818" si="43">IF(L2755&gt;K2755,"Yes","No")</f>
        <v>No</v>
      </c>
    </row>
    <row r="2756" spans="1:15" x14ac:dyDescent="0.25">
      <c r="A2756" t="s">
        <v>2817</v>
      </c>
      <c r="B2756" s="1">
        <v>45837</v>
      </c>
      <c r="C2756" s="2">
        <v>45837.23</v>
      </c>
      <c r="D2756" t="s">
        <v>38</v>
      </c>
      <c r="E2756" t="s">
        <v>16</v>
      </c>
      <c r="F2756" t="s">
        <v>17</v>
      </c>
      <c r="G2756" t="s">
        <v>56</v>
      </c>
      <c r="H2756" t="s">
        <v>65</v>
      </c>
      <c r="I2756" t="s">
        <v>36</v>
      </c>
      <c r="J2756" t="s">
        <v>46</v>
      </c>
      <c r="K2756">
        <v>8</v>
      </c>
      <c r="L2756">
        <v>5.52</v>
      </c>
      <c r="M2756">
        <v>3.9</v>
      </c>
      <c r="N2756" t="s">
        <v>22</v>
      </c>
      <c r="O2756" t="str">
        <f t="shared" si="43"/>
        <v>No</v>
      </c>
    </row>
    <row r="2757" spans="1:15" x14ac:dyDescent="0.25">
      <c r="A2757" t="s">
        <v>2818</v>
      </c>
      <c r="B2757" s="1">
        <v>45815</v>
      </c>
      <c r="C2757" s="2">
        <v>45815.07</v>
      </c>
      <c r="D2757" t="s">
        <v>38</v>
      </c>
      <c r="E2757" t="s">
        <v>39</v>
      </c>
      <c r="F2757" t="s">
        <v>87</v>
      </c>
      <c r="G2757" t="s">
        <v>18</v>
      </c>
      <c r="H2757" t="s">
        <v>44</v>
      </c>
      <c r="I2757" t="s">
        <v>45</v>
      </c>
      <c r="J2757" t="s">
        <v>29</v>
      </c>
      <c r="K2757">
        <v>8</v>
      </c>
      <c r="L2757">
        <v>1.68</v>
      </c>
      <c r="M2757">
        <v>4.3</v>
      </c>
      <c r="N2757" t="s">
        <v>22</v>
      </c>
      <c r="O2757" t="str">
        <f t="shared" si="43"/>
        <v>No</v>
      </c>
    </row>
    <row r="2758" spans="1:15" x14ac:dyDescent="0.25">
      <c r="A2758" t="s">
        <v>2819</v>
      </c>
      <c r="B2758" s="1">
        <v>45818</v>
      </c>
      <c r="C2758" s="2">
        <v>45818.144583333335</v>
      </c>
      <c r="D2758" t="s">
        <v>24</v>
      </c>
      <c r="E2758" t="s">
        <v>45</v>
      </c>
      <c r="F2758" t="s">
        <v>112</v>
      </c>
      <c r="G2758" t="s">
        <v>18</v>
      </c>
      <c r="H2758" t="s">
        <v>44</v>
      </c>
      <c r="I2758" t="s">
        <v>36</v>
      </c>
      <c r="J2758" t="s">
        <v>21</v>
      </c>
      <c r="K2758">
        <v>24</v>
      </c>
      <c r="L2758">
        <v>3.47</v>
      </c>
      <c r="M2758">
        <v>5</v>
      </c>
      <c r="N2758" t="s">
        <v>61</v>
      </c>
      <c r="O2758" t="str">
        <f t="shared" si="43"/>
        <v>No</v>
      </c>
    </row>
    <row r="2759" spans="1:15" x14ac:dyDescent="0.25">
      <c r="A2759" t="s">
        <v>2820</v>
      </c>
      <c r="B2759" s="1">
        <v>45772</v>
      </c>
      <c r="C2759" s="2">
        <v>45772.428333333337</v>
      </c>
      <c r="D2759" t="s">
        <v>24</v>
      </c>
      <c r="E2759" t="s">
        <v>39</v>
      </c>
      <c r="F2759" t="s">
        <v>78</v>
      </c>
      <c r="G2759" t="s">
        <v>41</v>
      </c>
      <c r="H2759" t="s">
        <v>27</v>
      </c>
      <c r="I2759" t="s">
        <v>20</v>
      </c>
      <c r="J2759" t="s">
        <v>46</v>
      </c>
      <c r="K2759">
        <v>24</v>
      </c>
      <c r="L2759">
        <v>10.28</v>
      </c>
      <c r="M2759">
        <v>4.7</v>
      </c>
      <c r="N2759" t="s">
        <v>22</v>
      </c>
      <c r="O2759" t="str">
        <f t="shared" si="43"/>
        <v>No</v>
      </c>
    </row>
    <row r="2760" spans="1:15" x14ac:dyDescent="0.25">
      <c r="A2760" t="s">
        <v>2821</v>
      </c>
      <c r="B2760" s="1">
        <v>45723</v>
      </c>
      <c r="C2760" s="2">
        <v>45723.872499999998</v>
      </c>
      <c r="D2760" t="s">
        <v>24</v>
      </c>
      <c r="E2760" t="s">
        <v>39</v>
      </c>
      <c r="F2760" t="s">
        <v>40</v>
      </c>
      <c r="G2760" t="s">
        <v>41</v>
      </c>
      <c r="H2760" t="s">
        <v>35</v>
      </c>
      <c r="I2760" t="s">
        <v>45</v>
      </c>
      <c r="J2760" t="s">
        <v>21</v>
      </c>
      <c r="K2760">
        <v>24</v>
      </c>
      <c r="L2760">
        <v>20.94</v>
      </c>
      <c r="M2760">
        <v>3.6</v>
      </c>
      <c r="N2760" t="s">
        <v>22</v>
      </c>
      <c r="O2760" t="str">
        <f t="shared" si="43"/>
        <v>No</v>
      </c>
    </row>
    <row r="2761" spans="1:15" x14ac:dyDescent="0.25">
      <c r="A2761" t="s">
        <v>2822</v>
      </c>
      <c r="B2761" s="1">
        <v>45735</v>
      </c>
      <c r="C2761" s="2">
        <v>45735.049583333333</v>
      </c>
      <c r="D2761" t="s">
        <v>15</v>
      </c>
      <c r="E2761" t="s">
        <v>45</v>
      </c>
      <c r="F2761" t="s">
        <v>50</v>
      </c>
      <c r="G2761" t="s">
        <v>18</v>
      </c>
      <c r="H2761" t="s">
        <v>27</v>
      </c>
      <c r="I2761" t="s">
        <v>36</v>
      </c>
      <c r="J2761" t="s">
        <v>46</v>
      </c>
      <c r="K2761">
        <v>48</v>
      </c>
      <c r="L2761">
        <v>1.19</v>
      </c>
      <c r="M2761">
        <v>5</v>
      </c>
      <c r="N2761" t="s">
        <v>22</v>
      </c>
      <c r="O2761" t="str">
        <f t="shared" si="43"/>
        <v>No</v>
      </c>
    </row>
    <row r="2762" spans="1:15" x14ac:dyDescent="0.25">
      <c r="A2762" t="s">
        <v>2823</v>
      </c>
      <c r="B2762" s="1">
        <v>45682</v>
      </c>
      <c r="C2762" s="2">
        <v>45682.513749999998</v>
      </c>
      <c r="D2762" t="s">
        <v>24</v>
      </c>
      <c r="E2762" t="s">
        <v>25</v>
      </c>
      <c r="F2762" t="s">
        <v>48</v>
      </c>
      <c r="G2762" t="s">
        <v>18</v>
      </c>
      <c r="H2762" t="s">
        <v>44</v>
      </c>
      <c r="I2762" t="s">
        <v>20</v>
      </c>
      <c r="J2762" t="s">
        <v>21</v>
      </c>
      <c r="K2762">
        <v>24</v>
      </c>
      <c r="L2762">
        <v>12.33</v>
      </c>
      <c r="M2762">
        <v>4.4000000000000004</v>
      </c>
      <c r="N2762" t="s">
        <v>22</v>
      </c>
      <c r="O2762" t="str">
        <f t="shared" si="43"/>
        <v>No</v>
      </c>
    </row>
    <row r="2763" spans="1:15" x14ac:dyDescent="0.25">
      <c r="A2763" t="s">
        <v>2824</v>
      </c>
      <c r="B2763" s="1">
        <v>45736</v>
      </c>
      <c r="C2763" s="2">
        <v>45736.164166666669</v>
      </c>
      <c r="D2763" t="s">
        <v>24</v>
      </c>
      <c r="E2763" t="s">
        <v>45</v>
      </c>
      <c r="F2763" t="s">
        <v>104</v>
      </c>
      <c r="G2763" t="s">
        <v>34</v>
      </c>
      <c r="H2763" t="s">
        <v>27</v>
      </c>
      <c r="I2763" t="s">
        <v>28</v>
      </c>
      <c r="J2763" t="s">
        <v>21</v>
      </c>
      <c r="K2763">
        <v>24</v>
      </c>
      <c r="L2763">
        <v>3.94</v>
      </c>
      <c r="M2763">
        <v>4.9000000000000004</v>
      </c>
      <c r="N2763" t="s">
        <v>22</v>
      </c>
      <c r="O2763" t="str">
        <f t="shared" si="43"/>
        <v>No</v>
      </c>
    </row>
    <row r="2764" spans="1:15" x14ac:dyDescent="0.25">
      <c r="A2764" t="s">
        <v>2825</v>
      </c>
      <c r="B2764" s="1">
        <v>45723</v>
      </c>
      <c r="C2764" s="2">
        <v>45724.863749999997</v>
      </c>
      <c r="D2764" t="s">
        <v>15</v>
      </c>
      <c r="E2764" t="s">
        <v>32</v>
      </c>
      <c r="F2764" t="s">
        <v>75</v>
      </c>
      <c r="G2764" t="s">
        <v>18</v>
      </c>
      <c r="H2764" t="s">
        <v>44</v>
      </c>
      <c r="I2764" t="s">
        <v>20</v>
      </c>
      <c r="J2764" t="s">
        <v>21</v>
      </c>
      <c r="K2764">
        <v>48</v>
      </c>
      <c r="L2764">
        <v>44.73</v>
      </c>
      <c r="M2764">
        <v>4.8</v>
      </c>
      <c r="N2764" t="s">
        <v>22</v>
      </c>
      <c r="O2764" t="str">
        <f t="shared" si="43"/>
        <v>No</v>
      </c>
    </row>
    <row r="2765" spans="1:15" x14ac:dyDescent="0.25">
      <c r="A2765" t="s">
        <v>2826</v>
      </c>
      <c r="B2765" s="1">
        <v>45664</v>
      </c>
      <c r="C2765" s="2">
        <v>45664.207083333335</v>
      </c>
      <c r="D2765" t="s">
        <v>38</v>
      </c>
      <c r="E2765" t="s">
        <v>32</v>
      </c>
      <c r="F2765" t="s">
        <v>80</v>
      </c>
      <c r="G2765" t="s">
        <v>18</v>
      </c>
      <c r="H2765" t="s">
        <v>54</v>
      </c>
      <c r="I2765" t="s">
        <v>45</v>
      </c>
      <c r="J2765" t="s">
        <v>21</v>
      </c>
      <c r="K2765">
        <v>8</v>
      </c>
      <c r="L2765">
        <v>4.97</v>
      </c>
      <c r="M2765">
        <v>3.7</v>
      </c>
      <c r="N2765" t="s">
        <v>22</v>
      </c>
      <c r="O2765" t="str">
        <f t="shared" si="43"/>
        <v>No</v>
      </c>
    </row>
    <row r="2766" spans="1:15" x14ac:dyDescent="0.25">
      <c r="A2766" t="s">
        <v>2827</v>
      </c>
      <c r="B2766" s="1">
        <v>45695</v>
      </c>
      <c r="C2766" s="2">
        <v>45695.161249999997</v>
      </c>
      <c r="D2766" t="s">
        <v>24</v>
      </c>
      <c r="E2766" t="s">
        <v>39</v>
      </c>
      <c r="F2766" t="s">
        <v>87</v>
      </c>
      <c r="G2766" t="s">
        <v>34</v>
      </c>
      <c r="H2766" t="s">
        <v>65</v>
      </c>
      <c r="I2766" t="s">
        <v>36</v>
      </c>
      <c r="J2766" t="s">
        <v>46</v>
      </c>
      <c r="K2766">
        <v>24</v>
      </c>
      <c r="L2766">
        <v>3.87</v>
      </c>
      <c r="M2766">
        <v>4.5</v>
      </c>
      <c r="N2766" t="s">
        <v>61</v>
      </c>
      <c r="O2766" t="str">
        <f t="shared" si="43"/>
        <v>No</v>
      </c>
    </row>
    <row r="2767" spans="1:15" x14ac:dyDescent="0.25">
      <c r="A2767" t="s">
        <v>2828</v>
      </c>
      <c r="B2767" s="1">
        <v>45754</v>
      </c>
      <c r="C2767" s="2">
        <v>45755.890833333331</v>
      </c>
      <c r="D2767" t="s">
        <v>15</v>
      </c>
      <c r="E2767" t="s">
        <v>39</v>
      </c>
      <c r="F2767" t="s">
        <v>87</v>
      </c>
      <c r="G2767" t="s">
        <v>34</v>
      </c>
      <c r="H2767" t="s">
        <v>27</v>
      </c>
      <c r="I2767" t="s">
        <v>45</v>
      </c>
      <c r="J2767" t="s">
        <v>21</v>
      </c>
      <c r="K2767">
        <v>48</v>
      </c>
      <c r="L2767">
        <v>45.38</v>
      </c>
      <c r="M2767">
        <v>4.0999999999999996</v>
      </c>
      <c r="N2767" t="s">
        <v>22</v>
      </c>
      <c r="O2767" t="str">
        <f t="shared" si="43"/>
        <v>No</v>
      </c>
    </row>
    <row r="2768" spans="1:15" x14ac:dyDescent="0.25">
      <c r="A2768" t="s">
        <v>2829</v>
      </c>
      <c r="B2768" s="1">
        <v>45724</v>
      </c>
      <c r="C2768" s="2">
        <v>45724.6175</v>
      </c>
      <c r="D2768" t="s">
        <v>24</v>
      </c>
      <c r="E2768" t="s">
        <v>39</v>
      </c>
      <c r="F2768" t="s">
        <v>119</v>
      </c>
      <c r="G2768" t="s">
        <v>41</v>
      </c>
      <c r="H2768" t="s">
        <v>19</v>
      </c>
      <c r="I2768" t="s">
        <v>20</v>
      </c>
      <c r="J2768" t="s">
        <v>85</v>
      </c>
      <c r="K2768">
        <v>24</v>
      </c>
      <c r="L2768">
        <v>14.82</v>
      </c>
      <c r="M2768">
        <v>3.3</v>
      </c>
      <c r="N2768" t="s">
        <v>22</v>
      </c>
      <c r="O2768" t="str">
        <f t="shared" si="43"/>
        <v>No</v>
      </c>
    </row>
    <row r="2769" spans="1:15" x14ac:dyDescent="0.25">
      <c r="A2769" t="s">
        <v>2830</v>
      </c>
      <c r="B2769" s="1">
        <v>45837</v>
      </c>
      <c r="C2769" s="2">
        <v>45837.133750000001</v>
      </c>
      <c r="D2769" t="s">
        <v>38</v>
      </c>
      <c r="E2769" t="s">
        <v>39</v>
      </c>
      <c r="F2769" t="s">
        <v>87</v>
      </c>
      <c r="G2769" t="s">
        <v>41</v>
      </c>
      <c r="H2769" t="s">
        <v>54</v>
      </c>
      <c r="I2769" t="s">
        <v>28</v>
      </c>
      <c r="J2769" t="s">
        <v>29</v>
      </c>
      <c r="K2769">
        <v>8</v>
      </c>
      <c r="L2769">
        <v>3.21</v>
      </c>
      <c r="M2769">
        <v>4.4000000000000004</v>
      </c>
      <c r="N2769" t="s">
        <v>22</v>
      </c>
      <c r="O2769" t="str">
        <f t="shared" si="43"/>
        <v>No</v>
      </c>
    </row>
    <row r="2770" spans="1:15" x14ac:dyDescent="0.25">
      <c r="A2770" t="s">
        <v>2831</v>
      </c>
      <c r="B2770" s="1">
        <v>45744</v>
      </c>
      <c r="C2770" s="2">
        <v>45744.602083333331</v>
      </c>
      <c r="D2770" t="s">
        <v>38</v>
      </c>
      <c r="E2770" t="s">
        <v>25</v>
      </c>
      <c r="F2770" t="s">
        <v>26</v>
      </c>
      <c r="G2770" t="s">
        <v>41</v>
      </c>
      <c r="H2770" t="s">
        <v>35</v>
      </c>
      <c r="I2770" t="s">
        <v>45</v>
      </c>
      <c r="J2770" t="s">
        <v>46</v>
      </c>
      <c r="K2770">
        <v>8</v>
      </c>
      <c r="L2770">
        <v>14.45</v>
      </c>
      <c r="M2770">
        <v>4.2</v>
      </c>
      <c r="N2770" t="s">
        <v>61</v>
      </c>
      <c r="O2770" t="str">
        <f t="shared" si="43"/>
        <v>Yes</v>
      </c>
    </row>
    <row r="2771" spans="1:15" x14ac:dyDescent="0.25">
      <c r="A2771" t="s">
        <v>2832</v>
      </c>
      <c r="B2771" s="1">
        <v>45831</v>
      </c>
      <c r="C2771" s="2">
        <v>45831.435833333337</v>
      </c>
      <c r="D2771" t="s">
        <v>24</v>
      </c>
      <c r="E2771" t="s">
        <v>32</v>
      </c>
      <c r="F2771" t="s">
        <v>64</v>
      </c>
      <c r="G2771" t="s">
        <v>56</v>
      </c>
      <c r="H2771" t="s">
        <v>27</v>
      </c>
      <c r="I2771" t="s">
        <v>45</v>
      </c>
      <c r="J2771" t="s">
        <v>29</v>
      </c>
      <c r="K2771">
        <v>24</v>
      </c>
      <c r="L2771">
        <v>10.46</v>
      </c>
      <c r="M2771">
        <v>5</v>
      </c>
      <c r="N2771" t="s">
        <v>61</v>
      </c>
      <c r="O2771" t="str">
        <f t="shared" si="43"/>
        <v>No</v>
      </c>
    </row>
    <row r="2772" spans="1:15" x14ac:dyDescent="0.25">
      <c r="A2772" t="s">
        <v>2833</v>
      </c>
      <c r="B2772" s="1">
        <v>45777</v>
      </c>
      <c r="C2772" s="2">
        <v>45777.051666666666</v>
      </c>
      <c r="D2772" t="s">
        <v>31</v>
      </c>
      <c r="E2772" t="s">
        <v>16</v>
      </c>
      <c r="F2772" t="s">
        <v>43</v>
      </c>
      <c r="G2772" t="s">
        <v>56</v>
      </c>
      <c r="H2772" t="s">
        <v>19</v>
      </c>
      <c r="I2772" t="s">
        <v>36</v>
      </c>
      <c r="J2772" t="s">
        <v>85</v>
      </c>
      <c r="K2772">
        <v>4</v>
      </c>
      <c r="L2772">
        <v>1.24</v>
      </c>
      <c r="M2772">
        <v>5</v>
      </c>
      <c r="N2772" t="s">
        <v>22</v>
      </c>
      <c r="O2772" t="str">
        <f t="shared" si="43"/>
        <v>No</v>
      </c>
    </row>
    <row r="2773" spans="1:15" x14ac:dyDescent="0.25">
      <c r="A2773" t="s">
        <v>2834</v>
      </c>
      <c r="B2773" s="1">
        <v>45665</v>
      </c>
      <c r="C2773" s="2">
        <v>45665.251250000001</v>
      </c>
      <c r="D2773" t="s">
        <v>38</v>
      </c>
      <c r="E2773" t="s">
        <v>25</v>
      </c>
      <c r="F2773" t="s">
        <v>26</v>
      </c>
      <c r="G2773" t="s">
        <v>18</v>
      </c>
      <c r="H2773" t="s">
        <v>35</v>
      </c>
      <c r="I2773" t="s">
        <v>36</v>
      </c>
      <c r="J2773" t="s">
        <v>46</v>
      </c>
      <c r="K2773">
        <v>8</v>
      </c>
      <c r="L2773">
        <v>6.03</v>
      </c>
      <c r="M2773">
        <v>4.9000000000000004</v>
      </c>
      <c r="N2773" t="s">
        <v>22</v>
      </c>
      <c r="O2773" t="str">
        <f t="shared" si="43"/>
        <v>No</v>
      </c>
    </row>
    <row r="2774" spans="1:15" x14ac:dyDescent="0.25">
      <c r="A2774" t="s">
        <v>2835</v>
      </c>
      <c r="B2774" s="1">
        <v>45694</v>
      </c>
      <c r="C2774" s="2">
        <v>45694.476666666669</v>
      </c>
      <c r="D2774" t="s">
        <v>38</v>
      </c>
      <c r="E2774" t="s">
        <v>16</v>
      </c>
      <c r="F2774" t="s">
        <v>58</v>
      </c>
      <c r="G2774" t="s">
        <v>41</v>
      </c>
      <c r="H2774" t="s">
        <v>54</v>
      </c>
      <c r="I2774" t="s">
        <v>36</v>
      </c>
      <c r="J2774" t="s">
        <v>46</v>
      </c>
      <c r="K2774">
        <v>8</v>
      </c>
      <c r="L2774">
        <v>11.44</v>
      </c>
      <c r="M2774">
        <v>3.6</v>
      </c>
      <c r="N2774" t="s">
        <v>22</v>
      </c>
      <c r="O2774" t="str">
        <f t="shared" si="43"/>
        <v>Yes</v>
      </c>
    </row>
    <row r="2775" spans="1:15" x14ac:dyDescent="0.25">
      <c r="A2775" t="s">
        <v>2836</v>
      </c>
      <c r="B2775" s="1">
        <v>45785</v>
      </c>
      <c r="C2775" s="2">
        <v>45785.020833333336</v>
      </c>
      <c r="D2775" t="s">
        <v>38</v>
      </c>
      <c r="E2775" t="s">
        <v>39</v>
      </c>
      <c r="F2775" t="s">
        <v>78</v>
      </c>
      <c r="G2775" t="s">
        <v>18</v>
      </c>
      <c r="H2775" t="s">
        <v>54</v>
      </c>
      <c r="I2775" t="s">
        <v>36</v>
      </c>
      <c r="J2775" t="s">
        <v>21</v>
      </c>
      <c r="K2775">
        <v>8</v>
      </c>
      <c r="L2775">
        <v>0.5</v>
      </c>
      <c r="M2775">
        <v>4.5999999999999996</v>
      </c>
      <c r="N2775" t="s">
        <v>22</v>
      </c>
      <c r="O2775" t="str">
        <f t="shared" si="43"/>
        <v>No</v>
      </c>
    </row>
    <row r="2776" spans="1:15" x14ac:dyDescent="0.25">
      <c r="A2776" t="s">
        <v>2837</v>
      </c>
      <c r="B2776" s="1">
        <v>45756</v>
      </c>
      <c r="C2776" s="2">
        <v>45757.078750000001</v>
      </c>
      <c r="D2776" t="s">
        <v>24</v>
      </c>
      <c r="E2776" t="s">
        <v>32</v>
      </c>
      <c r="F2776" t="s">
        <v>64</v>
      </c>
      <c r="G2776" t="s">
        <v>51</v>
      </c>
      <c r="H2776" t="s">
        <v>54</v>
      </c>
      <c r="I2776" t="s">
        <v>45</v>
      </c>
      <c r="J2776" t="s">
        <v>46</v>
      </c>
      <c r="K2776">
        <v>24</v>
      </c>
      <c r="L2776">
        <v>25.89</v>
      </c>
      <c r="M2776">
        <v>4.8</v>
      </c>
      <c r="N2776" t="s">
        <v>22</v>
      </c>
      <c r="O2776" t="str">
        <f t="shared" si="43"/>
        <v>Yes</v>
      </c>
    </row>
    <row r="2777" spans="1:15" x14ac:dyDescent="0.25">
      <c r="A2777" t="s">
        <v>2838</v>
      </c>
      <c r="B2777" s="1">
        <v>45712</v>
      </c>
      <c r="C2777" s="2">
        <v>45712.259166666663</v>
      </c>
      <c r="D2777" t="s">
        <v>38</v>
      </c>
      <c r="E2777" t="s">
        <v>32</v>
      </c>
      <c r="F2777" t="s">
        <v>75</v>
      </c>
      <c r="G2777" t="s">
        <v>18</v>
      </c>
      <c r="H2777" t="s">
        <v>44</v>
      </c>
      <c r="I2777" t="s">
        <v>36</v>
      </c>
      <c r="J2777" t="s">
        <v>46</v>
      </c>
      <c r="K2777">
        <v>8</v>
      </c>
      <c r="L2777">
        <v>6.22</v>
      </c>
      <c r="M2777">
        <v>3.5</v>
      </c>
      <c r="N2777" t="s">
        <v>22</v>
      </c>
      <c r="O2777" t="str">
        <f t="shared" si="43"/>
        <v>No</v>
      </c>
    </row>
    <row r="2778" spans="1:15" x14ac:dyDescent="0.25">
      <c r="A2778" t="s">
        <v>2839</v>
      </c>
      <c r="B2778" s="1">
        <v>45752</v>
      </c>
      <c r="C2778" s="2">
        <v>45753.279166666667</v>
      </c>
      <c r="D2778" t="s">
        <v>24</v>
      </c>
      <c r="E2778" t="s">
        <v>25</v>
      </c>
      <c r="F2778" t="s">
        <v>70</v>
      </c>
      <c r="G2778" t="s">
        <v>41</v>
      </c>
      <c r="H2778" t="s">
        <v>65</v>
      </c>
      <c r="I2778" t="s">
        <v>45</v>
      </c>
      <c r="J2778" t="s">
        <v>21</v>
      </c>
      <c r="K2778">
        <v>24</v>
      </c>
      <c r="L2778">
        <v>30.7</v>
      </c>
      <c r="M2778">
        <v>4.0999999999999996</v>
      </c>
      <c r="N2778" t="s">
        <v>22</v>
      </c>
      <c r="O2778" t="str">
        <f t="shared" si="43"/>
        <v>Yes</v>
      </c>
    </row>
    <row r="2779" spans="1:15" x14ac:dyDescent="0.25">
      <c r="A2779" t="s">
        <v>2840</v>
      </c>
      <c r="B2779" s="1">
        <v>45821</v>
      </c>
      <c r="C2779" s="2">
        <v>45822.127500000002</v>
      </c>
      <c r="D2779" t="s">
        <v>24</v>
      </c>
      <c r="E2779" t="s">
        <v>39</v>
      </c>
      <c r="F2779" t="s">
        <v>119</v>
      </c>
      <c r="G2779" t="s">
        <v>51</v>
      </c>
      <c r="H2779" t="s">
        <v>35</v>
      </c>
      <c r="I2779" t="s">
        <v>45</v>
      </c>
      <c r="J2779" t="s">
        <v>21</v>
      </c>
      <c r="K2779">
        <v>24</v>
      </c>
      <c r="L2779">
        <v>27.06</v>
      </c>
      <c r="M2779">
        <v>3.3</v>
      </c>
      <c r="N2779" t="s">
        <v>22</v>
      </c>
      <c r="O2779" t="str">
        <f t="shared" si="43"/>
        <v>Yes</v>
      </c>
    </row>
    <row r="2780" spans="1:15" x14ac:dyDescent="0.25">
      <c r="A2780" t="s">
        <v>2841</v>
      </c>
      <c r="B2780" s="1">
        <v>45728</v>
      </c>
      <c r="C2780" s="2">
        <v>45729.344166666669</v>
      </c>
      <c r="D2780" t="s">
        <v>15</v>
      </c>
      <c r="E2780" t="s">
        <v>32</v>
      </c>
      <c r="F2780" t="s">
        <v>75</v>
      </c>
      <c r="G2780" t="s">
        <v>51</v>
      </c>
      <c r="H2780" t="s">
        <v>27</v>
      </c>
      <c r="I2780" t="s">
        <v>36</v>
      </c>
      <c r="J2780" t="s">
        <v>21</v>
      </c>
      <c r="K2780">
        <v>48</v>
      </c>
      <c r="L2780">
        <v>32.26</v>
      </c>
      <c r="M2780">
        <v>3.9</v>
      </c>
      <c r="N2780" t="s">
        <v>22</v>
      </c>
      <c r="O2780" t="str">
        <f t="shared" si="43"/>
        <v>No</v>
      </c>
    </row>
    <row r="2781" spans="1:15" x14ac:dyDescent="0.25">
      <c r="A2781" t="s">
        <v>2842</v>
      </c>
      <c r="B2781" s="1">
        <v>45666</v>
      </c>
      <c r="C2781" s="2">
        <v>45666.254583333335</v>
      </c>
      <c r="D2781" t="s">
        <v>38</v>
      </c>
      <c r="E2781" t="s">
        <v>45</v>
      </c>
      <c r="F2781" t="s">
        <v>112</v>
      </c>
      <c r="G2781" t="s">
        <v>56</v>
      </c>
      <c r="H2781" t="s">
        <v>35</v>
      </c>
      <c r="I2781" t="s">
        <v>45</v>
      </c>
      <c r="J2781" t="s">
        <v>46</v>
      </c>
      <c r="K2781">
        <v>8</v>
      </c>
      <c r="L2781">
        <v>6.11</v>
      </c>
      <c r="M2781">
        <v>4.4000000000000004</v>
      </c>
      <c r="N2781" t="s">
        <v>22</v>
      </c>
      <c r="O2781" t="str">
        <f t="shared" si="43"/>
        <v>No</v>
      </c>
    </row>
    <row r="2782" spans="1:15" x14ac:dyDescent="0.25">
      <c r="A2782" t="s">
        <v>2843</v>
      </c>
      <c r="B2782" s="1">
        <v>45714</v>
      </c>
      <c r="C2782" s="2">
        <v>45714.089166666665</v>
      </c>
      <c r="D2782" t="s">
        <v>31</v>
      </c>
      <c r="E2782" t="s">
        <v>16</v>
      </c>
      <c r="F2782" t="s">
        <v>58</v>
      </c>
      <c r="G2782" t="s">
        <v>34</v>
      </c>
      <c r="H2782" t="s">
        <v>54</v>
      </c>
      <c r="I2782" t="s">
        <v>36</v>
      </c>
      <c r="J2782" t="s">
        <v>29</v>
      </c>
      <c r="K2782">
        <v>4</v>
      </c>
      <c r="L2782">
        <v>2.14</v>
      </c>
      <c r="M2782">
        <v>5</v>
      </c>
      <c r="N2782" t="s">
        <v>22</v>
      </c>
      <c r="O2782" t="str">
        <f t="shared" si="43"/>
        <v>No</v>
      </c>
    </row>
    <row r="2783" spans="1:15" x14ac:dyDescent="0.25">
      <c r="A2783" t="s">
        <v>2844</v>
      </c>
      <c r="B2783" s="1">
        <v>45827</v>
      </c>
      <c r="C2783" s="2">
        <v>45828.316250000003</v>
      </c>
      <c r="D2783" t="s">
        <v>24</v>
      </c>
      <c r="E2783" t="s">
        <v>25</v>
      </c>
      <c r="F2783" t="s">
        <v>53</v>
      </c>
      <c r="G2783" t="s">
        <v>34</v>
      </c>
      <c r="H2783" t="s">
        <v>44</v>
      </c>
      <c r="I2783" t="s">
        <v>36</v>
      </c>
      <c r="J2783" t="s">
        <v>21</v>
      </c>
      <c r="K2783">
        <v>24</v>
      </c>
      <c r="L2783">
        <v>31.59</v>
      </c>
      <c r="M2783">
        <v>4.3</v>
      </c>
      <c r="N2783" t="s">
        <v>22</v>
      </c>
      <c r="O2783" t="str">
        <f t="shared" si="43"/>
        <v>Yes</v>
      </c>
    </row>
    <row r="2784" spans="1:15" x14ac:dyDescent="0.25">
      <c r="A2784" t="s">
        <v>2845</v>
      </c>
      <c r="B2784" s="1">
        <v>45795</v>
      </c>
      <c r="C2784" s="2">
        <v>45795.044583333336</v>
      </c>
      <c r="D2784" t="s">
        <v>31</v>
      </c>
      <c r="E2784" t="s">
        <v>39</v>
      </c>
      <c r="F2784" t="s">
        <v>119</v>
      </c>
      <c r="G2784" t="s">
        <v>41</v>
      </c>
      <c r="H2784" t="s">
        <v>54</v>
      </c>
      <c r="I2784" t="s">
        <v>28</v>
      </c>
      <c r="J2784" t="s">
        <v>21</v>
      </c>
      <c r="K2784">
        <v>4</v>
      </c>
      <c r="L2784">
        <v>1.07</v>
      </c>
      <c r="M2784">
        <v>4.9000000000000004</v>
      </c>
      <c r="N2784" t="s">
        <v>22</v>
      </c>
      <c r="O2784" t="str">
        <f t="shared" si="43"/>
        <v>No</v>
      </c>
    </row>
    <row r="2785" spans="1:15" x14ac:dyDescent="0.25">
      <c r="A2785" t="s">
        <v>2846</v>
      </c>
      <c r="B2785" s="1">
        <v>45809</v>
      </c>
      <c r="C2785" s="2">
        <v>45809.530416666668</v>
      </c>
      <c r="D2785" t="s">
        <v>24</v>
      </c>
      <c r="E2785" t="s">
        <v>45</v>
      </c>
      <c r="F2785" t="s">
        <v>100</v>
      </c>
      <c r="G2785" t="s">
        <v>34</v>
      </c>
      <c r="H2785" t="s">
        <v>54</v>
      </c>
      <c r="I2785" t="s">
        <v>36</v>
      </c>
      <c r="J2785" t="s">
        <v>85</v>
      </c>
      <c r="K2785">
        <v>24</v>
      </c>
      <c r="L2785">
        <v>12.73</v>
      </c>
      <c r="M2785">
        <v>4.4000000000000004</v>
      </c>
      <c r="N2785" t="s">
        <v>22</v>
      </c>
      <c r="O2785" t="str">
        <f t="shared" si="43"/>
        <v>No</v>
      </c>
    </row>
    <row r="2786" spans="1:15" x14ac:dyDescent="0.25">
      <c r="A2786" t="s">
        <v>2847</v>
      </c>
      <c r="B2786" s="1">
        <v>45823</v>
      </c>
      <c r="C2786" s="2">
        <v>45824.75</v>
      </c>
      <c r="D2786" t="s">
        <v>15</v>
      </c>
      <c r="E2786" t="s">
        <v>32</v>
      </c>
      <c r="F2786" t="s">
        <v>33</v>
      </c>
      <c r="G2786" t="s">
        <v>41</v>
      </c>
      <c r="H2786" t="s">
        <v>27</v>
      </c>
      <c r="I2786" t="s">
        <v>36</v>
      </c>
      <c r="J2786" t="s">
        <v>21</v>
      </c>
      <c r="K2786">
        <v>48</v>
      </c>
      <c r="L2786">
        <v>42</v>
      </c>
      <c r="M2786">
        <v>4.5</v>
      </c>
      <c r="N2786" t="s">
        <v>22</v>
      </c>
      <c r="O2786" t="str">
        <f t="shared" si="43"/>
        <v>No</v>
      </c>
    </row>
    <row r="2787" spans="1:15" x14ac:dyDescent="0.25">
      <c r="A2787" t="s">
        <v>2848</v>
      </c>
      <c r="B2787" s="1">
        <v>45679</v>
      </c>
      <c r="C2787" s="2">
        <v>45680.893333333333</v>
      </c>
      <c r="D2787" t="s">
        <v>15</v>
      </c>
      <c r="E2787" t="s">
        <v>32</v>
      </c>
      <c r="F2787" t="s">
        <v>75</v>
      </c>
      <c r="G2787" t="s">
        <v>56</v>
      </c>
      <c r="H2787" t="s">
        <v>35</v>
      </c>
      <c r="I2787" t="s">
        <v>45</v>
      </c>
      <c r="J2787" t="s">
        <v>46</v>
      </c>
      <c r="K2787">
        <v>48</v>
      </c>
      <c r="L2787">
        <v>45.44</v>
      </c>
      <c r="M2787">
        <v>4.8</v>
      </c>
      <c r="N2787" t="s">
        <v>22</v>
      </c>
      <c r="O2787" t="str">
        <f t="shared" si="43"/>
        <v>No</v>
      </c>
    </row>
    <row r="2788" spans="1:15" x14ac:dyDescent="0.25">
      <c r="A2788" t="s">
        <v>2849</v>
      </c>
      <c r="B2788" s="1">
        <v>45709</v>
      </c>
      <c r="C2788" s="2">
        <v>45709.316250000003</v>
      </c>
      <c r="D2788" t="s">
        <v>38</v>
      </c>
      <c r="E2788" t="s">
        <v>45</v>
      </c>
      <c r="F2788" t="s">
        <v>104</v>
      </c>
      <c r="G2788" t="s">
        <v>34</v>
      </c>
      <c r="H2788" t="s">
        <v>27</v>
      </c>
      <c r="I2788" t="s">
        <v>36</v>
      </c>
      <c r="J2788" t="s">
        <v>21</v>
      </c>
      <c r="K2788">
        <v>8</v>
      </c>
      <c r="L2788">
        <v>7.59</v>
      </c>
      <c r="M2788">
        <v>2.7</v>
      </c>
      <c r="N2788" t="s">
        <v>22</v>
      </c>
      <c r="O2788" t="str">
        <f t="shared" si="43"/>
        <v>No</v>
      </c>
    </row>
    <row r="2789" spans="1:15" x14ac:dyDescent="0.25">
      <c r="A2789" t="s">
        <v>2850</v>
      </c>
      <c r="B2789" s="1">
        <v>45668</v>
      </c>
      <c r="C2789" s="2">
        <v>45668.71875</v>
      </c>
      <c r="D2789" t="s">
        <v>24</v>
      </c>
      <c r="E2789" t="s">
        <v>45</v>
      </c>
      <c r="F2789" t="s">
        <v>50</v>
      </c>
      <c r="G2789" t="s">
        <v>34</v>
      </c>
      <c r="H2789" t="s">
        <v>44</v>
      </c>
      <c r="I2789" t="s">
        <v>36</v>
      </c>
      <c r="J2789" t="s">
        <v>21</v>
      </c>
      <c r="K2789">
        <v>24</v>
      </c>
      <c r="L2789">
        <v>17.25</v>
      </c>
      <c r="M2789">
        <v>4.0999999999999996</v>
      </c>
      <c r="N2789" t="s">
        <v>22</v>
      </c>
      <c r="O2789" t="str">
        <f t="shared" si="43"/>
        <v>No</v>
      </c>
    </row>
    <row r="2790" spans="1:15" x14ac:dyDescent="0.25">
      <c r="A2790" t="s">
        <v>2851</v>
      </c>
      <c r="B2790" s="1">
        <v>45658</v>
      </c>
      <c r="C2790" s="2">
        <v>45658.953750000001</v>
      </c>
      <c r="D2790" t="s">
        <v>24</v>
      </c>
      <c r="E2790" t="s">
        <v>16</v>
      </c>
      <c r="F2790" t="s">
        <v>43</v>
      </c>
      <c r="G2790" t="s">
        <v>41</v>
      </c>
      <c r="H2790" t="s">
        <v>44</v>
      </c>
      <c r="I2790" t="s">
        <v>20</v>
      </c>
      <c r="J2790" t="s">
        <v>21</v>
      </c>
      <c r="K2790">
        <v>24</v>
      </c>
      <c r="L2790">
        <v>22.89</v>
      </c>
      <c r="M2790">
        <v>3.2</v>
      </c>
      <c r="N2790" t="s">
        <v>22</v>
      </c>
      <c r="O2790" t="str">
        <f t="shared" si="43"/>
        <v>No</v>
      </c>
    </row>
    <row r="2791" spans="1:15" x14ac:dyDescent="0.25">
      <c r="A2791" t="s">
        <v>2852</v>
      </c>
      <c r="B2791" s="1">
        <v>45809</v>
      </c>
      <c r="C2791" s="2">
        <v>45809.761666666665</v>
      </c>
      <c r="D2791" t="s">
        <v>24</v>
      </c>
      <c r="E2791" t="s">
        <v>32</v>
      </c>
      <c r="F2791" t="s">
        <v>80</v>
      </c>
      <c r="G2791" t="s">
        <v>41</v>
      </c>
      <c r="H2791" t="s">
        <v>19</v>
      </c>
      <c r="I2791" t="s">
        <v>45</v>
      </c>
      <c r="J2791" t="s">
        <v>21</v>
      </c>
      <c r="K2791">
        <v>24</v>
      </c>
      <c r="L2791">
        <v>18.28</v>
      </c>
      <c r="M2791">
        <v>3.9</v>
      </c>
      <c r="N2791" t="s">
        <v>22</v>
      </c>
      <c r="O2791" t="str">
        <f t="shared" si="43"/>
        <v>No</v>
      </c>
    </row>
    <row r="2792" spans="1:15" x14ac:dyDescent="0.25">
      <c r="A2792" t="s">
        <v>2853</v>
      </c>
      <c r="B2792" s="1">
        <v>45827</v>
      </c>
      <c r="C2792" s="2">
        <v>45828.516250000001</v>
      </c>
      <c r="D2792" t="s">
        <v>24</v>
      </c>
      <c r="E2792" t="s">
        <v>39</v>
      </c>
      <c r="F2792" t="s">
        <v>87</v>
      </c>
      <c r="G2792" t="s">
        <v>18</v>
      </c>
      <c r="H2792" t="s">
        <v>27</v>
      </c>
      <c r="I2792" t="s">
        <v>45</v>
      </c>
      <c r="J2792" t="s">
        <v>21</v>
      </c>
      <c r="K2792">
        <v>24</v>
      </c>
      <c r="L2792">
        <v>36.39</v>
      </c>
      <c r="M2792">
        <v>2.4</v>
      </c>
      <c r="N2792" t="s">
        <v>22</v>
      </c>
      <c r="O2792" t="str">
        <f t="shared" si="43"/>
        <v>Yes</v>
      </c>
    </row>
    <row r="2793" spans="1:15" x14ac:dyDescent="0.25">
      <c r="A2793" t="s">
        <v>2854</v>
      </c>
      <c r="B2793" s="1">
        <v>45686</v>
      </c>
      <c r="C2793" s="2">
        <v>45686.26</v>
      </c>
      <c r="D2793" t="s">
        <v>24</v>
      </c>
      <c r="E2793" t="s">
        <v>25</v>
      </c>
      <c r="F2793" t="s">
        <v>53</v>
      </c>
      <c r="G2793" t="s">
        <v>18</v>
      </c>
      <c r="H2793" t="s">
        <v>27</v>
      </c>
      <c r="I2793" t="s">
        <v>20</v>
      </c>
      <c r="J2793" t="s">
        <v>21</v>
      </c>
      <c r="K2793">
        <v>24</v>
      </c>
      <c r="L2793">
        <v>6.24</v>
      </c>
      <c r="M2793">
        <v>3.5</v>
      </c>
      <c r="N2793" t="s">
        <v>22</v>
      </c>
      <c r="O2793" t="str">
        <f t="shared" si="43"/>
        <v>No</v>
      </c>
    </row>
    <row r="2794" spans="1:15" x14ac:dyDescent="0.25">
      <c r="A2794" t="s">
        <v>2855</v>
      </c>
      <c r="B2794" s="1">
        <v>45788</v>
      </c>
      <c r="C2794" s="2">
        <v>45788.317083333335</v>
      </c>
      <c r="D2794" t="s">
        <v>38</v>
      </c>
      <c r="E2794" t="s">
        <v>25</v>
      </c>
      <c r="F2794" t="s">
        <v>70</v>
      </c>
      <c r="G2794" t="s">
        <v>18</v>
      </c>
      <c r="H2794" t="s">
        <v>65</v>
      </c>
      <c r="I2794" t="s">
        <v>36</v>
      </c>
      <c r="J2794" t="s">
        <v>46</v>
      </c>
      <c r="K2794">
        <v>8</v>
      </c>
      <c r="L2794">
        <v>7.61</v>
      </c>
      <c r="M2794">
        <v>3</v>
      </c>
      <c r="N2794" t="s">
        <v>22</v>
      </c>
      <c r="O2794" t="str">
        <f t="shared" si="43"/>
        <v>No</v>
      </c>
    </row>
    <row r="2795" spans="1:15" x14ac:dyDescent="0.25">
      <c r="A2795" t="s">
        <v>2856</v>
      </c>
      <c r="B2795" s="1">
        <v>45754</v>
      </c>
      <c r="C2795" s="2">
        <v>45754.472500000003</v>
      </c>
      <c r="D2795" t="s">
        <v>24</v>
      </c>
      <c r="E2795" t="s">
        <v>39</v>
      </c>
      <c r="F2795" t="s">
        <v>87</v>
      </c>
      <c r="G2795" t="s">
        <v>56</v>
      </c>
      <c r="H2795" t="s">
        <v>35</v>
      </c>
      <c r="I2795" t="s">
        <v>45</v>
      </c>
      <c r="J2795" t="s">
        <v>85</v>
      </c>
      <c r="K2795">
        <v>24</v>
      </c>
      <c r="L2795">
        <v>11.34</v>
      </c>
      <c r="M2795">
        <v>4.0999999999999996</v>
      </c>
      <c r="N2795" t="s">
        <v>22</v>
      </c>
      <c r="O2795" t="str">
        <f t="shared" si="43"/>
        <v>No</v>
      </c>
    </row>
    <row r="2796" spans="1:15" x14ac:dyDescent="0.25">
      <c r="A2796" t="s">
        <v>2857</v>
      </c>
      <c r="B2796" s="1">
        <v>45670</v>
      </c>
      <c r="C2796" s="2">
        <v>45670.188333333332</v>
      </c>
      <c r="D2796" t="s">
        <v>38</v>
      </c>
      <c r="E2796" t="s">
        <v>32</v>
      </c>
      <c r="F2796" t="s">
        <v>33</v>
      </c>
      <c r="G2796" t="s">
        <v>18</v>
      </c>
      <c r="H2796" t="s">
        <v>54</v>
      </c>
      <c r="I2796" t="s">
        <v>36</v>
      </c>
      <c r="J2796" t="s">
        <v>46</v>
      </c>
      <c r="K2796">
        <v>8</v>
      </c>
      <c r="L2796">
        <v>4.5199999999999996</v>
      </c>
      <c r="M2796">
        <v>4.7</v>
      </c>
      <c r="N2796" t="s">
        <v>22</v>
      </c>
      <c r="O2796" t="str">
        <f t="shared" si="43"/>
        <v>No</v>
      </c>
    </row>
    <row r="2797" spans="1:15" x14ac:dyDescent="0.25">
      <c r="A2797" t="s">
        <v>2858</v>
      </c>
      <c r="B2797" s="1">
        <v>45823</v>
      </c>
      <c r="C2797" s="2">
        <v>45824.592916666668</v>
      </c>
      <c r="D2797" t="s">
        <v>24</v>
      </c>
      <c r="E2797" t="s">
        <v>16</v>
      </c>
      <c r="F2797" t="s">
        <v>60</v>
      </c>
      <c r="G2797" t="s">
        <v>56</v>
      </c>
      <c r="H2797" t="s">
        <v>19</v>
      </c>
      <c r="I2797" t="s">
        <v>36</v>
      </c>
      <c r="J2797" t="s">
        <v>21</v>
      </c>
      <c r="K2797">
        <v>24</v>
      </c>
      <c r="L2797">
        <v>38.229999999999997</v>
      </c>
      <c r="M2797">
        <v>2.6</v>
      </c>
      <c r="N2797" t="s">
        <v>22</v>
      </c>
      <c r="O2797" t="str">
        <f t="shared" si="43"/>
        <v>Yes</v>
      </c>
    </row>
    <row r="2798" spans="1:15" x14ac:dyDescent="0.25">
      <c r="A2798" t="s">
        <v>2859</v>
      </c>
      <c r="B2798" s="1">
        <v>45815</v>
      </c>
      <c r="C2798" s="2">
        <v>45815.262916666667</v>
      </c>
      <c r="D2798" t="s">
        <v>31</v>
      </c>
      <c r="E2798" t="s">
        <v>25</v>
      </c>
      <c r="F2798" t="s">
        <v>53</v>
      </c>
      <c r="G2798" t="s">
        <v>34</v>
      </c>
      <c r="H2798" t="s">
        <v>19</v>
      </c>
      <c r="I2798" t="s">
        <v>28</v>
      </c>
      <c r="J2798" t="s">
        <v>21</v>
      </c>
      <c r="K2798">
        <v>4</v>
      </c>
      <c r="L2798">
        <v>6.31</v>
      </c>
      <c r="M2798">
        <v>2.5</v>
      </c>
      <c r="N2798" t="s">
        <v>22</v>
      </c>
      <c r="O2798" t="str">
        <f t="shared" si="43"/>
        <v>Yes</v>
      </c>
    </row>
    <row r="2799" spans="1:15" x14ac:dyDescent="0.25">
      <c r="A2799" t="s">
        <v>2860</v>
      </c>
      <c r="B2799" s="1">
        <v>45760</v>
      </c>
      <c r="C2799" s="2">
        <v>45762.63208333333</v>
      </c>
      <c r="D2799" t="s">
        <v>15</v>
      </c>
      <c r="E2799" t="s">
        <v>39</v>
      </c>
      <c r="F2799" t="s">
        <v>87</v>
      </c>
      <c r="G2799" t="s">
        <v>56</v>
      </c>
      <c r="H2799" t="s">
        <v>19</v>
      </c>
      <c r="I2799" t="s">
        <v>20</v>
      </c>
      <c r="J2799" t="s">
        <v>21</v>
      </c>
      <c r="K2799">
        <v>48</v>
      </c>
      <c r="L2799">
        <v>63.17</v>
      </c>
      <c r="M2799">
        <v>3.7</v>
      </c>
      <c r="N2799" t="s">
        <v>22</v>
      </c>
      <c r="O2799" t="str">
        <f t="shared" si="43"/>
        <v>Yes</v>
      </c>
    </row>
    <row r="2800" spans="1:15" x14ac:dyDescent="0.25">
      <c r="A2800" t="s">
        <v>2861</v>
      </c>
      <c r="B2800" s="1">
        <v>45786</v>
      </c>
      <c r="C2800" s="2">
        <v>45786.692916666667</v>
      </c>
      <c r="D2800" t="s">
        <v>15</v>
      </c>
      <c r="E2800" t="s">
        <v>16</v>
      </c>
      <c r="F2800" t="s">
        <v>60</v>
      </c>
      <c r="G2800" t="s">
        <v>18</v>
      </c>
      <c r="H2800" t="s">
        <v>65</v>
      </c>
      <c r="I2800" t="s">
        <v>36</v>
      </c>
      <c r="J2800" t="s">
        <v>46</v>
      </c>
      <c r="K2800">
        <v>48</v>
      </c>
      <c r="L2800">
        <v>16.63</v>
      </c>
      <c r="M2800">
        <v>4.8</v>
      </c>
      <c r="N2800" t="s">
        <v>22</v>
      </c>
      <c r="O2800" t="str">
        <f t="shared" si="43"/>
        <v>No</v>
      </c>
    </row>
    <row r="2801" spans="1:15" x14ac:dyDescent="0.25">
      <c r="A2801" t="s">
        <v>2862</v>
      </c>
      <c r="B2801" s="1">
        <v>45729</v>
      </c>
      <c r="C2801" s="2">
        <v>45729.635833333334</v>
      </c>
      <c r="D2801" t="s">
        <v>15</v>
      </c>
      <c r="E2801" t="s">
        <v>45</v>
      </c>
      <c r="F2801" t="s">
        <v>104</v>
      </c>
      <c r="G2801" t="s">
        <v>56</v>
      </c>
      <c r="H2801" t="s">
        <v>54</v>
      </c>
      <c r="I2801" t="s">
        <v>36</v>
      </c>
      <c r="J2801" t="s">
        <v>21</v>
      </c>
      <c r="K2801">
        <v>48</v>
      </c>
      <c r="L2801">
        <v>15.26</v>
      </c>
      <c r="M2801">
        <v>5</v>
      </c>
      <c r="N2801" t="s">
        <v>22</v>
      </c>
      <c r="O2801" t="str">
        <f t="shared" si="43"/>
        <v>No</v>
      </c>
    </row>
    <row r="2802" spans="1:15" x14ac:dyDescent="0.25">
      <c r="A2802" t="s">
        <v>2863</v>
      </c>
      <c r="B2802" s="1">
        <v>45801</v>
      </c>
      <c r="C2802" s="2">
        <v>45801.160833333335</v>
      </c>
      <c r="D2802" t="s">
        <v>24</v>
      </c>
      <c r="E2802" t="s">
        <v>32</v>
      </c>
      <c r="F2802" t="s">
        <v>64</v>
      </c>
      <c r="G2802" t="s">
        <v>51</v>
      </c>
      <c r="H2802" t="s">
        <v>27</v>
      </c>
      <c r="I2802" t="s">
        <v>36</v>
      </c>
      <c r="J2802" t="s">
        <v>29</v>
      </c>
      <c r="K2802">
        <v>24</v>
      </c>
      <c r="L2802">
        <v>3.86</v>
      </c>
      <c r="M2802">
        <v>5</v>
      </c>
      <c r="N2802" t="s">
        <v>22</v>
      </c>
      <c r="O2802" t="str">
        <f t="shared" si="43"/>
        <v>No</v>
      </c>
    </row>
    <row r="2803" spans="1:15" x14ac:dyDescent="0.25">
      <c r="A2803" t="s">
        <v>2864</v>
      </c>
      <c r="B2803" s="1">
        <v>45738</v>
      </c>
      <c r="C2803" s="2">
        <v>45739.393333333333</v>
      </c>
      <c r="D2803" t="s">
        <v>24</v>
      </c>
      <c r="E2803" t="s">
        <v>16</v>
      </c>
      <c r="F2803" t="s">
        <v>60</v>
      </c>
      <c r="G2803" t="s">
        <v>34</v>
      </c>
      <c r="H2803" t="s">
        <v>35</v>
      </c>
      <c r="I2803" t="s">
        <v>45</v>
      </c>
      <c r="J2803" t="s">
        <v>46</v>
      </c>
      <c r="K2803">
        <v>24</v>
      </c>
      <c r="L2803">
        <v>33.44</v>
      </c>
      <c r="M2803">
        <v>2.7</v>
      </c>
      <c r="N2803" t="s">
        <v>22</v>
      </c>
      <c r="O2803" t="str">
        <f t="shared" si="43"/>
        <v>Yes</v>
      </c>
    </row>
    <row r="2804" spans="1:15" x14ac:dyDescent="0.25">
      <c r="A2804" t="s">
        <v>2865</v>
      </c>
      <c r="B2804" s="1">
        <v>45837</v>
      </c>
      <c r="C2804" s="2">
        <v>45837.072083333333</v>
      </c>
      <c r="D2804" t="s">
        <v>38</v>
      </c>
      <c r="E2804" t="s">
        <v>16</v>
      </c>
      <c r="F2804" t="s">
        <v>43</v>
      </c>
      <c r="G2804" t="s">
        <v>34</v>
      </c>
      <c r="H2804" t="s">
        <v>35</v>
      </c>
      <c r="I2804" t="s">
        <v>36</v>
      </c>
      <c r="J2804" t="s">
        <v>21</v>
      </c>
      <c r="K2804">
        <v>8</v>
      </c>
      <c r="L2804">
        <v>1.73</v>
      </c>
      <c r="M2804">
        <v>4.3</v>
      </c>
      <c r="N2804" t="s">
        <v>22</v>
      </c>
      <c r="O2804" t="str">
        <f t="shared" si="43"/>
        <v>No</v>
      </c>
    </row>
    <row r="2805" spans="1:15" x14ac:dyDescent="0.25">
      <c r="A2805" t="s">
        <v>2866</v>
      </c>
      <c r="B2805" s="1">
        <v>45669</v>
      </c>
      <c r="C2805" s="2">
        <v>45669.407916666663</v>
      </c>
      <c r="D2805" t="s">
        <v>24</v>
      </c>
      <c r="E2805" t="s">
        <v>16</v>
      </c>
      <c r="F2805" t="s">
        <v>58</v>
      </c>
      <c r="G2805" t="s">
        <v>18</v>
      </c>
      <c r="H2805" t="s">
        <v>65</v>
      </c>
      <c r="I2805" t="s">
        <v>28</v>
      </c>
      <c r="J2805" t="s">
        <v>21</v>
      </c>
      <c r="K2805">
        <v>24</v>
      </c>
      <c r="L2805">
        <v>9.7899999999999991</v>
      </c>
      <c r="M2805">
        <v>5</v>
      </c>
      <c r="N2805" t="s">
        <v>22</v>
      </c>
      <c r="O2805" t="str">
        <f t="shared" si="43"/>
        <v>No</v>
      </c>
    </row>
    <row r="2806" spans="1:15" x14ac:dyDescent="0.25">
      <c r="A2806" t="s">
        <v>2867</v>
      </c>
      <c r="B2806" s="1">
        <v>45689</v>
      </c>
      <c r="C2806" s="2">
        <v>45689.695</v>
      </c>
      <c r="D2806" t="s">
        <v>15</v>
      </c>
      <c r="E2806" t="s">
        <v>25</v>
      </c>
      <c r="F2806" t="s">
        <v>26</v>
      </c>
      <c r="G2806" t="s">
        <v>34</v>
      </c>
      <c r="H2806" t="s">
        <v>19</v>
      </c>
      <c r="I2806" t="s">
        <v>36</v>
      </c>
      <c r="J2806" t="s">
        <v>46</v>
      </c>
      <c r="K2806">
        <v>48</v>
      </c>
      <c r="L2806">
        <v>16.68</v>
      </c>
      <c r="M2806">
        <v>4</v>
      </c>
      <c r="N2806" t="s">
        <v>61</v>
      </c>
      <c r="O2806" t="str">
        <f t="shared" si="43"/>
        <v>No</v>
      </c>
    </row>
    <row r="2807" spans="1:15" x14ac:dyDescent="0.25">
      <c r="A2807" t="s">
        <v>2868</v>
      </c>
      <c r="B2807" s="1">
        <v>45833</v>
      </c>
      <c r="C2807" s="2">
        <v>45833.312916666669</v>
      </c>
      <c r="D2807" t="s">
        <v>24</v>
      </c>
      <c r="E2807" t="s">
        <v>16</v>
      </c>
      <c r="F2807" t="s">
        <v>58</v>
      </c>
      <c r="G2807" t="s">
        <v>34</v>
      </c>
      <c r="H2807" t="s">
        <v>65</v>
      </c>
      <c r="I2807" t="s">
        <v>36</v>
      </c>
      <c r="J2807" t="s">
        <v>29</v>
      </c>
      <c r="K2807">
        <v>24</v>
      </c>
      <c r="L2807">
        <v>7.51</v>
      </c>
      <c r="M2807">
        <v>4.4000000000000004</v>
      </c>
      <c r="N2807" t="s">
        <v>22</v>
      </c>
      <c r="O2807" t="str">
        <f t="shared" si="43"/>
        <v>No</v>
      </c>
    </row>
    <row r="2808" spans="1:15" x14ac:dyDescent="0.25">
      <c r="A2808" t="s">
        <v>2869</v>
      </c>
      <c r="B2808" s="1">
        <v>45710</v>
      </c>
      <c r="C2808" s="2">
        <v>45710.020833333336</v>
      </c>
      <c r="D2808" t="s">
        <v>31</v>
      </c>
      <c r="E2808" t="s">
        <v>16</v>
      </c>
      <c r="F2808" t="s">
        <v>58</v>
      </c>
      <c r="G2808" t="s">
        <v>41</v>
      </c>
      <c r="H2808" t="s">
        <v>19</v>
      </c>
      <c r="I2808" t="s">
        <v>28</v>
      </c>
      <c r="J2808" t="s">
        <v>21</v>
      </c>
      <c r="K2808">
        <v>4</v>
      </c>
      <c r="L2808">
        <v>0.5</v>
      </c>
      <c r="M2808">
        <v>3.7</v>
      </c>
      <c r="N2808" t="s">
        <v>22</v>
      </c>
      <c r="O2808" t="str">
        <f t="shared" si="43"/>
        <v>No</v>
      </c>
    </row>
    <row r="2809" spans="1:15" x14ac:dyDescent="0.25">
      <c r="A2809" t="s">
        <v>2870</v>
      </c>
      <c r="B2809" s="1">
        <v>45714</v>
      </c>
      <c r="C2809" s="2">
        <v>45714.756666666668</v>
      </c>
      <c r="D2809" t="s">
        <v>15</v>
      </c>
      <c r="E2809" t="s">
        <v>32</v>
      </c>
      <c r="F2809" t="s">
        <v>64</v>
      </c>
      <c r="G2809" t="s">
        <v>56</v>
      </c>
      <c r="H2809" t="s">
        <v>19</v>
      </c>
      <c r="I2809" t="s">
        <v>20</v>
      </c>
      <c r="J2809" t="s">
        <v>46</v>
      </c>
      <c r="K2809">
        <v>48</v>
      </c>
      <c r="L2809">
        <v>18.16</v>
      </c>
      <c r="M2809">
        <v>3.7</v>
      </c>
      <c r="N2809" t="s">
        <v>22</v>
      </c>
      <c r="O2809" t="str">
        <f t="shared" si="43"/>
        <v>No</v>
      </c>
    </row>
    <row r="2810" spans="1:15" x14ac:dyDescent="0.25">
      <c r="A2810" t="s">
        <v>2871</v>
      </c>
      <c r="B2810" s="1">
        <v>45801</v>
      </c>
      <c r="C2810" s="2">
        <v>45802.201249999998</v>
      </c>
      <c r="D2810" t="s">
        <v>15</v>
      </c>
      <c r="E2810" t="s">
        <v>16</v>
      </c>
      <c r="F2810" t="s">
        <v>17</v>
      </c>
      <c r="G2810" t="s">
        <v>41</v>
      </c>
      <c r="H2810" t="s">
        <v>44</v>
      </c>
      <c r="I2810" t="s">
        <v>36</v>
      </c>
      <c r="J2810" t="s">
        <v>21</v>
      </c>
      <c r="K2810">
        <v>48</v>
      </c>
      <c r="L2810">
        <v>28.83</v>
      </c>
      <c r="M2810">
        <v>5</v>
      </c>
      <c r="N2810" t="s">
        <v>61</v>
      </c>
      <c r="O2810" t="str">
        <f t="shared" si="43"/>
        <v>No</v>
      </c>
    </row>
    <row r="2811" spans="1:15" x14ac:dyDescent="0.25">
      <c r="A2811" t="s">
        <v>2872</v>
      </c>
      <c r="B2811" s="1">
        <v>45692</v>
      </c>
      <c r="C2811" s="2">
        <v>45692.369166666664</v>
      </c>
      <c r="D2811" t="s">
        <v>15</v>
      </c>
      <c r="E2811" t="s">
        <v>32</v>
      </c>
      <c r="F2811" t="s">
        <v>80</v>
      </c>
      <c r="G2811" t="s">
        <v>56</v>
      </c>
      <c r="H2811" t="s">
        <v>27</v>
      </c>
      <c r="I2811" t="s">
        <v>45</v>
      </c>
      <c r="J2811" t="s">
        <v>29</v>
      </c>
      <c r="K2811">
        <v>48</v>
      </c>
      <c r="L2811">
        <v>8.86</v>
      </c>
      <c r="M2811">
        <v>4.9000000000000004</v>
      </c>
      <c r="N2811" t="s">
        <v>22</v>
      </c>
      <c r="O2811" t="str">
        <f t="shared" si="43"/>
        <v>No</v>
      </c>
    </row>
    <row r="2812" spans="1:15" x14ac:dyDescent="0.25">
      <c r="A2812" t="s">
        <v>2873</v>
      </c>
      <c r="B2812" s="1">
        <v>45750</v>
      </c>
      <c r="C2812" s="2">
        <v>45750.276250000003</v>
      </c>
      <c r="D2812" t="s">
        <v>24</v>
      </c>
      <c r="E2812" t="s">
        <v>32</v>
      </c>
      <c r="F2812" t="s">
        <v>80</v>
      </c>
      <c r="G2812" t="s">
        <v>41</v>
      </c>
      <c r="H2812" t="s">
        <v>27</v>
      </c>
      <c r="I2812" t="s">
        <v>20</v>
      </c>
      <c r="J2812" t="s">
        <v>21</v>
      </c>
      <c r="K2812">
        <v>24</v>
      </c>
      <c r="L2812">
        <v>6.63</v>
      </c>
      <c r="M2812">
        <v>4.3</v>
      </c>
      <c r="N2812" t="s">
        <v>22</v>
      </c>
      <c r="O2812" t="str">
        <f t="shared" si="43"/>
        <v>No</v>
      </c>
    </row>
    <row r="2813" spans="1:15" x14ac:dyDescent="0.25">
      <c r="A2813" t="s">
        <v>2874</v>
      </c>
      <c r="B2813" s="1">
        <v>45709</v>
      </c>
      <c r="C2813" s="2">
        <v>45711.519999999997</v>
      </c>
      <c r="D2813" t="s">
        <v>15</v>
      </c>
      <c r="E2813" t="s">
        <v>16</v>
      </c>
      <c r="F2813" t="s">
        <v>17</v>
      </c>
      <c r="G2813" t="s">
        <v>18</v>
      </c>
      <c r="H2813" t="s">
        <v>35</v>
      </c>
      <c r="I2813" t="s">
        <v>45</v>
      </c>
      <c r="J2813" t="s">
        <v>46</v>
      </c>
      <c r="K2813">
        <v>48</v>
      </c>
      <c r="L2813">
        <v>60.48</v>
      </c>
      <c r="M2813">
        <v>3.2</v>
      </c>
      <c r="N2813" t="s">
        <v>22</v>
      </c>
      <c r="O2813" t="str">
        <f t="shared" si="43"/>
        <v>Yes</v>
      </c>
    </row>
    <row r="2814" spans="1:15" x14ac:dyDescent="0.25">
      <c r="A2814" t="s">
        <v>2875</v>
      </c>
      <c r="B2814" s="1">
        <v>45693</v>
      </c>
      <c r="C2814" s="2">
        <v>45693.23541666667</v>
      </c>
      <c r="D2814" t="s">
        <v>24</v>
      </c>
      <c r="E2814" t="s">
        <v>16</v>
      </c>
      <c r="F2814" t="s">
        <v>17</v>
      </c>
      <c r="G2814" t="s">
        <v>56</v>
      </c>
      <c r="H2814" t="s">
        <v>35</v>
      </c>
      <c r="I2814" t="s">
        <v>45</v>
      </c>
      <c r="J2814" t="s">
        <v>21</v>
      </c>
      <c r="K2814">
        <v>24</v>
      </c>
      <c r="L2814">
        <v>5.65</v>
      </c>
      <c r="M2814">
        <v>5</v>
      </c>
      <c r="N2814" t="s">
        <v>22</v>
      </c>
      <c r="O2814" t="str">
        <f t="shared" si="43"/>
        <v>No</v>
      </c>
    </row>
    <row r="2815" spans="1:15" x14ac:dyDescent="0.25">
      <c r="A2815" t="s">
        <v>2876</v>
      </c>
      <c r="B2815" s="1">
        <v>45832</v>
      </c>
      <c r="C2815" s="2">
        <v>45832.489166666666</v>
      </c>
      <c r="D2815" t="s">
        <v>24</v>
      </c>
      <c r="E2815" t="s">
        <v>45</v>
      </c>
      <c r="F2815" t="s">
        <v>50</v>
      </c>
      <c r="G2815" t="s">
        <v>18</v>
      </c>
      <c r="H2815" t="s">
        <v>44</v>
      </c>
      <c r="I2815" t="s">
        <v>45</v>
      </c>
      <c r="J2815" t="s">
        <v>85</v>
      </c>
      <c r="K2815">
        <v>24</v>
      </c>
      <c r="L2815">
        <v>11.74</v>
      </c>
      <c r="M2815">
        <v>4</v>
      </c>
      <c r="N2815" t="s">
        <v>22</v>
      </c>
      <c r="O2815" t="str">
        <f t="shared" si="43"/>
        <v>No</v>
      </c>
    </row>
    <row r="2816" spans="1:15" x14ac:dyDescent="0.25">
      <c r="A2816" t="s">
        <v>2877</v>
      </c>
      <c r="B2816" s="1">
        <v>45694</v>
      </c>
      <c r="C2816" s="2">
        <v>45694.51458333333</v>
      </c>
      <c r="D2816" t="s">
        <v>24</v>
      </c>
      <c r="E2816" t="s">
        <v>16</v>
      </c>
      <c r="F2816" t="s">
        <v>58</v>
      </c>
      <c r="G2816" t="s">
        <v>41</v>
      </c>
      <c r="H2816" t="s">
        <v>19</v>
      </c>
      <c r="I2816" t="s">
        <v>28</v>
      </c>
      <c r="J2816" t="s">
        <v>46</v>
      </c>
      <c r="K2816">
        <v>24</v>
      </c>
      <c r="L2816">
        <v>12.35</v>
      </c>
      <c r="M2816">
        <v>4.7</v>
      </c>
      <c r="N2816" t="s">
        <v>22</v>
      </c>
      <c r="O2816" t="str">
        <f t="shared" si="43"/>
        <v>No</v>
      </c>
    </row>
    <row r="2817" spans="1:15" x14ac:dyDescent="0.25">
      <c r="A2817" t="s">
        <v>2878</v>
      </c>
      <c r="B2817" s="1">
        <v>45675</v>
      </c>
      <c r="C2817" s="2">
        <v>45675.280833333331</v>
      </c>
      <c r="D2817" t="s">
        <v>24</v>
      </c>
      <c r="E2817" t="s">
        <v>25</v>
      </c>
      <c r="F2817" t="s">
        <v>70</v>
      </c>
      <c r="G2817" t="s">
        <v>18</v>
      </c>
      <c r="H2817" t="s">
        <v>65</v>
      </c>
      <c r="I2817" t="s">
        <v>45</v>
      </c>
      <c r="J2817" t="s">
        <v>21</v>
      </c>
      <c r="K2817">
        <v>24</v>
      </c>
      <c r="L2817">
        <v>6.74</v>
      </c>
      <c r="M2817">
        <v>5</v>
      </c>
      <c r="N2817" t="s">
        <v>22</v>
      </c>
      <c r="O2817" t="str">
        <f t="shared" si="43"/>
        <v>No</v>
      </c>
    </row>
    <row r="2818" spans="1:15" x14ac:dyDescent="0.25">
      <c r="A2818" t="s">
        <v>2879</v>
      </c>
      <c r="B2818" s="1">
        <v>45779</v>
      </c>
      <c r="C2818" s="2">
        <v>45781.052083333336</v>
      </c>
      <c r="D2818" t="s">
        <v>15</v>
      </c>
      <c r="E2818" t="s">
        <v>39</v>
      </c>
      <c r="F2818" t="s">
        <v>78</v>
      </c>
      <c r="G2818" t="s">
        <v>56</v>
      </c>
      <c r="H2818" t="s">
        <v>27</v>
      </c>
      <c r="I2818" t="s">
        <v>36</v>
      </c>
      <c r="J2818" t="s">
        <v>21</v>
      </c>
      <c r="K2818">
        <v>48</v>
      </c>
      <c r="L2818">
        <v>49.25</v>
      </c>
      <c r="M2818">
        <v>4.7</v>
      </c>
      <c r="N2818" t="s">
        <v>61</v>
      </c>
      <c r="O2818" t="str">
        <f t="shared" si="43"/>
        <v>Yes</v>
      </c>
    </row>
    <row r="2819" spans="1:15" x14ac:dyDescent="0.25">
      <c r="A2819" t="s">
        <v>2880</v>
      </c>
      <c r="B2819" s="1">
        <v>45814</v>
      </c>
      <c r="C2819" s="2">
        <v>45814.408750000002</v>
      </c>
      <c r="D2819" t="s">
        <v>38</v>
      </c>
      <c r="E2819" t="s">
        <v>16</v>
      </c>
      <c r="F2819" t="s">
        <v>60</v>
      </c>
      <c r="G2819" t="s">
        <v>51</v>
      </c>
      <c r="H2819" t="s">
        <v>65</v>
      </c>
      <c r="I2819" t="s">
        <v>45</v>
      </c>
      <c r="J2819" t="s">
        <v>21</v>
      </c>
      <c r="K2819">
        <v>8</v>
      </c>
      <c r="L2819">
        <v>9.81</v>
      </c>
      <c r="M2819">
        <v>3</v>
      </c>
      <c r="N2819" t="s">
        <v>22</v>
      </c>
      <c r="O2819" t="str">
        <f t="shared" ref="O2819:O2882" si="44">IF(L2819&gt;K2819,"Yes","No")</f>
        <v>Yes</v>
      </c>
    </row>
    <row r="2820" spans="1:15" x14ac:dyDescent="0.25">
      <c r="A2820" t="s">
        <v>2881</v>
      </c>
      <c r="B2820" s="1">
        <v>45681</v>
      </c>
      <c r="C2820" s="2">
        <v>45681.142083333332</v>
      </c>
      <c r="D2820" t="s">
        <v>24</v>
      </c>
      <c r="E2820" t="s">
        <v>45</v>
      </c>
      <c r="F2820" t="s">
        <v>100</v>
      </c>
      <c r="G2820" t="s">
        <v>41</v>
      </c>
      <c r="H2820" t="s">
        <v>44</v>
      </c>
      <c r="I2820" t="s">
        <v>20</v>
      </c>
      <c r="J2820" t="s">
        <v>46</v>
      </c>
      <c r="K2820">
        <v>24</v>
      </c>
      <c r="L2820">
        <v>3.41</v>
      </c>
      <c r="M2820">
        <v>3.9</v>
      </c>
      <c r="N2820" t="s">
        <v>22</v>
      </c>
      <c r="O2820" t="str">
        <f t="shared" si="44"/>
        <v>No</v>
      </c>
    </row>
    <row r="2821" spans="1:15" x14ac:dyDescent="0.25">
      <c r="A2821" t="s">
        <v>2882</v>
      </c>
      <c r="B2821" s="1">
        <v>45786</v>
      </c>
      <c r="C2821" s="2">
        <v>45786.341666666667</v>
      </c>
      <c r="D2821" t="s">
        <v>24</v>
      </c>
      <c r="E2821" t="s">
        <v>39</v>
      </c>
      <c r="F2821" t="s">
        <v>87</v>
      </c>
      <c r="G2821" t="s">
        <v>56</v>
      </c>
      <c r="H2821" t="s">
        <v>54</v>
      </c>
      <c r="I2821" t="s">
        <v>45</v>
      </c>
      <c r="J2821" t="s">
        <v>46</v>
      </c>
      <c r="K2821">
        <v>24</v>
      </c>
      <c r="L2821">
        <v>8.1999999999999993</v>
      </c>
      <c r="M2821">
        <v>3.9</v>
      </c>
      <c r="N2821" t="s">
        <v>22</v>
      </c>
      <c r="O2821" t="str">
        <f t="shared" si="44"/>
        <v>No</v>
      </c>
    </row>
    <row r="2822" spans="1:15" x14ac:dyDescent="0.25">
      <c r="A2822" t="s">
        <v>2883</v>
      </c>
      <c r="B2822" s="1">
        <v>45755</v>
      </c>
      <c r="C2822" s="2">
        <v>45755.525833333333</v>
      </c>
      <c r="D2822" t="s">
        <v>15</v>
      </c>
      <c r="E2822" t="s">
        <v>25</v>
      </c>
      <c r="F2822" t="s">
        <v>70</v>
      </c>
      <c r="G2822" t="s">
        <v>41</v>
      </c>
      <c r="H2822" t="s">
        <v>44</v>
      </c>
      <c r="I2822" t="s">
        <v>36</v>
      </c>
      <c r="J2822" t="s">
        <v>21</v>
      </c>
      <c r="K2822">
        <v>48</v>
      </c>
      <c r="L2822">
        <v>12.62</v>
      </c>
      <c r="M2822">
        <v>5</v>
      </c>
      <c r="N2822" t="s">
        <v>22</v>
      </c>
      <c r="O2822" t="str">
        <f t="shared" si="44"/>
        <v>No</v>
      </c>
    </row>
    <row r="2823" spans="1:15" x14ac:dyDescent="0.25">
      <c r="A2823" t="s">
        <v>2884</v>
      </c>
      <c r="B2823" s="1">
        <v>45808</v>
      </c>
      <c r="C2823" s="2">
        <v>45808.410833333335</v>
      </c>
      <c r="D2823" t="s">
        <v>24</v>
      </c>
      <c r="E2823" t="s">
        <v>16</v>
      </c>
      <c r="F2823" t="s">
        <v>58</v>
      </c>
      <c r="G2823" t="s">
        <v>41</v>
      </c>
      <c r="H2823" t="s">
        <v>44</v>
      </c>
      <c r="I2823" t="s">
        <v>45</v>
      </c>
      <c r="J2823" t="s">
        <v>21</v>
      </c>
      <c r="K2823">
        <v>24</v>
      </c>
      <c r="L2823">
        <v>9.86</v>
      </c>
      <c r="M2823">
        <v>5</v>
      </c>
      <c r="N2823" t="s">
        <v>22</v>
      </c>
      <c r="O2823" t="str">
        <f t="shared" si="44"/>
        <v>No</v>
      </c>
    </row>
    <row r="2824" spans="1:15" x14ac:dyDescent="0.25">
      <c r="A2824" t="s">
        <v>2885</v>
      </c>
      <c r="B2824" s="1">
        <v>45680</v>
      </c>
      <c r="C2824" s="2">
        <v>45680.171666666669</v>
      </c>
      <c r="D2824" t="s">
        <v>38</v>
      </c>
      <c r="E2824" t="s">
        <v>32</v>
      </c>
      <c r="F2824" t="s">
        <v>33</v>
      </c>
      <c r="G2824" t="s">
        <v>41</v>
      </c>
      <c r="H2824" t="s">
        <v>35</v>
      </c>
      <c r="I2824" t="s">
        <v>45</v>
      </c>
      <c r="J2824" t="s">
        <v>29</v>
      </c>
      <c r="K2824">
        <v>8</v>
      </c>
      <c r="L2824">
        <v>4.12</v>
      </c>
      <c r="M2824">
        <v>4.9000000000000004</v>
      </c>
      <c r="N2824" t="s">
        <v>61</v>
      </c>
      <c r="O2824" t="str">
        <f t="shared" si="44"/>
        <v>No</v>
      </c>
    </row>
    <row r="2825" spans="1:15" x14ac:dyDescent="0.25">
      <c r="A2825" t="s">
        <v>2886</v>
      </c>
      <c r="B2825" s="1">
        <v>45834</v>
      </c>
      <c r="C2825" s="2">
        <v>45834.177499999998</v>
      </c>
      <c r="D2825" t="s">
        <v>15</v>
      </c>
      <c r="E2825" t="s">
        <v>16</v>
      </c>
      <c r="F2825" t="s">
        <v>43</v>
      </c>
      <c r="G2825" t="s">
        <v>51</v>
      </c>
      <c r="H2825" t="s">
        <v>27</v>
      </c>
      <c r="I2825" t="s">
        <v>28</v>
      </c>
      <c r="J2825" t="s">
        <v>29</v>
      </c>
      <c r="K2825">
        <v>48</v>
      </c>
      <c r="L2825">
        <v>4.26</v>
      </c>
      <c r="M2825">
        <v>4.5</v>
      </c>
      <c r="N2825" t="s">
        <v>22</v>
      </c>
      <c r="O2825" t="str">
        <f t="shared" si="44"/>
        <v>No</v>
      </c>
    </row>
    <row r="2826" spans="1:15" x14ac:dyDescent="0.25">
      <c r="A2826" t="s">
        <v>2887</v>
      </c>
      <c r="B2826" s="1">
        <v>45770</v>
      </c>
      <c r="C2826" s="2">
        <v>45771.027083333334</v>
      </c>
      <c r="D2826" t="s">
        <v>15</v>
      </c>
      <c r="E2826" t="s">
        <v>32</v>
      </c>
      <c r="F2826" t="s">
        <v>80</v>
      </c>
      <c r="G2826" t="s">
        <v>34</v>
      </c>
      <c r="H2826" t="s">
        <v>54</v>
      </c>
      <c r="I2826" t="s">
        <v>36</v>
      </c>
      <c r="J2826" t="s">
        <v>21</v>
      </c>
      <c r="K2826">
        <v>48</v>
      </c>
      <c r="L2826">
        <v>24.65</v>
      </c>
      <c r="M2826">
        <v>5</v>
      </c>
      <c r="N2826" t="s">
        <v>22</v>
      </c>
      <c r="O2826" t="str">
        <f t="shared" si="44"/>
        <v>No</v>
      </c>
    </row>
    <row r="2827" spans="1:15" x14ac:dyDescent="0.25">
      <c r="A2827" t="s">
        <v>2888</v>
      </c>
      <c r="B2827" s="1">
        <v>45810</v>
      </c>
      <c r="C2827" s="2">
        <v>45813.17291666667</v>
      </c>
      <c r="D2827" t="s">
        <v>15</v>
      </c>
      <c r="E2827" t="s">
        <v>32</v>
      </c>
      <c r="F2827" t="s">
        <v>75</v>
      </c>
      <c r="G2827" t="s">
        <v>51</v>
      </c>
      <c r="H2827" t="s">
        <v>19</v>
      </c>
      <c r="I2827" t="s">
        <v>20</v>
      </c>
      <c r="J2827" t="s">
        <v>46</v>
      </c>
      <c r="K2827">
        <v>48</v>
      </c>
      <c r="L2827">
        <v>76.150000000000006</v>
      </c>
      <c r="M2827">
        <v>2.8</v>
      </c>
      <c r="N2827" t="s">
        <v>61</v>
      </c>
      <c r="O2827" t="str">
        <f t="shared" si="44"/>
        <v>Yes</v>
      </c>
    </row>
    <row r="2828" spans="1:15" x14ac:dyDescent="0.25">
      <c r="A2828" t="s">
        <v>2889</v>
      </c>
      <c r="B2828" s="1">
        <v>45723</v>
      </c>
      <c r="C2828" s="2">
        <v>45724.148738425924</v>
      </c>
      <c r="D2828" t="s">
        <v>24</v>
      </c>
      <c r="E2828" t="s">
        <v>32</v>
      </c>
      <c r="F2828" t="s">
        <v>33</v>
      </c>
      <c r="G2828" t="s">
        <v>18</v>
      </c>
      <c r="H2828" t="s">
        <v>44</v>
      </c>
      <c r="I2828" t="s">
        <v>45</v>
      </c>
      <c r="J2828" t="s">
        <v>21</v>
      </c>
      <c r="K2828">
        <v>24</v>
      </c>
      <c r="L2828">
        <v>27.57</v>
      </c>
      <c r="M2828">
        <v>3.1</v>
      </c>
      <c r="N2828" t="s">
        <v>22</v>
      </c>
      <c r="O2828" t="str">
        <f t="shared" si="44"/>
        <v>Yes</v>
      </c>
    </row>
    <row r="2829" spans="1:15" x14ac:dyDescent="0.25">
      <c r="A2829" t="s">
        <v>2890</v>
      </c>
      <c r="B2829" s="1">
        <v>45828</v>
      </c>
      <c r="C2829" s="2">
        <v>45828.198750000003</v>
      </c>
      <c r="D2829" t="s">
        <v>38</v>
      </c>
      <c r="E2829" t="s">
        <v>32</v>
      </c>
      <c r="F2829" t="s">
        <v>80</v>
      </c>
      <c r="G2829" t="s">
        <v>34</v>
      </c>
      <c r="H2829" t="s">
        <v>35</v>
      </c>
      <c r="I2829" t="s">
        <v>36</v>
      </c>
      <c r="J2829" t="s">
        <v>21</v>
      </c>
      <c r="K2829">
        <v>8</v>
      </c>
      <c r="L2829">
        <v>4.7699999999999996</v>
      </c>
      <c r="M2829">
        <v>4.0999999999999996</v>
      </c>
      <c r="N2829" t="s">
        <v>22</v>
      </c>
      <c r="O2829" t="str">
        <f t="shared" si="44"/>
        <v>No</v>
      </c>
    </row>
    <row r="2830" spans="1:15" x14ac:dyDescent="0.25">
      <c r="A2830" t="s">
        <v>2891</v>
      </c>
      <c r="B2830" s="1">
        <v>45771</v>
      </c>
      <c r="C2830" s="2">
        <v>45771.107916666668</v>
      </c>
      <c r="D2830" t="s">
        <v>24</v>
      </c>
      <c r="E2830" t="s">
        <v>39</v>
      </c>
      <c r="F2830" t="s">
        <v>78</v>
      </c>
      <c r="G2830" t="s">
        <v>56</v>
      </c>
      <c r="H2830" t="s">
        <v>44</v>
      </c>
      <c r="I2830" t="s">
        <v>45</v>
      </c>
      <c r="J2830" t="s">
        <v>85</v>
      </c>
      <c r="K2830">
        <v>24</v>
      </c>
      <c r="L2830">
        <v>2.59</v>
      </c>
      <c r="M2830">
        <v>4.5</v>
      </c>
      <c r="N2830" t="s">
        <v>22</v>
      </c>
      <c r="O2830" t="str">
        <f t="shared" si="44"/>
        <v>No</v>
      </c>
    </row>
    <row r="2831" spans="1:15" x14ac:dyDescent="0.25">
      <c r="A2831" t="s">
        <v>2892</v>
      </c>
      <c r="B2831" s="1">
        <v>45680</v>
      </c>
      <c r="C2831" s="2">
        <v>45680.928738425922</v>
      </c>
      <c r="D2831" t="s">
        <v>24</v>
      </c>
      <c r="E2831" t="s">
        <v>45</v>
      </c>
      <c r="F2831" t="s">
        <v>100</v>
      </c>
      <c r="G2831" t="s">
        <v>56</v>
      </c>
      <c r="H2831" t="s">
        <v>35</v>
      </c>
      <c r="I2831" t="s">
        <v>36</v>
      </c>
      <c r="J2831" t="s">
        <v>46</v>
      </c>
      <c r="K2831">
        <v>24</v>
      </c>
      <c r="L2831">
        <v>22.29</v>
      </c>
      <c r="M2831">
        <v>3.4</v>
      </c>
      <c r="N2831" t="s">
        <v>22</v>
      </c>
      <c r="O2831" t="str">
        <f t="shared" si="44"/>
        <v>No</v>
      </c>
    </row>
    <row r="2832" spans="1:15" x14ac:dyDescent="0.25">
      <c r="A2832" t="s">
        <v>2893</v>
      </c>
      <c r="B2832" s="1">
        <v>45825</v>
      </c>
      <c r="C2832" s="2">
        <v>45825.123749999999</v>
      </c>
      <c r="D2832" t="s">
        <v>38</v>
      </c>
      <c r="E2832" t="s">
        <v>39</v>
      </c>
      <c r="F2832" t="s">
        <v>87</v>
      </c>
      <c r="G2832" t="s">
        <v>51</v>
      </c>
      <c r="H2832" t="s">
        <v>65</v>
      </c>
      <c r="I2832" t="s">
        <v>20</v>
      </c>
      <c r="J2832" t="s">
        <v>21</v>
      </c>
      <c r="K2832">
        <v>8</v>
      </c>
      <c r="L2832">
        <v>2.97</v>
      </c>
      <c r="M2832">
        <v>5</v>
      </c>
      <c r="N2832" t="s">
        <v>22</v>
      </c>
      <c r="O2832" t="str">
        <f t="shared" si="44"/>
        <v>No</v>
      </c>
    </row>
    <row r="2833" spans="1:15" x14ac:dyDescent="0.25">
      <c r="A2833" t="s">
        <v>2894</v>
      </c>
      <c r="B2833" s="1">
        <v>45802</v>
      </c>
      <c r="C2833" s="2">
        <v>45802.361250000002</v>
      </c>
      <c r="D2833" t="s">
        <v>38</v>
      </c>
      <c r="E2833" t="s">
        <v>25</v>
      </c>
      <c r="F2833" t="s">
        <v>26</v>
      </c>
      <c r="G2833" t="s">
        <v>51</v>
      </c>
      <c r="H2833" t="s">
        <v>44</v>
      </c>
      <c r="I2833" t="s">
        <v>20</v>
      </c>
      <c r="J2833" t="s">
        <v>21</v>
      </c>
      <c r="K2833">
        <v>8</v>
      </c>
      <c r="L2833">
        <v>8.67</v>
      </c>
      <c r="M2833">
        <v>3.4</v>
      </c>
      <c r="N2833" t="s">
        <v>22</v>
      </c>
      <c r="O2833" t="str">
        <f t="shared" si="44"/>
        <v>Yes</v>
      </c>
    </row>
    <row r="2834" spans="1:15" x14ac:dyDescent="0.25">
      <c r="A2834" t="s">
        <v>2895</v>
      </c>
      <c r="B2834" s="1">
        <v>45712</v>
      </c>
      <c r="C2834" s="2">
        <v>45713.939166666663</v>
      </c>
      <c r="D2834" t="s">
        <v>15</v>
      </c>
      <c r="E2834" t="s">
        <v>16</v>
      </c>
      <c r="F2834" t="s">
        <v>17</v>
      </c>
      <c r="G2834" t="s">
        <v>56</v>
      </c>
      <c r="H2834" t="s">
        <v>65</v>
      </c>
      <c r="I2834" t="s">
        <v>36</v>
      </c>
      <c r="J2834" t="s">
        <v>21</v>
      </c>
      <c r="K2834">
        <v>48</v>
      </c>
      <c r="L2834">
        <v>46.54</v>
      </c>
      <c r="M2834">
        <v>2.8</v>
      </c>
      <c r="N2834" t="s">
        <v>22</v>
      </c>
      <c r="O2834" t="str">
        <f t="shared" si="44"/>
        <v>No</v>
      </c>
    </row>
    <row r="2835" spans="1:15" x14ac:dyDescent="0.25">
      <c r="A2835" t="s">
        <v>2896</v>
      </c>
      <c r="B2835" s="1">
        <v>45756</v>
      </c>
      <c r="C2835" s="2">
        <v>45756.814583333333</v>
      </c>
      <c r="D2835" t="s">
        <v>15</v>
      </c>
      <c r="E2835" t="s">
        <v>32</v>
      </c>
      <c r="F2835" t="s">
        <v>80</v>
      </c>
      <c r="G2835" t="s">
        <v>56</v>
      </c>
      <c r="H2835" t="s">
        <v>27</v>
      </c>
      <c r="I2835" t="s">
        <v>45</v>
      </c>
      <c r="J2835" t="s">
        <v>21</v>
      </c>
      <c r="K2835">
        <v>48</v>
      </c>
      <c r="L2835">
        <v>19.55</v>
      </c>
      <c r="M2835">
        <v>4.9000000000000004</v>
      </c>
      <c r="N2835" t="s">
        <v>22</v>
      </c>
      <c r="O2835" t="str">
        <f t="shared" si="44"/>
        <v>No</v>
      </c>
    </row>
    <row r="2836" spans="1:15" x14ac:dyDescent="0.25">
      <c r="A2836" t="s">
        <v>2897</v>
      </c>
      <c r="B2836" s="1">
        <v>45728</v>
      </c>
      <c r="C2836" s="2">
        <v>45728.483749999999</v>
      </c>
      <c r="D2836" t="s">
        <v>24</v>
      </c>
      <c r="E2836" t="s">
        <v>32</v>
      </c>
      <c r="F2836" t="s">
        <v>33</v>
      </c>
      <c r="G2836" t="s">
        <v>18</v>
      </c>
      <c r="H2836" t="s">
        <v>35</v>
      </c>
      <c r="I2836" t="s">
        <v>28</v>
      </c>
      <c r="J2836" t="s">
        <v>85</v>
      </c>
      <c r="K2836">
        <v>24</v>
      </c>
      <c r="L2836">
        <v>11.61</v>
      </c>
      <c r="M2836">
        <v>3.8</v>
      </c>
      <c r="N2836" t="s">
        <v>22</v>
      </c>
      <c r="O2836" t="str">
        <f t="shared" si="44"/>
        <v>No</v>
      </c>
    </row>
    <row r="2837" spans="1:15" x14ac:dyDescent="0.25">
      <c r="A2837" t="s">
        <v>2898</v>
      </c>
      <c r="B2837" s="1">
        <v>45756</v>
      </c>
      <c r="C2837" s="2">
        <v>45756.09</v>
      </c>
      <c r="D2837" t="s">
        <v>38</v>
      </c>
      <c r="E2837" t="s">
        <v>45</v>
      </c>
      <c r="F2837" t="s">
        <v>104</v>
      </c>
      <c r="G2837" t="s">
        <v>51</v>
      </c>
      <c r="H2837" t="s">
        <v>35</v>
      </c>
      <c r="I2837" t="s">
        <v>36</v>
      </c>
      <c r="J2837" t="s">
        <v>21</v>
      </c>
      <c r="K2837">
        <v>8</v>
      </c>
      <c r="L2837">
        <v>2.16</v>
      </c>
      <c r="M2837">
        <v>4.0999999999999996</v>
      </c>
      <c r="N2837" t="s">
        <v>22</v>
      </c>
      <c r="O2837" t="str">
        <f t="shared" si="44"/>
        <v>No</v>
      </c>
    </row>
    <row r="2838" spans="1:15" x14ac:dyDescent="0.25">
      <c r="A2838" t="s">
        <v>2899</v>
      </c>
      <c r="B2838" s="1">
        <v>45832</v>
      </c>
      <c r="C2838" s="2">
        <v>45832.115416666667</v>
      </c>
      <c r="D2838" t="s">
        <v>24</v>
      </c>
      <c r="E2838" t="s">
        <v>16</v>
      </c>
      <c r="F2838" t="s">
        <v>58</v>
      </c>
      <c r="G2838" t="s">
        <v>51</v>
      </c>
      <c r="H2838" t="s">
        <v>35</v>
      </c>
      <c r="I2838" t="s">
        <v>28</v>
      </c>
      <c r="J2838" t="s">
        <v>21</v>
      </c>
      <c r="K2838">
        <v>24</v>
      </c>
      <c r="L2838">
        <v>2.77</v>
      </c>
      <c r="M2838">
        <v>5</v>
      </c>
      <c r="N2838" t="s">
        <v>22</v>
      </c>
      <c r="O2838" t="str">
        <f t="shared" si="44"/>
        <v>No</v>
      </c>
    </row>
    <row r="2839" spans="1:15" x14ac:dyDescent="0.25">
      <c r="A2839" t="s">
        <v>2900</v>
      </c>
      <c r="B2839" s="1">
        <v>45820</v>
      </c>
      <c r="C2839" s="2">
        <v>45820.506249999999</v>
      </c>
      <c r="D2839" t="s">
        <v>24</v>
      </c>
      <c r="E2839" t="s">
        <v>45</v>
      </c>
      <c r="F2839" t="s">
        <v>50</v>
      </c>
      <c r="G2839" t="s">
        <v>56</v>
      </c>
      <c r="H2839" t="s">
        <v>44</v>
      </c>
      <c r="I2839" t="s">
        <v>36</v>
      </c>
      <c r="J2839" t="s">
        <v>46</v>
      </c>
      <c r="K2839">
        <v>24</v>
      </c>
      <c r="L2839">
        <v>12.15</v>
      </c>
      <c r="M2839">
        <v>3.9</v>
      </c>
      <c r="N2839" t="s">
        <v>22</v>
      </c>
      <c r="O2839" t="str">
        <f t="shared" si="44"/>
        <v>No</v>
      </c>
    </row>
    <row r="2840" spans="1:15" x14ac:dyDescent="0.25">
      <c r="A2840" t="s">
        <v>2901</v>
      </c>
      <c r="B2840" s="1">
        <v>45697</v>
      </c>
      <c r="C2840" s="2">
        <v>45697.277916666666</v>
      </c>
      <c r="D2840" t="s">
        <v>38</v>
      </c>
      <c r="E2840" t="s">
        <v>39</v>
      </c>
      <c r="F2840" t="s">
        <v>40</v>
      </c>
      <c r="G2840" t="s">
        <v>51</v>
      </c>
      <c r="H2840" t="s">
        <v>19</v>
      </c>
      <c r="I2840" t="s">
        <v>36</v>
      </c>
      <c r="J2840" t="s">
        <v>21</v>
      </c>
      <c r="K2840">
        <v>8</v>
      </c>
      <c r="L2840">
        <v>6.67</v>
      </c>
      <c r="M2840">
        <v>3.7</v>
      </c>
      <c r="N2840" t="s">
        <v>22</v>
      </c>
      <c r="O2840" t="str">
        <f t="shared" si="44"/>
        <v>No</v>
      </c>
    </row>
    <row r="2841" spans="1:15" x14ac:dyDescent="0.25">
      <c r="A2841" t="s">
        <v>2902</v>
      </c>
      <c r="B2841" s="1">
        <v>45833</v>
      </c>
      <c r="C2841" s="2">
        <v>45834.105833333335</v>
      </c>
      <c r="D2841" t="s">
        <v>15</v>
      </c>
      <c r="E2841" t="s">
        <v>16</v>
      </c>
      <c r="F2841" t="s">
        <v>17</v>
      </c>
      <c r="G2841" t="s">
        <v>41</v>
      </c>
      <c r="H2841" t="s">
        <v>27</v>
      </c>
      <c r="I2841" t="s">
        <v>45</v>
      </c>
      <c r="J2841" t="s">
        <v>21</v>
      </c>
      <c r="K2841">
        <v>48</v>
      </c>
      <c r="L2841">
        <v>26.54</v>
      </c>
      <c r="M2841">
        <v>4.4000000000000004</v>
      </c>
      <c r="N2841" t="s">
        <v>22</v>
      </c>
      <c r="O2841" t="str">
        <f t="shared" si="44"/>
        <v>No</v>
      </c>
    </row>
    <row r="2842" spans="1:15" x14ac:dyDescent="0.25">
      <c r="A2842" t="s">
        <v>2903</v>
      </c>
      <c r="B2842" s="1">
        <v>45737</v>
      </c>
      <c r="C2842" s="2">
        <v>45737.464583333334</v>
      </c>
      <c r="D2842" t="s">
        <v>24</v>
      </c>
      <c r="E2842" t="s">
        <v>25</v>
      </c>
      <c r="F2842" t="s">
        <v>26</v>
      </c>
      <c r="G2842" t="s">
        <v>56</v>
      </c>
      <c r="H2842" t="s">
        <v>44</v>
      </c>
      <c r="I2842" t="s">
        <v>36</v>
      </c>
      <c r="J2842" t="s">
        <v>46</v>
      </c>
      <c r="K2842">
        <v>24</v>
      </c>
      <c r="L2842">
        <v>11.15</v>
      </c>
      <c r="M2842">
        <v>4.3</v>
      </c>
      <c r="N2842" t="s">
        <v>22</v>
      </c>
      <c r="O2842" t="str">
        <f t="shared" si="44"/>
        <v>No</v>
      </c>
    </row>
    <row r="2843" spans="1:15" x14ac:dyDescent="0.25">
      <c r="A2843" t="s">
        <v>2904</v>
      </c>
      <c r="B2843" s="1">
        <v>45785</v>
      </c>
      <c r="C2843" s="2">
        <v>45786.52</v>
      </c>
      <c r="D2843" t="s">
        <v>15</v>
      </c>
      <c r="E2843" t="s">
        <v>45</v>
      </c>
      <c r="F2843" t="s">
        <v>100</v>
      </c>
      <c r="G2843" t="s">
        <v>34</v>
      </c>
      <c r="H2843" t="s">
        <v>19</v>
      </c>
      <c r="I2843" t="s">
        <v>20</v>
      </c>
      <c r="J2843" t="s">
        <v>21</v>
      </c>
      <c r="K2843">
        <v>48</v>
      </c>
      <c r="L2843">
        <v>36.479999999999997</v>
      </c>
      <c r="M2843">
        <v>3.8</v>
      </c>
      <c r="N2843" t="s">
        <v>61</v>
      </c>
      <c r="O2843" t="str">
        <f t="shared" si="44"/>
        <v>No</v>
      </c>
    </row>
    <row r="2844" spans="1:15" x14ac:dyDescent="0.25">
      <c r="A2844" t="s">
        <v>2905</v>
      </c>
      <c r="B2844" s="1">
        <v>45796</v>
      </c>
      <c r="C2844" s="2">
        <v>45796.151250000003</v>
      </c>
      <c r="D2844" t="s">
        <v>38</v>
      </c>
      <c r="E2844" t="s">
        <v>32</v>
      </c>
      <c r="F2844" t="s">
        <v>33</v>
      </c>
      <c r="G2844" t="s">
        <v>51</v>
      </c>
      <c r="H2844" t="s">
        <v>35</v>
      </c>
      <c r="I2844" t="s">
        <v>45</v>
      </c>
      <c r="J2844" t="s">
        <v>21</v>
      </c>
      <c r="K2844">
        <v>8</v>
      </c>
      <c r="L2844">
        <v>3.63</v>
      </c>
      <c r="M2844">
        <v>2.9</v>
      </c>
      <c r="N2844" t="s">
        <v>22</v>
      </c>
      <c r="O2844" t="str">
        <f t="shared" si="44"/>
        <v>No</v>
      </c>
    </row>
    <row r="2845" spans="1:15" x14ac:dyDescent="0.25">
      <c r="A2845" t="s">
        <v>2906</v>
      </c>
      <c r="B2845" s="1">
        <v>45745</v>
      </c>
      <c r="C2845" s="2">
        <v>45745.596666666665</v>
      </c>
      <c r="D2845" t="s">
        <v>24</v>
      </c>
      <c r="E2845" t="s">
        <v>45</v>
      </c>
      <c r="F2845" t="s">
        <v>104</v>
      </c>
      <c r="G2845" t="s">
        <v>51</v>
      </c>
      <c r="H2845" t="s">
        <v>44</v>
      </c>
      <c r="I2845" t="s">
        <v>45</v>
      </c>
      <c r="J2845" t="s">
        <v>21</v>
      </c>
      <c r="K2845">
        <v>24</v>
      </c>
      <c r="L2845">
        <v>14.32</v>
      </c>
      <c r="M2845">
        <v>4.2</v>
      </c>
      <c r="N2845" t="s">
        <v>22</v>
      </c>
      <c r="O2845" t="str">
        <f t="shared" si="44"/>
        <v>No</v>
      </c>
    </row>
    <row r="2846" spans="1:15" x14ac:dyDescent="0.25">
      <c r="A2846" t="s">
        <v>2907</v>
      </c>
      <c r="B2846" s="1">
        <v>45740</v>
      </c>
      <c r="C2846" s="2">
        <v>45740.790833333333</v>
      </c>
      <c r="D2846" t="s">
        <v>15</v>
      </c>
      <c r="E2846" t="s">
        <v>39</v>
      </c>
      <c r="F2846" t="s">
        <v>87</v>
      </c>
      <c r="G2846" t="s">
        <v>34</v>
      </c>
      <c r="H2846" t="s">
        <v>27</v>
      </c>
      <c r="I2846" t="s">
        <v>45</v>
      </c>
      <c r="J2846" t="s">
        <v>85</v>
      </c>
      <c r="K2846">
        <v>48</v>
      </c>
      <c r="L2846">
        <v>18.98</v>
      </c>
      <c r="M2846">
        <v>5</v>
      </c>
      <c r="N2846" t="s">
        <v>22</v>
      </c>
      <c r="O2846" t="str">
        <f t="shared" si="44"/>
        <v>No</v>
      </c>
    </row>
    <row r="2847" spans="1:15" x14ac:dyDescent="0.25">
      <c r="A2847" t="s">
        <v>2908</v>
      </c>
      <c r="B2847" s="1">
        <v>45740</v>
      </c>
      <c r="C2847" s="2">
        <v>45740.995000000003</v>
      </c>
      <c r="D2847" t="s">
        <v>15</v>
      </c>
      <c r="E2847" t="s">
        <v>25</v>
      </c>
      <c r="F2847" t="s">
        <v>70</v>
      </c>
      <c r="G2847" t="s">
        <v>51</v>
      </c>
      <c r="H2847" t="s">
        <v>19</v>
      </c>
      <c r="I2847" t="s">
        <v>45</v>
      </c>
      <c r="J2847" t="s">
        <v>29</v>
      </c>
      <c r="K2847">
        <v>48</v>
      </c>
      <c r="L2847">
        <v>23.88</v>
      </c>
      <c r="M2847">
        <v>4.8</v>
      </c>
      <c r="N2847" t="s">
        <v>22</v>
      </c>
      <c r="O2847" t="str">
        <f t="shared" si="44"/>
        <v>No</v>
      </c>
    </row>
    <row r="2848" spans="1:15" x14ac:dyDescent="0.25">
      <c r="A2848" t="s">
        <v>2909</v>
      </c>
      <c r="B2848" s="1">
        <v>45814</v>
      </c>
      <c r="C2848" s="2">
        <v>45814.057916666665</v>
      </c>
      <c r="D2848" t="s">
        <v>38</v>
      </c>
      <c r="E2848" t="s">
        <v>16</v>
      </c>
      <c r="F2848" t="s">
        <v>58</v>
      </c>
      <c r="G2848" t="s">
        <v>51</v>
      </c>
      <c r="H2848" t="s">
        <v>35</v>
      </c>
      <c r="I2848" t="s">
        <v>20</v>
      </c>
      <c r="J2848" t="s">
        <v>21</v>
      </c>
      <c r="K2848">
        <v>8</v>
      </c>
      <c r="L2848">
        <v>1.39</v>
      </c>
      <c r="M2848">
        <v>4.5</v>
      </c>
      <c r="N2848" t="s">
        <v>22</v>
      </c>
      <c r="O2848" t="str">
        <f t="shared" si="44"/>
        <v>No</v>
      </c>
    </row>
    <row r="2849" spans="1:15" x14ac:dyDescent="0.25">
      <c r="A2849" t="s">
        <v>2910</v>
      </c>
      <c r="B2849" s="1">
        <v>45727</v>
      </c>
      <c r="C2849" s="2">
        <v>45727.099583333336</v>
      </c>
      <c r="D2849" t="s">
        <v>38</v>
      </c>
      <c r="E2849" t="s">
        <v>16</v>
      </c>
      <c r="F2849" t="s">
        <v>17</v>
      </c>
      <c r="G2849" t="s">
        <v>56</v>
      </c>
      <c r="H2849" t="s">
        <v>65</v>
      </c>
      <c r="I2849" t="s">
        <v>45</v>
      </c>
      <c r="J2849" t="s">
        <v>21</v>
      </c>
      <c r="K2849">
        <v>8</v>
      </c>
      <c r="L2849">
        <v>2.39</v>
      </c>
      <c r="M2849">
        <v>4.9000000000000004</v>
      </c>
      <c r="N2849" t="s">
        <v>61</v>
      </c>
      <c r="O2849" t="str">
        <f t="shared" si="44"/>
        <v>No</v>
      </c>
    </row>
    <row r="2850" spans="1:15" x14ac:dyDescent="0.25">
      <c r="A2850" t="s">
        <v>2911</v>
      </c>
      <c r="B2850" s="1">
        <v>45708</v>
      </c>
      <c r="C2850" s="2">
        <v>45709.555833333332</v>
      </c>
      <c r="D2850" t="s">
        <v>24</v>
      </c>
      <c r="E2850" t="s">
        <v>39</v>
      </c>
      <c r="F2850" t="s">
        <v>78</v>
      </c>
      <c r="G2850" t="s">
        <v>34</v>
      </c>
      <c r="H2850" t="s">
        <v>35</v>
      </c>
      <c r="I2850" t="s">
        <v>20</v>
      </c>
      <c r="J2850" t="s">
        <v>46</v>
      </c>
      <c r="K2850">
        <v>24</v>
      </c>
      <c r="L2850">
        <v>37.340000000000003</v>
      </c>
      <c r="M2850">
        <v>3.5</v>
      </c>
      <c r="N2850" t="s">
        <v>22</v>
      </c>
      <c r="O2850" t="str">
        <f t="shared" si="44"/>
        <v>Yes</v>
      </c>
    </row>
    <row r="2851" spans="1:15" x14ac:dyDescent="0.25">
      <c r="A2851" t="s">
        <v>2912</v>
      </c>
      <c r="B2851" s="1">
        <v>45723</v>
      </c>
      <c r="C2851" s="2">
        <v>45723.310416666667</v>
      </c>
      <c r="D2851" t="s">
        <v>15</v>
      </c>
      <c r="E2851" t="s">
        <v>25</v>
      </c>
      <c r="F2851" t="s">
        <v>26</v>
      </c>
      <c r="G2851" t="s">
        <v>51</v>
      </c>
      <c r="H2851" t="s">
        <v>65</v>
      </c>
      <c r="I2851" t="s">
        <v>45</v>
      </c>
      <c r="J2851" t="s">
        <v>21</v>
      </c>
      <c r="K2851">
        <v>48</v>
      </c>
      <c r="L2851">
        <v>7.45</v>
      </c>
      <c r="M2851">
        <v>4.3</v>
      </c>
      <c r="N2851" t="s">
        <v>22</v>
      </c>
      <c r="O2851" t="str">
        <f t="shared" si="44"/>
        <v>No</v>
      </c>
    </row>
    <row r="2852" spans="1:15" x14ac:dyDescent="0.25">
      <c r="A2852" t="s">
        <v>2913</v>
      </c>
      <c r="B2852" s="1">
        <v>45693</v>
      </c>
      <c r="C2852" s="2">
        <v>45693.542500000003</v>
      </c>
      <c r="D2852" t="s">
        <v>38</v>
      </c>
      <c r="E2852" t="s">
        <v>32</v>
      </c>
      <c r="F2852" t="s">
        <v>80</v>
      </c>
      <c r="G2852" t="s">
        <v>56</v>
      </c>
      <c r="H2852" t="s">
        <v>27</v>
      </c>
      <c r="I2852" t="s">
        <v>36</v>
      </c>
      <c r="J2852" t="s">
        <v>21</v>
      </c>
      <c r="K2852">
        <v>8</v>
      </c>
      <c r="L2852">
        <v>13.02</v>
      </c>
      <c r="M2852">
        <v>3.9</v>
      </c>
      <c r="N2852" t="s">
        <v>22</v>
      </c>
      <c r="O2852" t="str">
        <f t="shared" si="44"/>
        <v>Yes</v>
      </c>
    </row>
    <row r="2853" spans="1:15" x14ac:dyDescent="0.25">
      <c r="A2853" t="s">
        <v>2914</v>
      </c>
      <c r="B2853" s="1">
        <v>45728</v>
      </c>
      <c r="C2853" s="2">
        <v>45728.193333333336</v>
      </c>
      <c r="D2853" t="s">
        <v>38</v>
      </c>
      <c r="E2853" t="s">
        <v>16</v>
      </c>
      <c r="F2853" t="s">
        <v>58</v>
      </c>
      <c r="G2853" t="s">
        <v>41</v>
      </c>
      <c r="H2853" t="s">
        <v>65</v>
      </c>
      <c r="I2853" t="s">
        <v>45</v>
      </c>
      <c r="J2853" t="s">
        <v>21</v>
      </c>
      <c r="K2853">
        <v>8</v>
      </c>
      <c r="L2853">
        <v>4.6399999999999997</v>
      </c>
      <c r="M2853">
        <v>4.4000000000000004</v>
      </c>
      <c r="N2853" t="s">
        <v>22</v>
      </c>
      <c r="O2853" t="str">
        <f t="shared" si="44"/>
        <v>No</v>
      </c>
    </row>
    <row r="2854" spans="1:15" x14ac:dyDescent="0.25">
      <c r="A2854" t="s">
        <v>2915</v>
      </c>
      <c r="B2854" s="1">
        <v>45678</v>
      </c>
      <c r="C2854" s="2">
        <v>45678.112916666665</v>
      </c>
      <c r="D2854" t="s">
        <v>24</v>
      </c>
      <c r="E2854" t="s">
        <v>16</v>
      </c>
      <c r="F2854" t="s">
        <v>17</v>
      </c>
      <c r="G2854" t="s">
        <v>34</v>
      </c>
      <c r="H2854" t="s">
        <v>35</v>
      </c>
      <c r="I2854" t="s">
        <v>36</v>
      </c>
      <c r="J2854" t="s">
        <v>21</v>
      </c>
      <c r="K2854">
        <v>24</v>
      </c>
      <c r="L2854">
        <v>2.71</v>
      </c>
      <c r="M2854">
        <v>4.7</v>
      </c>
      <c r="N2854" t="s">
        <v>22</v>
      </c>
      <c r="O2854" t="str">
        <f t="shared" si="44"/>
        <v>No</v>
      </c>
    </row>
    <row r="2855" spans="1:15" x14ac:dyDescent="0.25">
      <c r="A2855" t="s">
        <v>2916</v>
      </c>
      <c r="B2855" s="1">
        <v>45674</v>
      </c>
      <c r="C2855" s="2">
        <v>45674.946666666663</v>
      </c>
      <c r="D2855" t="s">
        <v>24</v>
      </c>
      <c r="E2855" t="s">
        <v>25</v>
      </c>
      <c r="F2855" t="s">
        <v>70</v>
      </c>
      <c r="G2855" t="s">
        <v>18</v>
      </c>
      <c r="H2855" t="s">
        <v>19</v>
      </c>
      <c r="I2855" t="s">
        <v>36</v>
      </c>
      <c r="J2855" t="s">
        <v>29</v>
      </c>
      <c r="K2855">
        <v>24</v>
      </c>
      <c r="L2855">
        <v>22.72</v>
      </c>
      <c r="M2855">
        <v>4.9000000000000004</v>
      </c>
      <c r="N2855" t="s">
        <v>61</v>
      </c>
      <c r="O2855" t="str">
        <f t="shared" si="44"/>
        <v>No</v>
      </c>
    </row>
    <row r="2856" spans="1:15" x14ac:dyDescent="0.25">
      <c r="A2856" t="s">
        <v>2917</v>
      </c>
      <c r="B2856" s="1">
        <v>45789</v>
      </c>
      <c r="C2856" s="2">
        <v>45789.049166666664</v>
      </c>
      <c r="D2856" t="s">
        <v>38</v>
      </c>
      <c r="E2856" t="s">
        <v>39</v>
      </c>
      <c r="F2856" t="s">
        <v>119</v>
      </c>
      <c r="G2856" t="s">
        <v>18</v>
      </c>
      <c r="H2856" t="s">
        <v>44</v>
      </c>
      <c r="I2856" t="s">
        <v>36</v>
      </c>
      <c r="J2856" t="s">
        <v>21</v>
      </c>
      <c r="K2856">
        <v>8</v>
      </c>
      <c r="L2856">
        <v>1.18</v>
      </c>
      <c r="M2856">
        <v>3.5</v>
      </c>
      <c r="N2856" t="s">
        <v>22</v>
      </c>
      <c r="O2856" t="str">
        <f t="shared" si="44"/>
        <v>No</v>
      </c>
    </row>
    <row r="2857" spans="1:15" x14ac:dyDescent="0.25">
      <c r="A2857" t="s">
        <v>2918</v>
      </c>
      <c r="B2857" s="1">
        <v>45672</v>
      </c>
      <c r="C2857" s="2">
        <v>45672.294999999998</v>
      </c>
      <c r="D2857" t="s">
        <v>38</v>
      </c>
      <c r="E2857" t="s">
        <v>16</v>
      </c>
      <c r="F2857" t="s">
        <v>60</v>
      </c>
      <c r="G2857" t="s">
        <v>41</v>
      </c>
      <c r="H2857" t="s">
        <v>54</v>
      </c>
      <c r="I2857" t="s">
        <v>36</v>
      </c>
      <c r="J2857" t="s">
        <v>21</v>
      </c>
      <c r="K2857">
        <v>8</v>
      </c>
      <c r="L2857">
        <v>7.08</v>
      </c>
      <c r="M2857">
        <v>3.2</v>
      </c>
      <c r="N2857" t="s">
        <v>22</v>
      </c>
      <c r="O2857" t="str">
        <f t="shared" si="44"/>
        <v>No</v>
      </c>
    </row>
    <row r="2858" spans="1:15" x14ac:dyDescent="0.25">
      <c r="A2858" t="s">
        <v>2919</v>
      </c>
      <c r="B2858" s="1">
        <v>45760</v>
      </c>
      <c r="C2858" s="2">
        <v>45760.7</v>
      </c>
      <c r="D2858" t="s">
        <v>24</v>
      </c>
      <c r="E2858" t="s">
        <v>16</v>
      </c>
      <c r="F2858" t="s">
        <v>43</v>
      </c>
      <c r="G2858" t="s">
        <v>18</v>
      </c>
      <c r="H2858" t="s">
        <v>65</v>
      </c>
      <c r="I2858" t="s">
        <v>36</v>
      </c>
      <c r="J2858" t="s">
        <v>29</v>
      </c>
      <c r="K2858">
        <v>24</v>
      </c>
      <c r="L2858">
        <v>16.8</v>
      </c>
      <c r="M2858">
        <v>4.5999999999999996</v>
      </c>
      <c r="N2858" t="s">
        <v>22</v>
      </c>
      <c r="O2858" t="str">
        <f t="shared" si="44"/>
        <v>No</v>
      </c>
    </row>
    <row r="2859" spans="1:15" x14ac:dyDescent="0.25">
      <c r="A2859" t="s">
        <v>2920</v>
      </c>
      <c r="B2859" s="1">
        <v>45799</v>
      </c>
      <c r="C2859" s="2">
        <v>45799.55</v>
      </c>
      <c r="D2859" t="s">
        <v>24</v>
      </c>
      <c r="E2859" t="s">
        <v>16</v>
      </c>
      <c r="F2859" t="s">
        <v>58</v>
      </c>
      <c r="G2859" t="s">
        <v>41</v>
      </c>
      <c r="H2859" t="s">
        <v>35</v>
      </c>
      <c r="I2859" t="s">
        <v>20</v>
      </c>
      <c r="J2859" t="s">
        <v>29</v>
      </c>
      <c r="K2859">
        <v>24</v>
      </c>
      <c r="L2859">
        <v>13.2</v>
      </c>
      <c r="M2859">
        <v>4.8</v>
      </c>
      <c r="N2859" t="s">
        <v>22</v>
      </c>
      <c r="O2859" t="str">
        <f t="shared" si="44"/>
        <v>No</v>
      </c>
    </row>
    <row r="2860" spans="1:15" x14ac:dyDescent="0.25">
      <c r="A2860" t="s">
        <v>2921</v>
      </c>
      <c r="B2860" s="1">
        <v>45789</v>
      </c>
      <c r="C2860" s="2">
        <v>45789.638749999998</v>
      </c>
      <c r="D2860" t="s">
        <v>24</v>
      </c>
      <c r="E2860" t="s">
        <v>16</v>
      </c>
      <c r="F2860" t="s">
        <v>60</v>
      </c>
      <c r="G2860" t="s">
        <v>41</v>
      </c>
      <c r="H2860" t="s">
        <v>44</v>
      </c>
      <c r="I2860" t="s">
        <v>20</v>
      </c>
      <c r="J2860" t="s">
        <v>21</v>
      </c>
      <c r="K2860">
        <v>24</v>
      </c>
      <c r="L2860">
        <v>15.33</v>
      </c>
      <c r="M2860">
        <v>5</v>
      </c>
      <c r="N2860" t="s">
        <v>22</v>
      </c>
      <c r="O2860" t="str">
        <f t="shared" si="44"/>
        <v>No</v>
      </c>
    </row>
    <row r="2861" spans="1:15" x14ac:dyDescent="0.25">
      <c r="A2861" t="s">
        <v>2922</v>
      </c>
      <c r="B2861" s="1">
        <v>45738</v>
      </c>
      <c r="C2861" s="2">
        <v>45738.221250000002</v>
      </c>
      <c r="D2861" t="s">
        <v>38</v>
      </c>
      <c r="E2861" t="s">
        <v>16</v>
      </c>
      <c r="F2861" t="s">
        <v>58</v>
      </c>
      <c r="G2861" t="s">
        <v>41</v>
      </c>
      <c r="H2861" t="s">
        <v>27</v>
      </c>
      <c r="I2861" t="s">
        <v>36</v>
      </c>
      <c r="J2861" t="s">
        <v>46</v>
      </c>
      <c r="K2861">
        <v>8</v>
      </c>
      <c r="L2861">
        <v>5.31</v>
      </c>
      <c r="M2861">
        <v>2.7</v>
      </c>
      <c r="N2861" t="s">
        <v>61</v>
      </c>
      <c r="O2861" t="str">
        <f t="shared" si="44"/>
        <v>No</v>
      </c>
    </row>
    <row r="2862" spans="1:15" x14ac:dyDescent="0.25">
      <c r="A2862" t="s">
        <v>2923</v>
      </c>
      <c r="B2862" s="1">
        <v>45693</v>
      </c>
      <c r="C2862" s="2">
        <v>45693.440821759257</v>
      </c>
      <c r="D2862" t="s">
        <v>24</v>
      </c>
      <c r="E2862" t="s">
        <v>25</v>
      </c>
      <c r="F2862" t="s">
        <v>26</v>
      </c>
      <c r="G2862" t="s">
        <v>18</v>
      </c>
      <c r="H2862" t="s">
        <v>65</v>
      </c>
      <c r="I2862" t="s">
        <v>28</v>
      </c>
      <c r="J2862" t="s">
        <v>46</v>
      </c>
      <c r="K2862">
        <v>24</v>
      </c>
      <c r="L2862">
        <v>10.58</v>
      </c>
      <c r="M2862">
        <v>5</v>
      </c>
      <c r="N2862" t="s">
        <v>22</v>
      </c>
      <c r="O2862" t="str">
        <f t="shared" si="44"/>
        <v>No</v>
      </c>
    </row>
    <row r="2863" spans="1:15" x14ac:dyDescent="0.25">
      <c r="A2863" t="s">
        <v>2924</v>
      </c>
      <c r="B2863" s="1">
        <v>45826</v>
      </c>
      <c r="C2863" s="2">
        <v>45829.415000000001</v>
      </c>
      <c r="D2863" t="s">
        <v>15</v>
      </c>
      <c r="E2863" t="s">
        <v>16</v>
      </c>
      <c r="F2863" t="s">
        <v>17</v>
      </c>
      <c r="G2863" t="s">
        <v>51</v>
      </c>
      <c r="H2863" t="s">
        <v>19</v>
      </c>
      <c r="I2863" t="s">
        <v>28</v>
      </c>
      <c r="J2863" t="s">
        <v>21</v>
      </c>
      <c r="K2863">
        <v>48</v>
      </c>
      <c r="L2863">
        <v>81.96</v>
      </c>
      <c r="M2863">
        <v>2.1</v>
      </c>
      <c r="N2863" t="s">
        <v>22</v>
      </c>
      <c r="O2863" t="str">
        <f t="shared" si="44"/>
        <v>Yes</v>
      </c>
    </row>
    <row r="2864" spans="1:15" x14ac:dyDescent="0.25">
      <c r="A2864" t="s">
        <v>2925</v>
      </c>
      <c r="B2864" s="1">
        <v>45809</v>
      </c>
      <c r="C2864" s="2">
        <v>45811.579583333332</v>
      </c>
      <c r="D2864" t="s">
        <v>15</v>
      </c>
      <c r="E2864" t="s">
        <v>32</v>
      </c>
      <c r="F2864" t="s">
        <v>75</v>
      </c>
      <c r="G2864" t="s">
        <v>34</v>
      </c>
      <c r="H2864" t="s">
        <v>44</v>
      </c>
      <c r="I2864" t="s">
        <v>20</v>
      </c>
      <c r="J2864" t="s">
        <v>46</v>
      </c>
      <c r="K2864">
        <v>48</v>
      </c>
      <c r="L2864">
        <v>61.91</v>
      </c>
      <c r="M2864">
        <v>3.7</v>
      </c>
      <c r="N2864" t="s">
        <v>22</v>
      </c>
      <c r="O2864" t="str">
        <f t="shared" si="44"/>
        <v>Yes</v>
      </c>
    </row>
    <row r="2865" spans="1:15" x14ac:dyDescent="0.25">
      <c r="A2865" t="s">
        <v>2926</v>
      </c>
      <c r="B2865" s="1">
        <v>45768</v>
      </c>
      <c r="C2865" s="2">
        <v>45768.307083333333</v>
      </c>
      <c r="D2865" t="s">
        <v>38</v>
      </c>
      <c r="E2865" t="s">
        <v>16</v>
      </c>
      <c r="F2865" t="s">
        <v>58</v>
      </c>
      <c r="G2865" t="s">
        <v>18</v>
      </c>
      <c r="H2865" t="s">
        <v>54</v>
      </c>
      <c r="I2865" t="s">
        <v>36</v>
      </c>
      <c r="J2865" t="s">
        <v>46</v>
      </c>
      <c r="K2865">
        <v>8</v>
      </c>
      <c r="L2865">
        <v>7.37</v>
      </c>
      <c r="M2865">
        <v>3.9</v>
      </c>
      <c r="N2865" t="s">
        <v>22</v>
      </c>
      <c r="O2865" t="str">
        <f t="shared" si="44"/>
        <v>No</v>
      </c>
    </row>
    <row r="2866" spans="1:15" x14ac:dyDescent="0.25">
      <c r="A2866" t="s">
        <v>2927</v>
      </c>
      <c r="B2866" s="1">
        <v>45673</v>
      </c>
      <c r="C2866" s="2">
        <v>45673.13208333333</v>
      </c>
      <c r="D2866" t="s">
        <v>38</v>
      </c>
      <c r="E2866" t="s">
        <v>32</v>
      </c>
      <c r="F2866" t="s">
        <v>80</v>
      </c>
      <c r="G2866" t="s">
        <v>56</v>
      </c>
      <c r="H2866" t="s">
        <v>44</v>
      </c>
      <c r="I2866" t="s">
        <v>36</v>
      </c>
      <c r="J2866" t="s">
        <v>21</v>
      </c>
      <c r="K2866">
        <v>8</v>
      </c>
      <c r="L2866">
        <v>3.17</v>
      </c>
      <c r="M2866">
        <v>5</v>
      </c>
      <c r="N2866" t="s">
        <v>22</v>
      </c>
      <c r="O2866" t="str">
        <f t="shared" si="44"/>
        <v>No</v>
      </c>
    </row>
    <row r="2867" spans="1:15" x14ac:dyDescent="0.25">
      <c r="A2867" t="s">
        <v>2928</v>
      </c>
      <c r="B2867" s="1">
        <v>45664</v>
      </c>
      <c r="C2867" s="2">
        <v>45664.060833333337</v>
      </c>
      <c r="D2867" t="s">
        <v>31</v>
      </c>
      <c r="E2867" t="s">
        <v>32</v>
      </c>
      <c r="F2867" t="s">
        <v>64</v>
      </c>
      <c r="G2867" t="s">
        <v>34</v>
      </c>
      <c r="H2867" t="s">
        <v>54</v>
      </c>
      <c r="I2867" t="s">
        <v>45</v>
      </c>
      <c r="J2867" t="s">
        <v>85</v>
      </c>
      <c r="K2867">
        <v>4</v>
      </c>
      <c r="L2867">
        <v>1.46</v>
      </c>
      <c r="M2867">
        <v>4.4000000000000004</v>
      </c>
      <c r="N2867" t="s">
        <v>22</v>
      </c>
      <c r="O2867" t="str">
        <f t="shared" si="44"/>
        <v>No</v>
      </c>
    </row>
    <row r="2868" spans="1:15" x14ac:dyDescent="0.25">
      <c r="A2868" t="s">
        <v>2929</v>
      </c>
      <c r="B2868" s="1">
        <v>45715</v>
      </c>
      <c r="C2868" s="2">
        <v>45715.661666666667</v>
      </c>
      <c r="D2868" t="s">
        <v>24</v>
      </c>
      <c r="E2868" t="s">
        <v>25</v>
      </c>
      <c r="F2868" t="s">
        <v>53</v>
      </c>
      <c r="G2868" t="s">
        <v>51</v>
      </c>
      <c r="H2868" t="s">
        <v>35</v>
      </c>
      <c r="I2868" t="s">
        <v>20</v>
      </c>
      <c r="J2868" t="s">
        <v>85</v>
      </c>
      <c r="K2868">
        <v>24</v>
      </c>
      <c r="L2868">
        <v>15.88</v>
      </c>
      <c r="M2868">
        <v>4.9000000000000004</v>
      </c>
      <c r="N2868" t="s">
        <v>22</v>
      </c>
      <c r="O2868" t="str">
        <f t="shared" si="44"/>
        <v>No</v>
      </c>
    </row>
    <row r="2869" spans="1:15" x14ac:dyDescent="0.25">
      <c r="A2869" t="s">
        <v>2930</v>
      </c>
      <c r="B2869" s="1">
        <v>45686</v>
      </c>
      <c r="C2869" s="2">
        <v>45686.122916666667</v>
      </c>
      <c r="D2869" t="s">
        <v>38</v>
      </c>
      <c r="E2869" t="s">
        <v>39</v>
      </c>
      <c r="F2869" t="s">
        <v>87</v>
      </c>
      <c r="G2869" t="s">
        <v>34</v>
      </c>
      <c r="H2869" t="s">
        <v>35</v>
      </c>
      <c r="I2869" t="s">
        <v>45</v>
      </c>
      <c r="J2869" t="s">
        <v>21</v>
      </c>
      <c r="K2869">
        <v>8</v>
      </c>
      <c r="L2869">
        <v>2.95</v>
      </c>
      <c r="M2869">
        <v>4</v>
      </c>
      <c r="N2869" t="s">
        <v>22</v>
      </c>
      <c r="O2869" t="str">
        <f t="shared" si="44"/>
        <v>No</v>
      </c>
    </row>
    <row r="2870" spans="1:15" x14ac:dyDescent="0.25">
      <c r="A2870" t="s">
        <v>2931</v>
      </c>
      <c r="B2870" s="1">
        <v>45813</v>
      </c>
      <c r="C2870" s="2">
        <v>45813.147916666669</v>
      </c>
      <c r="D2870" t="s">
        <v>38</v>
      </c>
      <c r="E2870" t="s">
        <v>16</v>
      </c>
      <c r="F2870" t="s">
        <v>58</v>
      </c>
      <c r="G2870" t="s">
        <v>56</v>
      </c>
      <c r="H2870" t="s">
        <v>44</v>
      </c>
      <c r="I2870" t="s">
        <v>45</v>
      </c>
      <c r="J2870" t="s">
        <v>21</v>
      </c>
      <c r="K2870">
        <v>8</v>
      </c>
      <c r="L2870">
        <v>3.55</v>
      </c>
      <c r="M2870">
        <v>4.4000000000000004</v>
      </c>
      <c r="N2870" t="s">
        <v>22</v>
      </c>
      <c r="O2870" t="str">
        <f t="shared" si="44"/>
        <v>No</v>
      </c>
    </row>
    <row r="2871" spans="1:15" x14ac:dyDescent="0.25">
      <c r="A2871" t="s">
        <v>2932</v>
      </c>
      <c r="B2871" s="1">
        <v>45695</v>
      </c>
      <c r="C2871" s="2">
        <v>45695.932916666665</v>
      </c>
      <c r="D2871" t="s">
        <v>24</v>
      </c>
      <c r="E2871" t="s">
        <v>45</v>
      </c>
      <c r="F2871" t="s">
        <v>100</v>
      </c>
      <c r="G2871" t="s">
        <v>41</v>
      </c>
      <c r="H2871" t="s">
        <v>35</v>
      </c>
      <c r="I2871" t="s">
        <v>20</v>
      </c>
      <c r="J2871" t="s">
        <v>29</v>
      </c>
      <c r="K2871">
        <v>24</v>
      </c>
      <c r="L2871">
        <v>22.39</v>
      </c>
      <c r="M2871">
        <v>4</v>
      </c>
      <c r="N2871" t="s">
        <v>22</v>
      </c>
      <c r="O2871" t="str">
        <f t="shared" si="44"/>
        <v>No</v>
      </c>
    </row>
    <row r="2872" spans="1:15" x14ac:dyDescent="0.25">
      <c r="A2872" t="s">
        <v>2933</v>
      </c>
      <c r="B2872" s="1">
        <v>45709</v>
      </c>
      <c r="C2872" s="2">
        <v>45711.647499999999</v>
      </c>
      <c r="D2872" t="s">
        <v>15</v>
      </c>
      <c r="E2872" t="s">
        <v>32</v>
      </c>
      <c r="F2872" t="s">
        <v>33</v>
      </c>
      <c r="G2872" t="s">
        <v>41</v>
      </c>
      <c r="H2872" t="s">
        <v>65</v>
      </c>
      <c r="I2872" t="s">
        <v>28</v>
      </c>
      <c r="J2872" t="s">
        <v>21</v>
      </c>
      <c r="K2872">
        <v>48</v>
      </c>
      <c r="L2872">
        <v>63.54</v>
      </c>
      <c r="M2872">
        <v>4.5</v>
      </c>
      <c r="N2872" t="s">
        <v>22</v>
      </c>
      <c r="O2872" t="str">
        <f t="shared" si="44"/>
        <v>Yes</v>
      </c>
    </row>
    <row r="2873" spans="1:15" x14ac:dyDescent="0.25">
      <c r="A2873" t="s">
        <v>2934</v>
      </c>
      <c r="B2873" s="1">
        <v>45834</v>
      </c>
      <c r="C2873" s="2">
        <v>45834.112083333333</v>
      </c>
      <c r="D2873" t="s">
        <v>31</v>
      </c>
      <c r="E2873" t="s">
        <v>32</v>
      </c>
      <c r="F2873" t="s">
        <v>33</v>
      </c>
      <c r="G2873" t="s">
        <v>51</v>
      </c>
      <c r="H2873" t="s">
        <v>35</v>
      </c>
      <c r="I2873" t="s">
        <v>45</v>
      </c>
      <c r="J2873" t="s">
        <v>21</v>
      </c>
      <c r="K2873">
        <v>4</v>
      </c>
      <c r="L2873">
        <v>2.69</v>
      </c>
      <c r="M2873">
        <v>4.7</v>
      </c>
      <c r="N2873" t="s">
        <v>22</v>
      </c>
      <c r="O2873" t="str">
        <f t="shared" si="44"/>
        <v>No</v>
      </c>
    </row>
    <row r="2874" spans="1:15" x14ac:dyDescent="0.25">
      <c r="A2874" t="s">
        <v>2935</v>
      </c>
      <c r="B2874" s="1">
        <v>45806</v>
      </c>
      <c r="C2874" s="2">
        <v>45807.219166666669</v>
      </c>
      <c r="D2874" t="s">
        <v>15</v>
      </c>
      <c r="E2874" t="s">
        <v>32</v>
      </c>
      <c r="F2874" t="s">
        <v>33</v>
      </c>
      <c r="G2874" t="s">
        <v>41</v>
      </c>
      <c r="H2874" t="s">
        <v>19</v>
      </c>
      <c r="I2874" t="s">
        <v>28</v>
      </c>
      <c r="J2874" t="s">
        <v>46</v>
      </c>
      <c r="K2874">
        <v>48</v>
      </c>
      <c r="L2874">
        <v>29.26</v>
      </c>
      <c r="M2874">
        <v>4.4000000000000004</v>
      </c>
      <c r="N2874" t="s">
        <v>22</v>
      </c>
      <c r="O2874" t="str">
        <f t="shared" si="44"/>
        <v>No</v>
      </c>
    </row>
    <row r="2875" spans="1:15" x14ac:dyDescent="0.25">
      <c r="A2875" t="s">
        <v>2936</v>
      </c>
      <c r="B2875" s="1">
        <v>45697</v>
      </c>
      <c r="C2875" s="2">
        <v>45697.107488425929</v>
      </c>
      <c r="D2875" t="s">
        <v>24</v>
      </c>
      <c r="E2875" t="s">
        <v>32</v>
      </c>
      <c r="F2875" t="s">
        <v>75</v>
      </c>
      <c r="G2875" t="s">
        <v>56</v>
      </c>
      <c r="H2875" t="s">
        <v>44</v>
      </c>
      <c r="I2875" t="s">
        <v>20</v>
      </c>
      <c r="J2875" t="s">
        <v>46</v>
      </c>
      <c r="K2875">
        <v>24</v>
      </c>
      <c r="L2875">
        <v>2.58</v>
      </c>
      <c r="M2875">
        <v>5</v>
      </c>
      <c r="N2875" t="s">
        <v>22</v>
      </c>
      <c r="O2875" t="str">
        <f t="shared" si="44"/>
        <v>No</v>
      </c>
    </row>
    <row r="2876" spans="1:15" x14ac:dyDescent="0.25">
      <c r="A2876" t="s">
        <v>2937</v>
      </c>
      <c r="B2876" s="1">
        <v>45727</v>
      </c>
      <c r="C2876" s="2">
        <v>45727.901250000003</v>
      </c>
      <c r="D2876" t="s">
        <v>24</v>
      </c>
      <c r="E2876" t="s">
        <v>25</v>
      </c>
      <c r="F2876" t="s">
        <v>70</v>
      </c>
      <c r="G2876" t="s">
        <v>18</v>
      </c>
      <c r="H2876" t="s">
        <v>27</v>
      </c>
      <c r="I2876" t="s">
        <v>36</v>
      </c>
      <c r="J2876" t="s">
        <v>21</v>
      </c>
      <c r="K2876">
        <v>24</v>
      </c>
      <c r="L2876">
        <v>21.63</v>
      </c>
      <c r="M2876">
        <v>4.5999999999999996</v>
      </c>
      <c r="N2876" t="s">
        <v>22</v>
      </c>
      <c r="O2876" t="str">
        <f t="shared" si="44"/>
        <v>No</v>
      </c>
    </row>
    <row r="2877" spans="1:15" x14ac:dyDescent="0.25">
      <c r="A2877" t="s">
        <v>2938</v>
      </c>
      <c r="B2877" s="1">
        <v>45751</v>
      </c>
      <c r="C2877" s="2">
        <v>45751.972916666666</v>
      </c>
      <c r="D2877" t="s">
        <v>24</v>
      </c>
      <c r="E2877" t="s">
        <v>25</v>
      </c>
      <c r="F2877" t="s">
        <v>70</v>
      </c>
      <c r="G2877" t="s">
        <v>34</v>
      </c>
      <c r="H2877" t="s">
        <v>19</v>
      </c>
      <c r="I2877" t="s">
        <v>20</v>
      </c>
      <c r="J2877" t="s">
        <v>21</v>
      </c>
      <c r="K2877">
        <v>24</v>
      </c>
      <c r="L2877">
        <v>23.35</v>
      </c>
      <c r="M2877">
        <v>4.0999999999999996</v>
      </c>
      <c r="N2877" t="s">
        <v>22</v>
      </c>
      <c r="O2877" t="str">
        <f t="shared" si="44"/>
        <v>No</v>
      </c>
    </row>
    <row r="2878" spans="1:15" x14ac:dyDescent="0.25">
      <c r="A2878" t="s">
        <v>2939</v>
      </c>
      <c r="B2878" s="1">
        <v>45778</v>
      </c>
      <c r="C2878" s="2">
        <v>45780.271249999998</v>
      </c>
      <c r="D2878" t="s">
        <v>15</v>
      </c>
      <c r="E2878" t="s">
        <v>16</v>
      </c>
      <c r="F2878" t="s">
        <v>58</v>
      </c>
      <c r="G2878" t="s">
        <v>34</v>
      </c>
      <c r="H2878" t="s">
        <v>44</v>
      </c>
      <c r="I2878" t="s">
        <v>36</v>
      </c>
      <c r="J2878" t="s">
        <v>29</v>
      </c>
      <c r="K2878">
        <v>48</v>
      </c>
      <c r="L2878">
        <v>54.51</v>
      </c>
      <c r="M2878">
        <v>3</v>
      </c>
      <c r="N2878" t="s">
        <v>22</v>
      </c>
      <c r="O2878" t="str">
        <f t="shared" si="44"/>
        <v>Yes</v>
      </c>
    </row>
    <row r="2879" spans="1:15" x14ac:dyDescent="0.25">
      <c r="A2879" t="s">
        <v>2940</v>
      </c>
      <c r="B2879" s="1">
        <v>45827</v>
      </c>
      <c r="C2879" s="2">
        <v>45827.815821759257</v>
      </c>
      <c r="D2879" t="s">
        <v>38</v>
      </c>
      <c r="E2879" t="s">
        <v>32</v>
      </c>
      <c r="F2879" t="s">
        <v>64</v>
      </c>
      <c r="G2879" t="s">
        <v>56</v>
      </c>
      <c r="H2879" t="s">
        <v>65</v>
      </c>
      <c r="I2879" t="s">
        <v>36</v>
      </c>
      <c r="J2879" t="s">
        <v>85</v>
      </c>
      <c r="K2879">
        <v>8</v>
      </c>
      <c r="L2879">
        <v>19.579999999999998</v>
      </c>
      <c r="M2879">
        <v>2.5</v>
      </c>
      <c r="N2879" t="s">
        <v>22</v>
      </c>
      <c r="O2879" t="str">
        <f t="shared" si="44"/>
        <v>Yes</v>
      </c>
    </row>
    <row r="2880" spans="1:15" x14ac:dyDescent="0.25">
      <c r="A2880" t="s">
        <v>2941</v>
      </c>
      <c r="B2880" s="1">
        <v>45815</v>
      </c>
      <c r="C2880" s="2">
        <v>45815.712916666664</v>
      </c>
      <c r="D2880" t="s">
        <v>15</v>
      </c>
      <c r="E2880" t="s">
        <v>16</v>
      </c>
      <c r="F2880" t="s">
        <v>17</v>
      </c>
      <c r="G2880" t="s">
        <v>56</v>
      </c>
      <c r="H2880" t="s">
        <v>54</v>
      </c>
      <c r="I2880" t="s">
        <v>28</v>
      </c>
      <c r="J2880" t="s">
        <v>21</v>
      </c>
      <c r="K2880">
        <v>48</v>
      </c>
      <c r="L2880">
        <v>17.11</v>
      </c>
      <c r="M2880">
        <v>4.5999999999999996</v>
      </c>
      <c r="N2880" t="s">
        <v>22</v>
      </c>
      <c r="O2880" t="str">
        <f t="shared" si="44"/>
        <v>No</v>
      </c>
    </row>
    <row r="2881" spans="1:15" x14ac:dyDescent="0.25">
      <c r="A2881" t="s">
        <v>2942</v>
      </c>
      <c r="B2881" s="1">
        <v>45834</v>
      </c>
      <c r="C2881" s="2">
        <v>45834.482916666668</v>
      </c>
      <c r="D2881" t="s">
        <v>38</v>
      </c>
      <c r="E2881" t="s">
        <v>32</v>
      </c>
      <c r="F2881" t="s">
        <v>75</v>
      </c>
      <c r="G2881" t="s">
        <v>18</v>
      </c>
      <c r="H2881" t="s">
        <v>19</v>
      </c>
      <c r="I2881" t="s">
        <v>36</v>
      </c>
      <c r="J2881" t="s">
        <v>21</v>
      </c>
      <c r="K2881">
        <v>8</v>
      </c>
      <c r="L2881">
        <v>11.59</v>
      </c>
      <c r="M2881">
        <v>3</v>
      </c>
      <c r="N2881" t="s">
        <v>22</v>
      </c>
      <c r="O2881" t="str">
        <f t="shared" si="44"/>
        <v>Yes</v>
      </c>
    </row>
    <row r="2882" spans="1:15" x14ac:dyDescent="0.25">
      <c r="A2882" t="s">
        <v>2943</v>
      </c>
      <c r="B2882" s="1">
        <v>45665</v>
      </c>
      <c r="C2882" s="2">
        <v>45667.700833333336</v>
      </c>
      <c r="D2882" t="s">
        <v>15</v>
      </c>
      <c r="E2882" t="s">
        <v>16</v>
      </c>
      <c r="F2882" t="s">
        <v>17</v>
      </c>
      <c r="G2882" t="s">
        <v>51</v>
      </c>
      <c r="H2882" t="s">
        <v>65</v>
      </c>
      <c r="I2882" t="s">
        <v>45</v>
      </c>
      <c r="J2882" t="s">
        <v>21</v>
      </c>
      <c r="K2882">
        <v>48</v>
      </c>
      <c r="L2882">
        <v>64.819999999999993</v>
      </c>
      <c r="M2882">
        <v>2.9</v>
      </c>
      <c r="N2882" t="s">
        <v>22</v>
      </c>
      <c r="O2882" t="str">
        <f t="shared" si="44"/>
        <v>Yes</v>
      </c>
    </row>
    <row r="2883" spans="1:15" x14ac:dyDescent="0.25">
      <c r="A2883" t="s">
        <v>2944</v>
      </c>
      <c r="B2883" s="1">
        <v>45700</v>
      </c>
      <c r="C2883" s="2">
        <v>45700.61791666667</v>
      </c>
      <c r="D2883" t="s">
        <v>24</v>
      </c>
      <c r="E2883" t="s">
        <v>16</v>
      </c>
      <c r="F2883" t="s">
        <v>17</v>
      </c>
      <c r="G2883" t="s">
        <v>18</v>
      </c>
      <c r="H2883" t="s">
        <v>27</v>
      </c>
      <c r="I2883" t="s">
        <v>28</v>
      </c>
      <c r="J2883" t="s">
        <v>21</v>
      </c>
      <c r="K2883">
        <v>24</v>
      </c>
      <c r="L2883">
        <v>14.83</v>
      </c>
      <c r="M2883">
        <v>4.5999999999999996</v>
      </c>
      <c r="N2883" t="s">
        <v>22</v>
      </c>
      <c r="O2883" t="str">
        <f t="shared" ref="O2883:O2946" si="45">IF(L2883&gt;K2883,"Yes","No")</f>
        <v>No</v>
      </c>
    </row>
    <row r="2884" spans="1:15" x14ac:dyDescent="0.25">
      <c r="A2884" t="s">
        <v>2945</v>
      </c>
      <c r="B2884" s="1">
        <v>45759</v>
      </c>
      <c r="C2884" s="2">
        <v>45759.049583333333</v>
      </c>
      <c r="D2884" t="s">
        <v>38</v>
      </c>
      <c r="E2884" t="s">
        <v>32</v>
      </c>
      <c r="F2884" t="s">
        <v>33</v>
      </c>
      <c r="G2884" t="s">
        <v>51</v>
      </c>
      <c r="H2884" t="s">
        <v>35</v>
      </c>
      <c r="I2884" t="s">
        <v>36</v>
      </c>
      <c r="J2884" t="s">
        <v>21</v>
      </c>
      <c r="K2884">
        <v>8</v>
      </c>
      <c r="L2884">
        <v>1.19</v>
      </c>
      <c r="M2884">
        <v>5</v>
      </c>
      <c r="N2884" t="s">
        <v>22</v>
      </c>
      <c r="O2884" t="str">
        <f t="shared" si="45"/>
        <v>No</v>
      </c>
    </row>
    <row r="2885" spans="1:15" x14ac:dyDescent="0.25">
      <c r="A2885" t="s">
        <v>2946</v>
      </c>
      <c r="B2885" s="1">
        <v>45666</v>
      </c>
      <c r="C2885" s="2">
        <v>45668.486250000002</v>
      </c>
      <c r="D2885" t="s">
        <v>15</v>
      </c>
      <c r="E2885" t="s">
        <v>25</v>
      </c>
      <c r="F2885" t="s">
        <v>70</v>
      </c>
      <c r="G2885" t="s">
        <v>34</v>
      </c>
      <c r="H2885" t="s">
        <v>44</v>
      </c>
      <c r="I2885" t="s">
        <v>36</v>
      </c>
      <c r="J2885" t="s">
        <v>46</v>
      </c>
      <c r="K2885">
        <v>48</v>
      </c>
      <c r="L2885">
        <v>59.67</v>
      </c>
      <c r="M2885">
        <v>2.9</v>
      </c>
      <c r="N2885" t="s">
        <v>61</v>
      </c>
      <c r="O2885" t="str">
        <f t="shared" si="45"/>
        <v>Yes</v>
      </c>
    </row>
    <row r="2886" spans="1:15" x14ac:dyDescent="0.25">
      <c r="A2886" t="s">
        <v>2947</v>
      </c>
      <c r="B2886" s="1">
        <v>45722</v>
      </c>
      <c r="C2886" s="2">
        <v>45724.959583333337</v>
      </c>
      <c r="D2886" t="s">
        <v>15</v>
      </c>
      <c r="E2886" t="s">
        <v>25</v>
      </c>
      <c r="F2886" t="s">
        <v>26</v>
      </c>
      <c r="G2886" t="s">
        <v>41</v>
      </c>
      <c r="H2886" t="s">
        <v>65</v>
      </c>
      <c r="I2886" t="s">
        <v>36</v>
      </c>
      <c r="J2886" t="s">
        <v>21</v>
      </c>
      <c r="K2886">
        <v>48</v>
      </c>
      <c r="L2886">
        <v>71.03</v>
      </c>
      <c r="M2886">
        <v>2.5</v>
      </c>
      <c r="N2886" t="s">
        <v>22</v>
      </c>
      <c r="O2886" t="str">
        <f t="shared" si="45"/>
        <v>Yes</v>
      </c>
    </row>
    <row r="2887" spans="1:15" x14ac:dyDescent="0.25">
      <c r="A2887" t="s">
        <v>2948</v>
      </c>
      <c r="B2887" s="1">
        <v>45685</v>
      </c>
      <c r="C2887" s="2">
        <v>45685.065821759257</v>
      </c>
      <c r="D2887" t="s">
        <v>38</v>
      </c>
      <c r="E2887" t="s">
        <v>39</v>
      </c>
      <c r="F2887" t="s">
        <v>119</v>
      </c>
      <c r="G2887" t="s">
        <v>18</v>
      </c>
      <c r="H2887" t="s">
        <v>65</v>
      </c>
      <c r="I2887" t="s">
        <v>45</v>
      </c>
      <c r="J2887" t="s">
        <v>46</v>
      </c>
      <c r="K2887">
        <v>8</v>
      </c>
      <c r="L2887">
        <v>1.58</v>
      </c>
      <c r="M2887">
        <v>5</v>
      </c>
      <c r="N2887" t="s">
        <v>22</v>
      </c>
      <c r="O2887" t="str">
        <f t="shared" si="45"/>
        <v>No</v>
      </c>
    </row>
    <row r="2888" spans="1:15" x14ac:dyDescent="0.25">
      <c r="A2888" t="s">
        <v>2949</v>
      </c>
      <c r="B2888" s="1">
        <v>45826</v>
      </c>
      <c r="C2888" s="2">
        <v>45827.691250000003</v>
      </c>
      <c r="D2888" t="s">
        <v>15</v>
      </c>
      <c r="E2888" t="s">
        <v>16</v>
      </c>
      <c r="F2888" t="s">
        <v>58</v>
      </c>
      <c r="G2888" t="s">
        <v>18</v>
      </c>
      <c r="H2888" t="s">
        <v>27</v>
      </c>
      <c r="I2888" t="s">
        <v>36</v>
      </c>
      <c r="J2888" t="s">
        <v>46</v>
      </c>
      <c r="K2888">
        <v>48</v>
      </c>
      <c r="L2888">
        <v>40.590000000000003</v>
      </c>
      <c r="M2888">
        <v>4.5</v>
      </c>
      <c r="N2888" t="s">
        <v>61</v>
      </c>
      <c r="O2888" t="str">
        <f t="shared" si="45"/>
        <v>No</v>
      </c>
    </row>
    <row r="2889" spans="1:15" x14ac:dyDescent="0.25">
      <c r="A2889" t="s">
        <v>2950</v>
      </c>
      <c r="B2889" s="1">
        <v>45669</v>
      </c>
      <c r="C2889" s="2">
        <v>45670.168333333335</v>
      </c>
      <c r="D2889" t="s">
        <v>15</v>
      </c>
      <c r="E2889" t="s">
        <v>16</v>
      </c>
      <c r="F2889" t="s">
        <v>43</v>
      </c>
      <c r="G2889" t="s">
        <v>34</v>
      </c>
      <c r="H2889" t="s">
        <v>54</v>
      </c>
      <c r="I2889" t="s">
        <v>36</v>
      </c>
      <c r="J2889" t="s">
        <v>46</v>
      </c>
      <c r="K2889">
        <v>48</v>
      </c>
      <c r="L2889">
        <v>28.04</v>
      </c>
      <c r="M2889">
        <v>4.4000000000000004</v>
      </c>
      <c r="N2889" t="s">
        <v>22</v>
      </c>
      <c r="O2889" t="str">
        <f t="shared" si="45"/>
        <v>No</v>
      </c>
    </row>
    <row r="2890" spans="1:15" x14ac:dyDescent="0.25">
      <c r="A2890" t="s">
        <v>2951</v>
      </c>
      <c r="B2890" s="1">
        <v>45684</v>
      </c>
      <c r="C2890" s="2">
        <v>45684.56</v>
      </c>
      <c r="D2890" t="s">
        <v>24</v>
      </c>
      <c r="E2890" t="s">
        <v>32</v>
      </c>
      <c r="F2890" t="s">
        <v>80</v>
      </c>
      <c r="G2890" t="s">
        <v>51</v>
      </c>
      <c r="H2890" t="s">
        <v>65</v>
      </c>
      <c r="I2890" t="s">
        <v>20</v>
      </c>
      <c r="J2890" t="s">
        <v>21</v>
      </c>
      <c r="K2890">
        <v>24</v>
      </c>
      <c r="L2890">
        <v>13.44</v>
      </c>
      <c r="M2890">
        <v>4.7</v>
      </c>
      <c r="N2890" t="s">
        <v>22</v>
      </c>
      <c r="O2890" t="str">
        <f t="shared" si="45"/>
        <v>No</v>
      </c>
    </row>
    <row r="2891" spans="1:15" x14ac:dyDescent="0.25">
      <c r="A2891" t="s">
        <v>2952</v>
      </c>
      <c r="B2891" s="1">
        <v>45693</v>
      </c>
      <c r="C2891" s="2">
        <v>45693.037499999999</v>
      </c>
      <c r="D2891" t="s">
        <v>38</v>
      </c>
      <c r="E2891" t="s">
        <v>32</v>
      </c>
      <c r="F2891" t="s">
        <v>80</v>
      </c>
      <c r="G2891" t="s">
        <v>41</v>
      </c>
      <c r="H2891" t="s">
        <v>27</v>
      </c>
      <c r="I2891" t="s">
        <v>36</v>
      </c>
      <c r="J2891" t="s">
        <v>46</v>
      </c>
      <c r="K2891">
        <v>8</v>
      </c>
      <c r="L2891">
        <v>0.9</v>
      </c>
      <c r="M2891">
        <v>4.5999999999999996</v>
      </c>
      <c r="N2891" t="s">
        <v>22</v>
      </c>
      <c r="O2891" t="str">
        <f t="shared" si="45"/>
        <v>No</v>
      </c>
    </row>
    <row r="2892" spans="1:15" x14ac:dyDescent="0.25">
      <c r="A2892" t="s">
        <v>2953</v>
      </c>
      <c r="B2892" s="1">
        <v>45684</v>
      </c>
      <c r="C2892" s="2">
        <v>45685.222083333334</v>
      </c>
      <c r="D2892" t="s">
        <v>24</v>
      </c>
      <c r="E2892" t="s">
        <v>16</v>
      </c>
      <c r="F2892" t="s">
        <v>60</v>
      </c>
      <c r="G2892" t="s">
        <v>18</v>
      </c>
      <c r="H2892" t="s">
        <v>19</v>
      </c>
      <c r="I2892" t="s">
        <v>45</v>
      </c>
      <c r="J2892" t="s">
        <v>21</v>
      </c>
      <c r="K2892">
        <v>24</v>
      </c>
      <c r="L2892">
        <v>29.33</v>
      </c>
      <c r="M2892">
        <v>3.4</v>
      </c>
      <c r="N2892" t="s">
        <v>22</v>
      </c>
      <c r="O2892" t="str">
        <f t="shared" si="45"/>
        <v>Yes</v>
      </c>
    </row>
    <row r="2893" spans="1:15" x14ac:dyDescent="0.25">
      <c r="A2893" t="s">
        <v>2954</v>
      </c>
      <c r="B2893" s="1">
        <v>45760</v>
      </c>
      <c r="C2893" s="2">
        <v>45760.399155092593</v>
      </c>
      <c r="D2893" t="s">
        <v>24</v>
      </c>
      <c r="E2893" t="s">
        <v>45</v>
      </c>
      <c r="F2893" t="s">
        <v>100</v>
      </c>
      <c r="G2893" t="s">
        <v>51</v>
      </c>
      <c r="H2893" t="s">
        <v>35</v>
      </c>
      <c r="I2893" t="s">
        <v>36</v>
      </c>
      <c r="J2893" t="s">
        <v>21</v>
      </c>
      <c r="K2893">
        <v>24</v>
      </c>
      <c r="L2893">
        <v>9.58</v>
      </c>
      <c r="M2893">
        <v>4.5</v>
      </c>
      <c r="N2893" t="s">
        <v>61</v>
      </c>
      <c r="O2893" t="str">
        <f t="shared" si="45"/>
        <v>No</v>
      </c>
    </row>
    <row r="2894" spans="1:15" x14ac:dyDescent="0.25">
      <c r="A2894" t="s">
        <v>2955</v>
      </c>
      <c r="B2894" s="1">
        <v>45723</v>
      </c>
      <c r="C2894" s="2">
        <v>45723.311249999999</v>
      </c>
      <c r="D2894" t="s">
        <v>31</v>
      </c>
      <c r="E2894" t="s">
        <v>16</v>
      </c>
      <c r="F2894" t="s">
        <v>17</v>
      </c>
      <c r="G2894" t="s">
        <v>34</v>
      </c>
      <c r="H2894" t="s">
        <v>19</v>
      </c>
      <c r="I2894" t="s">
        <v>45</v>
      </c>
      <c r="J2894" t="s">
        <v>46</v>
      </c>
      <c r="K2894">
        <v>4</v>
      </c>
      <c r="L2894">
        <v>7.47</v>
      </c>
      <c r="M2894">
        <v>3.4</v>
      </c>
      <c r="N2894" t="s">
        <v>22</v>
      </c>
      <c r="O2894" t="str">
        <f t="shared" si="45"/>
        <v>Yes</v>
      </c>
    </row>
    <row r="2895" spans="1:15" x14ac:dyDescent="0.25">
      <c r="A2895" t="s">
        <v>2956</v>
      </c>
      <c r="B2895" s="1">
        <v>45823</v>
      </c>
      <c r="C2895" s="2">
        <v>45823.467499999999</v>
      </c>
      <c r="D2895" t="s">
        <v>24</v>
      </c>
      <c r="E2895" t="s">
        <v>16</v>
      </c>
      <c r="F2895" t="s">
        <v>17</v>
      </c>
      <c r="G2895" t="s">
        <v>56</v>
      </c>
      <c r="H2895" t="s">
        <v>35</v>
      </c>
      <c r="I2895" t="s">
        <v>45</v>
      </c>
      <c r="J2895" t="s">
        <v>46</v>
      </c>
      <c r="K2895">
        <v>24</v>
      </c>
      <c r="L2895">
        <v>11.22</v>
      </c>
      <c r="M2895">
        <v>3.5</v>
      </c>
      <c r="N2895" t="s">
        <v>22</v>
      </c>
      <c r="O2895" t="str">
        <f t="shared" si="45"/>
        <v>No</v>
      </c>
    </row>
    <row r="2896" spans="1:15" x14ac:dyDescent="0.25">
      <c r="A2896" t="s">
        <v>2957</v>
      </c>
      <c r="B2896" s="1">
        <v>45705</v>
      </c>
      <c r="C2896" s="2">
        <v>45705.357916666668</v>
      </c>
      <c r="D2896" t="s">
        <v>24</v>
      </c>
      <c r="E2896" t="s">
        <v>16</v>
      </c>
      <c r="F2896" t="s">
        <v>58</v>
      </c>
      <c r="G2896" t="s">
        <v>41</v>
      </c>
      <c r="H2896" t="s">
        <v>54</v>
      </c>
      <c r="I2896" t="s">
        <v>36</v>
      </c>
      <c r="J2896" t="s">
        <v>46</v>
      </c>
      <c r="K2896">
        <v>24</v>
      </c>
      <c r="L2896">
        <v>8.59</v>
      </c>
      <c r="M2896">
        <v>3.9</v>
      </c>
      <c r="N2896" t="s">
        <v>22</v>
      </c>
      <c r="O2896" t="str">
        <f t="shared" si="45"/>
        <v>No</v>
      </c>
    </row>
    <row r="2897" spans="1:15" x14ac:dyDescent="0.25">
      <c r="A2897" t="s">
        <v>2958</v>
      </c>
      <c r="B2897" s="1">
        <v>45755</v>
      </c>
      <c r="C2897" s="2">
        <v>45755.39166666667</v>
      </c>
      <c r="D2897" t="s">
        <v>24</v>
      </c>
      <c r="E2897" t="s">
        <v>39</v>
      </c>
      <c r="F2897" t="s">
        <v>40</v>
      </c>
      <c r="G2897" t="s">
        <v>41</v>
      </c>
      <c r="H2897" t="s">
        <v>65</v>
      </c>
      <c r="I2897" t="s">
        <v>36</v>
      </c>
      <c r="J2897" t="s">
        <v>21</v>
      </c>
      <c r="K2897">
        <v>24</v>
      </c>
      <c r="L2897">
        <v>9.4</v>
      </c>
      <c r="M2897">
        <v>3.7</v>
      </c>
      <c r="N2897" t="s">
        <v>22</v>
      </c>
      <c r="O2897" t="str">
        <f t="shared" si="45"/>
        <v>No</v>
      </c>
    </row>
    <row r="2898" spans="1:15" x14ac:dyDescent="0.25">
      <c r="A2898" t="s">
        <v>2959</v>
      </c>
      <c r="B2898" s="1">
        <v>45777</v>
      </c>
      <c r="C2898" s="2">
        <v>45777.486250000002</v>
      </c>
      <c r="D2898" t="s">
        <v>24</v>
      </c>
      <c r="E2898" t="s">
        <v>32</v>
      </c>
      <c r="F2898" t="s">
        <v>75</v>
      </c>
      <c r="G2898" t="s">
        <v>41</v>
      </c>
      <c r="H2898" t="s">
        <v>44</v>
      </c>
      <c r="I2898" t="s">
        <v>36</v>
      </c>
      <c r="J2898" t="s">
        <v>46</v>
      </c>
      <c r="K2898">
        <v>24</v>
      </c>
      <c r="L2898">
        <v>11.67</v>
      </c>
      <c r="M2898">
        <v>5</v>
      </c>
      <c r="N2898" t="s">
        <v>22</v>
      </c>
      <c r="O2898" t="str">
        <f t="shared" si="45"/>
        <v>No</v>
      </c>
    </row>
    <row r="2899" spans="1:15" x14ac:dyDescent="0.25">
      <c r="A2899" t="s">
        <v>2960</v>
      </c>
      <c r="B2899" s="1">
        <v>45771</v>
      </c>
      <c r="C2899" s="2">
        <v>45771.475416666668</v>
      </c>
      <c r="D2899" t="s">
        <v>24</v>
      </c>
      <c r="E2899" t="s">
        <v>39</v>
      </c>
      <c r="F2899" t="s">
        <v>78</v>
      </c>
      <c r="G2899" t="s">
        <v>41</v>
      </c>
      <c r="H2899" t="s">
        <v>54</v>
      </c>
      <c r="I2899" t="s">
        <v>36</v>
      </c>
      <c r="J2899" t="s">
        <v>21</v>
      </c>
      <c r="K2899">
        <v>24</v>
      </c>
      <c r="L2899">
        <v>11.41</v>
      </c>
      <c r="M2899">
        <v>4.4000000000000004</v>
      </c>
      <c r="N2899" t="s">
        <v>22</v>
      </c>
      <c r="O2899" t="str">
        <f t="shared" si="45"/>
        <v>No</v>
      </c>
    </row>
    <row r="2900" spans="1:15" x14ac:dyDescent="0.25">
      <c r="A2900" t="s">
        <v>2961</v>
      </c>
      <c r="B2900" s="1">
        <v>45802</v>
      </c>
      <c r="C2900" s="2">
        <v>45803.224999999999</v>
      </c>
      <c r="D2900" t="s">
        <v>24</v>
      </c>
      <c r="E2900" t="s">
        <v>45</v>
      </c>
      <c r="F2900" t="s">
        <v>100</v>
      </c>
      <c r="G2900" t="s">
        <v>56</v>
      </c>
      <c r="H2900" t="s">
        <v>27</v>
      </c>
      <c r="I2900" t="s">
        <v>36</v>
      </c>
      <c r="J2900" t="s">
        <v>46</v>
      </c>
      <c r="K2900">
        <v>24</v>
      </c>
      <c r="L2900">
        <v>29.4</v>
      </c>
      <c r="M2900">
        <v>2.9</v>
      </c>
      <c r="N2900" t="s">
        <v>22</v>
      </c>
      <c r="O2900" t="str">
        <f t="shared" si="45"/>
        <v>Yes</v>
      </c>
    </row>
    <row r="2901" spans="1:15" x14ac:dyDescent="0.25">
      <c r="A2901" t="s">
        <v>2962</v>
      </c>
      <c r="B2901" s="1">
        <v>45694</v>
      </c>
      <c r="C2901" s="2">
        <v>45694.942916666667</v>
      </c>
      <c r="D2901" t="s">
        <v>15</v>
      </c>
      <c r="E2901" t="s">
        <v>25</v>
      </c>
      <c r="F2901" t="s">
        <v>70</v>
      </c>
      <c r="G2901" t="s">
        <v>18</v>
      </c>
      <c r="H2901" t="s">
        <v>35</v>
      </c>
      <c r="I2901" t="s">
        <v>45</v>
      </c>
      <c r="J2901" t="s">
        <v>21</v>
      </c>
      <c r="K2901">
        <v>48</v>
      </c>
      <c r="L2901">
        <v>22.63</v>
      </c>
      <c r="M2901">
        <v>4.3</v>
      </c>
      <c r="N2901" t="s">
        <v>22</v>
      </c>
      <c r="O2901" t="str">
        <f t="shared" si="45"/>
        <v>No</v>
      </c>
    </row>
    <row r="2902" spans="1:15" x14ac:dyDescent="0.25">
      <c r="A2902" t="s">
        <v>2963</v>
      </c>
      <c r="B2902" s="1">
        <v>45749</v>
      </c>
      <c r="C2902" s="2">
        <v>45750.364999999998</v>
      </c>
      <c r="D2902" t="s">
        <v>24</v>
      </c>
      <c r="E2902" t="s">
        <v>45</v>
      </c>
      <c r="F2902" t="s">
        <v>112</v>
      </c>
      <c r="G2902" t="s">
        <v>18</v>
      </c>
      <c r="H2902" t="s">
        <v>44</v>
      </c>
      <c r="I2902" t="s">
        <v>36</v>
      </c>
      <c r="J2902" t="s">
        <v>46</v>
      </c>
      <c r="K2902">
        <v>24</v>
      </c>
      <c r="L2902">
        <v>32.76</v>
      </c>
      <c r="M2902">
        <v>3</v>
      </c>
      <c r="N2902" t="s">
        <v>22</v>
      </c>
      <c r="O2902" t="str">
        <f t="shared" si="45"/>
        <v>Yes</v>
      </c>
    </row>
    <row r="2903" spans="1:15" x14ac:dyDescent="0.25">
      <c r="A2903" t="s">
        <v>2964</v>
      </c>
      <c r="B2903" s="1">
        <v>45802</v>
      </c>
      <c r="C2903" s="2">
        <v>45804.41</v>
      </c>
      <c r="D2903" t="s">
        <v>15</v>
      </c>
      <c r="E2903" t="s">
        <v>32</v>
      </c>
      <c r="F2903" t="s">
        <v>75</v>
      </c>
      <c r="G2903" t="s">
        <v>51</v>
      </c>
      <c r="H2903" t="s">
        <v>19</v>
      </c>
      <c r="I2903" t="s">
        <v>36</v>
      </c>
      <c r="J2903" t="s">
        <v>85</v>
      </c>
      <c r="K2903">
        <v>48</v>
      </c>
      <c r="L2903">
        <v>57.84</v>
      </c>
      <c r="M2903">
        <v>2.6</v>
      </c>
      <c r="N2903" t="s">
        <v>22</v>
      </c>
      <c r="O2903" t="str">
        <f t="shared" si="45"/>
        <v>Yes</v>
      </c>
    </row>
    <row r="2904" spans="1:15" x14ac:dyDescent="0.25">
      <c r="A2904" t="s">
        <v>2965</v>
      </c>
      <c r="B2904" s="1">
        <v>45814</v>
      </c>
      <c r="C2904" s="2">
        <v>45815.095405092594</v>
      </c>
      <c r="D2904" t="s">
        <v>24</v>
      </c>
      <c r="E2904" t="s">
        <v>16</v>
      </c>
      <c r="F2904" t="s">
        <v>43</v>
      </c>
      <c r="G2904" t="s">
        <v>56</v>
      </c>
      <c r="H2904" t="s">
        <v>65</v>
      </c>
      <c r="I2904" t="s">
        <v>36</v>
      </c>
      <c r="J2904" t="s">
        <v>21</v>
      </c>
      <c r="K2904">
        <v>24</v>
      </c>
      <c r="L2904">
        <v>26.29</v>
      </c>
      <c r="M2904">
        <v>4.5</v>
      </c>
      <c r="N2904" t="s">
        <v>22</v>
      </c>
      <c r="O2904" t="str">
        <f t="shared" si="45"/>
        <v>Yes</v>
      </c>
    </row>
    <row r="2905" spans="1:15" x14ac:dyDescent="0.25">
      <c r="A2905" t="s">
        <v>2966</v>
      </c>
      <c r="B2905" s="1">
        <v>45769</v>
      </c>
      <c r="C2905" s="2">
        <v>45770.928333333337</v>
      </c>
      <c r="D2905" t="s">
        <v>15</v>
      </c>
      <c r="E2905" t="s">
        <v>16</v>
      </c>
      <c r="F2905" t="s">
        <v>17</v>
      </c>
      <c r="G2905" t="s">
        <v>51</v>
      </c>
      <c r="H2905" t="s">
        <v>27</v>
      </c>
      <c r="I2905" t="s">
        <v>20</v>
      </c>
      <c r="J2905" t="s">
        <v>29</v>
      </c>
      <c r="K2905">
        <v>48</v>
      </c>
      <c r="L2905">
        <v>46.28</v>
      </c>
      <c r="M2905">
        <v>3.7</v>
      </c>
      <c r="N2905" t="s">
        <v>22</v>
      </c>
      <c r="O2905" t="str">
        <f t="shared" si="45"/>
        <v>No</v>
      </c>
    </row>
    <row r="2906" spans="1:15" x14ac:dyDescent="0.25">
      <c r="A2906" t="s">
        <v>2967</v>
      </c>
      <c r="B2906" s="1">
        <v>45775</v>
      </c>
      <c r="C2906" s="2">
        <v>45775.22583333333</v>
      </c>
      <c r="D2906" t="s">
        <v>24</v>
      </c>
      <c r="E2906" t="s">
        <v>32</v>
      </c>
      <c r="F2906" t="s">
        <v>75</v>
      </c>
      <c r="G2906" t="s">
        <v>56</v>
      </c>
      <c r="H2906" t="s">
        <v>27</v>
      </c>
      <c r="I2906" t="s">
        <v>36</v>
      </c>
      <c r="J2906" t="s">
        <v>46</v>
      </c>
      <c r="K2906">
        <v>24</v>
      </c>
      <c r="L2906">
        <v>5.42</v>
      </c>
      <c r="M2906">
        <v>5</v>
      </c>
      <c r="N2906" t="s">
        <v>61</v>
      </c>
      <c r="O2906" t="str">
        <f t="shared" si="45"/>
        <v>No</v>
      </c>
    </row>
    <row r="2907" spans="1:15" x14ac:dyDescent="0.25">
      <c r="A2907" t="s">
        <v>2968</v>
      </c>
      <c r="B2907" s="1">
        <v>45814</v>
      </c>
      <c r="C2907" s="2">
        <v>45814.33666666667</v>
      </c>
      <c r="D2907" t="s">
        <v>38</v>
      </c>
      <c r="E2907" t="s">
        <v>32</v>
      </c>
      <c r="F2907" t="s">
        <v>75</v>
      </c>
      <c r="G2907" t="s">
        <v>18</v>
      </c>
      <c r="H2907" t="s">
        <v>19</v>
      </c>
      <c r="I2907" t="s">
        <v>45</v>
      </c>
      <c r="J2907" t="s">
        <v>21</v>
      </c>
      <c r="K2907">
        <v>8</v>
      </c>
      <c r="L2907">
        <v>8.08</v>
      </c>
      <c r="M2907">
        <v>2.8</v>
      </c>
      <c r="N2907" t="s">
        <v>22</v>
      </c>
      <c r="O2907" t="str">
        <f t="shared" si="45"/>
        <v>Yes</v>
      </c>
    </row>
    <row r="2908" spans="1:15" x14ac:dyDescent="0.25">
      <c r="A2908" t="s">
        <v>2969</v>
      </c>
      <c r="B2908" s="1">
        <v>45771</v>
      </c>
      <c r="C2908" s="2">
        <v>45772.207916666666</v>
      </c>
      <c r="D2908" t="s">
        <v>24</v>
      </c>
      <c r="E2908" t="s">
        <v>25</v>
      </c>
      <c r="F2908" t="s">
        <v>26</v>
      </c>
      <c r="G2908" t="s">
        <v>34</v>
      </c>
      <c r="H2908" t="s">
        <v>35</v>
      </c>
      <c r="I2908" t="s">
        <v>45</v>
      </c>
      <c r="J2908" t="s">
        <v>21</v>
      </c>
      <c r="K2908">
        <v>24</v>
      </c>
      <c r="L2908">
        <v>28.99</v>
      </c>
      <c r="M2908">
        <v>3.9</v>
      </c>
      <c r="N2908" t="s">
        <v>22</v>
      </c>
      <c r="O2908" t="str">
        <f t="shared" si="45"/>
        <v>Yes</v>
      </c>
    </row>
    <row r="2909" spans="1:15" x14ac:dyDescent="0.25">
      <c r="A2909" t="s">
        <v>2970</v>
      </c>
      <c r="B2909" s="1">
        <v>45829</v>
      </c>
      <c r="C2909" s="2">
        <v>45831.844166666669</v>
      </c>
      <c r="D2909" t="s">
        <v>15</v>
      </c>
      <c r="E2909" t="s">
        <v>16</v>
      </c>
      <c r="F2909" t="s">
        <v>17</v>
      </c>
      <c r="G2909" t="s">
        <v>56</v>
      </c>
      <c r="H2909" t="s">
        <v>44</v>
      </c>
      <c r="I2909" t="s">
        <v>36</v>
      </c>
      <c r="J2909" t="s">
        <v>21</v>
      </c>
      <c r="K2909">
        <v>48</v>
      </c>
      <c r="L2909">
        <v>68.260000000000005</v>
      </c>
      <c r="M2909">
        <v>2.4</v>
      </c>
      <c r="N2909" t="s">
        <v>22</v>
      </c>
      <c r="O2909" t="str">
        <f t="shared" si="45"/>
        <v>Yes</v>
      </c>
    </row>
    <row r="2910" spans="1:15" x14ac:dyDescent="0.25">
      <c r="A2910" t="s">
        <v>2971</v>
      </c>
      <c r="B2910" s="1">
        <v>45681</v>
      </c>
      <c r="C2910" s="2">
        <v>45681.241249999999</v>
      </c>
      <c r="D2910" t="s">
        <v>15</v>
      </c>
      <c r="E2910" t="s">
        <v>16</v>
      </c>
      <c r="F2910" t="s">
        <v>17</v>
      </c>
      <c r="G2910" t="s">
        <v>34</v>
      </c>
      <c r="H2910" t="s">
        <v>19</v>
      </c>
      <c r="I2910" t="s">
        <v>36</v>
      </c>
      <c r="J2910" t="s">
        <v>21</v>
      </c>
      <c r="K2910">
        <v>48</v>
      </c>
      <c r="L2910">
        <v>5.79</v>
      </c>
      <c r="M2910">
        <v>5</v>
      </c>
      <c r="N2910" t="s">
        <v>22</v>
      </c>
      <c r="O2910" t="str">
        <f t="shared" si="45"/>
        <v>No</v>
      </c>
    </row>
    <row r="2911" spans="1:15" x14ac:dyDescent="0.25">
      <c r="A2911" t="s">
        <v>2972</v>
      </c>
      <c r="B2911" s="1">
        <v>45720</v>
      </c>
      <c r="C2911" s="2">
        <v>45720.389166666668</v>
      </c>
      <c r="D2911" t="s">
        <v>38</v>
      </c>
      <c r="E2911" t="s">
        <v>32</v>
      </c>
      <c r="F2911" t="s">
        <v>75</v>
      </c>
      <c r="G2911" t="s">
        <v>41</v>
      </c>
      <c r="H2911" t="s">
        <v>35</v>
      </c>
      <c r="I2911" t="s">
        <v>36</v>
      </c>
      <c r="J2911" t="s">
        <v>21</v>
      </c>
      <c r="K2911">
        <v>8</v>
      </c>
      <c r="L2911">
        <v>9.34</v>
      </c>
      <c r="M2911">
        <v>2.5</v>
      </c>
      <c r="N2911" t="s">
        <v>22</v>
      </c>
      <c r="O2911" t="str">
        <f t="shared" si="45"/>
        <v>Yes</v>
      </c>
    </row>
    <row r="2912" spans="1:15" x14ac:dyDescent="0.25">
      <c r="A2912" t="s">
        <v>2973</v>
      </c>
      <c r="B2912" s="1">
        <v>45678</v>
      </c>
      <c r="C2912" s="2">
        <v>45678.248749999999</v>
      </c>
      <c r="D2912" t="s">
        <v>15</v>
      </c>
      <c r="E2912" t="s">
        <v>16</v>
      </c>
      <c r="F2912" t="s">
        <v>60</v>
      </c>
      <c r="G2912" t="s">
        <v>34</v>
      </c>
      <c r="H2912" t="s">
        <v>44</v>
      </c>
      <c r="I2912" t="s">
        <v>45</v>
      </c>
      <c r="J2912" t="s">
        <v>46</v>
      </c>
      <c r="K2912">
        <v>48</v>
      </c>
      <c r="L2912">
        <v>5.97</v>
      </c>
      <c r="M2912">
        <v>5</v>
      </c>
      <c r="N2912" t="s">
        <v>22</v>
      </c>
      <c r="O2912" t="str">
        <f t="shared" si="45"/>
        <v>No</v>
      </c>
    </row>
    <row r="2913" spans="1:15" x14ac:dyDescent="0.25">
      <c r="A2913" t="s">
        <v>2974</v>
      </c>
      <c r="B2913" s="1">
        <v>45674</v>
      </c>
      <c r="C2913" s="2">
        <v>45674.292500000003</v>
      </c>
      <c r="D2913" t="s">
        <v>38</v>
      </c>
      <c r="E2913" t="s">
        <v>32</v>
      </c>
      <c r="F2913" t="s">
        <v>64</v>
      </c>
      <c r="G2913" t="s">
        <v>51</v>
      </c>
      <c r="H2913" t="s">
        <v>35</v>
      </c>
      <c r="I2913" t="s">
        <v>36</v>
      </c>
      <c r="J2913" t="s">
        <v>21</v>
      </c>
      <c r="K2913">
        <v>8</v>
      </c>
      <c r="L2913">
        <v>7.02</v>
      </c>
      <c r="M2913">
        <v>3.9</v>
      </c>
      <c r="N2913" t="s">
        <v>61</v>
      </c>
      <c r="O2913" t="str">
        <f t="shared" si="45"/>
        <v>No</v>
      </c>
    </row>
    <row r="2914" spans="1:15" x14ac:dyDescent="0.25">
      <c r="A2914" t="s">
        <v>2975</v>
      </c>
      <c r="B2914" s="1">
        <v>45743</v>
      </c>
      <c r="C2914" s="2">
        <v>45743.775416666664</v>
      </c>
      <c r="D2914" t="s">
        <v>24</v>
      </c>
      <c r="E2914" t="s">
        <v>32</v>
      </c>
      <c r="F2914" t="s">
        <v>75</v>
      </c>
      <c r="G2914" t="s">
        <v>18</v>
      </c>
      <c r="H2914" t="s">
        <v>44</v>
      </c>
      <c r="I2914" t="s">
        <v>36</v>
      </c>
      <c r="J2914" t="s">
        <v>21</v>
      </c>
      <c r="K2914">
        <v>24</v>
      </c>
      <c r="L2914">
        <v>18.61</v>
      </c>
      <c r="M2914">
        <v>4</v>
      </c>
      <c r="N2914" t="s">
        <v>22</v>
      </c>
      <c r="O2914" t="str">
        <f t="shared" si="45"/>
        <v>No</v>
      </c>
    </row>
    <row r="2915" spans="1:15" x14ac:dyDescent="0.25">
      <c r="A2915" t="s">
        <v>2976</v>
      </c>
      <c r="B2915" s="1">
        <v>45698</v>
      </c>
      <c r="C2915" s="2">
        <v>45698.535416666666</v>
      </c>
      <c r="D2915" t="s">
        <v>15</v>
      </c>
      <c r="E2915" t="s">
        <v>16</v>
      </c>
      <c r="F2915" t="s">
        <v>43</v>
      </c>
      <c r="G2915" t="s">
        <v>51</v>
      </c>
      <c r="H2915" t="s">
        <v>27</v>
      </c>
      <c r="I2915" t="s">
        <v>28</v>
      </c>
      <c r="J2915" t="s">
        <v>29</v>
      </c>
      <c r="K2915">
        <v>48</v>
      </c>
      <c r="L2915">
        <v>12.85</v>
      </c>
      <c r="M2915">
        <v>5</v>
      </c>
      <c r="N2915" t="s">
        <v>61</v>
      </c>
      <c r="O2915" t="str">
        <f t="shared" si="45"/>
        <v>No</v>
      </c>
    </row>
    <row r="2916" spans="1:15" x14ac:dyDescent="0.25">
      <c r="A2916" t="s">
        <v>2977</v>
      </c>
      <c r="B2916" s="1">
        <v>45731</v>
      </c>
      <c r="C2916" s="2">
        <v>45731.202916666669</v>
      </c>
      <c r="D2916" t="s">
        <v>38</v>
      </c>
      <c r="E2916" t="s">
        <v>39</v>
      </c>
      <c r="F2916" t="s">
        <v>40</v>
      </c>
      <c r="G2916" t="s">
        <v>51</v>
      </c>
      <c r="H2916" t="s">
        <v>44</v>
      </c>
      <c r="I2916" t="s">
        <v>20</v>
      </c>
      <c r="J2916" t="s">
        <v>46</v>
      </c>
      <c r="K2916">
        <v>8</v>
      </c>
      <c r="L2916">
        <v>4.87</v>
      </c>
      <c r="M2916">
        <v>3.7</v>
      </c>
      <c r="N2916" t="s">
        <v>22</v>
      </c>
      <c r="O2916" t="str">
        <f t="shared" si="45"/>
        <v>No</v>
      </c>
    </row>
    <row r="2917" spans="1:15" x14ac:dyDescent="0.25">
      <c r="A2917" t="s">
        <v>2978</v>
      </c>
      <c r="B2917" s="1">
        <v>45737</v>
      </c>
      <c r="C2917" s="2">
        <v>45737.518750000003</v>
      </c>
      <c r="D2917" t="s">
        <v>24</v>
      </c>
      <c r="E2917" t="s">
        <v>45</v>
      </c>
      <c r="F2917" t="s">
        <v>50</v>
      </c>
      <c r="G2917" t="s">
        <v>34</v>
      </c>
      <c r="H2917" t="s">
        <v>44</v>
      </c>
      <c r="I2917" t="s">
        <v>36</v>
      </c>
      <c r="J2917" t="s">
        <v>21</v>
      </c>
      <c r="K2917">
        <v>24</v>
      </c>
      <c r="L2917">
        <v>12.45</v>
      </c>
      <c r="M2917">
        <v>4.9000000000000004</v>
      </c>
      <c r="N2917" t="s">
        <v>61</v>
      </c>
      <c r="O2917" t="str">
        <f t="shared" si="45"/>
        <v>No</v>
      </c>
    </row>
    <row r="2918" spans="1:15" x14ac:dyDescent="0.25">
      <c r="A2918" t="s">
        <v>2979</v>
      </c>
      <c r="B2918" s="1">
        <v>45770</v>
      </c>
      <c r="C2918" s="2">
        <v>45771.618333333332</v>
      </c>
      <c r="D2918" t="s">
        <v>15</v>
      </c>
      <c r="E2918" t="s">
        <v>39</v>
      </c>
      <c r="F2918" t="s">
        <v>87</v>
      </c>
      <c r="G2918" t="s">
        <v>18</v>
      </c>
      <c r="H2918" t="s">
        <v>54</v>
      </c>
      <c r="I2918" t="s">
        <v>28</v>
      </c>
      <c r="J2918" t="s">
        <v>46</v>
      </c>
      <c r="K2918">
        <v>48</v>
      </c>
      <c r="L2918">
        <v>38.840000000000003</v>
      </c>
      <c r="M2918">
        <v>4.5999999999999996</v>
      </c>
      <c r="N2918" t="s">
        <v>22</v>
      </c>
      <c r="O2918" t="str">
        <f t="shared" si="45"/>
        <v>No</v>
      </c>
    </row>
    <row r="2919" spans="1:15" x14ac:dyDescent="0.25">
      <c r="A2919" t="s">
        <v>2980</v>
      </c>
      <c r="B2919" s="1">
        <v>45829</v>
      </c>
      <c r="C2919" s="2">
        <v>45829.098333333335</v>
      </c>
      <c r="D2919" t="s">
        <v>31</v>
      </c>
      <c r="E2919" t="s">
        <v>32</v>
      </c>
      <c r="F2919" t="s">
        <v>75</v>
      </c>
      <c r="G2919" t="s">
        <v>34</v>
      </c>
      <c r="H2919" t="s">
        <v>35</v>
      </c>
      <c r="I2919" t="s">
        <v>36</v>
      </c>
      <c r="J2919" t="s">
        <v>21</v>
      </c>
      <c r="K2919">
        <v>4</v>
      </c>
      <c r="L2919">
        <v>2.36</v>
      </c>
      <c r="M2919">
        <v>4.3</v>
      </c>
      <c r="N2919" t="s">
        <v>22</v>
      </c>
      <c r="O2919" t="str">
        <f t="shared" si="45"/>
        <v>No</v>
      </c>
    </row>
    <row r="2920" spans="1:15" x14ac:dyDescent="0.25">
      <c r="A2920" t="s">
        <v>2981</v>
      </c>
      <c r="B2920" s="1">
        <v>45811</v>
      </c>
      <c r="C2920" s="2">
        <v>45812.464583333334</v>
      </c>
      <c r="D2920" t="s">
        <v>15</v>
      </c>
      <c r="E2920" t="s">
        <v>32</v>
      </c>
      <c r="F2920" t="s">
        <v>75</v>
      </c>
      <c r="G2920" t="s">
        <v>51</v>
      </c>
      <c r="H2920" t="s">
        <v>27</v>
      </c>
      <c r="I2920" t="s">
        <v>36</v>
      </c>
      <c r="J2920" t="s">
        <v>46</v>
      </c>
      <c r="K2920">
        <v>48</v>
      </c>
      <c r="L2920">
        <v>35.15</v>
      </c>
      <c r="M2920">
        <v>4.3</v>
      </c>
      <c r="N2920" t="s">
        <v>22</v>
      </c>
      <c r="O2920" t="str">
        <f t="shared" si="45"/>
        <v>No</v>
      </c>
    </row>
    <row r="2921" spans="1:15" x14ac:dyDescent="0.25">
      <c r="A2921" t="s">
        <v>2982</v>
      </c>
      <c r="B2921" s="1">
        <v>45726</v>
      </c>
      <c r="C2921" s="2">
        <v>45726.450833333336</v>
      </c>
      <c r="D2921" t="s">
        <v>24</v>
      </c>
      <c r="E2921" t="s">
        <v>25</v>
      </c>
      <c r="F2921" t="s">
        <v>48</v>
      </c>
      <c r="G2921" t="s">
        <v>18</v>
      </c>
      <c r="H2921" t="s">
        <v>27</v>
      </c>
      <c r="I2921" t="s">
        <v>36</v>
      </c>
      <c r="J2921" t="s">
        <v>21</v>
      </c>
      <c r="K2921">
        <v>24</v>
      </c>
      <c r="L2921">
        <v>10.82</v>
      </c>
      <c r="M2921">
        <v>5</v>
      </c>
      <c r="N2921" t="s">
        <v>22</v>
      </c>
      <c r="O2921" t="str">
        <f t="shared" si="45"/>
        <v>No</v>
      </c>
    </row>
    <row r="2922" spans="1:15" x14ac:dyDescent="0.25">
      <c r="A2922" t="s">
        <v>2983</v>
      </c>
      <c r="B2922" s="1">
        <v>45716</v>
      </c>
      <c r="C2922" s="2">
        <v>45718.293333333335</v>
      </c>
      <c r="D2922" t="s">
        <v>24</v>
      </c>
      <c r="E2922" t="s">
        <v>32</v>
      </c>
      <c r="F2922" t="s">
        <v>33</v>
      </c>
      <c r="G2922" t="s">
        <v>18</v>
      </c>
      <c r="H2922" t="s">
        <v>54</v>
      </c>
      <c r="I2922" t="s">
        <v>28</v>
      </c>
      <c r="J2922" t="s">
        <v>21</v>
      </c>
      <c r="K2922">
        <v>24</v>
      </c>
      <c r="L2922">
        <v>55.04</v>
      </c>
      <c r="M2922">
        <v>2.7</v>
      </c>
      <c r="N2922" t="s">
        <v>22</v>
      </c>
      <c r="O2922" t="str">
        <f t="shared" si="45"/>
        <v>Yes</v>
      </c>
    </row>
    <row r="2923" spans="1:15" x14ac:dyDescent="0.25">
      <c r="A2923" t="s">
        <v>2984</v>
      </c>
      <c r="B2923" s="1">
        <v>45797</v>
      </c>
      <c r="C2923" s="2">
        <v>45797.746666666666</v>
      </c>
      <c r="D2923" t="s">
        <v>24</v>
      </c>
      <c r="E2923" t="s">
        <v>32</v>
      </c>
      <c r="F2923" t="s">
        <v>75</v>
      </c>
      <c r="G2923" t="s">
        <v>18</v>
      </c>
      <c r="H2923" t="s">
        <v>44</v>
      </c>
      <c r="I2923" t="s">
        <v>36</v>
      </c>
      <c r="J2923" t="s">
        <v>85</v>
      </c>
      <c r="K2923">
        <v>24</v>
      </c>
      <c r="L2923">
        <v>17.920000000000002</v>
      </c>
      <c r="M2923">
        <v>3.6</v>
      </c>
      <c r="N2923" t="s">
        <v>61</v>
      </c>
      <c r="O2923" t="str">
        <f t="shared" si="45"/>
        <v>No</v>
      </c>
    </row>
    <row r="2924" spans="1:15" x14ac:dyDescent="0.25">
      <c r="A2924" t="s">
        <v>2985</v>
      </c>
      <c r="B2924" s="1">
        <v>45680</v>
      </c>
      <c r="C2924" s="2">
        <v>45680.131666666668</v>
      </c>
      <c r="D2924" t="s">
        <v>38</v>
      </c>
      <c r="E2924" t="s">
        <v>39</v>
      </c>
      <c r="F2924" t="s">
        <v>119</v>
      </c>
      <c r="G2924" t="s">
        <v>56</v>
      </c>
      <c r="H2924" t="s">
        <v>44</v>
      </c>
      <c r="I2924" t="s">
        <v>20</v>
      </c>
      <c r="J2924" t="s">
        <v>21</v>
      </c>
      <c r="K2924">
        <v>8</v>
      </c>
      <c r="L2924">
        <v>3.16</v>
      </c>
      <c r="M2924">
        <v>5</v>
      </c>
      <c r="N2924" t="s">
        <v>22</v>
      </c>
      <c r="O2924" t="str">
        <f t="shared" si="45"/>
        <v>No</v>
      </c>
    </row>
    <row r="2925" spans="1:15" x14ac:dyDescent="0.25">
      <c r="A2925" t="s">
        <v>2986</v>
      </c>
      <c r="B2925" s="1">
        <v>45755</v>
      </c>
      <c r="C2925" s="2">
        <v>45755.75</v>
      </c>
      <c r="D2925" t="s">
        <v>15</v>
      </c>
      <c r="E2925" t="s">
        <v>32</v>
      </c>
      <c r="F2925" t="s">
        <v>80</v>
      </c>
      <c r="G2925" t="s">
        <v>34</v>
      </c>
      <c r="H2925" t="s">
        <v>44</v>
      </c>
      <c r="I2925" t="s">
        <v>45</v>
      </c>
      <c r="J2925" t="s">
        <v>21</v>
      </c>
      <c r="K2925">
        <v>48</v>
      </c>
      <c r="L2925">
        <v>18</v>
      </c>
      <c r="M2925">
        <v>4.2</v>
      </c>
      <c r="N2925" t="s">
        <v>22</v>
      </c>
      <c r="O2925" t="str">
        <f t="shared" si="45"/>
        <v>No</v>
      </c>
    </row>
    <row r="2926" spans="1:15" x14ac:dyDescent="0.25">
      <c r="A2926" t="s">
        <v>2987</v>
      </c>
      <c r="B2926" s="1">
        <v>45734</v>
      </c>
      <c r="C2926" s="2">
        <v>45734.324999999997</v>
      </c>
      <c r="D2926" t="s">
        <v>38</v>
      </c>
      <c r="E2926" t="s">
        <v>16</v>
      </c>
      <c r="F2926" t="s">
        <v>58</v>
      </c>
      <c r="G2926" t="s">
        <v>34</v>
      </c>
      <c r="H2926" t="s">
        <v>44</v>
      </c>
      <c r="I2926" t="s">
        <v>45</v>
      </c>
      <c r="J2926" t="s">
        <v>21</v>
      </c>
      <c r="K2926">
        <v>8</v>
      </c>
      <c r="L2926">
        <v>7.8</v>
      </c>
      <c r="M2926">
        <v>3.4</v>
      </c>
      <c r="N2926" t="s">
        <v>22</v>
      </c>
      <c r="O2926" t="str">
        <f t="shared" si="45"/>
        <v>No</v>
      </c>
    </row>
    <row r="2927" spans="1:15" x14ac:dyDescent="0.25">
      <c r="A2927" t="s">
        <v>2988</v>
      </c>
      <c r="B2927" s="1">
        <v>45691</v>
      </c>
      <c r="C2927" s="2">
        <v>45694.053333333337</v>
      </c>
      <c r="D2927" t="s">
        <v>24</v>
      </c>
      <c r="E2927" t="s">
        <v>16</v>
      </c>
      <c r="F2927" t="s">
        <v>17</v>
      </c>
      <c r="G2927" t="s">
        <v>41</v>
      </c>
      <c r="H2927" t="s">
        <v>35</v>
      </c>
      <c r="I2927" t="s">
        <v>36</v>
      </c>
      <c r="J2927" t="s">
        <v>21</v>
      </c>
      <c r="K2927">
        <v>24</v>
      </c>
      <c r="L2927">
        <v>73.28</v>
      </c>
      <c r="M2927">
        <v>1.7</v>
      </c>
      <c r="N2927" t="s">
        <v>22</v>
      </c>
      <c r="O2927" t="str">
        <f t="shared" si="45"/>
        <v>Yes</v>
      </c>
    </row>
    <row r="2928" spans="1:15" x14ac:dyDescent="0.25">
      <c r="A2928" t="s">
        <v>2989</v>
      </c>
      <c r="B2928" s="1">
        <v>45769</v>
      </c>
      <c r="C2928" s="2">
        <v>45769.216249999998</v>
      </c>
      <c r="D2928" t="s">
        <v>31</v>
      </c>
      <c r="E2928" t="s">
        <v>32</v>
      </c>
      <c r="F2928" t="s">
        <v>33</v>
      </c>
      <c r="G2928" t="s">
        <v>41</v>
      </c>
      <c r="H2928" t="s">
        <v>54</v>
      </c>
      <c r="I2928" t="s">
        <v>36</v>
      </c>
      <c r="J2928" t="s">
        <v>46</v>
      </c>
      <c r="K2928">
        <v>4</v>
      </c>
      <c r="L2928">
        <v>5.19</v>
      </c>
      <c r="M2928">
        <v>2.8</v>
      </c>
      <c r="N2928" t="s">
        <v>22</v>
      </c>
      <c r="O2928" t="str">
        <f t="shared" si="45"/>
        <v>Yes</v>
      </c>
    </row>
    <row r="2929" spans="1:15" x14ac:dyDescent="0.25">
      <c r="A2929" t="s">
        <v>2990</v>
      </c>
      <c r="B2929" s="1">
        <v>45716</v>
      </c>
      <c r="C2929" s="2">
        <v>45716.188750000001</v>
      </c>
      <c r="D2929" t="s">
        <v>38</v>
      </c>
      <c r="E2929" t="s">
        <v>25</v>
      </c>
      <c r="F2929" t="s">
        <v>70</v>
      </c>
      <c r="G2929" t="s">
        <v>41</v>
      </c>
      <c r="H2929" t="s">
        <v>65</v>
      </c>
      <c r="I2929" t="s">
        <v>20</v>
      </c>
      <c r="J2929" t="s">
        <v>21</v>
      </c>
      <c r="K2929">
        <v>8</v>
      </c>
      <c r="L2929">
        <v>4.53</v>
      </c>
      <c r="M2929">
        <v>4.4000000000000004</v>
      </c>
      <c r="N2929" t="s">
        <v>22</v>
      </c>
      <c r="O2929" t="str">
        <f t="shared" si="45"/>
        <v>No</v>
      </c>
    </row>
    <row r="2930" spans="1:15" x14ac:dyDescent="0.25">
      <c r="A2930" t="s">
        <v>2991</v>
      </c>
      <c r="B2930" s="1">
        <v>45691</v>
      </c>
      <c r="C2930" s="2">
        <v>45691.035000000003</v>
      </c>
      <c r="D2930" t="s">
        <v>38</v>
      </c>
      <c r="E2930" t="s">
        <v>39</v>
      </c>
      <c r="F2930" t="s">
        <v>119</v>
      </c>
      <c r="G2930" t="s">
        <v>51</v>
      </c>
      <c r="H2930" t="s">
        <v>54</v>
      </c>
      <c r="I2930" t="s">
        <v>36</v>
      </c>
      <c r="J2930" t="s">
        <v>21</v>
      </c>
      <c r="K2930">
        <v>8</v>
      </c>
      <c r="L2930">
        <v>0.84</v>
      </c>
      <c r="M2930">
        <v>5</v>
      </c>
      <c r="N2930" t="s">
        <v>22</v>
      </c>
      <c r="O2930" t="str">
        <f t="shared" si="45"/>
        <v>No</v>
      </c>
    </row>
    <row r="2931" spans="1:15" x14ac:dyDescent="0.25">
      <c r="A2931" t="s">
        <v>2992</v>
      </c>
      <c r="B2931" s="1">
        <v>45776</v>
      </c>
      <c r="C2931" s="2">
        <v>45776.282083333332</v>
      </c>
      <c r="D2931" t="s">
        <v>24</v>
      </c>
      <c r="E2931" t="s">
        <v>16</v>
      </c>
      <c r="F2931" t="s">
        <v>17</v>
      </c>
      <c r="G2931" t="s">
        <v>18</v>
      </c>
      <c r="H2931" t="s">
        <v>27</v>
      </c>
      <c r="I2931" t="s">
        <v>45</v>
      </c>
      <c r="J2931" t="s">
        <v>29</v>
      </c>
      <c r="K2931">
        <v>24</v>
      </c>
      <c r="L2931">
        <v>6.77</v>
      </c>
      <c r="M2931">
        <v>5</v>
      </c>
      <c r="N2931" t="s">
        <v>22</v>
      </c>
      <c r="O2931" t="str">
        <f t="shared" si="45"/>
        <v>No</v>
      </c>
    </row>
    <row r="2932" spans="1:15" x14ac:dyDescent="0.25">
      <c r="A2932" t="s">
        <v>2993</v>
      </c>
      <c r="B2932" s="1">
        <v>45689</v>
      </c>
      <c r="C2932" s="2">
        <v>45689.349166666667</v>
      </c>
      <c r="D2932" t="s">
        <v>24</v>
      </c>
      <c r="E2932" t="s">
        <v>32</v>
      </c>
      <c r="F2932" t="s">
        <v>64</v>
      </c>
      <c r="G2932" t="s">
        <v>51</v>
      </c>
      <c r="H2932" t="s">
        <v>44</v>
      </c>
      <c r="I2932" t="s">
        <v>36</v>
      </c>
      <c r="J2932" t="s">
        <v>21</v>
      </c>
      <c r="K2932">
        <v>24</v>
      </c>
      <c r="L2932">
        <v>8.3800000000000008</v>
      </c>
      <c r="M2932">
        <v>5</v>
      </c>
      <c r="N2932" t="s">
        <v>22</v>
      </c>
      <c r="O2932" t="str">
        <f t="shared" si="45"/>
        <v>No</v>
      </c>
    </row>
    <row r="2933" spans="1:15" x14ac:dyDescent="0.25">
      <c r="A2933" t="s">
        <v>2994</v>
      </c>
      <c r="B2933" s="1">
        <v>45779</v>
      </c>
      <c r="C2933" s="2">
        <v>45779.098333333335</v>
      </c>
      <c r="D2933" t="s">
        <v>24</v>
      </c>
      <c r="E2933" t="s">
        <v>16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>
        <v>24</v>
      </c>
      <c r="L2933">
        <v>2.36</v>
      </c>
      <c r="M2933">
        <v>3.9</v>
      </c>
      <c r="N2933" t="s">
        <v>22</v>
      </c>
      <c r="O2933" t="str">
        <f t="shared" si="45"/>
        <v>No</v>
      </c>
    </row>
    <row r="2934" spans="1:15" x14ac:dyDescent="0.25">
      <c r="A2934" t="s">
        <v>2995</v>
      </c>
      <c r="B2934" s="1">
        <v>45687</v>
      </c>
      <c r="C2934" s="2">
        <v>45687.494583333333</v>
      </c>
      <c r="D2934" t="s">
        <v>24</v>
      </c>
      <c r="E2934" t="s">
        <v>39</v>
      </c>
      <c r="F2934" t="s">
        <v>78</v>
      </c>
      <c r="G2934" t="s">
        <v>41</v>
      </c>
      <c r="H2934" t="s">
        <v>19</v>
      </c>
      <c r="I2934" t="s">
        <v>45</v>
      </c>
      <c r="J2934" t="s">
        <v>21</v>
      </c>
      <c r="K2934">
        <v>24</v>
      </c>
      <c r="L2934">
        <v>11.87</v>
      </c>
      <c r="M2934">
        <v>3.6</v>
      </c>
      <c r="N2934" t="s">
        <v>22</v>
      </c>
      <c r="O2934" t="str">
        <f t="shared" si="45"/>
        <v>No</v>
      </c>
    </row>
    <row r="2935" spans="1:15" x14ac:dyDescent="0.25">
      <c r="A2935" t="s">
        <v>2996</v>
      </c>
      <c r="B2935" s="1">
        <v>45736</v>
      </c>
      <c r="C2935" s="2">
        <v>45736.891250000001</v>
      </c>
      <c r="D2935" t="s">
        <v>24</v>
      </c>
      <c r="E2935" t="s">
        <v>16</v>
      </c>
      <c r="F2935" t="s">
        <v>60</v>
      </c>
      <c r="G2935" t="s">
        <v>51</v>
      </c>
      <c r="H2935" t="s">
        <v>35</v>
      </c>
      <c r="I2935" t="s">
        <v>45</v>
      </c>
      <c r="J2935" t="s">
        <v>29</v>
      </c>
      <c r="K2935">
        <v>24</v>
      </c>
      <c r="L2935">
        <v>21.39</v>
      </c>
      <c r="M2935">
        <v>5</v>
      </c>
      <c r="N2935" t="s">
        <v>22</v>
      </c>
      <c r="O2935" t="str">
        <f t="shared" si="45"/>
        <v>No</v>
      </c>
    </row>
    <row r="2936" spans="1:15" x14ac:dyDescent="0.25">
      <c r="A2936" t="s">
        <v>2997</v>
      </c>
      <c r="B2936" s="1">
        <v>45804</v>
      </c>
      <c r="C2936" s="2">
        <v>45804.14</v>
      </c>
      <c r="D2936" t="s">
        <v>38</v>
      </c>
      <c r="E2936" t="s">
        <v>39</v>
      </c>
      <c r="F2936" t="s">
        <v>87</v>
      </c>
      <c r="G2936" t="s">
        <v>51</v>
      </c>
      <c r="H2936" t="s">
        <v>35</v>
      </c>
      <c r="I2936" t="s">
        <v>45</v>
      </c>
      <c r="J2936" t="s">
        <v>21</v>
      </c>
      <c r="K2936">
        <v>8</v>
      </c>
      <c r="L2936">
        <v>3.36</v>
      </c>
      <c r="M2936">
        <v>4.0999999999999996</v>
      </c>
      <c r="N2936" t="s">
        <v>22</v>
      </c>
      <c r="O2936" t="str">
        <f t="shared" si="45"/>
        <v>No</v>
      </c>
    </row>
    <row r="2937" spans="1:15" x14ac:dyDescent="0.25">
      <c r="A2937" t="s">
        <v>2998</v>
      </c>
      <c r="B2937" s="1">
        <v>45699</v>
      </c>
      <c r="C2937" s="2">
        <v>45701.097916666666</v>
      </c>
      <c r="D2937" t="s">
        <v>15</v>
      </c>
      <c r="E2937" t="s">
        <v>45</v>
      </c>
      <c r="F2937" t="s">
        <v>104</v>
      </c>
      <c r="G2937" t="s">
        <v>34</v>
      </c>
      <c r="H2937" t="s">
        <v>54</v>
      </c>
      <c r="I2937" t="s">
        <v>36</v>
      </c>
      <c r="J2937" t="s">
        <v>46</v>
      </c>
      <c r="K2937">
        <v>48</v>
      </c>
      <c r="L2937">
        <v>50.35</v>
      </c>
      <c r="M2937">
        <v>2.8</v>
      </c>
      <c r="N2937" t="s">
        <v>22</v>
      </c>
      <c r="O2937" t="str">
        <f t="shared" si="45"/>
        <v>Yes</v>
      </c>
    </row>
    <row r="2938" spans="1:15" x14ac:dyDescent="0.25">
      <c r="A2938" t="s">
        <v>2999</v>
      </c>
      <c r="B2938" s="1">
        <v>45796</v>
      </c>
      <c r="C2938" s="2">
        <v>45796.123749999999</v>
      </c>
      <c r="D2938" t="s">
        <v>38</v>
      </c>
      <c r="E2938" t="s">
        <v>32</v>
      </c>
      <c r="F2938" t="s">
        <v>80</v>
      </c>
      <c r="G2938" t="s">
        <v>51</v>
      </c>
      <c r="H2938" t="s">
        <v>35</v>
      </c>
      <c r="I2938" t="s">
        <v>36</v>
      </c>
      <c r="J2938" t="s">
        <v>46</v>
      </c>
      <c r="K2938">
        <v>8</v>
      </c>
      <c r="L2938">
        <v>2.97</v>
      </c>
      <c r="M2938">
        <v>3.9</v>
      </c>
      <c r="N2938" t="s">
        <v>22</v>
      </c>
      <c r="O2938" t="str">
        <f t="shared" si="45"/>
        <v>No</v>
      </c>
    </row>
    <row r="2939" spans="1:15" x14ac:dyDescent="0.25">
      <c r="A2939" t="s">
        <v>3000</v>
      </c>
      <c r="B2939" s="1">
        <v>45788</v>
      </c>
      <c r="C2939" s="2">
        <v>45788.327916666669</v>
      </c>
      <c r="D2939" t="s">
        <v>15</v>
      </c>
      <c r="E2939" t="s">
        <v>45</v>
      </c>
      <c r="F2939" t="s">
        <v>112</v>
      </c>
      <c r="G2939" t="s">
        <v>18</v>
      </c>
      <c r="H2939" t="s">
        <v>54</v>
      </c>
      <c r="I2939" t="s">
        <v>36</v>
      </c>
      <c r="J2939" t="s">
        <v>21</v>
      </c>
      <c r="K2939">
        <v>48</v>
      </c>
      <c r="L2939">
        <v>7.87</v>
      </c>
      <c r="M2939">
        <v>5</v>
      </c>
      <c r="N2939" t="s">
        <v>22</v>
      </c>
      <c r="O2939" t="str">
        <f t="shared" si="45"/>
        <v>No</v>
      </c>
    </row>
    <row r="2940" spans="1:15" x14ac:dyDescent="0.25">
      <c r="A2940" t="s">
        <v>3001</v>
      </c>
      <c r="B2940" s="1">
        <v>45821</v>
      </c>
      <c r="C2940" s="2">
        <v>45821.106249999997</v>
      </c>
      <c r="D2940" t="s">
        <v>38</v>
      </c>
      <c r="E2940" t="s">
        <v>45</v>
      </c>
      <c r="F2940" t="s">
        <v>112</v>
      </c>
      <c r="G2940" t="s">
        <v>34</v>
      </c>
      <c r="H2940" t="s">
        <v>44</v>
      </c>
      <c r="I2940" t="s">
        <v>45</v>
      </c>
      <c r="J2940" t="s">
        <v>46</v>
      </c>
      <c r="K2940">
        <v>8</v>
      </c>
      <c r="L2940">
        <v>2.5499999999999998</v>
      </c>
      <c r="M2940">
        <v>4.7</v>
      </c>
      <c r="N2940" t="s">
        <v>22</v>
      </c>
      <c r="O2940" t="str">
        <f t="shared" si="45"/>
        <v>No</v>
      </c>
    </row>
    <row r="2941" spans="1:15" x14ac:dyDescent="0.25">
      <c r="A2941" t="s">
        <v>3002</v>
      </c>
      <c r="B2941" s="1">
        <v>45688</v>
      </c>
      <c r="C2941" s="2">
        <v>45688.576666666668</v>
      </c>
      <c r="D2941" t="s">
        <v>15</v>
      </c>
      <c r="E2941" t="s">
        <v>39</v>
      </c>
      <c r="F2941" t="s">
        <v>78</v>
      </c>
      <c r="G2941" t="s">
        <v>18</v>
      </c>
      <c r="H2941" t="s">
        <v>65</v>
      </c>
      <c r="I2941" t="s">
        <v>36</v>
      </c>
      <c r="J2941" t="s">
        <v>29</v>
      </c>
      <c r="K2941">
        <v>48</v>
      </c>
      <c r="L2941">
        <v>13.84</v>
      </c>
      <c r="M2941">
        <v>5</v>
      </c>
      <c r="N2941" t="s">
        <v>22</v>
      </c>
      <c r="O2941" t="str">
        <f t="shared" si="45"/>
        <v>No</v>
      </c>
    </row>
    <row r="2942" spans="1:15" x14ac:dyDescent="0.25">
      <c r="A2942" t="s">
        <v>3003</v>
      </c>
      <c r="B2942" s="1">
        <v>45787</v>
      </c>
      <c r="C2942" s="2">
        <v>45787.253750000003</v>
      </c>
      <c r="D2942" t="s">
        <v>15</v>
      </c>
      <c r="E2942" t="s">
        <v>39</v>
      </c>
      <c r="F2942" t="s">
        <v>78</v>
      </c>
      <c r="G2942" t="s">
        <v>34</v>
      </c>
      <c r="H2942" t="s">
        <v>19</v>
      </c>
      <c r="I2942" t="s">
        <v>36</v>
      </c>
      <c r="J2942" t="s">
        <v>46</v>
      </c>
      <c r="K2942">
        <v>48</v>
      </c>
      <c r="L2942">
        <v>6.09</v>
      </c>
      <c r="M2942">
        <v>4.8</v>
      </c>
      <c r="N2942" t="s">
        <v>22</v>
      </c>
      <c r="O2942" t="str">
        <f t="shared" si="45"/>
        <v>No</v>
      </c>
    </row>
    <row r="2943" spans="1:15" x14ac:dyDescent="0.25">
      <c r="A2943" t="s">
        <v>3004</v>
      </c>
      <c r="B2943" s="1">
        <v>45827</v>
      </c>
      <c r="C2943" s="2">
        <v>45827.078333333331</v>
      </c>
      <c r="D2943" t="s">
        <v>38</v>
      </c>
      <c r="E2943" t="s">
        <v>39</v>
      </c>
      <c r="F2943" t="s">
        <v>78</v>
      </c>
      <c r="G2943" t="s">
        <v>18</v>
      </c>
      <c r="H2943" t="s">
        <v>27</v>
      </c>
      <c r="I2943" t="s">
        <v>36</v>
      </c>
      <c r="J2943" t="s">
        <v>46</v>
      </c>
      <c r="K2943">
        <v>8</v>
      </c>
      <c r="L2943">
        <v>1.88</v>
      </c>
      <c r="M2943">
        <v>4</v>
      </c>
      <c r="N2943" t="s">
        <v>61</v>
      </c>
      <c r="O2943" t="str">
        <f t="shared" si="45"/>
        <v>No</v>
      </c>
    </row>
    <row r="2944" spans="1:15" x14ac:dyDescent="0.25">
      <c r="A2944" t="s">
        <v>3005</v>
      </c>
      <c r="B2944" s="1">
        <v>45796</v>
      </c>
      <c r="C2944" s="2">
        <v>45796.027083333334</v>
      </c>
      <c r="D2944" t="s">
        <v>38</v>
      </c>
      <c r="E2944" t="s">
        <v>45</v>
      </c>
      <c r="F2944" t="s">
        <v>112</v>
      </c>
      <c r="G2944" t="s">
        <v>34</v>
      </c>
      <c r="H2944" t="s">
        <v>35</v>
      </c>
      <c r="I2944" t="s">
        <v>36</v>
      </c>
      <c r="J2944" t="s">
        <v>21</v>
      </c>
      <c r="K2944">
        <v>8</v>
      </c>
      <c r="L2944">
        <v>0.65</v>
      </c>
      <c r="M2944">
        <v>3.7</v>
      </c>
      <c r="N2944" t="s">
        <v>61</v>
      </c>
      <c r="O2944" t="str">
        <f t="shared" si="45"/>
        <v>No</v>
      </c>
    </row>
    <row r="2945" spans="1:15" x14ac:dyDescent="0.25">
      <c r="A2945" t="s">
        <v>3006</v>
      </c>
      <c r="B2945" s="1">
        <v>45692</v>
      </c>
      <c r="C2945" s="2">
        <v>45692.025000000001</v>
      </c>
      <c r="D2945" t="s">
        <v>38</v>
      </c>
      <c r="E2945" t="s">
        <v>16</v>
      </c>
      <c r="F2945" t="s">
        <v>60</v>
      </c>
      <c r="G2945" t="s">
        <v>51</v>
      </c>
      <c r="H2945" t="s">
        <v>44</v>
      </c>
      <c r="I2945" t="s">
        <v>45</v>
      </c>
      <c r="J2945" t="s">
        <v>21</v>
      </c>
      <c r="K2945">
        <v>8</v>
      </c>
      <c r="L2945">
        <v>0.6</v>
      </c>
      <c r="M2945">
        <v>4.4000000000000004</v>
      </c>
      <c r="N2945" t="s">
        <v>22</v>
      </c>
      <c r="O2945" t="str">
        <f t="shared" si="45"/>
        <v>No</v>
      </c>
    </row>
    <row r="2946" spans="1:15" x14ac:dyDescent="0.25">
      <c r="A2946" t="s">
        <v>3007</v>
      </c>
      <c r="B2946" s="1">
        <v>45806</v>
      </c>
      <c r="C2946" s="2">
        <v>45806.068749999999</v>
      </c>
      <c r="D2946" t="s">
        <v>31</v>
      </c>
      <c r="E2946" t="s">
        <v>16</v>
      </c>
      <c r="F2946" t="s">
        <v>60</v>
      </c>
      <c r="G2946" t="s">
        <v>56</v>
      </c>
      <c r="H2946" t="s">
        <v>27</v>
      </c>
      <c r="I2946" t="s">
        <v>45</v>
      </c>
      <c r="J2946" t="s">
        <v>46</v>
      </c>
      <c r="K2946">
        <v>4</v>
      </c>
      <c r="L2946">
        <v>1.65</v>
      </c>
      <c r="M2946">
        <v>4.5999999999999996</v>
      </c>
      <c r="N2946" t="s">
        <v>22</v>
      </c>
      <c r="O2946" t="str">
        <f t="shared" si="45"/>
        <v>No</v>
      </c>
    </row>
    <row r="2947" spans="1:15" x14ac:dyDescent="0.25">
      <c r="A2947" t="s">
        <v>3008</v>
      </c>
      <c r="B2947" s="1">
        <v>45677</v>
      </c>
      <c r="C2947" s="2">
        <v>45677.687916666669</v>
      </c>
      <c r="D2947" t="s">
        <v>15</v>
      </c>
      <c r="E2947" t="s">
        <v>32</v>
      </c>
      <c r="F2947" t="s">
        <v>80</v>
      </c>
      <c r="G2947" t="s">
        <v>18</v>
      </c>
      <c r="H2947" t="s">
        <v>44</v>
      </c>
      <c r="I2947" t="s">
        <v>36</v>
      </c>
      <c r="J2947" t="s">
        <v>21</v>
      </c>
      <c r="K2947">
        <v>48</v>
      </c>
      <c r="L2947">
        <v>16.510000000000002</v>
      </c>
      <c r="M2947">
        <v>3.8</v>
      </c>
      <c r="N2947" t="s">
        <v>22</v>
      </c>
      <c r="O2947" t="str">
        <f t="shared" ref="O2947:O3010" si="46">IF(L2947&gt;K2947,"Yes","No")</f>
        <v>No</v>
      </c>
    </row>
    <row r="2948" spans="1:15" x14ac:dyDescent="0.25">
      <c r="A2948" t="s">
        <v>3009</v>
      </c>
      <c r="B2948" s="1">
        <v>45764</v>
      </c>
      <c r="C2948" s="2">
        <v>45764.660833333335</v>
      </c>
      <c r="D2948" t="s">
        <v>38</v>
      </c>
      <c r="E2948" t="s">
        <v>25</v>
      </c>
      <c r="F2948" t="s">
        <v>70</v>
      </c>
      <c r="G2948" t="s">
        <v>41</v>
      </c>
      <c r="H2948" t="s">
        <v>65</v>
      </c>
      <c r="I2948" t="s">
        <v>36</v>
      </c>
      <c r="J2948" t="s">
        <v>21</v>
      </c>
      <c r="K2948">
        <v>8</v>
      </c>
      <c r="L2948">
        <v>15.86</v>
      </c>
      <c r="M2948">
        <v>3.3</v>
      </c>
      <c r="N2948" t="s">
        <v>22</v>
      </c>
      <c r="O2948" t="str">
        <f t="shared" si="46"/>
        <v>Yes</v>
      </c>
    </row>
    <row r="2949" spans="1:15" x14ac:dyDescent="0.25">
      <c r="A2949" t="s">
        <v>3010</v>
      </c>
      <c r="B2949" s="1">
        <v>45748</v>
      </c>
      <c r="C2949" s="2">
        <v>45748.245000000003</v>
      </c>
      <c r="D2949" t="s">
        <v>24</v>
      </c>
      <c r="E2949" t="s">
        <v>32</v>
      </c>
      <c r="F2949" t="s">
        <v>33</v>
      </c>
      <c r="G2949" t="s">
        <v>34</v>
      </c>
      <c r="H2949" t="s">
        <v>44</v>
      </c>
      <c r="I2949" t="s">
        <v>45</v>
      </c>
      <c r="J2949" t="s">
        <v>21</v>
      </c>
      <c r="K2949">
        <v>24</v>
      </c>
      <c r="L2949">
        <v>5.88</v>
      </c>
      <c r="M2949">
        <v>4.0999999999999996</v>
      </c>
      <c r="N2949" t="s">
        <v>22</v>
      </c>
      <c r="O2949" t="str">
        <f t="shared" si="46"/>
        <v>No</v>
      </c>
    </row>
    <row r="2950" spans="1:15" x14ac:dyDescent="0.25">
      <c r="A2950" t="s">
        <v>3011</v>
      </c>
      <c r="B2950" s="1">
        <v>45754</v>
      </c>
      <c r="C2950" s="2">
        <v>45754.390416666669</v>
      </c>
      <c r="D2950" t="s">
        <v>24</v>
      </c>
      <c r="E2950" t="s">
        <v>32</v>
      </c>
      <c r="F2950" t="s">
        <v>75</v>
      </c>
      <c r="G2950" t="s">
        <v>34</v>
      </c>
      <c r="H2950" t="s">
        <v>65</v>
      </c>
      <c r="I2950" t="s">
        <v>45</v>
      </c>
      <c r="J2950" t="s">
        <v>21</v>
      </c>
      <c r="K2950">
        <v>24</v>
      </c>
      <c r="L2950">
        <v>9.3699999999999992</v>
      </c>
      <c r="M2950">
        <v>3.5</v>
      </c>
      <c r="N2950" t="s">
        <v>61</v>
      </c>
      <c r="O2950" t="str">
        <f t="shared" si="46"/>
        <v>No</v>
      </c>
    </row>
    <row r="2951" spans="1:15" x14ac:dyDescent="0.25">
      <c r="A2951" t="s">
        <v>3012</v>
      </c>
      <c r="B2951" s="1">
        <v>45752</v>
      </c>
      <c r="C2951" s="2">
        <v>45752.645833333336</v>
      </c>
      <c r="D2951" t="s">
        <v>24</v>
      </c>
      <c r="E2951" t="s">
        <v>32</v>
      </c>
      <c r="F2951" t="s">
        <v>80</v>
      </c>
      <c r="G2951" t="s">
        <v>56</v>
      </c>
      <c r="H2951" t="s">
        <v>54</v>
      </c>
      <c r="I2951" t="s">
        <v>20</v>
      </c>
      <c r="J2951" t="s">
        <v>46</v>
      </c>
      <c r="K2951">
        <v>24</v>
      </c>
      <c r="L2951">
        <v>15.5</v>
      </c>
      <c r="M2951">
        <v>4.2</v>
      </c>
      <c r="N2951" t="s">
        <v>22</v>
      </c>
      <c r="O2951" t="str">
        <f t="shared" si="46"/>
        <v>No</v>
      </c>
    </row>
    <row r="2952" spans="1:15" x14ac:dyDescent="0.25">
      <c r="A2952" t="s">
        <v>3013</v>
      </c>
      <c r="B2952" s="1">
        <v>45663</v>
      </c>
      <c r="C2952" s="2">
        <v>45665.202499999999</v>
      </c>
      <c r="D2952" t="s">
        <v>15</v>
      </c>
      <c r="E2952" t="s">
        <v>39</v>
      </c>
      <c r="F2952" t="s">
        <v>78</v>
      </c>
      <c r="G2952" t="s">
        <v>34</v>
      </c>
      <c r="H2952" t="s">
        <v>44</v>
      </c>
      <c r="I2952" t="s">
        <v>20</v>
      </c>
      <c r="J2952" t="s">
        <v>21</v>
      </c>
      <c r="K2952">
        <v>48</v>
      </c>
      <c r="L2952">
        <v>52.86</v>
      </c>
      <c r="M2952">
        <v>4.2</v>
      </c>
      <c r="N2952" t="s">
        <v>22</v>
      </c>
      <c r="O2952" t="str">
        <f t="shared" si="46"/>
        <v>Yes</v>
      </c>
    </row>
    <row r="2953" spans="1:15" x14ac:dyDescent="0.25">
      <c r="A2953" t="s">
        <v>3014</v>
      </c>
      <c r="B2953" s="1">
        <v>45749</v>
      </c>
      <c r="C2953" s="2">
        <v>45750.386666666665</v>
      </c>
      <c r="D2953" t="s">
        <v>24</v>
      </c>
      <c r="E2953" t="s">
        <v>45</v>
      </c>
      <c r="F2953" t="s">
        <v>100</v>
      </c>
      <c r="G2953" t="s">
        <v>51</v>
      </c>
      <c r="H2953" t="s">
        <v>65</v>
      </c>
      <c r="I2953" t="s">
        <v>20</v>
      </c>
      <c r="J2953" t="s">
        <v>46</v>
      </c>
      <c r="K2953">
        <v>24</v>
      </c>
      <c r="L2953">
        <v>33.28</v>
      </c>
      <c r="M2953">
        <v>4.3</v>
      </c>
      <c r="N2953" t="s">
        <v>22</v>
      </c>
      <c r="O2953" t="str">
        <f t="shared" si="46"/>
        <v>Yes</v>
      </c>
    </row>
    <row r="2954" spans="1:15" x14ac:dyDescent="0.25">
      <c r="A2954" t="s">
        <v>3015</v>
      </c>
      <c r="B2954" s="1">
        <v>45827</v>
      </c>
      <c r="C2954" s="2">
        <v>45827.217499999999</v>
      </c>
      <c r="D2954" t="s">
        <v>38</v>
      </c>
      <c r="E2954" t="s">
        <v>25</v>
      </c>
      <c r="F2954" t="s">
        <v>48</v>
      </c>
      <c r="G2954" t="s">
        <v>18</v>
      </c>
      <c r="H2954" t="s">
        <v>35</v>
      </c>
      <c r="I2954" t="s">
        <v>20</v>
      </c>
      <c r="J2954" t="s">
        <v>21</v>
      </c>
      <c r="K2954">
        <v>8</v>
      </c>
      <c r="L2954">
        <v>5.22</v>
      </c>
      <c r="M2954">
        <v>3.2</v>
      </c>
      <c r="N2954" t="s">
        <v>22</v>
      </c>
      <c r="O2954" t="str">
        <f t="shared" si="46"/>
        <v>No</v>
      </c>
    </row>
    <row r="2955" spans="1:15" x14ac:dyDescent="0.25">
      <c r="A2955" t="s">
        <v>3016</v>
      </c>
      <c r="B2955" s="1">
        <v>45737</v>
      </c>
      <c r="C2955" s="2">
        <v>45738.000833333332</v>
      </c>
      <c r="D2955" t="s">
        <v>15</v>
      </c>
      <c r="E2955" t="s">
        <v>32</v>
      </c>
      <c r="F2955" t="s">
        <v>33</v>
      </c>
      <c r="G2955" t="s">
        <v>34</v>
      </c>
      <c r="H2955" t="s">
        <v>44</v>
      </c>
      <c r="I2955" t="s">
        <v>20</v>
      </c>
      <c r="J2955" t="s">
        <v>21</v>
      </c>
      <c r="K2955">
        <v>48</v>
      </c>
      <c r="L2955">
        <v>24.02</v>
      </c>
      <c r="M2955">
        <v>5</v>
      </c>
      <c r="N2955" t="s">
        <v>22</v>
      </c>
      <c r="O2955" t="str">
        <f t="shared" si="46"/>
        <v>No</v>
      </c>
    </row>
    <row r="2956" spans="1:15" x14ac:dyDescent="0.25">
      <c r="A2956" t="s">
        <v>3017</v>
      </c>
      <c r="B2956" s="1">
        <v>45708</v>
      </c>
      <c r="C2956" s="2">
        <v>45708.10125</v>
      </c>
      <c r="D2956" t="s">
        <v>38</v>
      </c>
      <c r="E2956" t="s">
        <v>39</v>
      </c>
      <c r="F2956" t="s">
        <v>87</v>
      </c>
      <c r="G2956" t="s">
        <v>51</v>
      </c>
      <c r="H2956" t="s">
        <v>54</v>
      </c>
      <c r="I2956" t="s">
        <v>45</v>
      </c>
      <c r="J2956" t="s">
        <v>21</v>
      </c>
      <c r="K2956">
        <v>8</v>
      </c>
      <c r="L2956">
        <v>2.4300000000000002</v>
      </c>
      <c r="M2956">
        <v>4.8</v>
      </c>
      <c r="N2956" t="s">
        <v>22</v>
      </c>
      <c r="O2956" t="str">
        <f t="shared" si="46"/>
        <v>No</v>
      </c>
    </row>
    <row r="2957" spans="1:15" x14ac:dyDescent="0.25">
      <c r="A2957" t="s">
        <v>3018</v>
      </c>
      <c r="B2957" s="1">
        <v>45838</v>
      </c>
      <c r="C2957" s="2">
        <v>45838.591666666667</v>
      </c>
      <c r="D2957" t="s">
        <v>24</v>
      </c>
      <c r="E2957" t="s">
        <v>25</v>
      </c>
      <c r="F2957" t="s">
        <v>53</v>
      </c>
      <c r="G2957" t="s">
        <v>56</v>
      </c>
      <c r="H2957" t="s">
        <v>19</v>
      </c>
      <c r="I2957" t="s">
        <v>45</v>
      </c>
      <c r="J2957" t="s">
        <v>21</v>
      </c>
      <c r="K2957">
        <v>24</v>
      </c>
      <c r="L2957">
        <v>14.2</v>
      </c>
      <c r="M2957">
        <v>3.9</v>
      </c>
      <c r="N2957" t="s">
        <v>22</v>
      </c>
      <c r="O2957" t="str">
        <f t="shared" si="46"/>
        <v>No</v>
      </c>
    </row>
    <row r="2958" spans="1:15" x14ac:dyDescent="0.25">
      <c r="A2958" t="s">
        <v>3019</v>
      </c>
      <c r="B2958" s="1">
        <v>45675</v>
      </c>
      <c r="C2958" s="2">
        <v>45677.625</v>
      </c>
      <c r="D2958" t="s">
        <v>15</v>
      </c>
      <c r="E2958" t="s">
        <v>16</v>
      </c>
      <c r="F2958" t="s">
        <v>17</v>
      </c>
      <c r="G2958" t="s">
        <v>41</v>
      </c>
      <c r="H2958" t="s">
        <v>35</v>
      </c>
      <c r="I2958" t="s">
        <v>20</v>
      </c>
      <c r="J2958" t="s">
        <v>21</v>
      </c>
      <c r="K2958">
        <v>48</v>
      </c>
      <c r="L2958">
        <v>63</v>
      </c>
      <c r="M2958">
        <v>3.9</v>
      </c>
      <c r="N2958" t="s">
        <v>22</v>
      </c>
      <c r="O2958" t="str">
        <f t="shared" si="46"/>
        <v>Yes</v>
      </c>
    </row>
    <row r="2959" spans="1:15" x14ac:dyDescent="0.25">
      <c r="A2959" t="s">
        <v>3020</v>
      </c>
      <c r="B2959" s="1">
        <v>45746</v>
      </c>
      <c r="C2959" s="2">
        <v>45746.576249999998</v>
      </c>
      <c r="D2959" t="s">
        <v>24</v>
      </c>
      <c r="E2959" t="s">
        <v>32</v>
      </c>
      <c r="F2959" t="s">
        <v>75</v>
      </c>
      <c r="G2959" t="s">
        <v>51</v>
      </c>
      <c r="H2959" t="s">
        <v>44</v>
      </c>
      <c r="I2959" t="s">
        <v>36</v>
      </c>
      <c r="J2959" t="s">
        <v>21</v>
      </c>
      <c r="K2959">
        <v>24</v>
      </c>
      <c r="L2959">
        <v>13.83</v>
      </c>
      <c r="M2959">
        <v>5</v>
      </c>
      <c r="N2959" t="s">
        <v>22</v>
      </c>
      <c r="O2959" t="str">
        <f t="shared" si="46"/>
        <v>No</v>
      </c>
    </row>
    <row r="2960" spans="1:15" x14ac:dyDescent="0.25">
      <c r="A2960" t="s">
        <v>3021</v>
      </c>
      <c r="B2960" s="1">
        <v>45750</v>
      </c>
      <c r="C2960" s="2">
        <v>45751.519166666665</v>
      </c>
      <c r="D2960" t="s">
        <v>15</v>
      </c>
      <c r="E2960" t="s">
        <v>39</v>
      </c>
      <c r="F2960" t="s">
        <v>87</v>
      </c>
      <c r="G2960" t="s">
        <v>18</v>
      </c>
      <c r="H2960" t="s">
        <v>44</v>
      </c>
      <c r="I2960" t="s">
        <v>36</v>
      </c>
      <c r="J2960" t="s">
        <v>21</v>
      </c>
      <c r="K2960">
        <v>48</v>
      </c>
      <c r="L2960">
        <v>36.46</v>
      </c>
      <c r="M2960">
        <v>3</v>
      </c>
      <c r="N2960" t="s">
        <v>22</v>
      </c>
      <c r="O2960" t="str">
        <f t="shared" si="46"/>
        <v>No</v>
      </c>
    </row>
    <row r="2961" spans="1:15" x14ac:dyDescent="0.25">
      <c r="A2961" t="s">
        <v>3022</v>
      </c>
      <c r="B2961" s="1">
        <v>45744</v>
      </c>
      <c r="C2961" s="2">
        <v>45746.020416666666</v>
      </c>
      <c r="D2961" t="s">
        <v>15</v>
      </c>
      <c r="E2961" t="s">
        <v>16</v>
      </c>
      <c r="F2961" t="s">
        <v>17</v>
      </c>
      <c r="G2961" t="s">
        <v>18</v>
      </c>
      <c r="H2961" t="s">
        <v>35</v>
      </c>
      <c r="I2961" t="s">
        <v>28</v>
      </c>
      <c r="J2961" t="s">
        <v>46</v>
      </c>
      <c r="K2961">
        <v>48</v>
      </c>
      <c r="L2961">
        <v>48.49</v>
      </c>
      <c r="M2961">
        <v>3.5</v>
      </c>
      <c r="N2961" t="s">
        <v>22</v>
      </c>
      <c r="O2961" t="str">
        <f t="shared" si="46"/>
        <v>Yes</v>
      </c>
    </row>
    <row r="2962" spans="1:15" x14ac:dyDescent="0.25">
      <c r="A2962" t="s">
        <v>3023</v>
      </c>
      <c r="B2962" s="1">
        <v>45824</v>
      </c>
      <c r="C2962" s="2">
        <v>45824.714583333334</v>
      </c>
      <c r="D2962" t="s">
        <v>24</v>
      </c>
      <c r="E2962" t="s">
        <v>45</v>
      </c>
      <c r="F2962" t="s">
        <v>100</v>
      </c>
      <c r="G2962" t="s">
        <v>51</v>
      </c>
      <c r="H2962" t="s">
        <v>27</v>
      </c>
      <c r="I2962" t="s">
        <v>45</v>
      </c>
      <c r="J2962" t="s">
        <v>85</v>
      </c>
      <c r="K2962">
        <v>24</v>
      </c>
      <c r="L2962">
        <v>17.149999999999999</v>
      </c>
      <c r="M2962">
        <v>3.8</v>
      </c>
      <c r="N2962" t="s">
        <v>22</v>
      </c>
      <c r="O2962" t="str">
        <f t="shared" si="46"/>
        <v>No</v>
      </c>
    </row>
    <row r="2963" spans="1:15" x14ac:dyDescent="0.25">
      <c r="A2963" t="s">
        <v>3024</v>
      </c>
      <c r="B2963" s="1">
        <v>45734</v>
      </c>
      <c r="C2963" s="2">
        <v>45735.621666666666</v>
      </c>
      <c r="D2963" t="s">
        <v>15</v>
      </c>
      <c r="E2963" t="s">
        <v>16</v>
      </c>
      <c r="F2963" t="s">
        <v>58</v>
      </c>
      <c r="G2963" t="s">
        <v>34</v>
      </c>
      <c r="H2963" t="s">
        <v>27</v>
      </c>
      <c r="I2963" t="s">
        <v>36</v>
      </c>
      <c r="J2963" t="s">
        <v>46</v>
      </c>
      <c r="K2963">
        <v>48</v>
      </c>
      <c r="L2963">
        <v>38.92</v>
      </c>
      <c r="M2963">
        <v>4.4000000000000004</v>
      </c>
      <c r="N2963" t="s">
        <v>22</v>
      </c>
      <c r="O2963" t="str">
        <f t="shared" si="46"/>
        <v>No</v>
      </c>
    </row>
    <row r="2964" spans="1:15" x14ac:dyDescent="0.25">
      <c r="A2964" t="s">
        <v>3025</v>
      </c>
      <c r="B2964" s="1">
        <v>45834</v>
      </c>
      <c r="C2964" s="2">
        <v>45835.398333333331</v>
      </c>
      <c r="D2964" t="s">
        <v>15</v>
      </c>
      <c r="E2964" t="s">
        <v>32</v>
      </c>
      <c r="F2964" t="s">
        <v>80</v>
      </c>
      <c r="G2964" t="s">
        <v>41</v>
      </c>
      <c r="H2964" t="s">
        <v>27</v>
      </c>
      <c r="I2964" t="s">
        <v>36</v>
      </c>
      <c r="J2964" t="s">
        <v>21</v>
      </c>
      <c r="K2964">
        <v>48</v>
      </c>
      <c r="L2964">
        <v>33.56</v>
      </c>
      <c r="M2964">
        <v>5</v>
      </c>
      <c r="N2964" t="s">
        <v>22</v>
      </c>
      <c r="O2964" t="str">
        <f t="shared" si="46"/>
        <v>No</v>
      </c>
    </row>
    <row r="2965" spans="1:15" x14ac:dyDescent="0.25">
      <c r="A2965" t="s">
        <v>3026</v>
      </c>
      <c r="B2965" s="1">
        <v>45670</v>
      </c>
      <c r="C2965" s="2">
        <v>45670.074583333335</v>
      </c>
      <c r="D2965" t="s">
        <v>38</v>
      </c>
      <c r="E2965" t="s">
        <v>16</v>
      </c>
      <c r="F2965" t="s">
        <v>60</v>
      </c>
      <c r="G2965" t="s">
        <v>34</v>
      </c>
      <c r="H2965" t="s">
        <v>54</v>
      </c>
      <c r="I2965" t="s">
        <v>36</v>
      </c>
      <c r="J2965" t="s">
        <v>21</v>
      </c>
      <c r="K2965">
        <v>8</v>
      </c>
      <c r="L2965">
        <v>1.79</v>
      </c>
      <c r="M2965">
        <v>4.8</v>
      </c>
      <c r="N2965" t="s">
        <v>22</v>
      </c>
      <c r="O2965" t="str">
        <f t="shared" si="46"/>
        <v>No</v>
      </c>
    </row>
    <row r="2966" spans="1:15" x14ac:dyDescent="0.25">
      <c r="A2966" t="s">
        <v>3027</v>
      </c>
      <c r="B2966" s="1">
        <v>45790</v>
      </c>
      <c r="C2966" s="2">
        <v>45791.204583333332</v>
      </c>
      <c r="D2966" t="s">
        <v>15</v>
      </c>
      <c r="E2966" t="s">
        <v>32</v>
      </c>
      <c r="F2966" t="s">
        <v>80</v>
      </c>
      <c r="G2966" t="s">
        <v>18</v>
      </c>
      <c r="H2966" t="s">
        <v>27</v>
      </c>
      <c r="I2966" t="s">
        <v>36</v>
      </c>
      <c r="J2966" t="s">
        <v>21</v>
      </c>
      <c r="K2966">
        <v>48</v>
      </c>
      <c r="L2966">
        <v>28.91</v>
      </c>
      <c r="M2966">
        <v>4.0999999999999996</v>
      </c>
      <c r="N2966" t="s">
        <v>22</v>
      </c>
      <c r="O2966" t="str">
        <f t="shared" si="46"/>
        <v>No</v>
      </c>
    </row>
    <row r="2967" spans="1:15" x14ac:dyDescent="0.25">
      <c r="A2967" t="s">
        <v>3028</v>
      </c>
      <c r="B2967" s="1">
        <v>45765</v>
      </c>
      <c r="C2967" s="2">
        <v>45765.217916666668</v>
      </c>
      <c r="D2967" t="s">
        <v>38</v>
      </c>
      <c r="E2967" t="s">
        <v>25</v>
      </c>
      <c r="F2967" t="s">
        <v>53</v>
      </c>
      <c r="G2967" t="s">
        <v>56</v>
      </c>
      <c r="H2967" t="s">
        <v>44</v>
      </c>
      <c r="I2967" t="s">
        <v>45</v>
      </c>
      <c r="J2967" t="s">
        <v>21</v>
      </c>
      <c r="K2967">
        <v>8</v>
      </c>
      <c r="L2967">
        <v>5.23</v>
      </c>
      <c r="M2967">
        <v>4.5</v>
      </c>
      <c r="N2967" t="s">
        <v>22</v>
      </c>
      <c r="O2967" t="str">
        <f t="shared" si="46"/>
        <v>No</v>
      </c>
    </row>
    <row r="2968" spans="1:15" x14ac:dyDescent="0.25">
      <c r="A2968" t="s">
        <v>3029</v>
      </c>
      <c r="B2968" s="1">
        <v>45701</v>
      </c>
      <c r="C2968" s="2">
        <v>45701.556666666664</v>
      </c>
      <c r="D2968" t="s">
        <v>38</v>
      </c>
      <c r="E2968" t="s">
        <v>39</v>
      </c>
      <c r="F2968" t="s">
        <v>87</v>
      </c>
      <c r="G2968" t="s">
        <v>34</v>
      </c>
      <c r="H2968" t="s">
        <v>44</v>
      </c>
      <c r="I2968" t="s">
        <v>45</v>
      </c>
      <c r="J2968" t="s">
        <v>21</v>
      </c>
      <c r="K2968">
        <v>8</v>
      </c>
      <c r="L2968">
        <v>13.36</v>
      </c>
      <c r="M2968">
        <v>2.8</v>
      </c>
      <c r="N2968" t="s">
        <v>22</v>
      </c>
      <c r="O2968" t="str">
        <f t="shared" si="46"/>
        <v>Yes</v>
      </c>
    </row>
    <row r="2969" spans="1:15" x14ac:dyDescent="0.25">
      <c r="A2969" t="s">
        <v>3030</v>
      </c>
      <c r="B2969" s="1">
        <v>45699</v>
      </c>
      <c r="C2969" s="2">
        <v>45699.615833333337</v>
      </c>
      <c r="D2969" t="s">
        <v>15</v>
      </c>
      <c r="E2969" t="s">
        <v>32</v>
      </c>
      <c r="F2969" t="s">
        <v>64</v>
      </c>
      <c r="G2969" t="s">
        <v>18</v>
      </c>
      <c r="H2969" t="s">
        <v>44</v>
      </c>
      <c r="I2969" t="s">
        <v>45</v>
      </c>
      <c r="J2969" t="s">
        <v>21</v>
      </c>
      <c r="K2969">
        <v>48</v>
      </c>
      <c r="L2969">
        <v>14.78</v>
      </c>
      <c r="M2969">
        <v>3.2</v>
      </c>
      <c r="N2969" t="s">
        <v>22</v>
      </c>
      <c r="O2969" t="str">
        <f t="shared" si="46"/>
        <v>No</v>
      </c>
    </row>
    <row r="2970" spans="1:15" x14ac:dyDescent="0.25">
      <c r="A2970" t="s">
        <v>3031</v>
      </c>
      <c r="B2970" s="1">
        <v>45788</v>
      </c>
      <c r="C2970" s="2">
        <v>45788.631249999999</v>
      </c>
      <c r="D2970" t="s">
        <v>24</v>
      </c>
      <c r="E2970" t="s">
        <v>39</v>
      </c>
      <c r="F2970" t="s">
        <v>87</v>
      </c>
      <c r="G2970" t="s">
        <v>18</v>
      </c>
      <c r="H2970" t="s">
        <v>65</v>
      </c>
      <c r="I2970" t="s">
        <v>36</v>
      </c>
      <c r="J2970" t="s">
        <v>46</v>
      </c>
      <c r="K2970">
        <v>24</v>
      </c>
      <c r="L2970">
        <v>15.15</v>
      </c>
      <c r="M2970">
        <v>4.5999999999999996</v>
      </c>
      <c r="N2970" t="s">
        <v>61</v>
      </c>
      <c r="O2970" t="str">
        <f t="shared" si="46"/>
        <v>No</v>
      </c>
    </row>
    <row r="2971" spans="1:15" x14ac:dyDescent="0.25">
      <c r="A2971" t="s">
        <v>3032</v>
      </c>
      <c r="B2971" s="1">
        <v>45773</v>
      </c>
      <c r="C2971" s="2">
        <v>45773.822916666664</v>
      </c>
      <c r="D2971" t="s">
        <v>15</v>
      </c>
      <c r="E2971" t="s">
        <v>32</v>
      </c>
      <c r="F2971" t="s">
        <v>75</v>
      </c>
      <c r="G2971" t="s">
        <v>34</v>
      </c>
      <c r="H2971" t="s">
        <v>35</v>
      </c>
      <c r="I2971" t="s">
        <v>36</v>
      </c>
      <c r="J2971" t="s">
        <v>21</v>
      </c>
      <c r="K2971">
        <v>48</v>
      </c>
      <c r="L2971">
        <v>19.75</v>
      </c>
      <c r="M2971">
        <v>5</v>
      </c>
      <c r="N2971" t="s">
        <v>22</v>
      </c>
      <c r="O2971" t="str">
        <f t="shared" si="46"/>
        <v>No</v>
      </c>
    </row>
    <row r="2972" spans="1:15" x14ac:dyDescent="0.25">
      <c r="A2972" t="s">
        <v>3033</v>
      </c>
      <c r="B2972" s="1">
        <v>45768</v>
      </c>
      <c r="C2972" s="2">
        <v>45769.574999999997</v>
      </c>
      <c r="D2972" t="s">
        <v>24</v>
      </c>
      <c r="E2972" t="s">
        <v>32</v>
      </c>
      <c r="F2972" t="s">
        <v>75</v>
      </c>
      <c r="G2972" t="s">
        <v>18</v>
      </c>
      <c r="H2972" t="s">
        <v>19</v>
      </c>
      <c r="I2972" t="s">
        <v>36</v>
      </c>
      <c r="J2972" t="s">
        <v>21</v>
      </c>
      <c r="K2972">
        <v>24</v>
      </c>
      <c r="L2972">
        <v>37.799999999999997</v>
      </c>
      <c r="M2972">
        <v>3.8</v>
      </c>
      <c r="N2972" t="s">
        <v>22</v>
      </c>
      <c r="O2972" t="str">
        <f t="shared" si="46"/>
        <v>Yes</v>
      </c>
    </row>
    <row r="2973" spans="1:15" x14ac:dyDescent="0.25">
      <c r="A2973" t="s">
        <v>3034</v>
      </c>
      <c r="B2973" s="1">
        <v>45667</v>
      </c>
      <c r="C2973" s="2">
        <v>45669.383333333331</v>
      </c>
      <c r="D2973" t="s">
        <v>15</v>
      </c>
      <c r="E2973" t="s">
        <v>16</v>
      </c>
      <c r="F2973" t="s">
        <v>60</v>
      </c>
      <c r="G2973" t="s">
        <v>34</v>
      </c>
      <c r="H2973" t="s">
        <v>27</v>
      </c>
      <c r="I2973" t="s">
        <v>36</v>
      </c>
      <c r="J2973" t="s">
        <v>46</v>
      </c>
      <c r="K2973">
        <v>48</v>
      </c>
      <c r="L2973">
        <v>57.2</v>
      </c>
      <c r="M2973">
        <v>2.8</v>
      </c>
      <c r="N2973" t="s">
        <v>22</v>
      </c>
      <c r="O2973" t="str">
        <f t="shared" si="46"/>
        <v>Yes</v>
      </c>
    </row>
    <row r="2974" spans="1:15" x14ac:dyDescent="0.25">
      <c r="A2974" t="s">
        <v>3035</v>
      </c>
      <c r="B2974" s="1">
        <v>45766</v>
      </c>
      <c r="C2974" s="2">
        <v>45766.207499999997</v>
      </c>
      <c r="D2974" t="s">
        <v>38</v>
      </c>
      <c r="E2974" t="s">
        <v>25</v>
      </c>
      <c r="F2974" t="s">
        <v>70</v>
      </c>
      <c r="G2974" t="s">
        <v>18</v>
      </c>
      <c r="H2974" t="s">
        <v>44</v>
      </c>
      <c r="I2974" t="s">
        <v>45</v>
      </c>
      <c r="J2974" t="s">
        <v>46</v>
      </c>
      <c r="K2974">
        <v>8</v>
      </c>
      <c r="L2974">
        <v>4.9800000000000004</v>
      </c>
      <c r="M2974">
        <v>4.5999999999999996</v>
      </c>
      <c r="N2974" t="s">
        <v>22</v>
      </c>
      <c r="O2974" t="str">
        <f t="shared" si="46"/>
        <v>No</v>
      </c>
    </row>
    <row r="2975" spans="1:15" x14ac:dyDescent="0.25">
      <c r="A2975" t="s">
        <v>3036</v>
      </c>
      <c r="B2975" s="1">
        <v>45835</v>
      </c>
      <c r="C2975" s="2">
        <v>45835.032500000001</v>
      </c>
      <c r="D2975" t="s">
        <v>15</v>
      </c>
      <c r="E2975" t="s">
        <v>25</v>
      </c>
      <c r="F2975" t="s">
        <v>48</v>
      </c>
      <c r="G2975" t="s">
        <v>51</v>
      </c>
      <c r="H2975" t="s">
        <v>44</v>
      </c>
      <c r="I2975" t="s">
        <v>36</v>
      </c>
      <c r="J2975" t="s">
        <v>46</v>
      </c>
      <c r="K2975">
        <v>48</v>
      </c>
      <c r="L2975">
        <v>0.78</v>
      </c>
      <c r="M2975">
        <v>5</v>
      </c>
      <c r="N2975" t="s">
        <v>22</v>
      </c>
      <c r="O2975" t="str">
        <f t="shared" si="46"/>
        <v>No</v>
      </c>
    </row>
    <row r="2976" spans="1:15" x14ac:dyDescent="0.25">
      <c r="A2976" t="s">
        <v>3037</v>
      </c>
      <c r="B2976" s="1">
        <v>45661</v>
      </c>
      <c r="C2976" s="2">
        <v>45662.228333333333</v>
      </c>
      <c r="D2976" t="s">
        <v>24</v>
      </c>
      <c r="E2976" t="s">
        <v>39</v>
      </c>
      <c r="F2976" t="s">
        <v>40</v>
      </c>
      <c r="G2976" t="s">
        <v>56</v>
      </c>
      <c r="H2976" t="s">
        <v>35</v>
      </c>
      <c r="I2976" t="s">
        <v>28</v>
      </c>
      <c r="J2976" t="s">
        <v>21</v>
      </c>
      <c r="K2976">
        <v>24</v>
      </c>
      <c r="L2976">
        <v>29.48</v>
      </c>
      <c r="M2976">
        <v>5</v>
      </c>
      <c r="N2976" t="s">
        <v>22</v>
      </c>
      <c r="O2976" t="str">
        <f t="shared" si="46"/>
        <v>Yes</v>
      </c>
    </row>
    <row r="2977" spans="1:15" x14ac:dyDescent="0.25">
      <c r="A2977" t="s">
        <v>3038</v>
      </c>
      <c r="B2977" s="1">
        <v>45742</v>
      </c>
      <c r="C2977" s="2">
        <v>45742.273333333331</v>
      </c>
      <c r="D2977" t="s">
        <v>15</v>
      </c>
      <c r="E2977" t="s">
        <v>32</v>
      </c>
      <c r="F2977" t="s">
        <v>75</v>
      </c>
      <c r="G2977" t="s">
        <v>34</v>
      </c>
      <c r="H2977" t="s">
        <v>27</v>
      </c>
      <c r="I2977" t="s">
        <v>45</v>
      </c>
      <c r="J2977" t="s">
        <v>46</v>
      </c>
      <c r="K2977">
        <v>48</v>
      </c>
      <c r="L2977">
        <v>6.56</v>
      </c>
      <c r="M2977">
        <v>5</v>
      </c>
      <c r="N2977" t="s">
        <v>22</v>
      </c>
      <c r="O2977" t="str">
        <f t="shared" si="46"/>
        <v>No</v>
      </c>
    </row>
    <row r="2978" spans="1:15" x14ac:dyDescent="0.25">
      <c r="A2978" t="s">
        <v>3039</v>
      </c>
      <c r="B2978" s="1">
        <v>45747</v>
      </c>
      <c r="C2978" s="2">
        <v>45747.17</v>
      </c>
      <c r="D2978" t="s">
        <v>15</v>
      </c>
      <c r="E2978" t="s">
        <v>16</v>
      </c>
      <c r="F2978" t="s">
        <v>17</v>
      </c>
      <c r="G2978" t="s">
        <v>56</v>
      </c>
      <c r="H2978" t="s">
        <v>19</v>
      </c>
      <c r="I2978" t="s">
        <v>36</v>
      </c>
      <c r="J2978" t="s">
        <v>85</v>
      </c>
      <c r="K2978">
        <v>48</v>
      </c>
      <c r="L2978">
        <v>4.08</v>
      </c>
      <c r="M2978">
        <v>5</v>
      </c>
      <c r="N2978" t="s">
        <v>22</v>
      </c>
      <c r="O2978" t="str">
        <f t="shared" si="46"/>
        <v>No</v>
      </c>
    </row>
    <row r="2979" spans="1:15" x14ac:dyDescent="0.25">
      <c r="A2979" t="s">
        <v>3040</v>
      </c>
      <c r="B2979" s="1">
        <v>45820</v>
      </c>
      <c r="C2979" s="2">
        <v>45821.052083333336</v>
      </c>
      <c r="D2979" t="s">
        <v>24</v>
      </c>
      <c r="E2979" t="s">
        <v>39</v>
      </c>
      <c r="F2979" t="s">
        <v>78</v>
      </c>
      <c r="G2979" t="s">
        <v>56</v>
      </c>
      <c r="H2979" t="s">
        <v>54</v>
      </c>
      <c r="I2979" t="s">
        <v>36</v>
      </c>
      <c r="J2979" t="s">
        <v>21</v>
      </c>
      <c r="K2979">
        <v>24</v>
      </c>
      <c r="L2979">
        <v>25.25</v>
      </c>
      <c r="M2979">
        <v>3.1</v>
      </c>
      <c r="N2979" t="s">
        <v>22</v>
      </c>
      <c r="O2979" t="str">
        <f t="shared" si="46"/>
        <v>Yes</v>
      </c>
    </row>
    <row r="2980" spans="1:15" x14ac:dyDescent="0.25">
      <c r="A2980" t="s">
        <v>3041</v>
      </c>
      <c r="B2980" s="1">
        <v>45709</v>
      </c>
      <c r="C2980" s="2">
        <v>45709.783333333333</v>
      </c>
      <c r="D2980" t="s">
        <v>24</v>
      </c>
      <c r="E2980" t="s">
        <v>32</v>
      </c>
      <c r="F2980" t="s">
        <v>64</v>
      </c>
      <c r="G2980" t="s">
        <v>56</v>
      </c>
      <c r="H2980" t="s">
        <v>19</v>
      </c>
      <c r="I2980" t="s">
        <v>36</v>
      </c>
      <c r="J2980" t="s">
        <v>21</v>
      </c>
      <c r="K2980">
        <v>24</v>
      </c>
      <c r="L2980">
        <v>18.8</v>
      </c>
      <c r="M2980">
        <v>3.3</v>
      </c>
      <c r="N2980" t="s">
        <v>22</v>
      </c>
      <c r="O2980" t="str">
        <f t="shared" si="46"/>
        <v>No</v>
      </c>
    </row>
    <row r="2981" spans="1:15" x14ac:dyDescent="0.25">
      <c r="A2981" t="s">
        <v>3042</v>
      </c>
      <c r="B2981" s="1">
        <v>45744</v>
      </c>
      <c r="C2981" s="2">
        <v>45744.121666666666</v>
      </c>
      <c r="D2981" t="s">
        <v>31</v>
      </c>
      <c r="E2981" t="s">
        <v>45</v>
      </c>
      <c r="F2981" t="s">
        <v>112</v>
      </c>
      <c r="G2981" t="s">
        <v>18</v>
      </c>
      <c r="H2981" t="s">
        <v>44</v>
      </c>
      <c r="I2981" t="s">
        <v>36</v>
      </c>
      <c r="J2981" t="s">
        <v>21</v>
      </c>
      <c r="K2981">
        <v>4</v>
      </c>
      <c r="L2981">
        <v>2.92</v>
      </c>
      <c r="M2981">
        <v>4.8</v>
      </c>
      <c r="N2981" t="s">
        <v>22</v>
      </c>
      <c r="O2981" t="str">
        <f t="shared" si="46"/>
        <v>No</v>
      </c>
    </row>
    <row r="2982" spans="1:15" x14ac:dyDescent="0.25">
      <c r="A2982" t="s">
        <v>3043</v>
      </c>
      <c r="B2982" s="1">
        <v>45787</v>
      </c>
      <c r="C2982" s="2">
        <v>45787.640833333331</v>
      </c>
      <c r="D2982" t="s">
        <v>15</v>
      </c>
      <c r="E2982" t="s">
        <v>45</v>
      </c>
      <c r="F2982" t="s">
        <v>112</v>
      </c>
      <c r="G2982" t="s">
        <v>56</v>
      </c>
      <c r="H2982" t="s">
        <v>19</v>
      </c>
      <c r="I2982" t="s">
        <v>28</v>
      </c>
      <c r="J2982" t="s">
        <v>46</v>
      </c>
      <c r="K2982">
        <v>48</v>
      </c>
      <c r="L2982">
        <v>15.38</v>
      </c>
      <c r="M2982">
        <v>3.3</v>
      </c>
      <c r="N2982" t="s">
        <v>22</v>
      </c>
      <c r="O2982" t="str">
        <f t="shared" si="46"/>
        <v>No</v>
      </c>
    </row>
    <row r="2983" spans="1:15" x14ac:dyDescent="0.25">
      <c r="A2983" t="s">
        <v>3044</v>
      </c>
      <c r="B2983" s="1">
        <v>45668</v>
      </c>
      <c r="C2983" s="2">
        <v>45668.227916666663</v>
      </c>
      <c r="D2983" t="s">
        <v>15</v>
      </c>
      <c r="E2983" t="s">
        <v>32</v>
      </c>
      <c r="F2983" t="s">
        <v>64</v>
      </c>
      <c r="G2983" t="s">
        <v>56</v>
      </c>
      <c r="H2983" t="s">
        <v>54</v>
      </c>
      <c r="I2983" t="s">
        <v>45</v>
      </c>
      <c r="J2983" t="s">
        <v>21</v>
      </c>
      <c r="K2983">
        <v>48</v>
      </c>
      <c r="L2983">
        <v>5.47</v>
      </c>
      <c r="M2983">
        <v>5</v>
      </c>
      <c r="N2983" t="s">
        <v>22</v>
      </c>
      <c r="O2983" t="str">
        <f t="shared" si="46"/>
        <v>No</v>
      </c>
    </row>
    <row r="2984" spans="1:15" x14ac:dyDescent="0.25">
      <c r="A2984" t="s">
        <v>3045</v>
      </c>
      <c r="B2984" s="1">
        <v>45802</v>
      </c>
      <c r="C2984" s="2">
        <v>45802.024155092593</v>
      </c>
      <c r="D2984" t="s">
        <v>24</v>
      </c>
      <c r="E2984" t="s">
        <v>25</v>
      </c>
      <c r="F2984" t="s">
        <v>70</v>
      </c>
      <c r="G2984" t="s">
        <v>51</v>
      </c>
      <c r="H2984" t="s">
        <v>27</v>
      </c>
      <c r="I2984" t="s">
        <v>20</v>
      </c>
      <c r="J2984" t="s">
        <v>46</v>
      </c>
      <c r="K2984">
        <v>24</v>
      </c>
      <c r="L2984">
        <v>0.57999999999999996</v>
      </c>
      <c r="M2984">
        <v>5</v>
      </c>
      <c r="N2984" t="s">
        <v>22</v>
      </c>
      <c r="O2984" t="str">
        <f t="shared" si="46"/>
        <v>No</v>
      </c>
    </row>
    <row r="2985" spans="1:15" x14ac:dyDescent="0.25">
      <c r="A2985" t="s">
        <v>3046</v>
      </c>
      <c r="B2985" s="1">
        <v>45806</v>
      </c>
      <c r="C2985" s="2">
        <v>45806.727916666663</v>
      </c>
      <c r="D2985" t="s">
        <v>24</v>
      </c>
      <c r="E2985" t="s">
        <v>16</v>
      </c>
      <c r="F2985" t="s">
        <v>43</v>
      </c>
      <c r="G2985" t="s">
        <v>41</v>
      </c>
      <c r="H2985" t="s">
        <v>54</v>
      </c>
      <c r="I2985" t="s">
        <v>45</v>
      </c>
      <c r="J2985" t="s">
        <v>21</v>
      </c>
      <c r="K2985">
        <v>24</v>
      </c>
      <c r="L2985">
        <v>17.47</v>
      </c>
      <c r="M2985">
        <v>4.5999999999999996</v>
      </c>
      <c r="N2985" t="s">
        <v>22</v>
      </c>
      <c r="O2985" t="str">
        <f t="shared" si="46"/>
        <v>No</v>
      </c>
    </row>
    <row r="2986" spans="1:15" x14ac:dyDescent="0.25">
      <c r="A2986" t="s">
        <v>3047</v>
      </c>
      <c r="B2986" s="1">
        <v>45788</v>
      </c>
      <c r="C2986" s="2">
        <v>45788.055</v>
      </c>
      <c r="D2986" t="s">
        <v>38</v>
      </c>
      <c r="E2986" t="s">
        <v>32</v>
      </c>
      <c r="F2986" t="s">
        <v>80</v>
      </c>
      <c r="G2986" t="s">
        <v>56</v>
      </c>
      <c r="H2986" t="s">
        <v>65</v>
      </c>
      <c r="I2986" t="s">
        <v>28</v>
      </c>
      <c r="J2986" t="s">
        <v>21</v>
      </c>
      <c r="K2986">
        <v>8</v>
      </c>
      <c r="L2986">
        <v>1.32</v>
      </c>
      <c r="M2986">
        <v>5</v>
      </c>
      <c r="N2986" t="s">
        <v>22</v>
      </c>
      <c r="O2986" t="str">
        <f t="shared" si="46"/>
        <v>No</v>
      </c>
    </row>
    <row r="2987" spans="1:15" x14ac:dyDescent="0.25">
      <c r="A2987" t="s">
        <v>3048</v>
      </c>
      <c r="B2987" s="1">
        <v>45775</v>
      </c>
      <c r="C2987" s="2">
        <v>45775.274583333332</v>
      </c>
      <c r="D2987" t="s">
        <v>38</v>
      </c>
      <c r="E2987" t="s">
        <v>16</v>
      </c>
      <c r="F2987" t="s">
        <v>58</v>
      </c>
      <c r="G2987" t="s">
        <v>56</v>
      </c>
      <c r="H2987" t="s">
        <v>54</v>
      </c>
      <c r="I2987" t="s">
        <v>20</v>
      </c>
      <c r="J2987" t="s">
        <v>21</v>
      </c>
      <c r="K2987">
        <v>8</v>
      </c>
      <c r="L2987">
        <v>6.59</v>
      </c>
      <c r="M2987">
        <v>4</v>
      </c>
      <c r="N2987" t="s">
        <v>22</v>
      </c>
      <c r="O2987" t="str">
        <f t="shared" si="46"/>
        <v>No</v>
      </c>
    </row>
    <row r="2988" spans="1:15" x14ac:dyDescent="0.25">
      <c r="A2988" t="s">
        <v>3049</v>
      </c>
      <c r="B2988" s="1">
        <v>45793</v>
      </c>
      <c r="C2988" s="2">
        <v>45793.062916666669</v>
      </c>
      <c r="D2988" t="s">
        <v>38</v>
      </c>
      <c r="E2988" t="s">
        <v>32</v>
      </c>
      <c r="F2988" t="s">
        <v>75</v>
      </c>
      <c r="G2988" t="s">
        <v>51</v>
      </c>
      <c r="H2988" t="s">
        <v>35</v>
      </c>
      <c r="I2988" t="s">
        <v>36</v>
      </c>
      <c r="J2988" t="s">
        <v>21</v>
      </c>
      <c r="K2988">
        <v>8</v>
      </c>
      <c r="L2988">
        <v>1.51</v>
      </c>
      <c r="M2988">
        <v>4.5</v>
      </c>
      <c r="N2988" t="s">
        <v>22</v>
      </c>
      <c r="O2988" t="str">
        <f t="shared" si="46"/>
        <v>No</v>
      </c>
    </row>
    <row r="2989" spans="1:15" x14ac:dyDescent="0.25">
      <c r="A2989" t="s">
        <v>3050</v>
      </c>
      <c r="B2989" s="1">
        <v>45799</v>
      </c>
      <c r="C2989" s="2">
        <v>45800.267500000002</v>
      </c>
      <c r="D2989" t="s">
        <v>15</v>
      </c>
      <c r="E2989" t="s">
        <v>32</v>
      </c>
      <c r="F2989" t="s">
        <v>33</v>
      </c>
      <c r="G2989" t="s">
        <v>51</v>
      </c>
      <c r="H2989" t="s">
        <v>35</v>
      </c>
      <c r="I2989" t="s">
        <v>36</v>
      </c>
      <c r="J2989" t="s">
        <v>46</v>
      </c>
      <c r="K2989">
        <v>48</v>
      </c>
      <c r="L2989">
        <v>30.42</v>
      </c>
      <c r="M2989">
        <v>5</v>
      </c>
      <c r="N2989" t="s">
        <v>61</v>
      </c>
      <c r="O2989" t="str">
        <f t="shared" si="46"/>
        <v>No</v>
      </c>
    </row>
    <row r="2990" spans="1:15" x14ac:dyDescent="0.25">
      <c r="A2990" t="s">
        <v>3051</v>
      </c>
      <c r="B2990" s="1">
        <v>45821</v>
      </c>
      <c r="C2990" s="2">
        <v>45821.215416666666</v>
      </c>
      <c r="D2990" t="s">
        <v>24</v>
      </c>
      <c r="E2990" t="s">
        <v>45</v>
      </c>
      <c r="F2990" t="s">
        <v>100</v>
      </c>
      <c r="G2990" t="s">
        <v>56</v>
      </c>
      <c r="H2990" t="s">
        <v>19</v>
      </c>
      <c r="I2990" t="s">
        <v>36</v>
      </c>
      <c r="J2990" t="s">
        <v>21</v>
      </c>
      <c r="K2990">
        <v>24</v>
      </c>
      <c r="L2990">
        <v>5.17</v>
      </c>
      <c r="M2990">
        <v>5</v>
      </c>
      <c r="N2990" t="s">
        <v>22</v>
      </c>
      <c r="O2990" t="str">
        <f t="shared" si="46"/>
        <v>No</v>
      </c>
    </row>
    <row r="2991" spans="1:15" x14ac:dyDescent="0.25">
      <c r="A2991" t="s">
        <v>3052</v>
      </c>
      <c r="B2991" s="1">
        <v>45735</v>
      </c>
      <c r="C2991" s="2">
        <v>45735.328750000001</v>
      </c>
      <c r="D2991" t="s">
        <v>38</v>
      </c>
      <c r="E2991" t="s">
        <v>16</v>
      </c>
      <c r="F2991" t="s">
        <v>60</v>
      </c>
      <c r="G2991" t="s">
        <v>41</v>
      </c>
      <c r="H2991" t="s">
        <v>27</v>
      </c>
      <c r="I2991" t="s">
        <v>36</v>
      </c>
      <c r="J2991" t="s">
        <v>21</v>
      </c>
      <c r="K2991">
        <v>8</v>
      </c>
      <c r="L2991">
        <v>7.89</v>
      </c>
      <c r="M2991">
        <v>4.4000000000000004</v>
      </c>
      <c r="N2991" t="s">
        <v>22</v>
      </c>
      <c r="O2991" t="str">
        <f t="shared" si="46"/>
        <v>No</v>
      </c>
    </row>
    <row r="2992" spans="1:15" x14ac:dyDescent="0.25">
      <c r="A2992" t="s">
        <v>3053</v>
      </c>
      <c r="B2992" s="1">
        <v>45740</v>
      </c>
      <c r="C2992" s="2">
        <v>45740.705000000002</v>
      </c>
      <c r="D2992" t="s">
        <v>24</v>
      </c>
      <c r="E2992" t="s">
        <v>32</v>
      </c>
      <c r="F2992" t="s">
        <v>64</v>
      </c>
      <c r="G2992" t="s">
        <v>18</v>
      </c>
      <c r="H2992" t="s">
        <v>35</v>
      </c>
      <c r="I2992" t="s">
        <v>45</v>
      </c>
      <c r="J2992" t="s">
        <v>29</v>
      </c>
      <c r="K2992">
        <v>24</v>
      </c>
      <c r="L2992">
        <v>16.920000000000002</v>
      </c>
      <c r="M2992">
        <v>4.2</v>
      </c>
      <c r="N2992" t="s">
        <v>22</v>
      </c>
      <c r="O2992" t="str">
        <f t="shared" si="46"/>
        <v>No</v>
      </c>
    </row>
    <row r="2993" spans="1:15" x14ac:dyDescent="0.25">
      <c r="A2993" t="s">
        <v>3054</v>
      </c>
      <c r="B2993" s="1">
        <v>45773</v>
      </c>
      <c r="C2993" s="2">
        <v>45773.591666666667</v>
      </c>
      <c r="D2993" t="s">
        <v>24</v>
      </c>
      <c r="E2993" t="s">
        <v>39</v>
      </c>
      <c r="F2993" t="s">
        <v>40</v>
      </c>
      <c r="G2993" t="s">
        <v>18</v>
      </c>
      <c r="H2993" t="s">
        <v>19</v>
      </c>
      <c r="I2993" t="s">
        <v>36</v>
      </c>
      <c r="J2993" t="s">
        <v>21</v>
      </c>
      <c r="K2993">
        <v>24</v>
      </c>
      <c r="L2993">
        <v>14.2</v>
      </c>
      <c r="M2993">
        <v>3.9</v>
      </c>
      <c r="N2993" t="s">
        <v>22</v>
      </c>
      <c r="O2993" t="str">
        <f t="shared" si="46"/>
        <v>No</v>
      </c>
    </row>
    <row r="2994" spans="1:15" x14ac:dyDescent="0.25">
      <c r="A2994" t="s">
        <v>3055</v>
      </c>
      <c r="B2994" s="1">
        <v>45692</v>
      </c>
      <c r="C2994" s="2">
        <v>45692.500833333332</v>
      </c>
      <c r="D2994" t="s">
        <v>15</v>
      </c>
      <c r="E2994" t="s">
        <v>45</v>
      </c>
      <c r="F2994" t="s">
        <v>104</v>
      </c>
      <c r="G2994" t="s">
        <v>18</v>
      </c>
      <c r="H2994" t="s">
        <v>44</v>
      </c>
      <c r="I2994" t="s">
        <v>20</v>
      </c>
      <c r="J2994" t="s">
        <v>21</v>
      </c>
      <c r="K2994">
        <v>48</v>
      </c>
      <c r="L2994">
        <v>12.02</v>
      </c>
      <c r="M2994">
        <v>5</v>
      </c>
      <c r="N2994" t="s">
        <v>22</v>
      </c>
      <c r="O2994" t="str">
        <f t="shared" si="46"/>
        <v>No</v>
      </c>
    </row>
    <row r="2995" spans="1:15" x14ac:dyDescent="0.25">
      <c r="A2995" t="s">
        <v>3056</v>
      </c>
      <c r="B2995" s="1">
        <v>45812</v>
      </c>
      <c r="C2995" s="2">
        <v>45812.129583333335</v>
      </c>
      <c r="D2995" t="s">
        <v>24</v>
      </c>
      <c r="E2995" t="s">
        <v>39</v>
      </c>
      <c r="F2995" t="s">
        <v>87</v>
      </c>
      <c r="G2995" t="s">
        <v>51</v>
      </c>
      <c r="H2995" t="s">
        <v>27</v>
      </c>
      <c r="I2995" t="s">
        <v>36</v>
      </c>
      <c r="J2995" t="s">
        <v>21</v>
      </c>
      <c r="K2995">
        <v>24</v>
      </c>
      <c r="L2995">
        <v>3.11</v>
      </c>
      <c r="M2995">
        <v>4.5999999999999996</v>
      </c>
      <c r="N2995" t="s">
        <v>22</v>
      </c>
      <c r="O2995" t="str">
        <f t="shared" si="46"/>
        <v>No</v>
      </c>
    </row>
    <row r="2996" spans="1:15" x14ac:dyDescent="0.25">
      <c r="A2996" t="s">
        <v>3057</v>
      </c>
      <c r="B2996" s="1">
        <v>45797</v>
      </c>
      <c r="C2996" s="2">
        <v>45797.243750000001</v>
      </c>
      <c r="D2996" t="s">
        <v>38</v>
      </c>
      <c r="E2996" t="s">
        <v>45</v>
      </c>
      <c r="F2996" t="s">
        <v>100</v>
      </c>
      <c r="G2996" t="s">
        <v>56</v>
      </c>
      <c r="H2996" t="s">
        <v>35</v>
      </c>
      <c r="I2996" t="s">
        <v>20</v>
      </c>
      <c r="J2996" t="s">
        <v>29</v>
      </c>
      <c r="K2996">
        <v>8</v>
      </c>
      <c r="L2996">
        <v>5.85</v>
      </c>
      <c r="M2996">
        <v>4.2</v>
      </c>
      <c r="N2996" t="s">
        <v>22</v>
      </c>
      <c r="O2996" t="str">
        <f t="shared" si="46"/>
        <v>No</v>
      </c>
    </row>
    <row r="2997" spans="1:15" x14ac:dyDescent="0.25">
      <c r="A2997" t="s">
        <v>3058</v>
      </c>
      <c r="B2997" s="1">
        <v>45772</v>
      </c>
      <c r="C2997" s="2">
        <v>45772.655833333331</v>
      </c>
      <c r="D2997" t="s">
        <v>15</v>
      </c>
      <c r="E2997" t="s">
        <v>25</v>
      </c>
      <c r="F2997" t="s">
        <v>70</v>
      </c>
      <c r="G2997" t="s">
        <v>51</v>
      </c>
      <c r="H2997" t="s">
        <v>27</v>
      </c>
      <c r="I2997" t="s">
        <v>36</v>
      </c>
      <c r="J2997" t="s">
        <v>21</v>
      </c>
      <c r="K2997">
        <v>48</v>
      </c>
      <c r="L2997">
        <v>15.74</v>
      </c>
      <c r="M2997">
        <v>5</v>
      </c>
      <c r="N2997" t="s">
        <v>22</v>
      </c>
      <c r="O2997" t="str">
        <f t="shared" si="46"/>
        <v>No</v>
      </c>
    </row>
    <row r="2998" spans="1:15" x14ac:dyDescent="0.25">
      <c r="A2998" t="s">
        <v>3059</v>
      </c>
      <c r="B2998" s="1">
        <v>45712</v>
      </c>
      <c r="C2998" s="2">
        <v>45712.09375</v>
      </c>
      <c r="D2998" t="s">
        <v>31</v>
      </c>
      <c r="E2998" t="s">
        <v>39</v>
      </c>
      <c r="F2998" t="s">
        <v>40</v>
      </c>
      <c r="G2998" t="s">
        <v>41</v>
      </c>
      <c r="H2998" t="s">
        <v>44</v>
      </c>
      <c r="I2998" t="s">
        <v>36</v>
      </c>
      <c r="J2998" t="s">
        <v>21</v>
      </c>
      <c r="K2998">
        <v>4</v>
      </c>
      <c r="L2998">
        <v>2.25</v>
      </c>
      <c r="M2998">
        <v>4.5</v>
      </c>
      <c r="N2998" t="s">
        <v>22</v>
      </c>
      <c r="O2998" t="str">
        <f t="shared" si="46"/>
        <v>No</v>
      </c>
    </row>
    <row r="2999" spans="1:15" x14ac:dyDescent="0.25">
      <c r="A2999" t="s">
        <v>3060</v>
      </c>
      <c r="B2999" s="1">
        <v>45720</v>
      </c>
      <c r="C2999" s="2">
        <v>45720.536249999997</v>
      </c>
      <c r="D2999" t="s">
        <v>24</v>
      </c>
      <c r="E2999" t="s">
        <v>16</v>
      </c>
      <c r="F2999" t="s">
        <v>43</v>
      </c>
      <c r="G2999" t="s">
        <v>34</v>
      </c>
      <c r="H2999" t="s">
        <v>54</v>
      </c>
      <c r="I2999" t="s">
        <v>20</v>
      </c>
      <c r="J2999" t="s">
        <v>46</v>
      </c>
      <c r="K2999">
        <v>24</v>
      </c>
      <c r="L2999">
        <v>12.87</v>
      </c>
      <c r="M2999">
        <v>5</v>
      </c>
      <c r="N2999" t="s">
        <v>22</v>
      </c>
      <c r="O2999" t="str">
        <f t="shared" si="46"/>
        <v>No</v>
      </c>
    </row>
    <row r="3000" spans="1:15" x14ac:dyDescent="0.25">
      <c r="A3000" t="s">
        <v>3061</v>
      </c>
      <c r="B3000" s="1">
        <v>45736</v>
      </c>
      <c r="C3000" s="2">
        <v>45737.016250000001</v>
      </c>
      <c r="D3000" t="s">
        <v>15</v>
      </c>
      <c r="E3000" t="s">
        <v>16</v>
      </c>
      <c r="F3000" t="s">
        <v>60</v>
      </c>
      <c r="G3000" t="s">
        <v>56</v>
      </c>
      <c r="H3000" t="s">
        <v>27</v>
      </c>
      <c r="I3000" t="s">
        <v>36</v>
      </c>
      <c r="J3000" t="s">
        <v>21</v>
      </c>
      <c r="K3000">
        <v>48</v>
      </c>
      <c r="L3000">
        <v>24.39</v>
      </c>
      <c r="M3000">
        <v>3.5</v>
      </c>
      <c r="N3000" t="s">
        <v>22</v>
      </c>
      <c r="O3000" t="str">
        <f t="shared" si="46"/>
        <v>No</v>
      </c>
    </row>
    <row r="3001" spans="1:15" x14ac:dyDescent="0.25">
      <c r="A3001" t="s">
        <v>3062</v>
      </c>
      <c r="B3001" s="1">
        <v>45777</v>
      </c>
      <c r="C3001" s="2">
        <v>45779.402499999997</v>
      </c>
      <c r="D3001" t="s">
        <v>15</v>
      </c>
      <c r="E3001" t="s">
        <v>25</v>
      </c>
      <c r="F3001" t="s">
        <v>70</v>
      </c>
      <c r="G3001" t="s">
        <v>18</v>
      </c>
      <c r="H3001" t="s">
        <v>54</v>
      </c>
      <c r="I3001" t="s">
        <v>20</v>
      </c>
      <c r="J3001" t="s">
        <v>21</v>
      </c>
      <c r="K3001">
        <v>48</v>
      </c>
      <c r="L3001">
        <v>57.66</v>
      </c>
      <c r="M3001">
        <v>3.6</v>
      </c>
      <c r="N3001" t="s">
        <v>22</v>
      </c>
      <c r="O3001" t="str">
        <f t="shared" si="46"/>
        <v>Yes</v>
      </c>
    </row>
    <row r="3002" spans="1:15" x14ac:dyDescent="0.25">
      <c r="A3002" t="s">
        <v>3063</v>
      </c>
      <c r="B3002" s="1">
        <v>45798</v>
      </c>
      <c r="C3002" s="2">
        <v>45799.033333333333</v>
      </c>
      <c r="D3002" t="s">
        <v>15</v>
      </c>
      <c r="E3002" t="s">
        <v>39</v>
      </c>
      <c r="F3002" t="s">
        <v>87</v>
      </c>
      <c r="G3002" t="s">
        <v>18</v>
      </c>
      <c r="H3002" t="s">
        <v>44</v>
      </c>
      <c r="I3002" t="s">
        <v>20</v>
      </c>
      <c r="J3002" t="s">
        <v>21</v>
      </c>
      <c r="K3002">
        <v>48</v>
      </c>
      <c r="L3002">
        <v>24.8</v>
      </c>
      <c r="M3002">
        <v>5</v>
      </c>
      <c r="N3002" t="s">
        <v>22</v>
      </c>
      <c r="O3002" t="str">
        <f t="shared" si="46"/>
        <v>No</v>
      </c>
    </row>
    <row r="3003" spans="1:15" x14ac:dyDescent="0.25">
      <c r="A3003" t="s">
        <v>3064</v>
      </c>
      <c r="B3003" s="1">
        <v>45779</v>
      </c>
      <c r="C3003" s="2">
        <v>45779.22</v>
      </c>
      <c r="D3003" t="s">
        <v>24</v>
      </c>
      <c r="E3003" t="s">
        <v>32</v>
      </c>
      <c r="F3003" t="s">
        <v>64</v>
      </c>
      <c r="G3003" t="s">
        <v>34</v>
      </c>
      <c r="H3003" t="s">
        <v>44</v>
      </c>
      <c r="I3003" t="s">
        <v>36</v>
      </c>
      <c r="J3003" t="s">
        <v>21</v>
      </c>
      <c r="K3003">
        <v>24</v>
      </c>
      <c r="L3003">
        <v>5.28</v>
      </c>
      <c r="M3003">
        <v>5</v>
      </c>
      <c r="N3003" t="s">
        <v>22</v>
      </c>
      <c r="O3003" t="str">
        <f t="shared" si="46"/>
        <v>No</v>
      </c>
    </row>
    <row r="3004" spans="1:15" x14ac:dyDescent="0.25">
      <c r="A3004" t="s">
        <v>3065</v>
      </c>
      <c r="B3004" s="1">
        <v>45826</v>
      </c>
      <c r="C3004" s="2">
        <v>45827.731249999997</v>
      </c>
      <c r="D3004" t="s">
        <v>15</v>
      </c>
      <c r="E3004" t="s">
        <v>32</v>
      </c>
      <c r="F3004" t="s">
        <v>75</v>
      </c>
      <c r="G3004" t="s">
        <v>51</v>
      </c>
      <c r="H3004" t="s">
        <v>54</v>
      </c>
      <c r="I3004" t="s">
        <v>36</v>
      </c>
      <c r="J3004" t="s">
        <v>46</v>
      </c>
      <c r="K3004">
        <v>48</v>
      </c>
      <c r="L3004">
        <v>41.55</v>
      </c>
      <c r="M3004">
        <v>3.8</v>
      </c>
      <c r="N3004" t="s">
        <v>22</v>
      </c>
      <c r="O3004" t="str">
        <f t="shared" si="46"/>
        <v>No</v>
      </c>
    </row>
    <row r="3005" spans="1:15" x14ac:dyDescent="0.25">
      <c r="A3005" t="s">
        <v>3066</v>
      </c>
      <c r="B3005" s="1">
        <v>45831</v>
      </c>
      <c r="C3005" s="2">
        <v>45831.84375</v>
      </c>
      <c r="D3005" t="s">
        <v>24</v>
      </c>
      <c r="E3005" t="s">
        <v>16</v>
      </c>
      <c r="F3005" t="s">
        <v>58</v>
      </c>
      <c r="G3005" t="s">
        <v>41</v>
      </c>
      <c r="H3005" t="s">
        <v>19</v>
      </c>
      <c r="I3005" t="s">
        <v>36</v>
      </c>
      <c r="J3005" t="s">
        <v>21</v>
      </c>
      <c r="K3005">
        <v>24</v>
      </c>
      <c r="L3005">
        <v>20.25</v>
      </c>
      <c r="M3005">
        <v>4.5</v>
      </c>
      <c r="N3005" t="s">
        <v>61</v>
      </c>
      <c r="O3005" t="str">
        <f t="shared" si="46"/>
        <v>No</v>
      </c>
    </row>
    <row r="3006" spans="1:15" x14ac:dyDescent="0.25">
      <c r="A3006" t="s">
        <v>3067</v>
      </c>
      <c r="B3006" s="1">
        <v>45785</v>
      </c>
      <c r="C3006" s="2">
        <v>45785.099166666667</v>
      </c>
      <c r="D3006" t="s">
        <v>38</v>
      </c>
      <c r="E3006" t="s">
        <v>25</v>
      </c>
      <c r="F3006" t="s">
        <v>70</v>
      </c>
      <c r="G3006" t="s">
        <v>34</v>
      </c>
      <c r="H3006" t="s">
        <v>54</v>
      </c>
      <c r="I3006" t="s">
        <v>36</v>
      </c>
      <c r="J3006" t="s">
        <v>46</v>
      </c>
      <c r="K3006">
        <v>8</v>
      </c>
      <c r="L3006">
        <v>2.38</v>
      </c>
      <c r="M3006">
        <v>4.5999999999999996</v>
      </c>
      <c r="N3006" t="s">
        <v>22</v>
      </c>
      <c r="O3006" t="str">
        <f t="shared" si="46"/>
        <v>No</v>
      </c>
    </row>
    <row r="3007" spans="1:15" x14ac:dyDescent="0.25">
      <c r="A3007" t="s">
        <v>3068</v>
      </c>
      <c r="B3007" s="1">
        <v>45725</v>
      </c>
      <c r="C3007" s="2">
        <v>45725.252083333333</v>
      </c>
      <c r="D3007" t="s">
        <v>24</v>
      </c>
      <c r="E3007" t="s">
        <v>25</v>
      </c>
      <c r="F3007" t="s">
        <v>26</v>
      </c>
      <c r="G3007" t="s">
        <v>41</v>
      </c>
      <c r="H3007" t="s">
        <v>19</v>
      </c>
      <c r="I3007" t="s">
        <v>28</v>
      </c>
      <c r="J3007" t="s">
        <v>21</v>
      </c>
      <c r="K3007">
        <v>24</v>
      </c>
      <c r="L3007">
        <v>6.05</v>
      </c>
      <c r="M3007">
        <v>5</v>
      </c>
      <c r="N3007" t="s">
        <v>22</v>
      </c>
      <c r="O3007" t="str">
        <f t="shared" si="46"/>
        <v>No</v>
      </c>
    </row>
    <row r="3008" spans="1:15" x14ac:dyDescent="0.25">
      <c r="A3008" t="s">
        <v>3069</v>
      </c>
      <c r="B3008" s="1">
        <v>45766</v>
      </c>
      <c r="C3008" s="2">
        <v>45767.403333333335</v>
      </c>
      <c r="D3008" t="s">
        <v>15</v>
      </c>
      <c r="E3008" t="s">
        <v>16</v>
      </c>
      <c r="F3008" t="s">
        <v>17</v>
      </c>
      <c r="G3008" t="s">
        <v>18</v>
      </c>
      <c r="H3008" t="s">
        <v>19</v>
      </c>
      <c r="I3008" t="s">
        <v>20</v>
      </c>
      <c r="J3008" t="s">
        <v>46</v>
      </c>
      <c r="K3008">
        <v>48</v>
      </c>
      <c r="L3008">
        <v>33.68</v>
      </c>
      <c r="M3008">
        <v>4.7</v>
      </c>
      <c r="N3008" t="s">
        <v>22</v>
      </c>
      <c r="O3008" t="str">
        <f t="shared" si="46"/>
        <v>No</v>
      </c>
    </row>
    <row r="3009" spans="1:15" x14ac:dyDescent="0.25">
      <c r="A3009" t="s">
        <v>3070</v>
      </c>
      <c r="B3009" s="1">
        <v>45734</v>
      </c>
      <c r="C3009" s="2">
        <v>45734.174166666664</v>
      </c>
      <c r="D3009" t="s">
        <v>24</v>
      </c>
      <c r="E3009" t="s">
        <v>32</v>
      </c>
      <c r="F3009" t="s">
        <v>80</v>
      </c>
      <c r="G3009" t="s">
        <v>51</v>
      </c>
      <c r="H3009" t="s">
        <v>65</v>
      </c>
      <c r="I3009" t="s">
        <v>36</v>
      </c>
      <c r="J3009" t="s">
        <v>21</v>
      </c>
      <c r="K3009">
        <v>24</v>
      </c>
      <c r="L3009">
        <v>4.18</v>
      </c>
      <c r="M3009">
        <v>4.2</v>
      </c>
      <c r="N3009" t="s">
        <v>22</v>
      </c>
      <c r="O3009" t="str">
        <f t="shared" si="46"/>
        <v>No</v>
      </c>
    </row>
    <row r="3010" spans="1:15" x14ac:dyDescent="0.25">
      <c r="A3010" t="s">
        <v>3071</v>
      </c>
      <c r="B3010" s="1">
        <v>45771</v>
      </c>
      <c r="C3010" s="2">
        <v>45771.236250000002</v>
      </c>
      <c r="D3010" t="s">
        <v>38</v>
      </c>
      <c r="E3010" t="s">
        <v>32</v>
      </c>
      <c r="F3010" t="s">
        <v>80</v>
      </c>
      <c r="G3010" t="s">
        <v>56</v>
      </c>
      <c r="H3010" t="s">
        <v>44</v>
      </c>
      <c r="I3010" t="s">
        <v>45</v>
      </c>
      <c r="J3010" t="s">
        <v>21</v>
      </c>
      <c r="K3010">
        <v>8</v>
      </c>
      <c r="L3010">
        <v>5.67</v>
      </c>
      <c r="M3010">
        <v>4.3</v>
      </c>
      <c r="N3010" t="s">
        <v>22</v>
      </c>
      <c r="O3010" t="str">
        <f t="shared" si="46"/>
        <v>No</v>
      </c>
    </row>
    <row r="3011" spans="1:15" x14ac:dyDescent="0.25">
      <c r="A3011" t="s">
        <v>3072</v>
      </c>
      <c r="B3011" s="1">
        <v>45804</v>
      </c>
      <c r="C3011" s="2">
        <v>45805.433333333334</v>
      </c>
      <c r="D3011" t="s">
        <v>24</v>
      </c>
      <c r="E3011" t="s">
        <v>25</v>
      </c>
      <c r="F3011" t="s">
        <v>48</v>
      </c>
      <c r="G3011" t="s">
        <v>56</v>
      </c>
      <c r="H3011" t="s">
        <v>54</v>
      </c>
      <c r="I3011" t="s">
        <v>28</v>
      </c>
      <c r="J3011" t="s">
        <v>21</v>
      </c>
      <c r="K3011">
        <v>24</v>
      </c>
      <c r="L3011">
        <v>34.4</v>
      </c>
      <c r="M3011">
        <v>3.6</v>
      </c>
      <c r="N3011" t="s">
        <v>22</v>
      </c>
      <c r="O3011" t="str">
        <f t="shared" ref="O3011:O3074" si="47">IF(L3011&gt;K3011,"Yes","No")</f>
        <v>Yes</v>
      </c>
    </row>
    <row r="3012" spans="1:15" x14ac:dyDescent="0.25">
      <c r="A3012" t="s">
        <v>3073</v>
      </c>
      <c r="B3012" s="1">
        <v>45724</v>
      </c>
      <c r="C3012" s="2">
        <v>45725.715416666666</v>
      </c>
      <c r="D3012" t="s">
        <v>15</v>
      </c>
      <c r="E3012" t="s">
        <v>16</v>
      </c>
      <c r="F3012" t="s">
        <v>17</v>
      </c>
      <c r="G3012" t="s">
        <v>34</v>
      </c>
      <c r="H3012" t="s">
        <v>54</v>
      </c>
      <c r="I3012" t="s">
        <v>36</v>
      </c>
      <c r="J3012" t="s">
        <v>46</v>
      </c>
      <c r="K3012">
        <v>48</v>
      </c>
      <c r="L3012">
        <v>41.17</v>
      </c>
      <c r="M3012">
        <v>4.3</v>
      </c>
      <c r="N3012" t="s">
        <v>61</v>
      </c>
      <c r="O3012" t="str">
        <f t="shared" si="47"/>
        <v>No</v>
      </c>
    </row>
    <row r="3013" spans="1:15" x14ac:dyDescent="0.25">
      <c r="A3013" t="s">
        <v>3074</v>
      </c>
      <c r="B3013" s="1">
        <v>45749</v>
      </c>
      <c r="C3013" s="2">
        <v>45750.487500000003</v>
      </c>
      <c r="D3013" t="s">
        <v>24</v>
      </c>
      <c r="E3013" t="s">
        <v>25</v>
      </c>
      <c r="F3013" t="s">
        <v>53</v>
      </c>
      <c r="G3013" t="s">
        <v>51</v>
      </c>
      <c r="H3013" t="s">
        <v>35</v>
      </c>
      <c r="I3013" t="s">
        <v>36</v>
      </c>
      <c r="J3013" t="s">
        <v>46</v>
      </c>
      <c r="K3013">
        <v>24</v>
      </c>
      <c r="L3013">
        <v>35.700000000000003</v>
      </c>
      <c r="M3013">
        <v>3.4</v>
      </c>
      <c r="N3013" t="s">
        <v>22</v>
      </c>
      <c r="O3013" t="str">
        <f t="shared" si="47"/>
        <v>Yes</v>
      </c>
    </row>
    <row r="3014" spans="1:15" x14ac:dyDescent="0.25">
      <c r="A3014" t="s">
        <v>3075</v>
      </c>
      <c r="B3014" s="1">
        <v>45666</v>
      </c>
      <c r="C3014" s="2">
        <v>45666.565000000002</v>
      </c>
      <c r="D3014" t="s">
        <v>24</v>
      </c>
      <c r="E3014" t="s">
        <v>32</v>
      </c>
      <c r="F3014" t="s">
        <v>33</v>
      </c>
      <c r="G3014" t="s">
        <v>34</v>
      </c>
      <c r="H3014" t="s">
        <v>54</v>
      </c>
      <c r="I3014" t="s">
        <v>20</v>
      </c>
      <c r="J3014" t="s">
        <v>21</v>
      </c>
      <c r="K3014">
        <v>24</v>
      </c>
      <c r="L3014">
        <v>13.56</v>
      </c>
      <c r="M3014">
        <v>4.7</v>
      </c>
      <c r="N3014" t="s">
        <v>22</v>
      </c>
      <c r="O3014" t="str">
        <f t="shared" si="47"/>
        <v>No</v>
      </c>
    </row>
    <row r="3015" spans="1:15" x14ac:dyDescent="0.25">
      <c r="A3015" t="s">
        <v>3076</v>
      </c>
      <c r="B3015" s="1">
        <v>45791</v>
      </c>
      <c r="C3015" s="2">
        <v>45791.563750000001</v>
      </c>
      <c r="D3015" t="s">
        <v>24</v>
      </c>
      <c r="E3015" t="s">
        <v>39</v>
      </c>
      <c r="F3015" t="s">
        <v>78</v>
      </c>
      <c r="G3015" t="s">
        <v>18</v>
      </c>
      <c r="H3015" t="s">
        <v>19</v>
      </c>
      <c r="I3015" t="s">
        <v>20</v>
      </c>
      <c r="J3015" t="s">
        <v>29</v>
      </c>
      <c r="K3015">
        <v>24</v>
      </c>
      <c r="L3015">
        <v>13.53</v>
      </c>
      <c r="M3015">
        <v>4.5999999999999996</v>
      </c>
      <c r="N3015" t="s">
        <v>22</v>
      </c>
      <c r="O3015" t="str">
        <f t="shared" si="47"/>
        <v>No</v>
      </c>
    </row>
    <row r="3016" spans="1:15" x14ac:dyDescent="0.25">
      <c r="A3016" t="s">
        <v>3077</v>
      </c>
      <c r="B3016" s="1">
        <v>45746</v>
      </c>
      <c r="C3016" s="2">
        <v>45747.229166666664</v>
      </c>
      <c r="D3016" t="s">
        <v>15</v>
      </c>
      <c r="E3016" t="s">
        <v>45</v>
      </c>
      <c r="F3016" t="s">
        <v>104</v>
      </c>
      <c r="G3016" t="s">
        <v>34</v>
      </c>
      <c r="H3016" t="s">
        <v>19</v>
      </c>
      <c r="I3016" t="s">
        <v>36</v>
      </c>
      <c r="J3016" t="s">
        <v>85</v>
      </c>
      <c r="K3016">
        <v>48</v>
      </c>
      <c r="L3016">
        <v>29.5</v>
      </c>
      <c r="M3016">
        <v>3.8</v>
      </c>
      <c r="N3016" t="s">
        <v>22</v>
      </c>
      <c r="O3016" t="str">
        <f t="shared" si="47"/>
        <v>No</v>
      </c>
    </row>
    <row r="3017" spans="1:15" x14ac:dyDescent="0.25">
      <c r="A3017" t="s">
        <v>3078</v>
      </c>
      <c r="B3017" s="1">
        <v>45741</v>
      </c>
      <c r="C3017" s="2">
        <v>45741.126666666663</v>
      </c>
      <c r="D3017" t="s">
        <v>31</v>
      </c>
      <c r="E3017" t="s">
        <v>32</v>
      </c>
      <c r="F3017" t="s">
        <v>75</v>
      </c>
      <c r="G3017" t="s">
        <v>18</v>
      </c>
      <c r="H3017" t="s">
        <v>54</v>
      </c>
      <c r="I3017" t="s">
        <v>45</v>
      </c>
      <c r="J3017" t="s">
        <v>85</v>
      </c>
      <c r="K3017">
        <v>4</v>
      </c>
      <c r="L3017">
        <v>3.04</v>
      </c>
      <c r="M3017">
        <v>3.8</v>
      </c>
      <c r="N3017" t="s">
        <v>22</v>
      </c>
      <c r="O3017" t="str">
        <f t="shared" si="47"/>
        <v>No</v>
      </c>
    </row>
    <row r="3018" spans="1:15" x14ac:dyDescent="0.25">
      <c r="A3018" t="s">
        <v>3079</v>
      </c>
      <c r="B3018" s="1">
        <v>45754</v>
      </c>
      <c r="C3018" s="2">
        <v>45755.454583333332</v>
      </c>
      <c r="D3018" t="s">
        <v>15</v>
      </c>
      <c r="E3018" t="s">
        <v>32</v>
      </c>
      <c r="F3018" t="s">
        <v>75</v>
      </c>
      <c r="G3018" t="s">
        <v>34</v>
      </c>
      <c r="H3018" t="s">
        <v>54</v>
      </c>
      <c r="I3018" t="s">
        <v>36</v>
      </c>
      <c r="J3018" t="s">
        <v>21</v>
      </c>
      <c r="K3018">
        <v>48</v>
      </c>
      <c r="L3018">
        <v>34.909999999999997</v>
      </c>
      <c r="M3018">
        <v>4</v>
      </c>
      <c r="N3018" t="s">
        <v>22</v>
      </c>
      <c r="O3018" t="str">
        <f t="shared" si="47"/>
        <v>No</v>
      </c>
    </row>
    <row r="3019" spans="1:15" x14ac:dyDescent="0.25">
      <c r="A3019" t="s">
        <v>3080</v>
      </c>
      <c r="B3019" s="1">
        <v>45697</v>
      </c>
      <c r="C3019" s="2">
        <v>45697.520833333336</v>
      </c>
      <c r="D3019" t="s">
        <v>15</v>
      </c>
      <c r="E3019" t="s">
        <v>16</v>
      </c>
      <c r="F3019" t="s">
        <v>17</v>
      </c>
      <c r="G3019" t="s">
        <v>56</v>
      </c>
      <c r="H3019" t="s">
        <v>44</v>
      </c>
      <c r="I3019" t="s">
        <v>45</v>
      </c>
      <c r="J3019" t="s">
        <v>21</v>
      </c>
      <c r="K3019">
        <v>48</v>
      </c>
      <c r="L3019">
        <v>12.5</v>
      </c>
      <c r="M3019">
        <v>4.7</v>
      </c>
      <c r="N3019" t="s">
        <v>22</v>
      </c>
      <c r="O3019" t="str">
        <f t="shared" si="47"/>
        <v>No</v>
      </c>
    </row>
    <row r="3020" spans="1:15" x14ac:dyDescent="0.25">
      <c r="A3020" t="s">
        <v>3081</v>
      </c>
      <c r="B3020" s="1">
        <v>45766</v>
      </c>
      <c r="C3020" s="2">
        <v>45767.054583333331</v>
      </c>
      <c r="D3020" t="s">
        <v>15</v>
      </c>
      <c r="E3020" t="s">
        <v>16</v>
      </c>
      <c r="F3020" t="s">
        <v>60</v>
      </c>
      <c r="G3020" t="s">
        <v>56</v>
      </c>
      <c r="H3020" t="s">
        <v>35</v>
      </c>
      <c r="I3020" t="s">
        <v>45</v>
      </c>
      <c r="J3020" t="s">
        <v>46</v>
      </c>
      <c r="K3020">
        <v>48</v>
      </c>
      <c r="L3020">
        <v>25.31</v>
      </c>
      <c r="M3020">
        <v>4.2</v>
      </c>
      <c r="N3020" t="s">
        <v>22</v>
      </c>
      <c r="O3020" t="str">
        <f t="shared" si="47"/>
        <v>No</v>
      </c>
    </row>
    <row r="3021" spans="1:15" x14ac:dyDescent="0.25">
      <c r="A3021" t="s">
        <v>3082</v>
      </c>
      <c r="B3021" s="1">
        <v>45792</v>
      </c>
      <c r="C3021" s="2">
        <v>45793.174166666664</v>
      </c>
      <c r="D3021" t="s">
        <v>24</v>
      </c>
      <c r="E3021" t="s">
        <v>45</v>
      </c>
      <c r="F3021" t="s">
        <v>104</v>
      </c>
      <c r="G3021" t="s">
        <v>41</v>
      </c>
      <c r="H3021" t="s">
        <v>35</v>
      </c>
      <c r="I3021" t="s">
        <v>36</v>
      </c>
      <c r="J3021" t="s">
        <v>21</v>
      </c>
      <c r="K3021">
        <v>24</v>
      </c>
      <c r="L3021">
        <v>28.18</v>
      </c>
      <c r="M3021">
        <v>4.3</v>
      </c>
      <c r="N3021" t="s">
        <v>22</v>
      </c>
      <c r="O3021" t="str">
        <f t="shared" si="47"/>
        <v>Yes</v>
      </c>
    </row>
    <row r="3022" spans="1:15" x14ac:dyDescent="0.25">
      <c r="A3022" t="s">
        <v>3083</v>
      </c>
      <c r="B3022" s="1">
        <v>45721</v>
      </c>
      <c r="C3022" s="2">
        <v>45721.212083333332</v>
      </c>
      <c r="D3022" t="s">
        <v>24</v>
      </c>
      <c r="E3022" t="s">
        <v>45</v>
      </c>
      <c r="F3022" t="s">
        <v>112</v>
      </c>
      <c r="G3022" t="s">
        <v>34</v>
      </c>
      <c r="H3022" t="s">
        <v>19</v>
      </c>
      <c r="I3022" t="s">
        <v>20</v>
      </c>
      <c r="J3022" t="s">
        <v>46</v>
      </c>
      <c r="K3022">
        <v>24</v>
      </c>
      <c r="L3022">
        <v>5.09</v>
      </c>
      <c r="M3022">
        <v>4.0999999999999996</v>
      </c>
      <c r="N3022" t="s">
        <v>22</v>
      </c>
      <c r="O3022" t="str">
        <f t="shared" si="47"/>
        <v>No</v>
      </c>
    </row>
    <row r="3023" spans="1:15" x14ac:dyDescent="0.25">
      <c r="A3023" t="s">
        <v>3084</v>
      </c>
      <c r="B3023" s="1">
        <v>45681</v>
      </c>
      <c r="C3023" s="2">
        <v>45682.227500000001</v>
      </c>
      <c r="D3023" t="s">
        <v>15</v>
      </c>
      <c r="E3023" t="s">
        <v>25</v>
      </c>
      <c r="F3023" t="s">
        <v>53</v>
      </c>
      <c r="G3023" t="s">
        <v>18</v>
      </c>
      <c r="H3023" t="s">
        <v>44</v>
      </c>
      <c r="I3023" t="s">
        <v>45</v>
      </c>
      <c r="J3023" t="s">
        <v>21</v>
      </c>
      <c r="K3023">
        <v>48</v>
      </c>
      <c r="L3023">
        <v>29.46</v>
      </c>
      <c r="M3023">
        <v>3.1</v>
      </c>
      <c r="N3023" t="s">
        <v>22</v>
      </c>
      <c r="O3023" t="str">
        <f t="shared" si="47"/>
        <v>No</v>
      </c>
    </row>
    <row r="3024" spans="1:15" x14ac:dyDescent="0.25">
      <c r="A3024" t="s">
        <v>3085</v>
      </c>
      <c r="B3024" s="1">
        <v>45728</v>
      </c>
      <c r="C3024" s="2">
        <v>45728.749583333331</v>
      </c>
      <c r="D3024" t="s">
        <v>24</v>
      </c>
      <c r="E3024" t="s">
        <v>32</v>
      </c>
      <c r="F3024" t="s">
        <v>33</v>
      </c>
      <c r="G3024" t="s">
        <v>56</v>
      </c>
      <c r="H3024" t="s">
        <v>44</v>
      </c>
      <c r="I3024" t="s">
        <v>20</v>
      </c>
      <c r="J3024" t="s">
        <v>46</v>
      </c>
      <c r="K3024">
        <v>24</v>
      </c>
      <c r="L3024">
        <v>17.989999999999998</v>
      </c>
      <c r="M3024">
        <v>5</v>
      </c>
      <c r="N3024" t="s">
        <v>22</v>
      </c>
      <c r="O3024" t="str">
        <f t="shared" si="47"/>
        <v>No</v>
      </c>
    </row>
    <row r="3025" spans="1:15" x14ac:dyDescent="0.25">
      <c r="A3025" t="s">
        <v>3086</v>
      </c>
      <c r="B3025" s="1">
        <v>45693</v>
      </c>
      <c r="C3025" s="2">
        <v>45693.749583333331</v>
      </c>
      <c r="D3025" t="s">
        <v>24</v>
      </c>
      <c r="E3025" t="s">
        <v>16</v>
      </c>
      <c r="F3025" t="s">
        <v>60</v>
      </c>
      <c r="G3025" t="s">
        <v>41</v>
      </c>
      <c r="H3025" t="s">
        <v>35</v>
      </c>
      <c r="I3025" t="s">
        <v>45</v>
      </c>
      <c r="J3025" t="s">
        <v>21</v>
      </c>
      <c r="K3025">
        <v>24</v>
      </c>
      <c r="L3025">
        <v>17.989999999999998</v>
      </c>
      <c r="M3025">
        <v>3.6</v>
      </c>
      <c r="N3025" t="s">
        <v>22</v>
      </c>
      <c r="O3025" t="str">
        <f t="shared" si="47"/>
        <v>No</v>
      </c>
    </row>
    <row r="3026" spans="1:15" x14ac:dyDescent="0.25">
      <c r="A3026" t="s">
        <v>3087</v>
      </c>
      <c r="B3026" s="1">
        <v>45725</v>
      </c>
      <c r="C3026" s="2">
        <v>45725.252083333333</v>
      </c>
      <c r="D3026" t="s">
        <v>15</v>
      </c>
      <c r="E3026" t="s">
        <v>45</v>
      </c>
      <c r="F3026" t="s">
        <v>104</v>
      </c>
      <c r="G3026" t="s">
        <v>34</v>
      </c>
      <c r="H3026" t="s">
        <v>27</v>
      </c>
      <c r="I3026" t="s">
        <v>45</v>
      </c>
      <c r="J3026" t="s">
        <v>29</v>
      </c>
      <c r="K3026">
        <v>48</v>
      </c>
      <c r="L3026">
        <v>6.05</v>
      </c>
      <c r="M3026">
        <v>5</v>
      </c>
      <c r="N3026" t="s">
        <v>22</v>
      </c>
      <c r="O3026" t="str">
        <f t="shared" si="47"/>
        <v>No</v>
      </c>
    </row>
    <row r="3027" spans="1:15" x14ac:dyDescent="0.25">
      <c r="A3027" t="s">
        <v>3088</v>
      </c>
      <c r="B3027" s="1">
        <v>45771</v>
      </c>
      <c r="C3027" s="2">
        <v>45771.068749999999</v>
      </c>
      <c r="D3027" t="s">
        <v>38</v>
      </c>
      <c r="E3027" t="s">
        <v>39</v>
      </c>
      <c r="F3027" t="s">
        <v>78</v>
      </c>
      <c r="G3027" t="s">
        <v>18</v>
      </c>
      <c r="H3027" t="s">
        <v>54</v>
      </c>
      <c r="I3027" t="s">
        <v>36</v>
      </c>
      <c r="J3027" t="s">
        <v>46</v>
      </c>
      <c r="K3027">
        <v>8</v>
      </c>
      <c r="L3027">
        <v>1.65</v>
      </c>
      <c r="M3027">
        <v>5</v>
      </c>
      <c r="N3027" t="s">
        <v>22</v>
      </c>
      <c r="O3027" t="str">
        <f t="shared" si="47"/>
        <v>No</v>
      </c>
    </row>
    <row r="3028" spans="1:15" x14ac:dyDescent="0.25">
      <c r="A3028" t="s">
        <v>3089</v>
      </c>
      <c r="B3028" s="1">
        <v>45678</v>
      </c>
      <c r="C3028" s="2">
        <v>45679.144166666665</v>
      </c>
      <c r="D3028" t="s">
        <v>24</v>
      </c>
      <c r="E3028" t="s">
        <v>45</v>
      </c>
      <c r="F3028" t="s">
        <v>104</v>
      </c>
      <c r="G3028" t="s">
        <v>51</v>
      </c>
      <c r="H3028" t="s">
        <v>27</v>
      </c>
      <c r="I3028" t="s">
        <v>36</v>
      </c>
      <c r="J3028" t="s">
        <v>21</v>
      </c>
      <c r="K3028">
        <v>24</v>
      </c>
      <c r="L3028">
        <v>27.46</v>
      </c>
      <c r="M3028">
        <v>3.1</v>
      </c>
      <c r="N3028" t="s">
        <v>22</v>
      </c>
      <c r="O3028" t="str">
        <f t="shared" si="47"/>
        <v>Yes</v>
      </c>
    </row>
    <row r="3029" spans="1:15" x14ac:dyDescent="0.25">
      <c r="A3029" t="s">
        <v>3090</v>
      </c>
      <c r="B3029" s="1">
        <v>45793</v>
      </c>
      <c r="C3029" s="2">
        <v>45795.262499999997</v>
      </c>
      <c r="D3029" t="s">
        <v>15</v>
      </c>
      <c r="E3029" t="s">
        <v>16</v>
      </c>
      <c r="F3029" t="s">
        <v>17</v>
      </c>
      <c r="G3029" t="s">
        <v>51</v>
      </c>
      <c r="H3029" t="s">
        <v>54</v>
      </c>
      <c r="I3029" t="s">
        <v>20</v>
      </c>
      <c r="J3029" t="s">
        <v>21</v>
      </c>
      <c r="K3029">
        <v>48</v>
      </c>
      <c r="L3029">
        <v>54.3</v>
      </c>
      <c r="M3029">
        <v>3.6</v>
      </c>
      <c r="N3029" t="s">
        <v>22</v>
      </c>
      <c r="O3029" t="str">
        <f t="shared" si="47"/>
        <v>Yes</v>
      </c>
    </row>
    <row r="3030" spans="1:15" x14ac:dyDescent="0.25">
      <c r="A3030" t="s">
        <v>3091</v>
      </c>
      <c r="B3030" s="1">
        <v>45698</v>
      </c>
      <c r="C3030" s="2">
        <v>45698.090833333335</v>
      </c>
      <c r="D3030" t="s">
        <v>31</v>
      </c>
      <c r="E3030" t="s">
        <v>32</v>
      </c>
      <c r="F3030" t="s">
        <v>64</v>
      </c>
      <c r="G3030" t="s">
        <v>56</v>
      </c>
      <c r="H3030" t="s">
        <v>54</v>
      </c>
      <c r="I3030" t="s">
        <v>45</v>
      </c>
      <c r="J3030" t="s">
        <v>21</v>
      </c>
      <c r="K3030">
        <v>4</v>
      </c>
      <c r="L3030">
        <v>2.1800000000000002</v>
      </c>
      <c r="M3030">
        <v>4.2</v>
      </c>
      <c r="N3030" t="s">
        <v>61</v>
      </c>
      <c r="O3030" t="str">
        <f t="shared" si="47"/>
        <v>No</v>
      </c>
    </row>
    <row r="3031" spans="1:15" x14ac:dyDescent="0.25">
      <c r="A3031" t="s">
        <v>3092</v>
      </c>
      <c r="B3031" s="1">
        <v>45819</v>
      </c>
      <c r="C3031" s="2">
        <v>45819.22583333333</v>
      </c>
      <c r="D3031" t="s">
        <v>38</v>
      </c>
      <c r="E3031" t="s">
        <v>16</v>
      </c>
      <c r="F3031" t="s">
        <v>17</v>
      </c>
      <c r="G3031" t="s">
        <v>41</v>
      </c>
      <c r="H3031" t="s">
        <v>65</v>
      </c>
      <c r="I3031" t="s">
        <v>36</v>
      </c>
      <c r="J3031" t="s">
        <v>29</v>
      </c>
      <c r="K3031">
        <v>8</v>
      </c>
      <c r="L3031">
        <v>5.42</v>
      </c>
      <c r="M3031">
        <v>4.4000000000000004</v>
      </c>
      <c r="N3031" t="s">
        <v>22</v>
      </c>
      <c r="O3031" t="str">
        <f t="shared" si="47"/>
        <v>No</v>
      </c>
    </row>
    <row r="3032" spans="1:15" x14ac:dyDescent="0.25">
      <c r="A3032" t="s">
        <v>3093</v>
      </c>
      <c r="B3032" s="1">
        <v>45790</v>
      </c>
      <c r="C3032" s="2">
        <v>45790.231249999997</v>
      </c>
      <c r="D3032" t="s">
        <v>24</v>
      </c>
      <c r="E3032" t="s">
        <v>16</v>
      </c>
      <c r="F3032" t="s">
        <v>58</v>
      </c>
      <c r="G3032" t="s">
        <v>18</v>
      </c>
      <c r="H3032" t="s">
        <v>35</v>
      </c>
      <c r="I3032" t="s">
        <v>28</v>
      </c>
      <c r="J3032" t="s">
        <v>21</v>
      </c>
      <c r="K3032">
        <v>24</v>
      </c>
      <c r="L3032">
        <v>5.55</v>
      </c>
      <c r="M3032">
        <v>4.2</v>
      </c>
      <c r="N3032" t="s">
        <v>22</v>
      </c>
      <c r="O3032" t="str">
        <f t="shared" si="47"/>
        <v>No</v>
      </c>
    </row>
    <row r="3033" spans="1:15" x14ac:dyDescent="0.25">
      <c r="A3033" t="s">
        <v>3094</v>
      </c>
      <c r="B3033" s="1">
        <v>45707</v>
      </c>
      <c r="C3033" s="2">
        <v>45707.052916666667</v>
      </c>
      <c r="D3033" t="s">
        <v>38</v>
      </c>
      <c r="E3033" t="s">
        <v>32</v>
      </c>
      <c r="F3033" t="s">
        <v>33</v>
      </c>
      <c r="G3033" t="s">
        <v>51</v>
      </c>
      <c r="H3033" t="s">
        <v>27</v>
      </c>
      <c r="I3033" t="s">
        <v>20</v>
      </c>
      <c r="J3033" t="s">
        <v>21</v>
      </c>
      <c r="K3033">
        <v>8</v>
      </c>
      <c r="L3033">
        <v>1.27</v>
      </c>
      <c r="M3033">
        <v>4.7</v>
      </c>
      <c r="N3033" t="s">
        <v>22</v>
      </c>
      <c r="O3033" t="str">
        <f t="shared" si="47"/>
        <v>No</v>
      </c>
    </row>
    <row r="3034" spans="1:15" x14ac:dyDescent="0.25">
      <c r="A3034" t="s">
        <v>3095</v>
      </c>
      <c r="B3034" s="1">
        <v>45759</v>
      </c>
      <c r="C3034" s="2">
        <v>45759.089583333334</v>
      </c>
      <c r="D3034" t="s">
        <v>24</v>
      </c>
      <c r="E3034" t="s">
        <v>39</v>
      </c>
      <c r="F3034" t="s">
        <v>78</v>
      </c>
      <c r="G3034" t="s">
        <v>56</v>
      </c>
      <c r="H3034" t="s">
        <v>54</v>
      </c>
      <c r="I3034" t="s">
        <v>36</v>
      </c>
      <c r="J3034" t="s">
        <v>21</v>
      </c>
      <c r="K3034">
        <v>24</v>
      </c>
      <c r="L3034">
        <v>2.15</v>
      </c>
      <c r="M3034">
        <v>4.9000000000000004</v>
      </c>
      <c r="N3034" t="s">
        <v>22</v>
      </c>
      <c r="O3034" t="str">
        <f t="shared" si="47"/>
        <v>No</v>
      </c>
    </row>
    <row r="3035" spans="1:15" x14ac:dyDescent="0.25">
      <c r="A3035" t="s">
        <v>3096</v>
      </c>
      <c r="B3035" s="1">
        <v>45678</v>
      </c>
      <c r="C3035" s="2">
        <v>45678.155833333331</v>
      </c>
      <c r="D3035" t="s">
        <v>24</v>
      </c>
      <c r="E3035" t="s">
        <v>16</v>
      </c>
      <c r="F3035" t="s">
        <v>60</v>
      </c>
      <c r="G3035" t="s">
        <v>56</v>
      </c>
      <c r="H3035" t="s">
        <v>54</v>
      </c>
      <c r="I3035" t="s">
        <v>36</v>
      </c>
      <c r="J3035" t="s">
        <v>46</v>
      </c>
      <c r="K3035">
        <v>24</v>
      </c>
      <c r="L3035">
        <v>3.74</v>
      </c>
      <c r="M3035">
        <v>5</v>
      </c>
      <c r="N3035" t="s">
        <v>22</v>
      </c>
      <c r="O3035" t="str">
        <f t="shared" si="47"/>
        <v>No</v>
      </c>
    </row>
    <row r="3036" spans="1:15" x14ac:dyDescent="0.25">
      <c r="A3036" t="s">
        <v>3097</v>
      </c>
      <c r="B3036" s="1">
        <v>45676</v>
      </c>
      <c r="C3036" s="2">
        <v>45676.22583333333</v>
      </c>
      <c r="D3036" t="s">
        <v>38</v>
      </c>
      <c r="E3036" t="s">
        <v>32</v>
      </c>
      <c r="F3036" t="s">
        <v>64</v>
      </c>
      <c r="G3036" t="s">
        <v>18</v>
      </c>
      <c r="H3036" t="s">
        <v>35</v>
      </c>
      <c r="I3036" t="s">
        <v>45</v>
      </c>
      <c r="J3036" t="s">
        <v>21</v>
      </c>
      <c r="K3036">
        <v>8</v>
      </c>
      <c r="L3036">
        <v>5.42</v>
      </c>
      <c r="M3036">
        <v>3.9</v>
      </c>
      <c r="N3036" t="s">
        <v>22</v>
      </c>
      <c r="O3036" t="str">
        <f t="shared" si="47"/>
        <v>No</v>
      </c>
    </row>
    <row r="3037" spans="1:15" x14ac:dyDescent="0.25">
      <c r="A3037" t="s">
        <v>3098</v>
      </c>
      <c r="B3037" s="1">
        <v>45831</v>
      </c>
      <c r="C3037" s="2">
        <v>45831.161666666667</v>
      </c>
      <c r="D3037" t="s">
        <v>38</v>
      </c>
      <c r="E3037" t="s">
        <v>39</v>
      </c>
      <c r="F3037" t="s">
        <v>87</v>
      </c>
      <c r="G3037" t="s">
        <v>56</v>
      </c>
      <c r="H3037" t="s">
        <v>65</v>
      </c>
      <c r="I3037" t="s">
        <v>36</v>
      </c>
      <c r="J3037" t="s">
        <v>85</v>
      </c>
      <c r="K3037">
        <v>8</v>
      </c>
      <c r="L3037">
        <v>3.88</v>
      </c>
      <c r="M3037">
        <v>3.8</v>
      </c>
      <c r="N3037" t="s">
        <v>22</v>
      </c>
      <c r="O3037" t="str">
        <f t="shared" si="47"/>
        <v>No</v>
      </c>
    </row>
    <row r="3038" spans="1:15" x14ac:dyDescent="0.25">
      <c r="A3038" t="s">
        <v>3099</v>
      </c>
      <c r="B3038" s="1">
        <v>45803</v>
      </c>
      <c r="C3038" s="2">
        <v>45804.177083333336</v>
      </c>
      <c r="D3038" t="s">
        <v>15</v>
      </c>
      <c r="E3038" t="s">
        <v>16</v>
      </c>
      <c r="F3038" t="s">
        <v>60</v>
      </c>
      <c r="G3038" t="s">
        <v>41</v>
      </c>
      <c r="H3038" t="s">
        <v>44</v>
      </c>
      <c r="I3038" t="s">
        <v>28</v>
      </c>
      <c r="J3038" t="s">
        <v>46</v>
      </c>
      <c r="K3038">
        <v>48</v>
      </c>
      <c r="L3038">
        <v>28.25</v>
      </c>
      <c r="M3038">
        <v>3.9</v>
      </c>
      <c r="N3038" t="s">
        <v>22</v>
      </c>
      <c r="O3038" t="str">
        <f t="shared" si="47"/>
        <v>No</v>
      </c>
    </row>
    <row r="3039" spans="1:15" x14ac:dyDescent="0.25">
      <c r="A3039" t="s">
        <v>3100</v>
      </c>
      <c r="B3039" s="1">
        <v>45685</v>
      </c>
      <c r="C3039" s="2">
        <v>45685.580833333333</v>
      </c>
      <c r="D3039" t="s">
        <v>24</v>
      </c>
      <c r="E3039" t="s">
        <v>25</v>
      </c>
      <c r="F3039" t="s">
        <v>70</v>
      </c>
      <c r="G3039" t="s">
        <v>56</v>
      </c>
      <c r="H3039" t="s">
        <v>65</v>
      </c>
      <c r="I3039" t="s">
        <v>45</v>
      </c>
      <c r="J3039" t="s">
        <v>46</v>
      </c>
      <c r="K3039">
        <v>24</v>
      </c>
      <c r="L3039">
        <v>13.94</v>
      </c>
      <c r="M3039">
        <v>4.5</v>
      </c>
      <c r="N3039" t="s">
        <v>61</v>
      </c>
      <c r="O3039" t="str">
        <f t="shared" si="47"/>
        <v>No</v>
      </c>
    </row>
    <row r="3040" spans="1:15" x14ac:dyDescent="0.25">
      <c r="A3040" t="s">
        <v>3101</v>
      </c>
      <c r="B3040" s="1">
        <v>45709</v>
      </c>
      <c r="C3040" s="2">
        <v>45709.201249999998</v>
      </c>
      <c r="D3040" t="s">
        <v>24</v>
      </c>
      <c r="E3040" t="s">
        <v>16</v>
      </c>
      <c r="F3040" t="s">
        <v>60</v>
      </c>
      <c r="G3040" t="s">
        <v>41</v>
      </c>
      <c r="H3040" t="s">
        <v>19</v>
      </c>
      <c r="I3040" t="s">
        <v>36</v>
      </c>
      <c r="J3040" t="s">
        <v>46</v>
      </c>
      <c r="K3040">
        <v>24</v>
      </c>
      <c r="L3040">
        <v>4.83</v>
      </c>
      <c r="M3040">
        <v>3.6</v>
      </c>
      <c r="N3040" t="s">
        <v>22</v>
      </c>
      <c r="O3040" t="str">
        <f t="shared" si="47"/>
        <v>No</v>
      </c>
    </row>
    <row r="3041" spans="1:15" x14ac:dyDescent="0.25">
      <c r="A3041" t="s">
        <v>3102</v>
      </c>
      <c r="B3041" s="1">
        <v>45693</v>
      </c>
      <c r="C3041" s="2">
        <v>45694.416250000002</v>
      </c>
      <c r="D3041" t="s">
        <v>15</v>
      </c>
      <c r="E3041" t="s">
        <v>45</v>
      </c>
      <c r="F3041" t="s">
        <v>100</v>
      </c>
      <c r="G3041" t="s">
        <v>51</v>
      </c>
      <c r="H3041" t="s">
        <v>65</v>
      </c>
      <c r="I3041" t="s">
        <v>36</v>
      </c>
      <c r="J3041" t="s">
        <v>21</v>
      </c>
      <c r="K3041">
        <v>48</v>
      </c>
      <c r="L3041">
        <v>33.99</v>
      </c>
      <c r="M3041">
        <v>4.9000000000000004</v>
      </c>
      <c r="N3041" t="s">
        <v>22</v>
      </c>
      <c r="O3041" t="str">
        <f t="shared" si="47"/>
        <v>No</v>
      </c>
    </row>
    <row r="3042" spans="1:15" x14ac:dyDescent="0.25">
      <c r="A3042" t="s">
        <v>3103</v>
      </c>
      <c r="B3042" s="1">
        <v>45729</v>
      </c>
      <c r="C3042" s="2">
        <v>45729.208333333336</v>
      </c>
      <c r="D3042" t="s">
        <v>31</v>
      </c>
      <c r="E3042" t="s">
        <v>45</v>
      </c>
      <c r="F3042" t="s">
        <v>100</v>
      </c>
      <c r="G3042" t="s">
        <v>56</v>
      </c>
      <c r="H3042" t="s">
        <v>65</v>
      </c>
      <c r="I3042" t="s">
        <v>36</v>
      </c>
      <c r="J3042" t="s">
        <v>21</v>
      </c>
      <c r="K3042">
        <v>4</v>
      </c>
      <c r="L3042">
        <v>5</v>
      </c>
      <c r="M3042">
        <v>3.5</v>
      </c>
      <c r="N3042" t="s">
        <v>61</v>
      </c>
      <c r="O3042" t="str">
        <f t="shared" si="47"/>
        <v>Yes</v>
      </c>
    </row>
    <row r="3043" spans="1:15" x14ac:dyDescent="0.25">
      <c r="A3043" t="s">
        <v>3104</v>
      </c>
      <c r="B3043" s="1">
        <v>45710</v>
      </c>
      <c r="C3043" s="2">
        <v>45710.20416666667</v>
      </c>
      <c r="D3043" t="s">
        <v>24</v>
      </c>
      <c r="E3043" t="s">
        <v>39</v>
      </c>
      <c r="F3043" t="s">
        <v>119</v>
      </c>
      <c r="G3043" t="s">
        <v>34</v>
      </c>
      <c r="H3043" t="s">
        <v>19</v>
      </c>
      <c r="I3043" t="s">
        <v>45</v>
      </c>
      <c r="J3043" t="s">
        <v>21</v>
      </c>
      <c r="K3043">
        <v>24</v>
      </c>
      <c r="L3043">
        <v>4.9000000000000004</v>
      </c>
      <c r="M3043">
        <v>5</v>
      </c>
      <c r="N3043" t="s">
        <v>22</v>
      </c>
      <c r="O3043" t="str">
        <f t="shared" si="47"/>
        <v>No</v>
      </c>
    </row>
    <row r="3044" spans="1:15" x14ac:dyDescent="0.25">
      <c r="A3044" t="s">
        <v>3105</v>
      </c>
      <c r="B3044" s="1">
        <v>45717</v>
      </c>
      <c r="C3044" s="2">
        <v>45717.513333333336</v>
      </c>
      <c r="D3044" t="s">
        <v>24</v>
      </c>
      <c r="E3044" t="s">
        <v>32</v>
      </c>
      <c r="F3044" t="s">
        <v>80</v>
      </c>
      <c r="G3044" t="s">
        <v>56</v>
      </c>
      <c r="H3044" t="s">
        <v>65</v>
      </c>
      <c r="I3044" t="s">
        <v>36</v>
      </c>
      <c r="J3044" t="s">
        <v>21</v>
      </c>
      <c r="K3044">
        <v>24</v>
      </c>
      <c r="L3044">
        <v>12.32</v>
      </c>
      <c r="M3044">
        <v>4.5</v>
      </c>
      <c r="N3044" t="s">
        <v>22</v>
      </c>
      <c r="O3044" t="str">
        <f t="shared" si="47"/>
        <v>No</v>
      </c>
    </row>
    <row r="3045" spans="1:15" x14ac:dyDescent="0.25">
      <c r="A3045" t="s">
        <v>3106</v>
      </c>
      <c r="B3045" s="1">
        <v>45753</v>
      </c>
      <c r="C3045" s="2">
        <v>45753.884583333333</v>
      </c>
      <c r="D3045" t="s">
        <v>24</v>
      </c>
      <c r="E3045" t="s">
        <v>25</v>
      </c>
      <c r="F3045" t="s">
        <v>48</v>
      </c>
      <c r="G3045" t="s">
        <v>41</v>
      </c>
      <c r="H3045" t="s">
        <v>27</v>
      </c>
      <c r="I3045" t="s">
        <v>20</v>
      </c>
      <c r="J3045" t="s">
        <v>21</v>
      </c>
      <c r="K3045">
        <v>24</v>
      </c>
      <c r="L3045">
        <v>21.23</v>
      </c>
      <c r="M3045">
        <v>3.5</v>
      </c>
      <c r="N3045" t="s">
        <v>22</v>
      </c>
      <c r="O3045" t="str">
        <f t="shared" si="47"/>
        <v>No</v>
      </c>
    </row>
    <row r="3046" spans="1:15" x14ac:dyDescent="0.25">
      <c r="A3046" t="s">
        <v>3107</v>
      </c>
      <c r="B3046" s="1">
        <v>45692</v>
      </c>
      <c r="C3046" s="2">
        <v>45693.128750000003</v>
      </c>
      <c r="D3046" t="s">
        <v>24</v>
      </c>
      <c r="E3046" t="s">
        <v>32</v>
      </c>
      <c r="F3046" t="s">
        <v>80</v>
      </c>
      <c r="G3046" t="s">
        <v>18</v>
      </c>
      <c r="H3046" t="s">
        <v>27</v>
      </c>
      <c r="I3046" t="s">
        <v>20</v>
      </c>
      <c r="J3046" t="s">
        <v>46</v>
      </c>
      <c r="K3046">
        <v>24</v>
      </c>
      <c r="L3046">
        <v>27.09</v>
      </c>
      <c r="M3046">
        <v>2.9</v>
      </c>
      <c r="N3046" t="s">
        <v>22</v>
      </c>
      <c r="O3046" t="str">
        <f t="shared" si="47"/>
        <v>Yes</v>
      </c>
    </row>
    <row r="3047" spans="1:15" x14ac:dyDescent="0.25">
      <c r="A3047" t="s">
        <v>3108</v>
      </c>
      <c r="B3047" s="1">
        <v>45817</v>
      </c>
      <c r="C3047" s="2">
        <v>45818.537083333336</v>
      </c>
      <c r="D3047" t="s">
        <v>15</v>
      </c>
      <c r="E3047" t="s">
        <v>25</v>
      </c>
      <c r="F3047" t="s">
        <v>26</v>
      </c>
      <c r="G3047" t="s">
        <v>34</v>
      </c>
      <c r="H3047" t="s">
        <v>54</v>
      </c>
      <c r="I3047" t="s">
        <v>28</v>
      </c>
      <c r="J3047" t="s">
        <v>21</v>
      </c>
      <c r="K3047">
        <v>48</v>
      </c>
      <c r="L3047">
        <v>36.89</v>
      </c>
      <c r="M3047">
        <v>3.6</v>
      </c>
      <c r="N3047" t="s">
        <v>61</v>
      </c>
      <c r="O3047" t="str">
        <f t="shared" si="47"/>
        <v>No</v>
      </c>
    </row>
    <row r="3048" spans="1:15" x14ac:dyDescent="0.25">
      <c r="A3048" t="s">
        <v>3109</v>
      </c>
      <c r="B3048" s="1">
        <v>45789</v>
      </c>
      <c r="C3048" s="2">
        <v>45789.03833333333</v>
      </c>
      <c r="D3048" t="s">
        <v>31</v>
      </c>
      <c r="E3048" t="s">
        <v>16</v>
      </c>
      <c r="F3048" t="s">
        <v>17</v>
      </c>
      <c r="G3048" t="s">
        <v>34</v>
      </c>
      <c r="H3048" t="s">
        <v>54</v>
      </c>
      <c r="I3048" t="s">
        <v>36</v>
      </c>
      <c r="J3048" t="s">
        <v>21</v>
      </c>
      <c r="K3048">
        <v>4</v>
      </c>
      <c r="L3048">
        <v>0.92</v>
      </c>
      <c r="M3048">
        <v>3.7</v>
      </c>
      <c r="N3048" t="s">
        <v>22</v>
      </c>
      <c r="O3048" t="str">
        <f t="shared" si="47"/>
        <v>No</v>
      </c>
    </row>
    <row r="3049" spans="1:15" x14ac:dyDescent="0.25">
      <c r="A3049" t="s">
        <v>3110</v>
      </c>
      <c r="B3049" s="1">
        <v>45795</v>
      </c>
      <c r="C3049" s="2">
        <v>45795.078750000001</v>
      </c>
      <c r="D3049" t="s">
        <v>24</v>
      </c>
      <c r="E3049" t="s">
        <v>39</v>
      </c>
      <c r="F3049" t="s">
        <v>87</v>
      </c>
      <c r="G3049" t="s">
        <v>41</v>
      </c>
      <c r="H3049" t="s">
        <v>54</v>
      </c>
      <c r="I3049" t="s">
        <v>36</v>
      </c>
      <c r="J3049" t="s">
        <v>21</v>
      </c>
      <c r="K3049">
        <v>24</v>
      </c>
      <c r="L3049">
        <v>1.89</v>
      </c>
      <c r="M3049">
        <v>5</v>
      </c>
      <c r="N3049" t="s">
        <v>22</v>
      </c>
      <c r="O3049" t="str">
        <f t="shared" si="47"/>
        <v>No</v>
      </c>
    </row>
    <row r="3050" spans="1:15" x14ac:dyDescent="0.25">
      <c r="A3050" t="s">
        <v>3111</v>
      </c>
      <c r="B3050" s="1">
        <v>45688</v>
      </c>
      <c r="C3050" s="2">
        <v>45688.412083333336</v>
      </c>
      <c r="D3050" t="s">
        <v>24</v>
      </c>
      <c r="E3050" t="s">
        <v>16</v>
      </c>
      <c r="F3050" t="s">
        <v>60</v>
      </c>
      <c r="G3050" t="s">
        <v>51</v>
      </c>
      <c r="H3050" t="s">
        <v>54</v>
      </c>
      <c r="I3050" t="s">
        <v>20</v>
      </c>
      <c r="J3050" t="s">
        <v>21</v>
      </c>
      <c r="K3050">
        <v>24</v>
      </c>
      <c r="L3050">
        <v>9.89</v>
      </c>
      <c r="M3050">
        <v>4.4000000000000004</v>
      </c>
      <c r="N3050" t="s">
        <v>22</v>
      </c>
      <c r="O3050" t="str">
        <f t="shared" si="47"/>
        <v>No</v>
      </c>
    </row>
    <row r="3051" spans="1:15" x14ac:dyDescent="0.25">
      <c r="A3051" t="s">
        <v>3112</v>
      </c>
      <c r="B3051" s="1">
        <v>45786</v>
      </c>
      <c r="C3051" s="2">
        <v>45786.467083333337</v>
      </c>
      <c r="D3051" t="s">
        <v>24</v>
      </c>
      <c r="E3051" t="s">
        <v>16</v>
      </c>
      <c r="F3051" t="s">
        <v>58</v>
      </c>
      <c r="G3051" t="s">
        <v>56</v>
      </c>
      <c r="H3051" t="s">
        <v>19</v>
      </c>
      <c r="I3051" t="s">
        <v>36</v>
      </c>
      <c r="J3051" t="s">
        <v>21</v>
      </c>
      <c r="K3051">
        <v>24</v>
      </c>
      <c r="L3051">
        <v>11.21</v>
      </c>
      <c r="M3051">
        <v>3.4</v>
      </c>
      <c r="N3051" t="s">
        <v>22</v>
      </c>
      <c r="O3051" t="str">
        <f t="shared" si="47"/>
        <v>No</v>
      </c>
    </row>
    <row r="3052" spans="1:15" x14ac:dyDescent="0.25">
      <c r="A3052" t="s">
        <v>3113</v>
      </c>
      <c r="B3052" s="1">
        <v>45809</v>
      </c>
      <c r="C3052" s="2">
        <v>45811.259583333333</v>
      </c>
      <c r="D3052" t="s">
        <v>15</v>
      </c>
      <c r="E3052" t="s">
        <v>45</v>
      </c>
      <c r="F3052" t="s">
        <v>100</v>
      </c>
      <c r="G3052" t="s">
        <v>18</v>
      </c>
      <c r="H3052" t="s">
        <v>54</v>
      </c>
      <c r="I3052" t="s">
        <v>36</v>
      </c>
      <c r="J3052" t="s">
        <v>21</v>
      </c>
      <c r="K3052">
        <v>48</v>
      </c>
      <c r="L3052">
        <v>54.23</v>
      </c>
      <c r="M3052">
        <v>3.2</v>
      </c>
      <c r="N3052" t="s">
        <v>22</v>
      </c>
      <c r="O3052" t="str">
        <f t="shared" si="47"/>
        <v>Yes</v>
      </c>
    </row>
    <row r="3053" spans="1:15" x14ac:dyDescent="0.25">
      <c r="A3053" t="s">
        <v>3114</v>
      </c>
      <c r="B3053" s="1">
        <v>45689</v>
      </c>
      <c r="C3053" s="2">
        <v>45689.762499999997</v>
      </c>
      <c r="D3053" t="s">
        <v>15</v>
      </c>
      <c r="E3053" t="s">
        <v>32</v>
      </c>
      <c r="F3053" t="s">
        <v>33</v>
      </c>
      <c r="G3053" t="s">
        <v>56</v>
      </c>
      <c r="H3053" t="s">
        <v>54</v>
      </c>
      <c r="I3053" t="s">
        <v>28</v>
      </c>
      <c r="J3053" t="s">
        <v>29</v>
      </c>
      <c r="K3053">
        <v>48</v>
      </c>
      <c r="L3053">
        <v>18.3</v>
      </c>
      <c r="M3053">
        <v>5</v>
      </c>
      <c r="N3053" t="s">
        <v>22</v>
      </c>
      <c r="O3053" t="str">
        <f t="shared" si="47"/>
        <v>No</v>
      </c>
    </row>
    <row r="3054" spans="1:15" x14ac:dyDescent="0.25">
      <c r="A3054" t="s">
        <v>3115</v>
      </c>
      <c r="B3054" s="1">
        <v>45793</v>
      </c>
      <c r="C3054" s="2">
        <v>45793.198333333334</v>
      </c>
      <c r="D3054" t="s">
        <v>24</v>
      </c>
      <c r="E3054" t="s">
        <v>45</v>
      </c>
      <c r="F3054" t="s">
        <v>50</v>
      </c>
      <c r="G3054" t="s">
        <v>34</v>
      </c>
      <c r="H3054" t="s">
        <v>19</v>
      </c>
      <c r="I3054" t="s">
        <v>20</v>
      </c>
      <c r="J3054" t="s">
        <v>46</v>
      </c>
      <c r="K3054">
        <v>24</v>
      </c>
      <c r="L3054">
        <v>4.76</v>
      </c>
      <c r="M3054">
        <v>5</v>
      </c>
      <c r="N3054" t="s">
        <v>22</v>
      </c>
      <c r="O3054" t="str">
        <f t="shared" si="47"/>
        <v>No</v>
      </c>
    </row>
    <row r="3055" spans="1:15" x14ac:dyDescent="0.25">
      <c r="A3055" t="s">
        <v>3116</v>
      </c>
      <c r="B3055" s="1">
        <v>45722</v>
      </c>
      <c r="C3055" s="2">
        <v>45722.559999999998</v>
      </c>
      <c r="D3055" t="s">
        <v>15</v>
      </c>
      <c r="E3055" t="s">
        <v>32</v>
      </c>
      <c r="F3055" t="s">
        <v>64</v>
      </c>
      <c r="G3055" t="s">
        <v>41</v>
      </c>
      <c r="H3055" t="s">
        <v>44</v>
      </c>
      <c r="I3055" t="s">
        <v>20</v>
      </c>
      <c r="J3055" t="s">
        <v>21</v>
      </c>
      <c r="K3055">
        <v>48</v>
      </c>
      <c r="L3055">
        <v>13.44</v>
      </c>
      <c r="M3055">
        <v>3.8</v>
      </c>
      <c r="N3055" t="s">
        <v>22</v>
      </c>
      <c r="O3055" t="str">
        <f t="shared" si="47"/>
        <v>No</v>
      </c>
    </row>
    <row r="3056" spans="1:15" x14ac:dyDescent="0.25">
      <c r="A3056" t="s">
        <v>3117</v>
      </c>
      <c r="B3056" s="1">
        <v>45800</v>
      </c>
      <c r="C3056" s="2">
        <v>45800.763333333336</v>
      </c>
      <c r="D3056" t="s">
        <v>24</v>
      </c>
      <c r="E3056" t="s">
        <v>25</v>
      </c>
      <c r="F3056" t="s">
        <v>53</v>
      </c>
      <c r="G3056" t="s">
        <v>34</v>
      </c>
      <c r="H3056" t="s">
        <v>19</v>
      </c>
      <c r="I3056" t="s">
        <v>36</v>
      </c>
      <c r="J3056" t="s">
        <v>46</v>
      </c>
      <c r="K3056">
        <v>24</v>
      </c>
      <c r="L3056">
        <v>18.32</v>
      </c>
      <c r="M3056">
        <v>5</v>
      </c>
      <c r="N3056" t="s">
        <v>22</v>
      </c>
      <c r="O3056" t="str">
        <f t="shared" si="47"/>
        <v>No</v>
      </c>
    </row>
    <row r="3057" spans="1:15" x14ac:dyDescent="0.25">
      <c r="A3057" t="s">
        <v>3118</v>
      </c>
      <c r="B3057" s="1">
        <v>45744</v>
      </c>
      <c r="C3057" s="2">
        <v>45744.18</v>
      </c>
      <c r="D3057" t="s">
        <v>38</v>
      </c>
      <c r="E3057" t="s">
        <v>45</v>
      </c>
      <c r="F3057" t="s">
        <v>104</v>
      </c>
      <c r="G3057" t="s">
        <v>41</v>
      </c>
      <c r="H3057" t="s">
        <v>65</v>
      </c>
      <c r="I3057" t="s">
        <v>45</v>
      </c>
      <c r="J3057" t="s">
        <v>21</v>
      </c>
      <c r="K3057">
        <v>8</v>
      </c>
      <c r="L3057">
        <v>4.32</v>
      </c>
      <c r="M3057">
        <v>3.7</v>
      </c>
      <c r="N3057" t="s">
        <v>22</v>
      </c>
      <c r="O3057" t="str">
        <f t="shared" si="47"/>
        <v>No</v>
      </c>
    </row>
    <row r="3058" spans="1:15" x14ac:dyDescent="0.25">
      <c r="A3058" t="s">
        <v>3119</v>
      </c>
      <c r="B3058" s="1">
        <v>45803</v>
      </c>
      <c r="C3058" s="2">
        <v>45803.472083333334</v>
      </c>
      <c r="D3058" t="s">
        <v>24</v>
      </c>
      <c r="E3058" t="s">
        <v>39</v>
      </c>
      <c r="F3058" t="s">
        <v>119</v>
      </c>
      <c r="G3058" t="s">
        <v>51</v>
      </c>
      <c r="H3058" t="s">
        <v>65</v>
      </c>
      <c r="I3058" t="s">
        <v>45</v>
      </c>
      <c r="J3058" t="s">
        <v>21</v>
      </c>
      <c r="K3058">
        <v>24</v>
      </c>
      <c r="L3058">
        <v>11.33</v>
      </c>
      <c r="M3058">
        <v>3.3</v>
      </c>
      <c r="N3058" t="s">
        <v>22</v>
      </c>
      <c r="O3058" t="str">
        <f t="shared" si="47"/>
        <v>No</v>
      </c>
    </row>
    <row r="3059" spans="1:15" x14ac:dyDescent="0.25">
      <c r="A3059" t="s">
        <v>3120</v>
      </c>
      <c r="B3059" s="1">
        <v>45684</v>
      </c>
      <c r="C3059" s="2">
        <v>45685.15</v>
      </c>
      <c r="D3059" t="s">
        <v>24</v>
      </c>
      <c r="E3059" t="s">
        <v>32</v>
      </c>
      <c r="F3059" t="s">
        <v>64</v>
      </c>
      <c r="G3059" t="s">
        <v>41</v>
      </c>
      <c r="H3059" t="s">
        <v>44</v>
      </c>
      <c r="I3059" t="s">
        <v>45</v>
      </c>
      <c r="J3059" t="s">
        <v>21</v>
      </c>
      <c r="K3059">
        <v>24</v>
      </c>
      <c r="L3059">
        <v>27.6</v>
      </c>
      <c r="M3059">
        <v>4.8</v>
      </c>
      <c r="N3059" t="s">
        <v>22</v>
      </c>
      <c r="O3059" t="str">
        <f t="shared" si="47"/>
        <v>Yes</v>
      </c>
    </row>
    <row r="3060" spans="1:15" x14ac:dyDescent="0.25">
      <c r="A3060" t="s">
        <v>3121</v>
      </c>
      <c r="B3060" s="1">
        <v>45728</v>
      </c>
      <c r="C3060" s="2">
        <v>45728.043749999997</v>
      </c>
      <c r="D3060" t="s">
        <v>24</v>
      </c>
      <c r="E3060" t="s">
        <v>25</v>
      </c>
      <c r="F3060" t="s">
        <v>48</v>
      </c>
      <c r="G3060" t="s">
        <v>41</v>
      </c>
      <c r="H3060" t="s">
        <v>54</v>
      </c>
      <c r="I3060" t="s">
        <v>36</v>
      </c>
      <c r="J3060" t="s">
        <v>21</v>
      </c>
      <c r="K3060">
        <v>24</v>
      </c>
      <c r="L3060">
        <v>1.05</v>
      </c>
      <c r="M3060">
        <v>4.3</v>
      </c>
      <c r="N3060" t="s">
        <v>61</v>
      </c>
      <c r="O3060" t="str">
        <f t="shared" si="47"/>
        <v>No</v>
      </c>
    </row>
    <row r="3061" spans="1:15" x14ac:dyDescent="0.25">
      <c r="A3061" t="s">
        <v>3122</v>
      </c>
      <c r="B3061" s="1">
        <v>45707</v>
      </c>
      <c r="C3061" s="2">
        <v>45709.016250000001</v>
      </c>
      <c r="D3061" t="s">
        <v>15</v>
      </c>
      <c r="E3061" t="s">
        <v>25</v>
      </c>
      <c r="F3061" t="s">
        <v>53</v>
      </c>
      <c r="G3061" t="s">
        <v>41</v>
      </c>
      <c r="H3061" t="s">
        <v>35</v>
      </c>
      <c r="I3061" t="s">
        <v>20</v>
      </c>
      <c r="J3061" t="s">
        <v>46</v>
      </c>
      <c r="K3061">
        <v>48</v>
      </c>
      <c r="L3061">
        <v>48.39</v>
      </c>
      <c r="M3061">
        <v>4.8</v>
      </c>
      <c r="N3061" t="s">
        <v>22</v>
      </c>
      <c r="O3061" t="str">
        <f t="shared" si="47"/>
        <v>Yes</v>
      </c>
    </row>
    <row r="3062" spans="1:15" x14ac:dyDescent="0.25">
      <c r="A3062" t="s">
        <v>3123</v>
      </c>
      <c r="B3062" s="1">
        <v>45702</v>
      </c>
      <c r="C3062" s="2">
        <v>45702.020833333336</v>
      </c>
      <c r="D3062" t="s">
        <v>38</v>
      </c>
      <c r="E3062" t="s">
        <v>39</v>
      </c>
      <c r="F3062" t="s">
        <v>40</v>
      </c>
      <c r="G3062" t="s">
        <v>34</v>
      </c>
      <c r="H3062" t="s">
        <v>27</v>
      </c>
      <c r="I3062" t="s">
        <v>36</v>
      </c>
      <c r="J3062" t="s">
        <v>46</v>
      </c>
      <c r="K3062">
        <v>8</v>
      </c>
      <c r="L3062">
        <v>0.5</v>
      </c>
      <c r="M3062">
        <v>4.5</v>
      </c>
      <c r="N3062" t="s">
        <v>61</v>
      </c>
      <c r="O3062" t="str">
        <f t="shared" si="47"/>
        <v>No</v>
      </c>
    </row>
    <row r="3063" spans="1:15" x14ac:dyDescent="0.25">
      <c r="A3063" t="s">
        <v>3124</v>
      </c>
      <c r="B3063" s="1">
        <v>45713</v>
      </c>
      <c r="C3063" s="2">
        <v>45713.970833333333</v>
      </c>
      <c r="D3063" t="s">
        <v>24</v>
      </c>
      <c r="E3063" t="s">
        <v>16</v>
      </c>
      <c r="F3063" t="s">
        <v>60</v>
      </c>
      <c r="G3063" t="s">
        <v>56</v>
      </c>
      <c r="H3063" t="s">
        <v>54</v>
      </c>
      <c r="I3063" t="s">
        <v>45</v>
      </c>
      <c r="J3063" t="s">
        <v>46</v>
      </c>
      <c r="K3063">
        <v>24</v>
      </c>
      <c r="L3063">
        <v>23.3</v>
      </c>
      <c r="M3063">
        <v>3.6</v>
      </c>
      <c r="N3063" t="s">
        <v>22</v>
      </c>
      <c r="O3063" t="str">
        <f t="shared" si="47"/>
        <v>No</v>
      </c>
    </row>
    <row r="3064" spans="1:15" x14ac:dyDescent="0.25">
      <c r="A3064" t="s">
        <v>3125</v>
      </c>
      <c r="B3064" s="1">
        <v>45727</v>
      </c>
      <c r="C3064" s="2">
        <v>45728.216249999998</v>
      </c>
      <c r="D3064" t="s">
        <v>15</v>
      </c>
      <c r="E3064" t="s">
        <v>25</v>
      </c>
      <c r="F3064" t="s">
        <v>70</v>
      </c>
      <c r="G3064" t="s">
        <v>51</v>
      </c>
      <c r="H3064" t="s">
        <v>27</v>
      </c>
      <c r="I3064" t="s">
        <v>20</v>
      </c>
      <c r="J3064" t="s">
        <v>21</v>
      </c>
      <c r="K3064">
        <v>48</v>
      </c>
      <c r="L3064">
        <v>29.19</v>
      </c>
      <c r="M3064">
        <v>3.4</v>
      </c>
      <c r="N3064" t="s">
        <v>22</v>
      </c>
      <c r="O3064" t="str">
        <f t="shared" si="47"/>
        <v>No</v>
      </c>
    </row>
    <row r="3065" spans="1:15" x14ac:dyDescent="0.25">
      <c r="A3065" t="s">
        <v>3126</v>
      </c>
      <c r="B3065" s="1">
        <v>45681</v>
      </c>
      <c r="C3065" s="2">
        <v>45682.158333333333</v>
      </c>
      <c r="D3065" t="s">
        <v>15</v>
      </c>
      <c r="E3065" t="s">
        <v>32</v>
      </c>
      <c r="F3065" t="s">
        <v>64</v>
      </c>
      <c r="G3065" t="s">
        <v>41</v>
      </c>
      <c r="H3065" t="s">
        <v>35</v>
      </c>
      <c r="I3065" t="s">
        <v>20</v>
      </c>
      <c r="J3065" t="s">
        <v>21</v>
      </c>
      <c r="K3065">
        <v>48</v>
      </c>
      <c r="L3065">
        <v>27.8</v>
      </c>
      <c r="M3065">
        <v>5</v>
      </c>
      <c r="N3065" t="s">
        <v>61</v>
      </c>
      <c r="O3065" t="str">
        <f t="shared" si="47"/>
        <v>No</v>
      </c>
    </row>
    <row r="3066" spans="1:15" x14ac:dyDescent="0.25">
      <c r="A3066" t="s">
        <v>3127</v>
      </c>
      <c r="B3066" s="1">
        <v>45785</v>
      </c>
      <c r="C3066" s="2">
        <v>45785.196250000001</v>
      </c>
      <c r="D3066" t="s">
        <v>38</v>
      </c>
      <c r="E3066" t="s">
        <v>16</v>
      </c>
      <c r="F3066" t="s">
        <v>43</v>
      </c>
      <c r="G3066" t="s">
        <v>34</v>
      </c>
      <c r="H3066" t="s">
        <v>19</v>
      </c>
      <c r="I3066" t="s">
        <v>36</v>
      </c>
      <c r="J3066" t="s">
        <v>21</v>
      </c>
      <c r="K3066">
        <v>8</v>
      </c>
      <c r="L3066">
        <v>4.71</v>
      </c>
      <c r="M3066">
        <v>5</v>
      </c>
      <c r="N3066" t="s">
        <v>22</v>
      </c>
      <c r="O3066" t="str">
        <f t="shared" si="47"/>
        <v>No</v>
      </c>
    </row>
    <row r="3067" spans="1:15" x14ac:dyDescent="0.25">
      <c r="A3067" t="s">
        <v>3128</v>
      </c>
      <c r="B3067" s="1">
        <v>45757</v>
      </c>
      <c r="C3067" s="2">
        <v>45758.940405092595</v>
      </c>
      <c r="D3067" t="s">
        <v>15</v>
      </c>
      <c r="E3067" t="s">
        <v>39</v>
      </c>
      <c r="F3067" t="s">
        <v>40</v>
      </c>
      <c r="G3067" t="s">
        <v>34</v>
      </c>
      <c r="H3067" t="s">
        <v>35</v>
      </c>
      <c r="I3067" t="s">
        <v>45</v>
      </c>
      <c r="J3067" t="s">
        <v>21</v>
      </c>
      <c r="K3067">
        <v>48</v>
      </c>
      <c r="L3067">
        <v>46.57</v>
      </c>
      <c r="M3067">
        <v>3.4</v>
      </c>
      <c r="N3067" t="s">
        <v>22</v>
      </c>
      <c r="O3067" t="str">
        <f t="shared" si="47"/>
        <v>No</v>
      </c>
    </row>
    <row r="3068" spans="1:15" x14ac:dyDescent="0.25">
      <c r="A3068" t="s">
        <v>3129</v>
      </c>
      <c r="B3068" s="1">
        <v>45808</v>
      </c>
      <c r="C3068" s="2">
        <v>45808.191666666666</v>
      </c>
      <c r="D3068" t="s">
        <v>24</v>
      </c>
      <c r="E3068" t="s">
        <v>32</v>
      </c>
      <c r="F3068" t="s">
        <v>75</v>
      </c>
      <c r="G3068" t="s">
        <v>56</v>
      </c>
      <c r="H3068" t="s">
        <v>27</v>
      </c>
      <c r="I3068" t="s">
        <v>45</v>
      </c>
      <c r="J3068" t="s">
        <v>21</v>
      </c>
      <c r="K3068">
        <v>24</v>
      </c>
      <c r="L3068">
        <v>4.5999999999999996</v>
      </c>
      <c r="M3068">
        <v>4.7</v>
      </c>
      <c r="N3068" t="s">
        <v>22</v>
      </c>
      <c r="O3068" t="str">
        <f t="shared" si="47"/>
        <v>No</v>
      </c>
    </row>
    <row r="3069" spans="1:15" x14ac:dyDescent="0.25">
      <c r="A3069" t="s">
        <v>3130</v>
      </c>
      <c r="B3069" s="1">
        <v>45785</v>
      </c>
      <c r="C3069" s="2">
        <v>45786.648333333331</v>
      </c>
      <c r="D3069" t="s">
        <v>15</v>
      </c>
      <c r="E3069" t="s">
        <v>25</v>
      </c>
      <c r="F3069" t="s">
        <v>70</v>
      </c>
      <c r="G3069" t="s">
        <v>34</v>
      </c>
      <c r="H3069" t="s">
        <v>35</v>
      </c>
      <c r="I3069" t="s">
        <v>36</v>
      </c>
      <c r="J3069" t="s">
        <v>21</v>
      </c>
      <c r="K3069">
        <v>48</v>
      </c>
      <c r="L3069">
        <v>39.56</v>
      </c>
      <c r="M3069">
        <v>4.4000000000000004</v>
      </c>
      <c r="N3069" t="s">
        <v>22</v>
      </c>
      <c r="O3069" t="str">
        <f t="shared" si="47"/>
        <v>No</v>
      </c>
    </row>
    <row r="3070" spans="1:15" x14ac:dyDescent="0.25">
      <c r="A3070" t="s">
        <v>3131</v>
      </c>
      <c r="B3070" s="1">
        <v>45684</v>
      </c>
      <c r="C3070" s="2">
        <v>45685.980833333335</v>
      </c>
      <c r="D3070" t="s">
        <v>15</v>
      </c>
      <c r="E3070" t="s">
        <v>39</v>
      </c>
      <c r="F3070" t="s">
        <v>119</v>
      </c>
      <c r="G3070" t="s">
        <v>41</v>
      </c>
      <c r="H3070" t="s">
        <v>44</v>
      </c>
      <c r="I3070" t="s">
        <v>36</v>
      </c>
      <c r="J3070" t="s">
        <v>21</v>
      </c>
      <c r="K3070">
        <v>48</v>
      </c>
      <c r="L3070">
        <v>47.54</v>
      </c>
      <c r="M3070">
        <v>3.5</v>
      </c>
      <c r="N3070" t="s">
        <v>22</v>
      </c>
      <c r="O3070" t="str">
        <f t="shared" si="47"/>
        <v>No</v>
      </c>
    </row>
    <row r="3071" spans="1:15" x14ac:dyDescent="0.25">
      <c r="A3071" t="s">
        <v>3132</v>
      </c>
      <c r="B3071" s="1">
        <v>45670</v>
      </c>
      <c r="C3071" s="2">
        <v>45670.164583333331</v>
      </c>
      <c r="D3071" t="s">
        <v>38</v>
      </c>
      <c r="E3071" t="s">
        <v>45</v>
      </c>
      <c r="F3071" t="s">
        <v>104</v>
      </c>
      <c r="G3071" t="s">
        <v>18</v>
      </c>
      <c r="H3071" t="s">
        <v>19</v>
      </c>
      <c r="I3071" t="s">
        <v>45</v>
      </c>
      <c r="J3071" t="s">
        <v>21</v>
      </c>
      <c r="K3071">
        <v>8</v>
      </c>
      <c r="L3071">
        <v>3.95</v>
      </c>
      <c r="M3071">
        <v>5</v>
      </c>
      <c r="N3071" t="s">
        <v>22</v>
      </c>
      <c r="O3071" t="str">
        <f t="shared" si="47"/>
        <v>No</v>
      </c>
    </row>
    <row r="3072" spans="1:15" x14ac:dyDescent="0.25">
      <c r="A3072" t="s">
        <v>3133</v>
      </c>
      <c r="B3072" s="1">
        <v>45734</v>
      </c>
      <c r="C3072" s="2">
        <v>45734.633333333331</v>
      </c>
      <c r="D3072" t="s">
        <v>15</v>
      </c>
      <c r="E3072" t="s">
        <v>16</v>
      </c>
      <c r="F3072" t="s">
        <v>58</v>
      </c>
      <c r="G3072" t="s">
        <v>41</v>
      </c>
      <c r="H3072" t="s">
        <v>19</v>
      </c>
      <c r="I3072" t="s">
        <v>20</v>
      </c>
      <c r="J3072" t="s">
        <v>21</v>
      </c>
      <c r="K3072">
        <v>48</v>
      </c>
      <c r="L3072">
        <v>15.2</v>
      </c>
      <c r="M3072">
        <v>4.5999999999999996</v>
      </c>
      <c r="N3072" t="s">
        <v>22</v>
      </c>
      <c r="O3072" t="str">
        <f t="shared" si="47"/>
        <v>No</v>
      </c>
    </row>
    <row r="3073" spans="1:15" x14ac:dyDescent="0.25">
      <c r="A3073" t="s">
        <v>3134</v>
      </c>
      <c r="B3073" s="1">
        <v>45745</v>
      </c>
      <c r="C3073" s="2">
        <v>45745.199166666665</v>
      </c>
      <c r="D3073" t="s">
        <v>15</v>
      </c>
      <c r="E3073" t="s">
        <v>16</v>
      </c>
      <c r="F3073" t="s">
        <v>58</v>
      </c>
      <c r="G3073" t="s">
        <v>41</v>
      </c>
      <c r="H3073" t="s">
        <v>54</v>
      </c>
      <c r="I3073" t="s">
        <v>28</v>
      </c>
      <c r="J3073" t="s">
        <v>46</v>
      </c>
      <c r="K3073">
        <v>48</v>
      </c>
      <c r="L3073">
        <v>4.78</v>
      </c>
      <c r="M3073">
        <v>4.5</v>
      </c>
      <c r="N3073" t="s">
        <v>22</v>
      </c>
      <c r="O3073" t="str">
        <f t="shared" si="47"/>
        <v>No</v>
      </c>
    </row>
    <row r="3074" spans="1:15" x14ac:dyDescent="0.25">
      <c r="A3074" t="s">
        <v>3135</v>
      </c>
      <c r="B3074" s="1">
        <v>45701</v>
      </c>
      <c r="C3074" s="2">
        <v>45703.723749999997</v>
      </c>
      <c r="D3074" t="s">
        <v>24</v>
      </c>
      <c r="E3074" t="s">
        <v>39</v>
      </c>
      <c r="F3074" t="s">
        <v>119</v>
      </c>
      <c r="G3074" t="s">
        <v>34</v>
      </c>
      <c r="H3074" t="s">
        <v>54</v>
      </c>
      <c r="I3074" t="s">
        <v>36</v>
      </c>
      <c r="J3074" t="s">
        <v>46</v>
      </c>
      <c r="K3074">
        <v>24</v>
      </c>
      <c r="L3074">
        <v>65.37</v>
      </c>
      <c r="M3074">
        <v>1</v>
      </c>
      <c r="N3074" t="s">
        <v>22</v>
      </c>
      <c r="O3074" t="str">
        <f t="shared" si="47"/>
        <v>Yes</v>
      </c>
    </row>
    <row r="3075" spans="1:15" x14ac:dyDescent="0.25">
      <c r="A3075" t="s">
        <v>3136</v>
      </c>
      <c r="B3075" s="1">
        <v>45799</v>
      </c>
      <c r="C3075" s="2">
        <v>45799.195416666669</v>
      </c>
      <c r="D3075" t="s">
        <v>38</v>
      </c>
      <c r="E3075" t="s">
        <v>39</v>
      </c>
      <c r="F3075" t="s">
        <v>78</v>
      </c>
      <c r="G3075" t="s">
        <v>56</v>
      </c>
      <c r="H3075" t="s">
        <v>65</v>
      </c>
      <c r="I3075" t="s">
        <v>36</v>
      </c>
      <c r="J3075" t="s">
        <v>46</v>
      </c>
      <c r="K3075">
        <v>8</v>
      </c>
      <c r="L3075">
        <v>4.6900000000000004</v>
      </c>
      <c r="M3075">
        <v>3.5</v>
      </c>
      <c r="N3075" t="s">
        <v>61</v>
      </c>
      <c r="O3075" t="str">
        <f t="shared" ref="O3075:O3138" si="48">IF(L3075&gt;K3075,"Yes","No")</f>
        <v>No</v>
      </c>
    </row>
    <row r="3076" spans="1:15" x14ac:dyDescent="0.25">
      <c r="A3076" t="s">
        <v>3137</v>
      </c>
      <c r="B3076" s="1">
        <v>45763</v>
      </c>
      <c r="C3076" s="2">
        <v>45763.081666666665</v>
      </c>
      <c r="D3076" t="s">
        <v>24</v>
      </c>
      <c r="E3076" t="s">
        <v>25</v>
      </c>
      <c r="F3076" t="s">
        <v>53</v>
      </c>
      <c r="G3076" t="s">
        <v>51</v>
      </c>
      <c r="H3076" t="s">
        <v>27</v>
      </c>
      <c r="I3076" t="s">
        <v>36</v>
      </c>
      <c r="J3076" t="s">
        <v>85</v>
      </c>
      <c r="K3076">
        <v>24</v>
      </c>
      <c r="L3076">
        <v>1.96</v>
      </c>
      <c r="M3076">
        <v>5</v>
      </c>
      <c r="N3076" t="s">
        <v>22</v>
      </c>
      <c r="O3076" t="str">
        <f t="shared" si="48"/>
        <v>No</v>
      </c>
    </row>
    <row r="3077" spans="1:15" x14ac:dyDescent="0.25">
      <c r="A3077" t="s">
        <v>3138</v>
      </c>
      <c r="B3077" s="1">
        <v>45793</v>
      </c>
      <c r="C3077" s="2">
        <v>45793.440000000002</v>
      </c>
      <c r="D3077" t="s">
        <v>15</v>
      </c>
      <c r="E3077" t="s">
        <v>16</v>
      </c>
      <c r="F3077" t="s">
        <v>60</v>
      </c>
      <c r="G3077" t="s">
        <v>34</v>
      </c>
      <c r="H3077" t="s">
        <v>44</v>
      </c>
      <c r="I3077" t="s">
        <v>28</v>
      </c>
      <c r="J3077" t="s">
        <v>46</v>
      </c>
      <c r="K3077">
        <v>48</v>
      </c>
      <c r="L3077">
        <v>10.56</v>
      </c>
      <c r="M3077">
        <v>4.9000000000000004</v>
      </c>
      <c r="N3077" t="s">
        <v>22</v>
      </c>
      <c r="O3077" t="str">
        <f t="shared" si="48"/>
        <v>No</v>
      </c>
    </row>
    <row r="3078" spans="1:15" x14ac:dyDescent="0.25">
      <c r="A3078" t="s">
        <v>3139</v>
      </c>
      <c r="B3078" s="1">
        <v>45677</v>
      </c>
      <c r="C3078" s="2">
        <v>45677.05541666667</v>
      </c>
      <c r="D3078" t="s">
        <v>31</v>
      </c>
      <c r="E3078" t="s">
        <v>25</v>
      </c>
      <c r="F3078" t="s">
        <v>48</v>
      </c>
      <c r="G3078" t="s">
        <v>51</v>
      </c>
      <c r="H3078" t="s">
        <v>27</v>
      </c>
      <c r="I3078" t="s">
        <v>20</v>
      </c>
      <c r="J3078" t="s">
        <v>46</v>
      </c>
      <c r="K3078">
        <v>4</v>
      </c>
      <c r="L3078">
        <v>1.33</v>
      </c>
      <c r="M3078">
        <v>5</v>
      </c>
      <c r="N3078" t="s">
        <v>22</v>
      </c>
      <c r="O3078" t="str">
        <f t="shared" si="48"/>
        <v>No</v>
      </c>
    </row>
    <row r="3079" spans="1:15" x14ac:dyDescent="0.25">
      <c r="A3079" t="s">
        <v>3140</v>
      </c>
      <c r="B3079" s="1">
        <v>45805</v>
      </c>
      <c r="C3079" s="2">
        <v>45806.00708333333</v>
      </c>
      <c r="D3079" t="s">
        <v>24</v>
      </c>
      <c r="E3079" t="s">
        <v>39</v>
      </c>
      <c r="F3079" t="s">
        <v>78</v>
      </c>
      <c r="G3079" t="s">
        <v>18</v>
      </c>
      <c r="H3079" t="s">
        <v>54</v>
      </c>
      <c r="I3079" t="s">
        <v>28</v>
      </c>
      <c r="J3079" t="s">
        <v>46</v>
      </c>
      <c r="K3079">
        <v>24</v>
      </c>
      <c r="L3079">
        <v>24.17</v>
      </c>
      <c r="M3079">
        <v>3.4</v>
      </c>
      <c r="N3079" t="s">
        <v>22</v>
      </c>
      <c r="O3079" t="str">
        <f t="shared" si="48"/>
        <v>Yes</v>
      </c>
    </row>
    <row r="3080" spans="1:15" x14ac:dyDescent="0.25">
      <c r="A3080" t="s">
        <v>3141</v>
      </c>
      <c r="B3080" s="1">
        <v>45695</v>
      </c>
      <c r="C3080" s="2">
        <v>45695.073333333334</v>
      </c>
      <c r="D3080" t="s">
        <v>38</v>
      </c>
      <c r="E3080" t="s">
        <v>32</v>
      </c>
      <c r="F3080" t="s">
        <v>33</v>
      </c>
      <c r="G3080" t="s">
        <v>18</v>
      </c>
      <c r="H3080" t="s">
        <v>27</v>
      </c>
      <c r="I3080" t="s">
        <v>45</v>
      </c>
      <c r="J3080" t="s">
        <v>46</v>
      </c>
      <c r="K3080">
        <v>8</v>
      </c>
      <c r="L3080">
        <v>1.76</v>
      </c>
      <c r="M3080">
        <v>3.7</v>
      </c>
      <c r="N3080" t="s">
        <v>22</v>
      </c>
      <c r="O3080" t="str">
        <f t="shared" si="48"/>
        <v>No</v>
      </c>
    </row>
    <row r="3081" spans="1:15" x14ac:dyDescent="0.25">
      <c r="A3081" t="s">
        <v>3142</v>
      </c>
      <c r="B3081" s="1">
        <v>45739</v>
      </c>
      <c r="C3081" s="2">
        <v>45739.106666666667</v>
      </c>
      <c r="D3081" t="s">
        <v>38</v>
      </c>
      <c r="E3081" t="s">
        <v>32</v>
      </c>
      <c r="F3081" t="s">
        <v>33</v>
      </c>
      <c r="G3081" t="s">
        <v>41</v>
      </c>
      <c r="H3081" t="s">
        <v>35</v>
      </c>
      <c r="I3081" t="s">
        <v>36</v>
      </c>
      <c r="J3081" t="s">
        <v>21</v>
      </c>
      <c r="K3081">
        <v>8</v>
      </c>
      <c r="L3081">
        <v>2.56</v>
      </c>
      <c r="M3081">
        <v>4.3</v>
      </c>
      <c r="N3081" t="s">
        <v>22</v>
      </c>
      <c r="O3081" t="str">
        <f t="shared" si="48"/>
        <v>No</v>
      </c>
    </row>
    <row r="3082" spans="1:15" x14ac:dyDescent="0.25">
      <c r="A3082" t="s">
        <v>3143</v>
      </c>
      <c r="B3082" s="1">
        <v>45737</v>
      </c>
      <c r="C3082" s="2">
        <v>45737.892916666664</v>
      </c>
      <c r="D3082" t="s">
        <v>24</v>
      </c>
      <c r="E3082" t="s">
        <v>25</v>
      </c>
      <c r="F3082" t="s">
        <v>48</v>
      </c>
      <c r="G3082" t="s">
        <v>34</v>
      </c>
      <c r="H3082" t="s">
        <v>19</v>
      </c>
      <c r="I3082" t="s">
        <v>45</v>
      </c>
      <c r="J3082" t="s">
        <v>21</v>
      </c>
      <c r="K3082">
        <v>24</v>
      </c>
      <c r="L3082">
        <v>21.43</v>
      </c>
      <c r="M3082">
        <v>5</v>
      </c>
      <c r="N3082" t="s">
        <v>22</v>
      </c>
      <c r="O3082" t="str">
        <f t="shared" si="48"/>
        <v>No</v>
      </c>
    </row>
    <row r="3083" spans="1:15" x14ac:dyDescent="0.25">
      <c r="A3083" t="s">
        <v>3144</v>
      </c>
      <c r="B3083" s="1">
        <v>45806</v>
      </c>
      <c r="C3083" s="2">
        <v>45806.397916666669</v>
      </c>
      <c r="D3083" t="s">
        <v>24</v>
      </c>
      <c r="E3083" t="s">
        <v>39</v>
      </c>
      <c r="F3083" t="s">
        <v>119</v>
      </c>
      <c r="G3083" t="s">
        <v>34</v>
      </c>
      <c r="H3083" t="s">
        <v>54</v>
      </c>
      <c r="I3083" t="s">
        <v>36</v>
      </c>
      <c r="J3083" t="s">
        <v>21</v>
      </c>
      <c r="K3083">
        <v>24</v>
      </c>
      <c r="L3083">
        <v>9.5500000000000007</v>
      </c>
      <c r="M3083">
        <v>3.9</v>
      </c>
      <c r="N3083" t="s">
        <v>22</v>
      </c>
      <c r="O3083" t="str">
        <f t="shared" si="48"/>
        <v>No</v>
      </c>
    </row>
    <row r="3084" spans="1:15" x14ac:dyDescent="0.25">
      <c r="A3084" t="s">
        <v>3145</v>
      </c>
      <c r="B3084" s="1">
        <v>45708</v>
      </c>
      <c r="C3084" s="2">
        <v>45708.568333333336</v>
      </c>
      <c r="D3084" t="s">
        <v>24</v>
      </c>
      <c r="E3084" t="s">
        <v>16</v>
      </c>
      <c r="F3084" t="s">
        <v>58</v>
      </c>
      <c r="G3084" t="s">
        <v>56</v>
      </c>
      <c r="H3084" t="s">
        <v>27</v>
      </c>
      <c r="I3084" t="s">
        <v>36</v>
      </c>
      <c r="J3084" t="s">
        <v>21</v>
      </c>
      <c r="K3084">
        <v>24</v>
      </c>
      <c r="L3084">
        <v>13.64</v>
      </c>
      <c r="M3084">
        <v>4.3</v>
      </c>
      <c r="N3084" t="s">
        <v>22</v>
      </c>
      <c r="O3084" t="str">
        <f t="shared" si="48"/>
        <v>No</v>
      </c>
    </row>
    <row r="3085" spans="1:15" x14ac:dyDescent="0.25">
      <c r="A3085" t="s">
        <v>3146</v>
      </c>
      <c r="B3085" s="1">
        <v>45701</v>
      </c>
      <c r="C3085" s="2">
        <v>45701.144583333335</v>
      </c>
      <c r="D3085" t="s">
        <v>24</v>
      </c>
      <c r="E3085" t="s">
        <v>39</v>
      </c>
      <c r="F3085" t="s">
        <v>78</v>
      </c>
      <c r="G3085" t="s">
        <v>56</v>
      </c>
      <c r="H3085" t="s">
        <v>65</v>
      </c>
      <c r="I3085" t="s">
        <v>36</v>
      </c>
      <c r="J3085" t="s">
        <v>21</v>
      </c>
      <c r="K3085">
        <v>24</v>
      </c>
      <c r="L3085">
        <v>3.47</v>
      </c>
      <c r="M3085">
        <v>3.3</v>
      </c>
      <c r="N3085" t="s">
        <v>22</v>
      </c>
      <c r="O3085" t="str">
        <f t="shared" si="48"/>
        <v>No</v>
      </c>
    </row>
    <row r="3086" spans="1:15" x14ac:dyDescent="0.25">
      <c r="A3086" t="s">
        <v>3147</v>
      </c>
      <c r="B3086" s="1">
        <v>45719</v>
      </c>
      <c r="C3086" s="2">
        <v>45719.175833333335</v>
      </c>
      <c r="D3086" t="s">
        <v>24</v>
      </c>
      <c r="E3086" t="s">
        <v>39</v>
      </c>
      <c r="F3086" t="s">
        <v>119</v>
      </c>
      <c r="G3086" t="s">
        <v>34</v>
      </c>
      <c r="H3086" t="s">
        <v>54</v>
      </c>
      <c r="I3086" t="s">
        <v>36</v>
      </c>
      <c r="J3086" t="s">
        <v>85</v>
      </c>
      <c r="K3086">
        <v>24</v>
      </c>
      <c r="L3086">
        <v>4.22</v>
      </c>
      <c r="M3086">
        <v>4.5</v>
      </c>
      <c r="N3086" t="s">
        <v>22</v>
      </c>
      <c r="O3086" t="str">
        <f t="shared" si="48"/>
        <v>No</v>
      </c>
    </row>
    <row r="3087" spans="1:15" x14ac:dyDescent="0.25">
      <c r="A3087" t="s">
        <v>3148</v>
      </c>
      <c r="B3087" s="1">
        <v>45723</v>
      </c>
      <c r="C3087" s="2">
        <v>45723.032916666663</v>
      </c>
      <c r="D3087" t="s">
        <v>31</v>
      </c>
      <c r="E3087" t="s">
        <v>16</v>
      </c>
      <c r="F3087" t="s">
        <v>58</v>
      </c>
      <c r="G3087" t="s">
        <v>18</v>
      </c>
      <c r="H3087" t="s">
        <v>35</v>
      </c>
      <c r="I3087" t="s">
        <v>36</v>
      </c>
      <c r="J3087" t="s">
        <v>46</v>
      </c>
      <c r="K3087">
        <v>4</v>
      </c>
      <c r="L3087">
        <v>0.79</v>
      </c>
      <c r="M3087">
        <v>4.5</v>
      </c>
      <c r="N3087" t="s">
        <v>22</v>
      </c>
      <c r="O3087" t="str">
        <f t="shared" si="48"/>
        <v>No</v>
      </c>
    </row>
    <row r="3088" spans="1:15" x14ac:dyDescent="0.25">
      <c r="A3088" t="s">
        <v>3149</v>
      </c>
      <c r="B3088" s="1">
        <v>45690</v>
      </c>
      <c r="C3088" s="2">
        <v>45690.509583333333</v>
      </c>
      <c r="D3088" t="s">
        <v>24</v>
      </c>
      <c r="E3088" t="s">
        <v>16</v>
      </c>
      <c r="F3088" t="s">
        <v>58</v>
      </c>
      <c r="G3088" t="s">
        <v>56</v>
      </c>
      <c r="H3088" t="s">
        <v>44</v>
      </c>
      <c r="I3088" t="s">
        <v>28</v>
      </c>
      <c r="J3088" t="s">
        <v>21</v>
      </c>
      <c r="K3088">
        <v>24</v>
      </c>
      <c r="L3088">
        <v>12.23</v>
      </c>
      <c r="M3088">
        <v>4.5999999999999996</v>
      </c>
      <c r="N3088" t="s">
        <v>22</v>
      </c>
      <c r="O3088" t="str">
        <f t="shared" si="48"/>
        <v>No</v>
      </c>
    </row>
    <row r="3089" spans="1:15" x14ac:dyDescent="0.25">
      <c r="A3089" t="s">
        <v>3150</v>
      </c>
      <c r="B3089" s="1">
        <v>45689</v>
      </c>
      <c r="C3089" s="2">
        <v>45690.127500000002</v>
      </c>
      <c r="D3089" t="s">
        <v>15</v>
      </c>
      <c r="E3089" t="s">
        <v>45</v>
      </c>
      <c r="F3089" t="s">
        <v>100</v>
      </c>
      <c r="G3089" t="s">
        <v>34</v>
      </c>
      <c r="H3089" t="s">
        <v>27</v>
      </c>
      <c r="I3089" t="s">
        <v>20</v>
      </c>
      <c r="J3089" t="s">
        <v>21</v>
      </c>
      <c r="K3089">
        <v>48</v>
      </c>
      <c r="L3089">
        <v>27.06</v>
      </c>
      <c r="M3089">
        <v>4.0999999999999996</v>
      </c>
      <c r="N3089" t="s">
        <v>22</v>
      </c>
      <c r="O3089" t="str">
        <f t="shared" si="48"/>
        <v>No</v>
      </c>
    </row>
    <row r="3090" spans="1:15" x14ac:dyDescent="0.25">
      <c r="A3090" t="s">
        <v>3151</v>
      </c>
      <c r="B3090" s="1">
        <v>45699</v>
      </c>
      <c r="C3090" s="2">
        <v>45699.607071759259</v>
      </c>
      <c r="D3090" t="s">
        <v>24</v>
      </c>
      <c r="E3090" t="s">
        <v>32</v>
      </c>
      <c r="F3090" t="s">
        <v>75</v>
      </c>
      <c r="G3090" t="s">
        <v>18</v>
      </c>
      <c r="H3090" t="s">
        <v>27</v>
      </c>
      <c r="I3090" t="s">
        <v>20</v>
      </c>
      <c r="J3090" t="s">
        <v>46</v>
      </c>
      <c r="K3090">
        <v>24</v>
      </c>
      <c r="L3090">
        <v>14.57</v>
      </c>
      <c r="M3090">
        <v>3.3</v>
      </c>
      <c r="N3090" t="s">
        <v>22</v>
      </c>
      <c r="O3090" t="str">
        <f t="shared" si="48"/>
        <v>No</v>
      </c>
    </row>
    <row r="3091" spans="1:15" x14ac:dyDescent="0.25">
      <c r="A3091" t="s">
        <v>3152</v>
      </c>
      <c r="B3091" s="1">
        <v>45742</v>
      </c>
      <c r="C3091" s="2">
        <v>45743.147083333337</v>
      </c>
      <c r="D3091" t="s">
        <v>24</v>
      </c>
      <c r="E3091" t="s">
        <v>16</v>
      </c>
      <c r="F3091" t="s">
        <v>17</v>
      </c>
      <c r="G3091" t="s">
        <v>34</v>
      </c>
      <c r="H3091" t="s">
        <v>65</v>
      </c>
      <c r="I3091" t="s">
        <v>36</v>
      </c>
      <c r="J3091" t="s">
        <v>46</v>
      </c>
      <c r="K3091">
        <v>24</v>
      </c>
      <c r="L3091">
        <v>27.53</v>
      </c>
      <c r="M3091">
        <v>3.2</v>
      </c>
      <c r="N3091" t="s">
        <v>22</v>
      </c>
      <c r="O3091" t="str">
        <f t="shared" si="48"/>
        <v>Yes</v>
      </c>
    </row>
    <row r="3092" spans="1:15" x14ac:dyDescent="0.25">
      <c r="A3092" t="s">
        <v>3153</v>
      </c>
      <c r="B3092" s="1">
        <v>45720</v>
      </c>
      <c r="C3092" s="2">
        <v>45720.314583333333</v>
      </c>
      <c r="D3092" t="s">
        <v>24</v>
      </c>
      <c r="E3092" t="s">
        <v>32</v>
      </c>
      <c r="F3092" t="s">
        <v>33</v>
      </c>
      <c r="G3092" t="s">
        <v>41</v>
      </c>
      <c r="H3092" t="s">
        <v>65</v>
      </c>
      <c r="I3092" t="s">
        <v>20</v>
      </c>
      <c r="J3092" t="s">
        <v>46</v>
      </c>
      <c r="K3092">
        <v>24</v>
      </c>
      <c r="L3092">
        <v>7.55</v>
      </c>
      <c r="M3092">
        <v>4.5</v>
      </c>
      <c r="N3092" t="s">
        <v>22</v>
      </c>
      <c r="O3092" t="str">
        <f t="shared" si="48"/>
        <v>No</v>
      </c>
    </row>
    <row r="3093" spans="1:15" x14ac:dyDescent="0.25">
      <c r="A3093" t="s">
        <v>3154</v>
      </c>
      <c r="B3093" s="1">
        <v>45728</v>
      </c>
      <c r="C3093" s="2">
        <v>45728.03833333333</v>
      </c>
      <c r="D3093" t="s">
        <v>38</v>
      </c>
      <c r="E3093" t="s">
        <v>25</v>
      </c>
      <c r="F3093" t="s">
        <v>70</v>
      </c>
      <c r="G3093" t="s">
        <v>56</v>
      </c>
      <c r="H3093" t="s">
        <v>19</v>
      </c>
      <c r="I3093" t="s">
        <v>36</v>
      </c>
      <c r="J3093" t="s">
        <v>21</v>
      </c>
      <c r="K3093">
        <v>8</v>
      </c>
      <c r="L3093">
        <v>0.92</v>
      </c>
      <c r="M3093">
        <v>4.2</v>
      </c>
      <c r="N3093" t="s">
        <v>22</v>
      </c>
      <c r="O3093" t="str">
        <f t="shared" si="48"/>
        <v>No</v>
      </c>
    </row>
    <row r="3094" spans="1:15" x14ac:dyDescent="0.25">
      <c r="A3094" t="s">
        <v>3155</v>
      </c>
      <c r="B3094" s="1">
        <v>45788</v>
      </c>
      <c r="C3094" s="2">
        <v>45788.910833333335</v>
      </c>
      <c r="D3094" t="s">
        <v>24</v>
      </c>
      <c r="E3094" t="s">
        <v>16</v>
      </c>
      <c r="F3094" t="s">
        <v>43</v>
      </c>
      <c r="G3094" t="s">
        <v>56</v>
      </c>
      <c r="H3094" t="s">
        <v>27</v>
      </c>
      <c r="I3094" t="s">
        <v>36</v>
      </c>
      <c r="J3094" t="s">
        <v>29</v>
      </c>
      <c r="K3094">
        <v>24</v>
      </c>
      <c r="L3094">
        <v>21.86</v>
      </c>
      <c r="M3094">
        <v>3.4</v>
      </c>
      <c r="N3094" t="s">
        <v>22</v>
      </c>
      <c r="O3094" t="str">
        <f t="shared" si="48"/>
        <v>No</v>
      </c>
    </row>
    <row r="3095" spans="1:15" x14ac:dyDescent="0.25">
      <c r="A3095" t="s">
        <v>3156</v>
      </c>
      <c r="B3095" s="1">
        <v>45701</v>
      </c>
      <c r="C3095" s="2">
        <v>45702.261666666665</v>
      </c>
      <c r="D3095" t="s">
        <v>15</v>
      </c>
      <c r="E3095" t="s">
        <v>39</v>
      </c>
      <c r="F3095" t="s">
        <v>78</v>
      </c>
      <c r="G3095" t="s">
        <v>18</v>
      </c>
      <c r="H3095" t="s">
        <v>54</v>
      </c>
      <c r="I3095" t="s">
        <v>36</v>
      </c>
      <c r="J3095" t="s">
        <v>29</v>
      </c>
      <c r="K3095">
        <v>48</v>
      </c>
      <c r="L3095">
        <v>30.28</v>
      </c>
      <c r="M3095">
        <v>4.9000000000000004</v>
      </c>
      <c r="N3095" t="s">
        <v>22</v>
      </c>
      <c r="O3095" t="str">
        <f t="shared" si="48"/>
        <v>No</v>
      </c>
    </row>
    <row r="3096" spans="1:15" x14ac:dyDescent="0.25">
      <c r="A3096" t="s">
        <v>3157</v>
      </c>
      <c r="B3096" s="1">
        <v>45822</v>
      </c>
      <c r="C3096" s="2">
        <v>45822.8675</v>
      </c>
      <c r="D3096" t="s">
        <v>24</v>
      </c>
      <c r="E3096" t="s">
        <v>25</v>
      </c>
      <c r="F3096" t="s">
        <v>26</v>
      </c>
      <c r="G3096" t="s">
        <v>34</v>
      </c>
      <c r="H3096" t="s">
        <v>44</v>
      </c>
      <c r="I3096" t="s">
        <v>36</v>
      </c>
      <c r="J3096" t="s">
        <v>29</v>
      </c>
      <c r="K3096">
        <v>24</v>
      </c>
      <c r="L3096">
        <v>20.82</v>
      </c>
      <c r="M3096">
        <v>3.6</v>
      </c>
      <c r="N3096" t="s">
        <v>22</v>
      </c>
      <c r="O3096" t="str">
        <f t="shared" si="48"/>
        <v>No</v>
      </c>
    </row>
    <row r="3097" spans="1:15" x14ac:dyDescent="0.25">
      <c r="A3097" t="s">
        <v>3158</v>
      </c>
      <c r="B3097" s="1">
        <v>45794</v>
      </c>
      <c r="C3097" s="2">
        <v>45794.629166666666</v>
      </c>
      <c r="D3097" t="s">
        <v>24</v>
      </c>
      <c r="E3097" t="s">
        <v>39</v>
      </c>
      <c r="F3097" t="s">
        <v>78</v>
      </c>
      <c r="G3097" t="s">
        <v>56</v>
      </c>
      <c r="H3097" t="s">
        <v>65</v>
      </c>
      <c r="I3097" t="s">
        <v>20</v>
      </c>
      <c r="J3097" t="s">
        <v>46</v>
      </c>
      <c r="K3097">
        <v>24</v>
      </c>
      <c r="L3097">
        <v>15.1</v>
      </c>
      <c r="M3097">
        <v>4.5</v>
      </c>
      <c r="N3097" t="s">
        <v>22</v>
      </c>
      <c r="O3097" t="str">
        <f t="shared" si="48"/>
        <v>No</v>
      </c>
    </row>
    <row r="3098" spans="1:15" x14ac:dyDescent="0.25">
      <c r="A3098" t="s">
        <v>3159</v>
      </c>
      <c r="B3098" s="1">
        <v>45689</v>
      </c>
      <c r="C3098" s="2">
        <v>45689.114166666666</v>
      </c>
      <c r="D3098" t="s">
        <v>38</v>
      </c>
      <c r="E3098" t="s">
        <v>32</v>
      </c>
      <c r="F3098" t="s">
        <v>75</v>
      </c>
      <c r="G3098" t="s">
        <v>34</v>
      </c>
      <c r="H3098" t="s">
        <v>65</v>
      </c>
      <c r="I3098" t="s">
        <v>20</v>
      </c>
      <c r="J3098" t="s">
        <v>21</v>
      </c>
      <c r="K3098">
        <v>8</v>
      </c>
      <c r="L3098">
        <v>2.74</v>
      </c>
      <c r="M3098">
        <v>4.5</v>
      </c>
      <c r="N3098" t="s">
        <v>22</v>
      </c>
      <c r="O3098" t="str">
        <f t="shared" si="48"/>
        <v>No</v>
      </c>
    </row>
    <row r="3099" spans="1:15" x14ac:dyDescent="0.25">
      <c r="A3099" t="s">
        <v>3160</v>
      </c>
      <c r="B3099" s="1">
        <v>45714</v>
      </c>
      <c r="C3099" s="2">
        <v>45714.342916666668</v>
      </c>
      <c r="D3099" t="s">
        <v>24</v>
      </c>
      <c r="E3099" t="s">
        <v>39</v>
      </c>
      <c r="F3099" t="s">
        <v>87</v>
      </c>
      <c r="G3099" t="s">
        <v>18</v>
      </c>
      <c r="H3099" t="s">
        <v>65</v>
      </c>
      <c r="I3099" t="s">
        <v>36</v>
      </c>
      <c r="J3099" t="s">
        <v>85</v>
      </c>
      <c r="K3099">
        <v>24</v>
      </c>
      <c r="L3099">
        <v>8.23</v>
      </c>
      <c r="M3099">
        <v>3.8</v>
      </c>
      <c r="N3099" t="s">
        <v>22</v>
      </c>
      <c r="O3099" t="str">
        <f t="shared" si="48"/>
        <v>No</v>
      </c>
    </row>
    <row r="3100" spans="1:15" x14ac:dyDescent="0.25">
      <c r="A3100" t="s">
        <v>3161</v>
      </c>
      <c r="B3100" s="1">
        <v>45691</v>
      </c>
      <c r="C3100" s="2">
        <v>45691.284166666665</v>
      </c>
      <c r="D3100" t="s">
        <v>24</v>
      </c>
      <c r="E3100" t="s">
        <v>32</v>
      </c>
      <c r="F3100" t="s">
        <v>80</v>
      </c>
      <c r="G3100" t="s">
        <v>18</v>
      </c>
      <c r="H3100" t="s">
        <v>19</v>
      </c>
      <c r="I3100" t="s">
        <v>45</v>
      </c>
      <c r="J3100" t="s">
        <v>21</v>
      </c>
      <c r="K3100">
        <v>24</v>
      </c>
      <c r="L3100">
        <v>6.82</v>
      </c>
      <c r="M3100">
        <v>4.4000000000000004</v>
      </c>
      <c r="N3100" t="s">
        <v>22</v>
      </c>
      <c r="O3100" t="str">
        <f t="shared" si="48"/>
        <v>No</v>
      </c>
    </row>
    <row r="3101" spans="1:15" x14ac:dyDescent="0.25">
      <c r="A3101" t="s">
        <v>3162</v>
      </c>
      <c r="B3101" s="1">
        <v>45707</v>
      </c>
      <c r="C3101" s="2">
        <v>45708.275000000001</v>
      </c>
      <c r="D3101" t="s">
        <v>24</v>
      </c>
      <c r="E3101" t="s">
        <v>45</v>
      </c>
      <c r="F3101" t="s">
        <v>112</v>
      </c>
      <c r="G3101" t="s">
        <v>56</v>
      </c>
      <c r="H3101" t="s">
        <v>54</v>
      </c>
      <c r="I3101" t="s">
        <v>36</v>
      </c>
      <c r="J3101" t="s">
        <v>21</v>
      </c>
      <c r="K3101">
        <v>24</v>
      </c>
      <c r="L3101">
        <v>30.6</v>
      </c>
      <c r="M3101">
        <v>3.7</v>
      </c>
      <c r="N3101" t="s">
        <v>22</v>
      </c>
      <c r="O3101" t="str">
        <f t="shared" si="48"/>
        <v>Yes</v>
      </c>
    </row>
    <row r="3102" spans="1:15" x14ac:dyDescent="0.25">
      <c r="A3102" t="s">
        <v>3163</v>
      </c>
      <c r="B3102" s="1">
        <v>45724</v>
      </c>
      <c r="C3102" s="2">
        <v>45726.060833333337</v>
      </c>
      <c r="D3102" t="s">
        <v>24</v>
      </c>
      <c r="E3102" t="s">
        <v>25</v>
      </c>
      <c r="F3102" t="s">
        <v>53</v>
      </c>
      <c r="G3102" t="s">
        <v>56</v>
      </c>
      <c r="H3102" t="s">
        <v>19</v>
      </c>
      <c r="I3102" t="s">
        <v>36</v>
      </c>
      <c r="J3102" t="s">
        <v>46</v>
      </c>
      <c r="K3102">
        <v>24</v>
      </c>
      <c r="L3102">
        <v>49.46</v>
      </c>
      <c r="M3102">
        <v>3.7</v>
      </c>
      <c r="N3102" t="s">
        <v>22</v>
      </c>
      <c r="O3102" t="str">
        <f t="shared" si="48"/>
        <v>Yes</v>
      </c>
    </row>
    <row r="3103" spans="1:15" x14ac:dyDescent="0.25">
      <c r="A3103" t="s">
        <v>3164</v>
      </c>
      <c r="B3103" s="1">
        <v>45681</v>
      </c>
      <c r="C3103" s="2">
        <v>45682.592916666668</v>
      </c>
      <c r="D3103" t="s">
        <v>15</v>
      </c>
      <c r="E3103" t="s">
        <v>25</v>
      </c>
      <c r="F3103" t="s">
        <v>70</v>
      </c>
      <c r="G3103" t="s">
        <v>18</v>
      </c>
      <c r="H3103" t="s">
        <v>27</v>
      </c>
      <c r="I3103" t="s">
        <v>45</v>
      </c>
      <c r="J3103" t="s">
        <v>21</v>
      </c>
      <c r="K3103">
        <v>48</v>
      </c>
      <c r="L3103">
        <v>38.229999999999997</v>
      </c>
      <c r="M3103">
        <v>3.5</v>
      </c>
      <c r="N3103" t="s">
        <v>22</v>
      </c>
      <c r="O3103" t="str">
        <f t="shared" si="48"/>
        <v>No</v>
      </c>
    </row>
    <row r="3104" spans="1:15" x14ac:dyDescent="0.25">
      <c r="A3104" t="s">
        <v>3165</v>
      </c>
      <c r="B3104" s="1">
        <v>45660</v>
      </c>
      <c r="C3104" s="2">
        <v>45660.145833333336</v>
      </c>
      <c r="D3104" t="s">
        <v>38</v>
      </c>
      <c r="E3104" t="s">
        <v>25</v>
      </c>
      <c r="F3104" t="s">
        <v>70</v>
      </c>
      <c r="G3104" t="s">
        <v>18</v>
      </c>
      <c r="H3104" t="s">
        <v>35</v>
      </c>
      <c r="I3104" t="s">
        <v>20</v>
      </c>
      <c r="J3104" t="s">
        <v>46</v>
      </c>
      <c r="K3104">
        <v>8</v>
      </c>
      <c r="L3104">
        <v>3.5</v>
      </c>
      <c r="M3104">
        <v>4.4000000000000004</v>
      </c>
      <c r="N3104" t="s">
        <v>22</v>
      </c>
      <c r="O3104" t="str">
        <f t="shared" si="48"/>
        <v>No</v>
      </c>
    </row>
    <row r="3105" spans="1:15" x14ac:dyDescent="0.25">
      <c r="A3105" t="s">
        <v>3166</v>
      </c>
      <c r="B3105" s="1">
        <v>45737</v>
      </c>
      <c r="C3105" s="2">
        <v>45737.10125</v>
      </c>
      <c r="D3105" t="s">
        <v>38</v>
      </c>
      <c r="E3105" t="s">
        <v>25</v>
      </c>
      <c r="F3105" t="s">
        <v>53</v>
      </c>
      <c r="G3105" t="s">
        <v>51</v>
      </c>
      <c r="H3105" t="s">
        <v>44</v>
      </c>
      <c r="I3105" t="s">
        <v>20</v>
      </c>
      <c r="J3105" t="s">
        <v>46</v>
      </c>
      <c r="K3105">
        <v>8</v>
      </c>
      <c r="L3105">
        <v>2.4300000000000002</v>
      </c>
      <c r="M3105">
        <v>5</v>
      </c>
      <c r="N3105" t="s">
        <v>22</v>
      </c>
      <c r="O3105" t="str">
        <f t="shared" si="48"/>
        <v>No</v>
      </c>
    </row>
    <row r="3106" spans="1:15" x14ac:dyDescent="0.25">
      <c r="A3106" t="s">
        <v>3167</v>
      </c>
      <c r="B3106" s="1">
        <v>45784</v>
      </c>
      <c r="C3106" s="2">
        <v>45784.709583333337</v>
      </c>
      <c r="D3106" t="s">
        <v>24</v>
      </c>
      <c r="E3106" t="s">
        <v>39</v>
      </c>
      <c r="F3106" t="s">
        <v>87</v>
      </c>
      <c r="G3106" t="s">
        <v>18</v>
      </c>
      <c r="H3106" t="s">
        <v>35</v>
      </c>
      <c r="I3106" t="s">
        <v>36</v>
      </c>
      <c r="J3106" t="s">
        <v>21</v>
      </c>
      <c r="K3106">
        <v>24</v>
      </c>
      <c r="L3106">
        <v>17.03</v>
      </c>
      <c r="M3106">
        <v>5</v>
      </c>
      <c r="N3106" t="s">
        <v>22</v>
      </c>
      <c r="O3106" t="str">
        <f t="shared" si="48"/>
        <v>No</v>
      </c>
    </row>
    <row r="3107" spans="1:15" x14ac:dyDescent="0.25">
      <c r="A3107" t="s">
        <v>3168</v>
      </c>
      <c r="B3107" s="1">
        <v>45712</v>
      </c>
      <c r="C3107" s="2">
        <v>45712.146249999998</v>
      </c>
      <c r="D3107" t="s">
        <v>24</v>
      </c>
      <c r="E3107" t="s">
        <v>32</v>
      </c>
      <c r="F3107" t="s">
        <v>75</v>
      </c>
      <c r="G3107" t="s">
        <v>51</v>
      </c>
      <c r="H3107" t="s">
        <v>54</v>
      </c>
      <c r="I3107" t="s">
        <v>45</v>
      </c>
      <c r="J3107" t="s">
        <v>46</v>
      </c>
      <c r="K3107">
        <v>24</v>
      </c>
      <c r="L3107">
        <v>3.51</v>
      </c>
      <c r="M3107">
        <v>4.4000000000000004</v>
      </c>
      <c r="N3107" t="s">
        <v>22</v>
      </c>
      <c r="O3107" t="str">
        <f t="shared" si="48"/>
        <v>No</v>
      </c>
    </row>
    <row r="3108" spans="1:15" x14ac:dyDescent="0.25">
      <c r="A3108" t="s">
        <v>3169</v>
      </c>
      <c r="B3108" s="1">
        <v>45813</v>
      </c>
      <c r="C3108" s="2">
        <v>45814.554583333331</v>
      </c>
      <c r="D3108" t="s">
        <v>15</v>
      </c>
      <c r="E3108" t="s">
        <v>39</v>
      </c>
      <c r="F3108" t="s">
        <v>119</v>
      </c>
      <c r="G3108" t="s">
        <v>56</v>
      </c>
      <c r="H3108" t="s">
        <v>44</v>
      </c>
      <c r="I3108" t="s">
        <v>36</v>
      </c>
      <c r="J3108" t="s">
        <v>29</v>
      </c>
      <c r="K3108">
        <v>48</v>
      </c>
      <c r="L3108">
        <v>37.31</v>
      </c>
      <c r="M3108">
        <v>4</v>
      </c>
      <c r="N3108" t="s">
        <v>22</v>
      </c>
      <c r="O3108" t="str">
        <f t="shared" si="48"/>
        <v>No</v>
      </c>
    </row>
    <row r="3109" spans="1:15" x14ac:dyDescent="0.25">
      <c r="A3109" t="s">
        <v>3170</v>
      </c>
      <c r="B3109" s="1">
        <v>45724</v>
      </c>
      <c r="C3109" s="2">
        <v>45724.28875</v>
      </c>
      <c r="D3109" t="s">
        <v>24</v>
      </c>
      <c r="E3109" t="s">
        <v>45</v>
      </c>
      <c r="F3109" t="s">
        <v>100</v>
      </c>
      <c r="G3109" t="s">
        <v>34</v>
      </c>
      <c r="H3109" t="s">
        <v>35</v>
      </c>
      <c r="I3109" t="s">
        <v>36</v>
      </c>
      <c r="J3109" t="s">
        <v>29</v>
      </c>
      <c r="K3109">
        <v>24</v>
      </c>
      <c r="L3109">
        <v>6.93</v>
      </c>
      <c r="M3109">
        <v>5</v>
      </c>
      <c r="N3109" t="s">
        <v>61</v>
      </c>
      <c r="O3109" t="str">
        <f t="shared" si="48"/>
        <v>No</v>
      </c>
    </row>
    <row r="3110" spans="1:15" x14ac:dyDescent="0.25">
      <c r="A3110" t="s">
        <v>3171</v>
      </c>
      <c r="B3110" s="1">
        <v>45821</v>
      </c>
      <c r="C3110" s="2">
        <v>45821.020833333336</v>
      </c>
      <c r="D3110" t="s">
        <v>24</v>
      </c>
      <c r="E3110" t="s">
        <v>45</v>
      </c>
      <c r="F3110" t="s">
        <v>112</v>
      </c>
      <c r="G3110" t="s">
        <v>18</v>
      </c>
      <c r="H3110" t="s">
        <v>27</v>
      </c>
      <c r="I3110" t="s">
        <v>36</v>
      </c>
      <c r="J3110" t="s">
        <v>21</v>
      </c>
      <c r="K3110">
        <v>24</v>
      </c>
      <c r="L3110">
        <v>0.5</v>
      </c>
      <c r="M3110">
        <v>5</v>
      </c>
      <c r="N3110" t="s">
        <v>61</v>
      </c>
      <c r="O3110" t="str">
        <f t="shared" si="48"/>
        <v>No</v>
      </c>
    </row>
    <row r="3111" spans="1:15" x14ac:dyDescent="0.25">
      <c r="A3111" t="s">
        <v>3172</v>
      </c>
      <c r="B3111" s="1">
        <v>45700</v>
      </c>
      <c r="C3111" s="2">
        <v>45701.497499999998</v>
      </c>
      <c r="D3111" t="s">
        <v>24</v>
      </c>
      <c r="E3111" t="s">
        <v>25</v>
      </c>
      <c r="F3111" t="s">
        <v>70</v>
      </c>
      <c r="G3111" t="s">
        <v>34</v>
      </c>
      <c r="H3111" t="s">
        <v>44</v>
      </c>
      <c r="I3111" t="s">
        <v>36</v>
      </c>
      <c r="J3111" t="s">
        <v>21</v>
      </c>
      <c r="K3111">
        <v>24</v>
      </c>
      <c r="L3111">
        <v>35.94</v>
      </c>
      <c r="M3111">
        <v>3.9</v>
      </c>
      <c r="N3111" t="s">
        <v>22</v>
      </c>
      <c r="O3111" t="str">
        <f t="shared" si="48"/>
        <v>Yes</v>
      </c>
    </row>
    <row r="3112" spans="1:15" x14ac:dyDescent="0.25">
      <c r="A3112" t="s">
        <v>3173</v>
      </c>
      <c r="B3112" s="1">
        <v>45755</v>
      </c>
      <c r="C3112" s="2">
        <v>45756.856666666667</v>
      </c>
      <c r="D3112" t="s">
        <v>15</v>
      </c>
      <c r="E3112" t="s">
        <v>32</v>
      </c>
      <c r="F3112" t="s">
        <v>80</v>
      </c>
      <c r="G3112" t="s">
        <v>56</v>
      </c>
      <c r="H3112" t="s">
        <v>19</v>
      </c>
      <c r="I3112" t="s">
        <v>36</v>
      </c>
      <c r="J3112" t="s">
        <v>21</v>
      </c>
      <c r="K3112">
        <v>48</v>
      </c>
      <c r="L3112">
        <v>44.56</v>
      </c>
      <c r="M3112">
        <v>4.5999999999999996</v>
      </c>
      <c r="N3112" t="s">
        <v>22</v>
      </c>
      <c r="O3112" t="str">
        <f t="shared" si="48"/>
        <v>No</v>
      </c>
    </row>
    <row r="3113" spans="1:15" x14ac:dyDescent="0.25">
      <c r="A3113" t="s">
        <v>3174</v>
      </c>
      <c r="B3113" s="1">
        <v>45796</v>
      </c>
      <c r="C3113" s="2">
        <v>45796.129583333335</v>
      </c>
      <c r="D3113" t="s">
        <v>24</v>
      </c>
      <c r="E3113" t="s">
        <v>32</v>
      </c>
      <c r="F3113" t="s">
        <v>80</v>
      </c>
      <c r="G3113" t="s">
        <v>41</v>
      </c>
      <c r="H3113" t="s">
        <v>54</v>
      </c>
      <c r="I3113" t="s">
        <v>36</v>
      </c>
      <c r="J3113" t="s">
        <v>46</v>
      </c>
      <c r="K3113">
        <v>24</v>
      </c>
      <c r="L3113">
        <v>3.11</v>
      </c>
      <c r="M3113">
        <v>5</v>
      </c>
      <c r="N3113" t="s">
        <v>22</v>
      </c>
      <c r="O3113" t="str">
        <f t="shared" si="48"/>
        <v>No</v>
      </c>
    </row>
    <row r="3114" spans="1:15" x14ac:dyDescent="0.25">
      <c r="A3114" t="s">
        <v>3175</v>
      </c>
      <c r="B3114" s="1">
        <v>45668</v>
      </c>
      <c r="C3114" s="2">
        <v>45670.076666666668</v>
      </c>
      <c r="D3114" t="s">
        <v>15</v>
      </c>
      <c r="E3114" t="s">
        <v>25</v>
      </c>
      <c r="F3114" t="s">
        <v>53</v>
      </c>
      <c r="G3114" t="s">
        <v>51</v>
      </c>
      <c r="H3114" t="s">
        <v>54</v>
      </c>
      <c r="I3114" t="s">
        <v>45</v>
      </c>
      <c r="J3114" t="s">
        <v>46</v>
      </c>
      <c r="K3114">
        <v>48</v>
      </c>
      <c r="L3114">
        <v>49.84</v>
      </c>
      <c r="M3114">
        <v>3.8</v>
      </c>
      <c r="N3114" t="s">
        <v>61</v>
      </c>
      <c r="O3114" t="str">
        <f t="shared" si="48"/>
        <v>Yes</v>
      </c>
    </row>
    <row r="3115" spans="1:15" x14ac:dyDescent="0.25">
      <c r="A3115" t="s">
        <v>3176</v>
      </c>
      <c r="B3115" s="1">
        <v>45826</v>
      </c>
      <c r="C3115" s="2">
        <v>45826.284583333334</v>
      </c>
      <c r="D3115" t="s">
        <v>24</v>
      </c>
      <c r="E3115" t="s">
        <v>32</v>
      </c>
      <c r="F3115" t="s">
        <v>64</v>
      </c>
      <c r="G3115" t="s">
        <v>18</v>
      </c>
      <c r="H3115" t="s">
        <v>54</v>
      </c>
      <c r="I3115" t="s">
        <v>36</v>
      </c>
      <c r="J3115" t="s">
        <v>21</v>
      </c>
      <c r="K3115">
        <v>24</v>
      </c>
      <c r="L3115">
        <v>6.83</v>
      </c>
      <c r="M3115">
        <v>4.2</v>
      </c>
      <c r="N3115" t="s">
        <v>22</v>
      </c>
      <c r="O3115" t="str">
        <f t="shared" si="48"/>
        <v>No</v>
      </c>
    </row>
    <row r="3116" spans="1:15" x14ac:dyDescent="0.25">
      <c r="A3116" t="s">
        <v>3177</v>
      </c>
      <c r="B3116" s="1">
        <v>45724</v>
      </c>
      <c r="C3116" s="2">
        <v>45725.023333333331</v>
      </c>
      <c r="D3116" t="s">
        <v>24</v>
      </c>
      <c r="E3116" t="s">
        <v>16</v>
      </c>
      <c r="F3116" t="s">
        <v>60</v>
      </c>
      <c r="G3116" t="s">
        <v>41</v>
      </c>
      <c r="H3116" t="s">
        <v>44</v>
      </c>
      <c r="I3116" t="s">
        <v>36</v>
      </c>
      <c r="J3116" t="s">
        <v>21</v>
      </c>
      <c r="K3116">
        <v>24</v>
      </c>
      <c r="L3116">
        <v>24.56</v>
      </c>
      <c r="M3116">
        <v>3.6</v>
      </c>
      <c r="N3116" t="s">
        <v>22</v>
      </c>
      <c r="O3116" t="str">
        <f t="shared" si="48"/>
        <v>Yes</v>
      </c>
    </row>
    <row r="3117" spans="1:15" x14ac:dyDescent="0.25">
      <c r="A3117" t="s">
        <v>3178</v>
      </c>
      <c r="B3117" s="1">
        <v>45748</v>
      </c>
      <c r="C3117" s="2">
        <v>45749.007916666669</v>
      </c>
      <c r="D3117" t="s">
        <v>15</v>
      </c>
      <c r="E3117" t="s">
        <v>39</v>
      </c>
      <c r="F3117" t="s">
        <v>87</v>
      </c>
      <c r="G3117" t="s">
        <v>56</v>
      </c>
      <c r="H3117" t="s">
        <v>65</v>
      </c>
      <c r="I3117" t="s">
        <v>28</v>
      </c>
      <c r="J3117" t="s">
        <v>46</v>
      </c>
      <c r="K3117">
        <v>48</v>
      </c>
      <c r="L3117">
        <v>24.19</v>
      </c>
      <c r="M3117">
        <v>4.3</v>
      </c>
      <c r="N3117" t="s">
        <v>22</v>
      </c>
      <c r="O3117" t="str">
        <f t="shared" si="48"/>
        <v>No</v>
      </c>
    </row>
    <row r="3118" spans="1:15" x14ac:dyDescent="0.25">
      <c r="A3118" t="s">
        <v>3179</v>
      </c>
      <c r="B3118" s="1">
        <v>45771</v>
      </c>
      <c r="C3118" s="2">
        <v>45771.530833333331</v>
      </c>
      <c r="D3118" t="s">
        <v>24</v>
      </c>
      <c r="E3118" t="s">
        <v>39</v>
      </c>
      <c r="F3118" t="s">
        <v>40</v>
      </c>
      <c r="G3118" t="s">
        <v>51</v>
      </c>
      <c r="H3118" t="s">
        <v>35</v>
      </c>
      <c r="I3118" t="s">
        <v>20</v>
      </c>
      <c r="J3118" t="s">
        <v>46</v>
      </c>
      <c r="K3118">
        <v>24</v>
      </c>
      <c r="L3118">
        <v>12.74</v>
      </c>
      <c r="M3118">
        <v>5</v>
      </c>
      <c r="N3118" t="s">
        <v>22</v>
      </c>
      <c r="O3118" t="str">
        <f t="shared" si="48"/>
        <v>No</v>
      </c>
    </row>
    <row r="3119" spans="1:15" x14ac:dyDescent="0.25">
      <c r="A3119" t="s">
        <v>3180</v>
      </c>
      <c r="B3119" s="1">
        <v>45774</v>
      </c>
      <c r="C3119" s="2">
        <v>45774.188333333332</v>
      </c>
      <c r="D3119" t="s">
        <v>38</v>
      </c>
      <c r="E3119" t="s">
        <v>16</v>
      </c>
      <c r="F3119" t="s">
        <v>43</v>
      </c>
      <c r="G3119" t="s">
        <v>18</v>
      </c>
      <c r="H3119" t="s">
        <v>27</v>
      </c>
      <c r="I3119" t="s">
        <v>36</v>
      </c>
      <c r="J3119" t="s">
        <v>21</v>
      </c>
      <c r="K3119">
        <v>8</v>
      </c>
      <c r="L3119">
        <v>4.5199999999999996</v>
      </c>
      <c r="M3119">
        <v>4.4000000000000004</v>
      </c>
      <c r="N3119" t="s">
        <v>22</v>
      </c>
      <c r="O3119" t="str">
        <f t="shared" si="48"/>
        <v>No</v>
      </c>
    </row>
    <row r="3120" spans="1:15" x14ac:dyDescent="0.25">
      <c r="A3120" t="s">
        <v>3181</v>
      </c>
      <c r="B3120" s="1">
        <v>45662</v>
      </c>
      <c r="C3120" s="2">
        <v>45662.507916666669</v>
      </c>
      <c r="D3120" t="s">
        <v>24</v>
      </c>
      <c r="E3120" t="s">
        <v>45</v>
      </c>
      <c r="F3120" t="s">
        <v>100</v>
      </c>
      <c r="G3120" t="s">
        <v>51</v>
      </c>
      <c r="H3120" t="s">
        <v>19</v>
      </c>
      <c r="I3120" t="s">
        <v>36</v>
      </c>
      <c r="J3120" t="s">
        <v>21</v>
      </c>
      <c r="K3120">
        <v>24</v>
      </c>
      <c r="L3120">
        <v>12.19</v>
      </c>
      <c r="M3120">
        <v>4.5</v>
      </c>
      <c r="N3120" t="s">
        <v>22</v>
      </c>
      <c r="O3120" t="str">
        <f t="shared" si="48"/>
        <v>No</v>
      </c>
    </row>
    <row r="3121" spans="1:15" x14ac:dyDescent="0.25">
      <c r="A3121" t="s">
        <v>3182</v>
      </c>
      <c r="B3121" s="1">
        <v>45814</v>
      </c>
      <c r="C3121" s="2">
        <v>45814.427499999998</v>
      </c>
      <c r="D3121" t="s">
        <v>15</v>
      </c>
      <c r="E3121" t="s">
        <v>25</v>
      </c>
      <c r="F3121" t="s">
        <v>48</v>
      </c>
      <c r="G3121" t="s">
        <v>41</v>
      </c>
      <c r="H3121" t="s">
        <v>65</v>
      </c>
      <c r="I3121" t="s">
        <v>36</v>
      </c>
      <c r="J3121" t="s">
        <v>21</v>
      </c>
      <c r="K3121">
        <v>48</v>
      </c>
      <c r="L3121">
        <v>10.26</v>
      </c>
      <c r="M3121">
        <v>4.0999999999999996</v>
      </c>
      <c r="N3121" t="s">
        <v>22</v>
      </c>
      <c r="O3121" t="str">
        <f t="shared" si="48"/>
        <v>No</v>
      </c>
    </row>
    <row r="3122" spans="1:15" x14ac:dyDescent="0.25">
      <c r="A3122" t="s">
        <v>3183</v>
      </c>
      <c r="B3122" s="1">
        <v>45770</v>
      </c>
      <c r="C3122" s="2">
        <v>45771.500416666669</v>
      </c>
      <c r="D3122" t="s">
        <v>24</v>
      </c>
      <c r="E3122" t="s">
        <v>16</v>
      </c>
      <c r="F3122" t="s">
        <v>60</v>
      </c>
      <c r="G3122" t="s">
        <v>41</v>
      </c>
      <c r="H3122" t="s">
        <v>27</v>
      </c>
      <c r="I3122" t="s">
        <v>28</v>
      </c>
      <c r="J3122" t="s">
        <v>29</v>
      </c>
      <c r="K3122">
        <v>24</v>
      </c>
      <c r="L3122">
        <v>36.01</v>
      </c>
      <c r="M3122">
        <v>4</v>
      </c>
      <c r="N3122" t="s">
        <v>22</v>
      </c>
      <c r="O3122" t="str">
        <f t="shared" si="48"/>
        <v>Yes</v>
      </c>
    </row>
    <row r="3123" spans="1:15" x14ac:dyDescent="0.25">
      <c r="A3123" t="s">
        <v>3184</v>
      </c>
      <c r="B3123" s="1">
        <v>45838</v>
      </c>
      <c r="C3123" s="2">
        <v>45838.792916666665</v>
      </c>
      <c r="D3123" t="s">
        <v>24</v>
      </c>
      <c r="E3123" t="s">
        <v>39</v>
      </c>
      <c r="F3123" t="s">
        <v>40</v>
      </c>
      <c r="G3123" t="s">
        <v>51</v>
      </c>
      <c r="H3123" t="s">
        <v>27</v>
      </c>
      <c r="I3123" t="s">
        <v>36</v>
      </c>
      <c r="J3123" t="s">
        <v>21</v>
      </c>
      <c r="K3123">
        <v>24</v>
      </c>
      <c r="L3123">
        <v>19.03</v>
      </c>
      <c r="M3123">
        <v>3.5</v>
      </c>
      <c r="N3123" t="s">
        <v>22</v>
      </c>
      <c r="O3123" t="str">
        <f t="shared" si="48"/>
        <v>No</v>
      </c>
    </row>
    <row r="3124" spans="1:15" x14ac:dyDescent="0.25">
      <c r="A3124" t="s">
        <v>3185</v>
      </c>
      <c r="B3124" s="1">
        <v>45743</v>
      </c>
      <c r="C3124" s="2">
        <v>45743.169166666667</v>
      </c>
      <c r="D3124" t="s">
        <v>24</v>
      </c>
      <c r="E3124" t="s">
        <v>45</v>
      </c>
      <c r="F3124" t="s">
        <v>100</v>
      </c>
      <c r="G3124" t="s">
        <v>41</v>
      </c>
      <c r="H3124" t="s">
        <v>44</v>
      </c>
      <c r="I3124" t="s">
        <v>36</v>
      </c>
      <c r="J3124" t="s">
        <v>46</v>
      </c>
      <c r="K3124">
        <v>24</v>
      </c>
      <c r="L3124">
        <v>4.0599999999999996</v>
      </c>
      <c r="M3124">
        <v>4.5999999999999996</v>
      </c>
      <c r="N3124" t="s">
        <v>22</v>
      </c>
      <c r="O3124" t="str">
        <f t="shared" si="48"/>
        <v>No</v>
      </c>
    </row>
    <row r="3125" spans="1:15" x14ac:dyDescent="0.25">
      <c r="A3125" t="s">
        <v>3186</v>
      </c>
      <c r="B3125" s="1">
        <v>45769</v>
      </c>
      <c r="C3125" s="2">
        <v>45769.320833333331</v>
      </c>
      <c r="D3125" t="s">
        <v>24</v>
      </c>
      <c r="E3125" t="s">
        <v>16</v>
      </c>
      <c r="F3125" t="s">
        <v>43</v>
      </c>
      <c r="G3125" t="s">
        <v>18</v>
      </c>
      <c r="H3125" t="s">
        <v>35</v>
      </c>
      <c r="I3125" t="s">
        <v>20</v>
      </c>
      <c r="J3125" t="s">
        <v>21</v>
      </c>
      <c r="K3125">
        <v>24</v>
      </c>
      <c r="L3125">
        <v>7.7</v>
      </c>
      <c r="M3125">
        <v>5</v>
      </c>
      <c r="N3125" t="s">
        <v>22</v>
      </c>
      <c r="O3125" t="str">
        <f t="shared" si="48"/>
        <v>No</v>
      </c>
    </row>
    <row r="3126" spans="1:15" x14ac:dyDescent="0.25">
      <c r="A3126" t="s">
        <v>3187</v>
      </c>
      <c r="B3126" s="1">
        <v>45737</v>
      </c>
      <c r="C3126" s="2">
        <v>45740.024583333332</v>
      </c>
      <c r="D3126" t="s">
        <v>15</v>
      </c>
      <c r="E3126" t="s">
        <v>16</v>
      </c>
      <c r="F3126" t="s">
        <v>60</v>
      </c>
      <c r="G3126" t="s">
        <v>56</v>
      </c>
      <c r="H3126" t="s">
        <v>44</v>
      </c>
      <c r="I3126" t="s">
        <v>20</v>
      </c>
      <c r="J3126" t="s">
        <v>21</v>
      </c>
      <c r="K3126">
        <v>48</v>
      </c>
      <c r="L3126">
        <v>72.59</v>
      </c>
      <c r="M3126">
        <v>3.8</v>
      </c>
      <c r="N3126" t="s">
        <v>22</v>
      </c>
      <c r="O3126" t="str">
        <f t="shared" si="48"/>
        <v>Yes</v>
      </c>
    </row>
    <row r="3127" spans="1:15" x14ac:dyDescent="0.25">
      <c r="A3127" t="s">
        <v>3188</v>
      </c>
      <c r="B3127" s="1">
        <v>45819</v>
      </c>
      <c r="C3127" s="2">
        <v>45819.126250000001</v>
      </c>
      <c r="D3127" t="s">
        <v>24</v>
      </c>
      <c r="E3127" t="s">
        <v>16</v>
      </c>
      <c r="F3127" t="s">
        <v>17</v>
      </c>
      <c r="G3127" t="s">
        <v>41</v>
      </c>
      <c r="H3127" t="s">
        <v>27</v>
      </c>
      <c r="I3127" t="s">
        <v>36</v>
      </c>
      <c r="J3127" t="s">
        <v>21</v>
      </c>
      <c r="K3127">
        <v>24</v>
      </c>
      <c r="L3127">
        <v>3.03</v>
      </c>
      <c r="M3127">
        <v>4.3</v>
      </c>
      <c r="N3127" t="s">
        <v>22</v>
      </c>
      <c r="O3127" t="str">
        <f t="shared" si="48"/>
        <v>No</v>
      </c>
    </row>
    <row r="3128" spans="1:15" x14ac:dyDescent="0.25">
      <c r="A3128" t="s">
        <v>3189</v>
      </c>
      <c r="B3128" s="1">
        <v>45808</v>
      </c>
      <c r="C3128" s="2">
        <v>45808.2575</v>
      </c>
      <c r="D3128" t="s">
        <v>38</v>
      </c>
      <c r="E3128" t="s">
        <v>32</v>
      </c>
      <c r="F3128" t="s">
        <v>64</v>
      </c>
      <c r="G3128" t="s">
        <v>34</v>
      </c>
      <c r="H3128" t="s">
        <v>19</v>
      </c>
      <c r="I3128" t="s">
        <v>36</v>
      </c>
      <c r="J3128" t="s">
        <v>21</v>
      </c>
      <c r="K3128">
        <v>8</v>
      </c>
      <c r="L3128">
        <v>6.18</v>
      </c>
      <c r="M3128">
        <v>3.4</v>
      </c>
      <c r="N3128" t="s">
        <v>22</v>
      </c>
      <c r="O3128" t="str">
        <f t="shared" si="48"/>
        <v>No</v>
      </c>
    </row>
    <row r="3129" spans="1:15" x14ac:dyDescent="0.25">
      <c r="A3129" t="s">
        <v>3190</v>
      </c>
      <c r="B3129" s="1">
        <v>45822</v>
      </c>
      <c r="C3129" s="2">
        <v>45822.066666666666</v>
      </c>
      <c r="D3129" t="s">
        <v>38</v>
      </c>
      <c r="E3129" t="s">
        <v>32</v>
      </c>
      <c r="F3129" t="s">
        <v>33</v>
      </c>
      <c r="G3129" t="s">
        <v>56</v>
      </c>
      <c r="H3129" t="s">
        <v>19</v>
      </c>
      <c r="I3129" t="s">
        <v>36</v>
      </c>
      <c r="J3129" t="s">
        <v>21</v>
      </c>
      <c r="K3129">
        <v>8</v>
      </c>
      <c r="L3129">
        <v>1.6</v>
      </c>
      <c r="M3129">
        <v>4.5999999999999996</v>
      </c>
      <c r="N3129" t="s">
        <v>22</v>
      </c>
      <c r="O3129" t="str">
        <f t="shared" si="48"/>
        <v>No</v>
      </c>
    </row>
    <row r="3130" spans="1:15" x14ac:dyDescent="0.25">
      <c r="A3130" t="s">
        <v>3191</v>
      </c>
      <c r="B3130" s="1">
        <v>45749</v>
      </c>
      <c r="C3130" s="2">
        <v>45749.555833333332</v>
      </c>
      <c r="D3130" t="s">
        <v>15</v>
      </c>
      <c r="E3130" t="s">
        <v>25</v>
      </c>
      <c r="F3130" t="s">
        <v>26</v>
      </c>
      <c r="G3130" t="s">
        <v>18</v>
      </c>
      <c r="H3130" t="s">
        <v>65</v>
      </c>
      <c r="I3130" t="s">
        <v>36</v>
      </c>
      <c r="J3130" t="s">
        <v>21</v>
      </c>
      <c r="K3130">
        <v>48</v>
      </c>
      <c r="L3130">
        <v>13.34</v>
      </c>
      <c r="M3130">
        <v>4.3</v>
      </c>
      <c r="N3130" t="s">
        <v>22</v>
      </c>
      <c r="O3130" t="str">
        <f t="shared" si="48"/>
        <v>No</v>
      </c>
    </row>
    <row r="3131" spans="1:15" x14ac:dyDescent="0.25">
      <c r="A3131" t="s">
        <v>3192</v>
      </c>
      <c r="B3131" s="1">
        <v>45801</v>
      </c>
      <c r="C3131" s="2">
        <v>45801.505833333336</v>
      </c>
      <c r="D3131" t="s">
        <v>24</v>
      </c>
      <c r="E3131" t="s">
        <v>16</v>
      </c>
      <c r="F3131" t="s">
        <v>60</v>
      </c>
      <c r="G3131" t="s">
        <v>34</v>
      </c>
      <c r="H3131" t="s">
        <v>27</v>
      </c>
      <c r="I3131" t="s">
        <v>36</v>
      </c>
      <c r="J3131" t="s">
        <v>21</v>
      </c>
      <c r="K3131">
        <v>24</v>
      </c>
      <c r="L3131">
        <v>12.14</v>
      </c>
      <c r="M3131">
        <v>3.4</v>
      </c>
      <c r="N3131" t="s">
        <v>61</v>
      </c>
      <c r="O3131" t="str">
        <f t="shared" si="48"/>
        <v>No</v>
      </c>
    </row>
    <row r="3132" spans="1:15" x14ac:dyDescent="0.25">
      <c r="A3132" t="s">
        <v>3193</v>
      </c>
      <c r="B3132" s="1">
        <v>45722</v>
      </c>
      <c r="C3132" s="2">
        <v>45722.722916666666</v>
      </c>
      <c r="D3132" t="s">
        <v>24</v>
      </c>
      <c r="E3132" t="s">
        <v>32</v>
      </c>
      <c r="F3132" t="s">
        <v>33</v>
      </c>
      <c r="G3132" t="s">
        <v>56</v>
      </c>
      <c r="H3132" t="s">
        <v>54</v>
      </c>
      <c r="I3132" t="s">
        <v>20</v>
      </c>
      <c r="J3132" t="s">
        <v>46</v>
      </c>
      <c r="K3132">
        <v>24</v>
      </c>
      <c r="L3132">
        <v>17.350000000000001</v>
      </c>
      <c r="M3132">
        <v>3.6</v>
      </c>
      <c r="N3132" t="s">
        <v>22</v>
      </c>
      <c r="O3132" t="str">
        <f t="shared" si="48"/>
        <v>No</v>
      </c>
    </row>
    <row r="3133" spans="1:15" x14ac:dyDescent="0.25">
      <c r="A3133" t="s">
        <v>3194</v>
      </c>
      <c r="B3133" s="1">
        <v>45741</v>
      </c>
      <c r="C3133" s="2">
        <v>45742.157083333332</v>
      </c>
      <c r="D3133" t="s">
        <v>15</v>
      </c>
      <c r="E3133" t="s">
        <v>39</v>
      </c>
      <c r="F3133" t="s">
        <v>119</v>
      </c>
      <c r="G3133" t="s">
        <v>51</v>
      </c>
      <c r="H3133" t="s">
        <v>35</v>
      </c>
      <c r="I3133" t="s">
        <v>20</v>
      </c>
      <c r="J3133" t="s">
        <v>21</v>
      </c>
      <c r="K3133">
        <v>48</v>
      </c>
      <c r="L3133">
        <v>27.77</v>
      </c>
      <c r="M3133">
        <v>2.5</v>
      </c>
      <c r="N3133" t="s">
        <v>61</v>
      </c>
      <c r="O3133" t="str">
        <f t="shared" si="48"/>
        <v>No</v>
      </c>
    </row>
    <row r="3134" spans="1:15" x14ac:dyDescent="0.25">
      <c r="A3134" t="s">
        <v>3195</v>
      </c>
      <c r="B3134" s="1">
        <v>45795</v>
      </c>
      <c r="C3134" s="2">
        <v>45795.18</v>
      </c>
      <c r="D3134" t="s">
        <v>24</v>
      </c>
      <c r="E3134" t="s">
        <v>45</v>
      </c>
      <c r="F3134" t="s">
        <v>50</v>
      </c>
      <c r="G3134" t="s">
        <v>41</v>
      </c>
      <c r="H3134" t="s">
        <v>65</v>
      </c>
      <c r="I3134" t="s">
        <v>45</v>
      </c>
      <c r="J3134" t="s">
        <v>21</v>
      </c>
      <c r="K3134">
        <v>24</v>
      </c>
      <c r="L3134">
        <v>4.32</v>
      </c>
      <c r="M3134">
        <v>5</v>
      </c>
      <c r="N3134" t="s">
        <v>22</v>
      </c>
      <c r="O3134" t="str">
        <f t="shared" si="48"/>
        <v>No</v>
      </c>
    </row>
    <row r="3135" spans="1:15" x14ac:dyDescent="0.25">
      <c r="A3135" t="s">
        <v>3196</v>
      </c>
      <c r="B3135" s="1">
        <v>45672</v>
      </c>
      <c r="C3135" s="2">
        <v>45674.9375</v>
      </c>
      <c r="D3135" t="s">
        <v>15</v>
      </c>
      <c r="E3135" t="s">
        <v>16</v>
      </c>
      <c r="F3135" t="s">
        <v>17</v>
      </c>
      <c r="G3135" t="s">
        <v>41</v>
      </c>
      <c r="H3135" t="s">
        <v>54</v>
      </c>
      <c r="I3135" t="s">
        <v>45</v>
      </c>
      <c r="J3135" t="s">
        <v>21</v>
      </c>
      <c r="K3135">
        <v>48</v>
      </c>
      <c r="L3135">
        <v>70.5</v>
      </c>
      <c r="M3135">
        <v>3.8</v>
      </c>
      <c r="N3135" t="s">
        <v>22</v>
      </c>
      <c r="O3135" t="str">
        <f t="shared" si="48"/>
        <v>Yes</v>
      </c>
    </row>
    <row r="3136" spans="1:15" x14ac:dyDescent="0.25">
      <c r="A3136" t="s">
        <v>3197</v>
      </c>
      <c r="B3136" s="1">
        <v>45786</v>
      </c>
      <c r="C3136" s="2">
        <v>45787.714583333334</v>
      </c>
      <c r="D3136" t="s">
        <v>15</v>
      </c>
      <c r="E3136" t="s">
        <v>16</v>
      </c>
      <c r="F3136" t="s">
        <v>60</v>
      </c>
      <c r="G3136" t="s">
        <v>41</v>
      </c>
      <c r="H3136" t="s">
        <v>19</v>
      </c>
      <c r="I3136" t="s">
        <v>45</v>
      </c>
      <c r="J3136" t="s">
        <v>21</v>
      </c>
      <c r="K3136">
        <v>48</v>
      </c>
      <c r="L3136">
        <v>41.15</v>
      </c>
      <c r="M3136">
        <v>4.9000000000000004</v>
      </c>
      <c r="N3136" t="s">
        <v>61</v>
      </c>
      <c r="O3136" t="str">
        <f t="shared" si="48"/>
        <v>No</v>
      </c>
    </row>
    <row r="3137" spans="1:15" x14ac:dyDescent="0.25">
      <c r="A3137" t="s">
        <v>3198</v>
      </c>
      <c r="B3137" s="1">
        <v>45660</v>
      </c>
      <c r="C3137" s="2">
        <v>45661.196250000001</v>
      </c>
      <c r="D3137" t="s">
        <v>24</v>
      </c>
      <c r="E3137" t="s">
        <v>32</v>
      </c>
      <c r="F3137" t="s">
        <v>75</v>
      </c>
      <c r="G3137" t="s">
        <v>56</v>
      </c>
      <c r="H3137" t="s">
        <v>35</v>
      </c>
      <c r="I3137" t="s">
        <v>36</v>
      </c>
      <c r="J3137" t="s">
        <v>46</v>
      </c>
      <c r="K3137">
        <v>24</v>
      </c>
      <c r="L3137">
        <v>28.71</v>
      </c>
      <c r="M3137">
        <v>3.8</v>
      </c>
      <c r="N3137" t="s">
        <v>22</v>
      </c>
      <c r="O3137" t="str">
        <f t="shared" si="48"/>
        <v>Yes</v>
      </c>
    </row>
    <row r="3138" spans="1:15" x14ac:dyDescent="0.25">
      <c r="A3138" t="s">
        <v>3199</v>
      </c>
      <c r="B3138" s="1">
        <v>45763</v>
      </c>
      <c r="C3138" s="2">
        <v>45763.972500000003</v>
      </c>
      <c r="D3138" t="s">
        <v>15</v>
      </c>
      <c r="E3138" t="s">
        <v>45</v>
      </c>
      <c r="F3138" t="s">
        <v>112</v>
      </c>
      <c r="G3138" t="s">
        <v>34</v>
      </c>
      <c r="H3138" t="s">
        <v>35</v>
      </c>
      <c r="I3138" t="s">
        <v>20</v>
      </c>
      <c r="J3138" t="s">
        <v>46</v>
      </c>
      <c r="K3138">
        <v>48</v>
      </c>
      <c r="L3138">
        <v>23.34</v>
      </c>
      <c r="M3138">
        <v>4.0999999999999996</v>
      </c>
      <c r="N3138" t="s">
        <v>22</v>
      </c>
      <c r="O3138" t="str">
        <f t="shared" si="48"/>
        <v>No</v>
      </c>
    </row>
    <row r="3139" spans="1:15" x14ac:dyDescent="0.25">
      <c r="A3139" t="s">
        <v>3200</v>
      </c>
      <c r="B3139" s="1">
        <v>45744</v>
      </c>
      <c r="C3139" s="2">
        <v>45744.9</v>
      </c>
      <c r="D3139" t="s">
        <v>24</v>
      </c>
      <c r="E3139" t="s">
        <v>45</v>
      </c>
      <c r="F3139" t="s">
        <v>104</v>
      </c>
      <c r="G3139" t="s">
        <v>34</v>
      </c>
      <c r="H3139" t="s">
        <v>19</v>
      </c>
      <c r="I3139" t="s">
        <v>36</v>
      </c>
      <c r="J3139" t="s">
        <v>46</v>
      </c>
      <c r="K3139">
        <v>24</v>
      </c>
      <c r="L3139">
        <v>21.6</v>
      </c>
      <c r="M3139">
        <v>4.5999999999999996</v>
      </c>
      <c r="N3139" t="s">
        <v>22</v>
      </c>
      <c r="O3139" t="str">
        <f t="shared" ref="O3139:O3202" si="49">IF(L3139&gt;K3139,"Yes","No")</f>
        <v>No</v>
      </c>
    </row>
    <row r="3140" spans="1:15" x14ac:dyDescent="0.25">
      <c r="A3140" t="s">
        <v>3201</v>
      </c>
      <c r="B3140" s="1">
        <v>45742</v>
      </c>
      <c r="C3140" s="2">
        <v>45744.410416666666</v>
      </c>
      <c r="D3140" t="s">
        <v>15</v>
      </c>
      <c r="E3140" t="s">
        <v>16</v>
      </c>
      <c r="F3140" t="s">
        <v>58</v>
      </c>
      <c r="G3140" t="s">
        <v>56</v>
      </c>
      <c r="H3140" t="s">
        <v>19</v>
      </c>
      <c r="I3140" t="s">
        <v>36</v>
      </c>
      <c r="J3140" t="s">
        <v>29</v>
      </c>
      <c r="K3140">
        <v>48</v>
      </c>
      <c r="L3140">
        <v>57.85</v>
      </c>
      <c r="M3140">
        <v>3.1</v>
      </c>
      <c r="N3140" t="s">
        <v>22</v>
      </c>
      <c r="O3140" t="str">
        <f t="shared" si="49"/>
        <v>Yes</v>
      </c>
    </row>
    <row r="3141" spans="1:15" x14ac:dyDescent="0.25">
      <c r="A3141" t="s">
        <v>3202</v>
      </c>
      <c r="B3141" s="1">
        <v>45747</v>
      </c>
      <c r="C3141" s="2">
        <v>45747.676249999997</v>
      </c>
      <c r="D3141" t="s">
        <v>24</v>
      </c>
      <c r="E3141" t="s">
        <v>39</v>
      </c>
      <c r="F3141" t="s">
        <v>119</v>
      </c>
      <c r="G3141" t="s">
        <v>41</v>
      </c>
      <c r="H3141" t="s">
        <v>54</v>
      </c>
      <c r="I3141" t="s">
        <v>36</v>
      </c>
      <c r="J3141" t="s">
        <v>21</v>
      </c>
      <c r="K3141">
        <v>24</v>
      </c>
      <c r="L3141">
        <v>16.23</v>
      </c>
      <c r="M3141">
        <v>3.3</v>
      </c>
      <c r="N3141" t="s">
        <v>22</v>
      </c>
      <c r="O3141" t="str">
        <f t="shared" si="49"/>
        <v>No</v>
      </c>
    </row>
    <row r="3142" spans="1:15" x14ac:dyDescent="0.25">
      <c r="A3142" t="s">
        <v>3203</v>
      </c>
      <c r="B3142" s="1">
        <v>45747</v>
      </c>
      <c r="C3142" s="2">
        <v>45747.660833333335</v>
      </c>
      <c r="D3142" t="s">
        <v>24</v>
      </c>
      <c r="E3142" t="s">
        <v>16</v>
      </c>
      <c r="F3142" t="s">
        <v>60</v>
      </c>
      <c r="G3142" t="s">
        <v>51</v>
      </c>
      <c r="H3142" t="s">
        <v>19</v>
      </c>
      <c r="I3142" t="s">
        <v>20</v>
      </c>
      <c r="J3142" t="s">
        <v>21</v>
      </c>
      <c r="K3142">
        <v>24</v>
      </c>
      <c r="L3142">
        <v>15.86</v>
      </c>
      <c r="M3142">
        <v>4.0999999999999996</v>
      </c>
      <c r="N3142" t="s">
        <v>22</v>
      </c>
      <c r="O3142" t="str">
        <f t="shared" si="49"/>
        <v>No</v>
      </c>
    </row>
    <row r="3143" spans="1:15" x14ac:dyDescent="0.25">
      <c r="A3143" t="s">
        <v>3204</v>
      </c>
      <c r="B3143" s="1">
        <v>45731</v>
      </c>
      <c r="C3143" s="2">
        <v>45731.254166666666</v>
      </c>
      <c r="D3143" t="s">
        <v>38</v>
      </c>
      <c r="E3143" t="s">
        <v>25</v>
      </c>
      <c r="F3143" t="s">
        <v>26</v>
      </c>
      <c r="G3143" t="s">
        <v>51</v>
      </c>
      <c r="H3143" t="s">
        <v>27</v>
      </c>
      <c r="I3143" t="s">
        <v>45</v>
      </c>
      <c r="J3143" t="s">
        <v>21</v>
      </c>
      <c r="K3143">
        <v>8</v>
      </c>
      <c r="L3143">
        <v>6.1</v>
      </c>
      <c r="M3143">
        <v>4.4000000000000004</v>
      </c>
      <c r="N3143" t="s">
        <v>22</v>
      </c>
      <c r="O3143" t="str">
        <f t="shared" si="49"/>
        <v>No</v>
      </c>
    </row>
    <row r="3144" spans="1:15" x14ac:dyDescent="0.25">
      <c r="A3144" t="s">
        <v>3205</v>
      </c>
      <c r="B3144" s="1">
        <v>45739</v>
      </c>
      <c r="C3144" s="2">
        <v>45739.253333333334</v>
      </c>
      <c r="D3144" t="s">
        <v>38</v>
      </c>
      <c r="E3144" t="s">
        <v>25</v>
      </c>
      <c r="F3144" t="s">
        <v>48</v>
      </c>
      <c r="G3144" t="s">
        <v>56</v>
      </c>
      <c r="H3144" t="s">
        <v>35</v>
      </c>
      <c r="I3144" t="s">
        <v>45</v>
      </c>
      <c r="J3144" t="s">
        <v>21</v>
      </c>
      <c r="K3144">
        <v>8</v>
      </c>
      <c r="L3144">
        <v>6.08</v>
      </c>
      <c r="M3144">
        <v>3.6</v>
      </c>
      <c r="N3144" t="s">
        <v>22</v>
      </c>
      <c r="O3144" t="str">
        <f t="shared" si="49"/>
        <v>No</v>
      </c>
    </row>
    <row r="3145" spans="1:15" x14ac:dyDescent="0.25">
      <c r="A3145" t="s">
        <v>3206</v>
      </c>
      <c r="B3145" s="1">
        <v>45760</v>
      </c>
      <c r="C3145" s="2">
        <v>45760.688333333332</v>
      </c>
      <c r="D3145" t="s">
        <v>24</v>
      </c>
      <c r="E3145" t="s">
        <v>45</v>
      </c>
      <c r="F3145" t="s">
        <v>104</v>
      </c>
      <c r="G3145" t="s">
        <v>51</v>
      </c>
      <c r="H3145" t="s">
        <v>19</v>
      </c>
      <c r="I3145" t="s">
        <v>45</v>
      </c>
      <c r="J3145" t="s">
        <v>21</v>
      </c>
      <c r="K3145">
        <v>24</v>
      </c>
      <c r="L3145">
        <v>16.52</v>
      </c>
      <c r="M3145">
        <v>3.5</v>
      </c>
      <c r="N3145" t="s">
        <v>22</v>
      </c>
      <c r="O3145" t="str">
        <f t="shared" si="49"/>
        <v>No</v>
      </c>
    </row>
    <row r="3146" spans="1:15" x14ac:dyDescent="0.25">
      <c r="A3146" t="s">
        <v>3207</v>
      </c>
      <c r="B3146" s="1">
        <v>45796</v>
      </c>
      <c r="C3146" s="2">
        <v>45796.982916666668</v>
      </c>
      <c r="D3146" t="s">
        <v>24</v>
      </c>
      <c r="E3146" t="s">
        <v>16</v>
      </c>
      <c r="F3146" t="s">
        <v>17</v>
      </c>
      <c r="G3146" t="s">
        <v>56</v>
      </c>
      <c r="H3146" t="s">
        <v>44</v>
      </c>
      <c r="I3146" t="s">
        <v>20</v>
      </c>
      <c r="J3146" t="s">
        <v>46</v>
      </c>
      <c r="K3146">
        <v>24</v>
      </c>
      <c r="L3146">
        <v>23.59</v>
      </c>
      <c r="M3146">
        <v>3.5</v>
      </c>
      <c r="N3146" t="s">
        <v>22</v>
      </c>
      <c r="O3146" t="str">
        <f t="shared" si="49"/>
        <v>No</v>
      </c>
    </row>
    <row r="3147" spans="1:15" x14ac:dyDescent="0.25">
      <c r="A3147" t="s">
        <v>3208</v>
      </c>
      <c r="B3147" s="1">
        <v>45757</v>
      </c>
      <c r="C3147" s="2">
        <v>45757.957499999997</v>
      </c>
      <c r="D3147" t="s">
        <v>15</v>
      </c>
      <c r="E3147" t="s">
        <v>39</v>
      </c>
      <c r="F3147" t="s">
        <v>87</v>
      </c>
      <c r="G3147" t="s">
        <v>51</v>
      </c>
      <c r="H3147" t="s">
        <v>19</v>
      </c>
      <c r="I3147" t="s">
        <v>36</v>
      </c>
      <c r="J3147" t="s">
        <v>46</v>
      </c>
      <c r="K3147">
        <v>48</v>
      </c>
      <c r="L3147">
        <v>22.98</v>
      </c>
      <c r="M3147">
        <v>4.7</v>
      </c>
      <c r="N3147" t="s">
        <v>22</v>
      </c>
      <c r="O3147" t="str">
        <f t="shared" si="49"/>
        <v>No</v>
      </c>
    </row>
    <row r="3148" spans="1:15" x14ac:dyDescent="0.25">
      <c r="A3148" t="s">
        <v>3209</v>
      </c>
      <c r="B3148" s="1">
        <v>45774</v>
      </c>
      <c r="C3148" s="2">
        <v>45775.399155092593</v>
      </c>
      <c r="D3148" t="s">
        <v>24</v>
      </c>
      <c r="E3148" t="s">
        <v>16</v>
      </c>
      <c r="F3148" t="s">
        <v>43</v>
      </c>
      <c r="G3148" t="s">
        <v>56</v>
      </c>
      <c r="H3148" t="s">
        <v>35</v>
      </c>
      <c r="I3148" t="s">
        <v>36</v>
      </c>
      <c r="J3148" t="s">
        <v>21</v>
      </c>
      <c r="K3148">
        <v>24</v>
      </c>
      <c r="L3148">
        <v>33.58</v>
      </c>
      <c r="M3148">
        <v>3.2</v>
      </c>
      <c r="N3148" t="s">
        <v>22</v>
      </c>
      <c r="O3148" t="str">
        <f t="shared" si="49"/>
        <v>Yes</v>
      </c>
    </row>
    <row r="3149" spans="1:15" x14ac:dyDescent="0.25">
      <c r="A3149" t="s">
        <v>3210</v>
      </c>
      <c r="B3149" s="1">
        <v>45809</v>
      </c>
      <c r="C3149" s="2">
        <v>45809.1175</v>
      </c>
      <c r="D3149" t="s">
        <v>15</v>
      </c>
      <c r="E3149" t="s">
        <v>25</v>
      </c>
      <c r="F3149" t="s">
        <v>26</v>
      </c>
      <c r="G3149" t="s">
        <v>41</v>
      </c>
      <c r="H3149" t="s">
        <v>19</v>
      </c>
      <c r="I3149" t="s">
        <v>20</v>
      </c>
      <c r="J3149" t="s">
        <v>21</v>
      </c>
      <c r="K3149">
        <v>48</v>
      </c>
      <c r="L3149">
        <v>2.82</v>
      </c>
      <c r="M3149">
        <v>5</v>
      </c>
      <c r="N3149" t="s">
        <v>22</v>
      </c>
      <c r="O3149" t="str">
        <f t="shared" si="49"/>
        <v>No</v>
      </c>
    </row>
    <row r="3150" spans="1:15" x14ac:dyDescent="0.25">
      <c r="A3150" t="s">
        <v>3211</v>
      </c>
      <c r="B3150" s="1">
        <v>45837</v>
      </c>
      <c r="C3150" s="2">
        <v>45837.886250000003</v>
      </c>
      <c r="D3150" t="s">
        <v>24</v>
      </c>
      <c r="E3150" t="s">
        <v>32</v>
      </c>
      <c r="F3150" t="s">
        <v>75</v>
      </c>
      <c r="G3150" t="s">
        <v>41</v>
      </c>
      <c r="H3150" t="s">
        <v>35</v>
      </c>
      <c r="I3150" t="s">
        <v>45</v>
      </c>
      <c r="J3150" t="s">
        <v>29</v>
      </c>
      <c r="K3150">
        <v>24</v>
      </c>
      <c r="L3150">
        <v>21.27</v>
      </c>
      <c r="M3150">
        <v>3.8</v>
      </c>
      <c r="N3150" t="s">
        <v>22</v>
      </c>
      <c r="O3150" t="str">
        <f t="shared" si="49"/>
        <v>No</v>
      </c>
    </row>
    <row r="3151" spans="1:15" x14ac:dyDescent="0.25">
      <c r="A3151" t="s">
        <v>3212</v>
      </c>
      <c r="B3151" s="1">
        <v>45677</v>
      </c>
      <c r="C3151" s="2">
        <v>45679.689583333333</v>
      </c>
      <c r="D3151" t="s">
        <v>15</v>
      </c>
      <c r="E3151" t="s">
        <v>32</v>
      </c>
      <c r="F3151" t="s">
        <v>33</v>
      </c>
      <c r="G3151" t="s">
        <v>34</v>
      </c>
      <c r="H3151" t="s">
        <v>44</v>
      </c>
      <c r="I3151" t="s">
        <v>36</v>
      </c>
      <c r="J3151" t="s">
        <v>46</v>
      </c>
      <c r="K3151">
        <v>48</v>
      </c>
      <c r="L3151">
        <v>64.55</v>
      </c>
      <c r="M3151">
        <v>3.9</v>
      </c>
      <c r="N3151" t="s">
        <v>22</v>
      </c>
      <c r="O3151" t="str">
        <f t="shared" si="49"/>
        <v>Yes</v>
      </c>
    </row>
    <row r="3152" spans="1:15" x14ac:dyDescent="0.25">
      <c r="A3152" t="s">
        <v>3213</v>
      </c>
      <c r="B3152" s="1">
        <v>45787</v>
      </c>
      <c r="C3152" s="2">
        <v>45787.105833333335</v>
      </c>
      <c r="D3152" t="s">
        <v>38</v>
      </c>
      <c r="E3152" t="s">
        <v>25</v>
      </c>
      <c r="F3152" t="s">
        <v>48</v>
      </c>
      <c r="G3152" t="s">
        <v>56</v>
      </c>
      <c r="H3152" t="s">
        <v>65</v>
      </c>
      <c r="I3152" t="s">
        <v>36</v>
      </c>
      <c r="J3152" t="s">
        <v>46</v>
      </c>
      <c r="K3152">
        <v>8</v>
      </c>
      <c r="L3152">
        <v>2.54</v>
      </c>
      <c r="M3152">
        <v>3.7</v>
      </c>
      <c r="N3152" t="s">
        <v>22</v>
      </c>
      <c r="O3152" t="str">
        <f t="shared" si="49"/>
        <v>No</v>
      </c>
    </row>
    <row r="3153" spans="1:15" x14ac:dyDescent="0.25">
      <c r="A3153" t="s">
        <v>3214</v>
      </c>
      <c r="B3153" s="1">
        <v>45698</v>
      </c>
      <c r="C3153" s="2">
        <v>45698.388333333336</v>
      </c>
      <c r="D3153" t="s">
        <v>24</v>
      </c>
      <c r="E3153" t="s">
        <v>39</v>
      </c>
      <c r="F3153" t="s">
        <v>87</v>
      </c>
      <c r="G3153" t="s">
        <v>18</v>
      </c>
      <c r="H3153" t="s">
        <v>44</v>
      </c>
      <c r="I3153" t="s">
        <v>28</v>
      </c>
      <c r="J3153" t="s">
        <v>21</v>
      </c>
      <c r="K3153">
        <v>24</v>
      </c>
      <c r="L3153">
        <v>9.32</v>
      </c>
      <c r="M3153">
        <v>4.9000000000000004</v>
      </c>
      <c r="N3153" t="s">
        <v>22</v>
      </c>
      <c r="O3153" t="str">
        <f t="shared" si="49"/>
        <v>No</v>
      </c>
    </row>
    <row r="3154" spans="1:15" x14ac:dyDescent="0.25">
      <c r="A3154" t="s">
        <v>3215</v>
      </c>
      <c r="B3154" s="1">
        <v>45693</v>
      </c>
      <c r="C3154" s="2">
        <v>45694.418749999997</v>
      </c>
      <c r="D3154" t="s">
        <v>24</v>
      </c>
      <c r="E3154" t="s">
        <v>25</v>
      </c>
      <c r="F3154" t="s">
        <v>53</v>
      </c>
      <c r="G3154" t="s">
        <v>18</v>
      </c>
      <c r="H3154" t="s">
        <v>54</v>
      </c>
      <c r="I3154" t="s">
        <v>36</v>
      </c>
      <c r="J3154" t="s">
        <v>21</v>
      </c>
      <c r="K3154">
        <v>24</v>
      </c>
      <c r="L3154">
        <v>34.049999999999997</v>
      </c>
      <c r="M3154">
        <v>3</v>
      </c>
      <c r="N3154" t="s">
        <v>22</v>
      </c>
      <c r="O3154" t="str">
        <f t="shared" si="49"/>
        <v>Yes</v>
      </c>
    </row>
    <row r="3155" spans="1:15" x14ac:dyDescent="0.25">
      <c r="A3155" t="s">
        <v>3216</v>
      </c>
      <c r="B3155" s="1">
        <v>45801</v>
      </c>
      <c r="C3155" s="2">
        <v>45801.881249999999</v>
      </c>
      <c r="D3155" t="s">
        <v>24</v>
      </c>
      <c r="E3155" t="s">
        <v>32</v>
      </c>
      <c r="F3155" t="s">
        <v>33</v>
      </c>
      <c r="G3155" t="s">
        <v>41</v>
      </c>
      <c r="H3155" t="s">
        <v>27</v>
      </c>
      <c r="I3155" t="s">
        <v>20</v>
      </c>
      <c r="J3155" t="s">
        <v>46</v>
      </c>
      <c r="K3155">
        <v>24</v>
      </c>
      <c r="L3155">
        <v>21.15</v>
      </c>
      <c r="M3155">
        <v>3.9</v>
      </c>
      <c r="N3155" t="s">
        <v>22</v>
      </c>
      <c r="O3155" t="str">
        <f t="shared" si="49"/>
        <v>No</v>
      </c>
    </row>
    <row r="3156" spans="1:15" x14ac:dyDescent="0.25">
      <c r="A3156" t="s">
        <v>3217</v>
      </c>
      <c r="B3156" s="1">
        <v>45670</v>
      </c>
      <c r="C3156" s="2">
        <v>45671.852500000001</v>
      </c>
      <c r="D3156" t="s">
        <v>15</v>
      </c>
      <c r="E3156" t="s">
        <v>39</v>
      </c>
      <c r="F3156" t="s">
        <v>119</v>
      </c>
      <c r="G3156" t="s">
        <v>34</v>
      </c>
      <c r="H3156" t="s">
        <v>27</v>
      </c>
      <c r="I3156" t="s">
        <v>20</v>
      </c>
      <c r="J3156" t="s">
        <v>21</v>
      </c>
      <c r="K3156">
        <v>48</v>
      </c>
      <c r="L3156">
        <v>44.46</v>
      </c>
      <c r="M3156">
        <v>5</v>
      </c>
      <c r="N3156" t="s">
        <v>22</v>
      </c>
      <c r="O3156" t="str">
        <f t="shared" si="49"/>
        <v>No</v>
      </c>
    </row>
    <row r="3157" spans="1:15" x14ac:dyDescent="0.25">
      <c r="A3157" t="s">
        <v>3218</v>
      </c>
      <c r="B3157" s="1">
        <v>45811</v>
      </c>
      <c r="C3157" s="2">
        <v>45811.916250000002</v>
      </c>
      <c r="D3157" t="s">
        <v>15</v>
      </c>
      <c r="E3157" t="s">
        <v>32</v>
      </c>
      <c r="F3157" t="s">
        <v>33</v>
      </c>
      <c r="G3157" t="s">
        <v>41</v>
      </c>
      <c r="H3157" t="s">
        <v>35</v>
      </c>
      <c r="I3157" t="s">
        <v>20</v>
      </c>
      <c r="J3157" t="s">
        <v>21</v>
      </c>
      <c r="K3157">
        <v>48</v>
      </c>
      <c r="L3157">
        <v>21.99</v>
      </c>
      <c r="M3157">
        <v>4.2</v>
      </c>
      <c r="N3157" t="s">
        <v>22</v>
      </c>
      <c r="O3157" t="str">
        <f t="shared" si="49"/>
        <v>No</v>
      </c>
    </row>
    <row r="3158" spans="1:15" x14ac:dyDescent="0.25">
      <c r="A3158" t="s">
        <v>3219</v>
      </c>
      <c r="B3158" s="1">
        <v>45797</v>
      </c>
      <c r="C3158" s="2">
        <v>45797.142500000002</v>
      </c>
      <c r="D3158" t="s">
        <v>38</v>
      </c>
      <c r="E3158" t="s">
        <v>16</v>
      </c>
      <c r="F3158" t="s">
        <v>58</v>
      </c>
      <c r="G3158" t="s">
        <v>18</v>
      </c>
      <c r="H3158" t="s">
        <v>35</v>
      </c>
      <c r="I3158" t="s">
        <v>36</v>
      </c>
      <c r="J3158" t="s">
        <v>21</v>
      </c>
      <c r="K3158">
        <v>8</v>
      </c>
      <c r="L3158">
        <v>3.42</v>
      </c>
      <c r="M3158">
        <v>3.6</v>
      </c>
      <c r="N3158" t="s">
        <v>22</v>
      </c>
      <c r="O3158" t="str">
        <f t="shared" si="49"/>
        <v>No</v>
      </c>
    </row>
    <row r="3159" spans="1:15" x14ac:dyDescent="0.25">
      <c r="A3159" t="s">
        <v>3220</v>
      </c>
      <c r="B3159" s="1">
        <v>45838</v>
      </c>
      <c r="C3159" s="2">
        <v>45838.153333333335</v>
      </c>
      <c r="D3159" t="s">
        <v>38</v>
      </c>
      <c r="E3159" t="s">
        <v>25</v>
      </c>
      <c r="F3159" t="s">
        <v>70</v>
      </c>
      <c r="G3159" t="s">
        <v>56</v>
      </c>
      <c r="H3159" t="s">
        <v>44</v>
      </c>
      <c r="I3159" t="s">
        <v>45</v>
      </c>
      <c r="J3159" t="s">
        <v>46</v>
      </c>
      <c r="K3159">
        <v>8</v>
      </c>
      <c r="L3159">
        <v>3.68</v>
      </c>
      <c r="M3159">
        <v>3.7</v>
      </c>
      <c r="N3159" t="s">
        <v>61</v>
      </c>
      <c r="O3159" t="str">
        <f t="shared" si="49"/>
        <v>No</v>
      </c>
    </row>
    <row r="3160" spans="1:15" x14ac:dyDescent="0.25">
      <c r="A3160" t="s">
        <v>3221</v>
      </c>
      <c r="B3160" s="1">
        <v>45778</v>
      </c>
      <c r="C3160" s="2">
        <v>45778.838750000003</v>
      </c>
      <c r="D3160" t="s">
        <v>15</v>
      </c>
      <c r="E3160" t="s">
        <v>39</v>
      </c>
      <c r="F3160" t="s">
        <v>87</v>
      </c>
      <c r="G3160" t="s">
        <v>18</v>
      </c>
      <c r="H3160" t="s">
        <v>19</v>
      </c>
      <c r="I3160" t="s">
        <v>36</v>
      </c>
      <c r="J3160" t="s">
        <v>21</v>
      </c>
      <c r="K3160">
        <v>48</v>
      </c>
      <c r="L3160">
        <v>20.13</v>
      </c>
      <c r="M3160">
        <v>4.5999999999999996</v>
      </c>
      <c r="N3160" t="s">
        <v>61</v>
      </c>
      <c r="O3160" t="str">
        <f t="shared" si="49"/>
        <v>No</v>
      </c>
    </row>
    <row r="3161" spans="1:15" x14ac:dyDescent="0.25">
      <c r="A3161" t="s">
        <v>3222</v>
      </c>
      <c r="B3161" s="1">
        <v>45815</v>
      </c>
      <c r="C3161" s="2">
        <v>45815.154999999999</v>
      </c>
      <c r="D3161" t="s">
        <v>38</v>
      </c>
      <c r="E3161" t="s">
        <v>39</v>
      </c>
      <c r="F3161" t="s">
        <v>119</v>
      </c>
      <c r="G3161" t="s">
        <v>41</v>
      </c>
      <c r="H3161" t="s">
        <v>27</v>
      </c>
      <c r="I3161" t="s">
        <v>36</v>
      </c>
      <c r="J3161" t="s">
        <v>21</v>
      </c>
      <c r="K3161">
        <v>8</v>
      </c>
      <c r="L3161">
        <v>3.72</v>
      </c>
      <c r="M3161">
        <v>4.5</v>
      </c>
      <c r="N3161" t="s">
        <v>22</v>
      </c>
      <c r="O3161" t="str">
        <f t="shared" si="49"/>
        <v>No</v>
      </c>
    </row>
    <row r="3162" spans="1:15" x14ac:dyDescent="0.25">
      <c r="A3162" t="s">
        <v>3223</v>
      </c>
      <c r="B3162" s="1">
        <v>45679</v>
      </c>
      <c r="C3162" s="2">
        <v>45679.816250000003</v>
      </c>
      <c r="D3162" t="s">
        <v>24</v>
      </c>
      <c r="E3162" t="s">
        <v>32</v>
      </c>
      <c r="F3162" t="s">
        <v>64</v>
      </c>
      <c r="G3162" t="s">
        <v>18</v>
      </c>
      <c r="H3162" t="s">
        <v>35</v>
      </c>
      <c r="I3162" t="s">
        <v>36</v>
      </c>
      <c r="J3162" t="s">
        <v>21</v>
      </c>
      <c r="K3162">
        <v>24</v>
      </c>
      <c r="L3162">
        <v>19.59</v>
      </c>
      <c r="M3162">
        <v>4.0999999999999996</v>
      </c>
      <c r="N3162" t="s">
        <v>22</v>
      </c>
      <c r="O3162" t="str">
        <f t="shared" si="49"/>
        <v>No</v>
      </c>
    </row>
    <row r="3163" spans="1:15" x14ac:dyDescent="0.25">
      <c r="A3163" t="s">
        <v>3224</v>
      </c>
      <c r="B3163" s="1">
        <v>45819</v>
      </c>
      <c r="C3163" s="2">
        <v>45819.813750000001</v>
      </c>
      <c r="D3163" t="s">
        <v>15</v>
      </c>
      <c r="E3163" t="s">
        <v>16</v>
      </c>
      <c r="F3163" t="s">
        <v>60</v>
      </c>
      <c r="G3163" t="s">
        <v>51</v>
      </c>
      <c r="H3163" t="s">
        <v>54</v>
      </c>
      <c r="I3163" t="s">
        <v>36</v>
      </c>
      <c r="J3163" t="s">
        <v>21</v>
      </c>
      <c r="K3163">
        <v>48</v>
      </c>
      <c r="L3163">
        <v>19.53</v>
      </c>
      <c r="M3163">
        <v>3.7</v>
      </c>
      <c r="N3163" t="s">
        <v>61</v>
      </c>
      <c r="O3163" t="str">
        <f t="shared" si="49"/>
        <v>No</v>
      </c>
    </row>
    <row r="3164" spans="1:15" x14ac:dyDescent="0.25">
      <c r="A3164" t="s">
        <v>3225</v>
      </c>
      <c r="B3164" s="1">
        <v>45687</v>
      </c>
      <c r="C3164" s="2">
        <v>45687.201666666668</v>
      </c>
      <c r="D3164" t="s">
        <v>24</v>
      </c>
      <c r="E3164" t="s">
        <v>45</v>
      </c>
      <c r="F3164" t="s">
        <v>50</v>
      </c>
      <c r="G3164" t="s">
        <v>18</v>
      </c>
      <c r="H3164" t="s">
        <v>27</v>
      </c>
      <c r="I3164" t="s">
        <v>36</v>
      </c>
      <c r="J3164" t="s">
        <v>46</v>
      </c>
      <c r="K3164">
        <v>24</v>
      </c>
      <c r="L3164">
        <v>4.84</v>
      </c>
      <c r="M3164">
        <v>5</v>
      </c>
      <c r="N3164" t="s">
        <v>22</v>
      </c>
      <c r="O3164" t="str">
        <f t="shared" si="49"/>
        <v>No</v>
      </c>
    </row>
    <row r="3165" spans="1:15" x14ac:dyDescent="0.25">
      <c r="A3165" t="s">
        <v>3226</v>
      </c>
      <c r="B3165" s="1">
        <v>45714</v>
      </c>
      <c r="C3165" s="2">
        <v>45716.595833333333</v>
      </c>
      <c r="D3165" t="s">
        <v>15</v>
      </c>
      <c r="E3165" t="s">
        <v>25</v>
      </c>
      <c r="F3165" t="s">
        <v>48</v>
      </c>
      <c r="G3165" t="s">
        <v>34</v>
      </c>
      <c r="H3165" t="s">
        <v>65</v>
      </c>
      <c r="I3165" t="s">
        <v>45</v>
      </c>
      <c r="J3165" t="s">
        <v>29</v>
      </c>
      <c r="K3165">
        <v>48</v>
      </c>
      <c r="L3165">
        <v>62.3</v>
      </c>
      <c r="M3165">
        <v>4.4000000000000004</v>
      </c>
      <c r="N3165" t="s">
        <v>22</v>
      </c>
      <c r="O3165" t="str">
        <f t="shared" si="49"/>
        <v>Yes</v>
      </c>
    </row>
    <row r="3166" spans="1:15" x14ac:dyDescent="0.25">
      <c r="A3166" t="s">
        <v>3227</v>
      </c>
      <c r="B3166" s="1">
        <v>45681</v>
      </c>
      <c r="C3166" s="2">
        <v>45681.629166666666</v>
      </c>
      <c r="D3166" t="s">
        <v>15</v>
      </c>
      <c r="E3166" t="s">
        <v>32</v>
      </c>
      <c r="F3166" t="s">
        <v>64</v>
      </c>
      <c r="G3166" t="s">
        <v>18</v>
      </c>
      <c r="H3166" t="s">
        <v>65</v>
      </c>
      <c r="I3166" t="s">
        <v>36</v>
      </c>
      <c r="J3166" t="s">
        <v>21</v>
      </c>
      <c r="K3166">
        <v>48</v>
      </c>
      <c r="L3166">
        <v>15.1</v>
      </c>
      <c r="M3166">
        <v>4.7</v>
      </c>
      <c r="N3166" t="s">
        <v>22</v>
      </c>
      <c r="O3166" t="str">
        <f t="shared" si="49"/>
        <v>No</v>
      </c>
    </row>
    <row r="3167" spans="1:15" x14ac:dyDescent="0.25">
      <c r="A3167" t="s">
        <v>3228</v>
      </c>
      <c r="B3167" s="1">
        <v>45730</v>
      </c>
      <c r="C3167" s="2">
        <v>45730.387916666667</v>
      </c>
      <c r="D3167" t="s">
        <v>24</v>
      </c>
      <c r="E3167" t="s">
        <v>16</v>
      </c>
      <c r="F3167" t="s">
        <v>60</v>
      </c>
      <c r="G3167" t="s">
        <v>41</v>
      </c>
      <c r="H3167" t="s">
        <v>35</v>
      </c>
      <c r="I3167" t="s">
        <v>36</v>
      </c>
      <c r="J3167" t="s">
        <v>21</v>
      </c>
      <c r="K3167">
        <v>24</v>
      </c>
      <c r="L3167">
        <v>9.31</v>
      </c>
      <c r="M3167">
        <v>3.5</v>
      </c>
      <c r="N3167" t="s">
        <v>22</v>
      </c>
      <c r="O3167" t="str">
        <f t="shared" si="49"/>
        <v>No</v>
      </c>
    </row>
    <row r="3168" spans="1:15" x14ac:dyDescent="0.25">
      <c r="A3168" t="s">
        <v>3229</v>
      </c>
      <c r="B3168" s="1">
        <v>45793</v>
      </c>
      <c r="C3168" s="2">
        <v>45793.283750000002</v>
      </c>
      <c r="D3168" t="s">
        <v>15</v>
      </c>
      <c r="E3168" t="s">
        <v>39</v>
      </c>
      <c r="F3168" t="s">
        <v>119</v>
      </c>
      <c r="G3168" t="s">
        <v>41</v>
      </c>
      <c r="H3168" t="s">
        <v>65</v>
      </c>
      <c r="I3168" t="s">
        <v>36</v>
      </c>
      <c r="J3168" t="s">
        <v>29</v>
      </c>
      <c r="K3168">
        <v>48</v>
      </c>
      <c r="L3168">
        <v>6.81</v>
      </c>
      <c r="M3168">
        <v>5</v>
      </c>
      <c r="N3168" t="s">
        <v>22</v>
      </c>
      <c r="O3168" t="str">
        <f t="shared" si="49"/>
        <v>No</v>
      </c>
    </row>
    <row r="3169" spans="1:15" x14ac:dyDescent="0.25">
      <c r="A3169" t="s">
        <v>3230</v>
      </c>
      <c r="B3169" s="1">
        <v>45706</v>
      </c>
      <c r="C3169" s="2">
        <v>45706.222500000003</v>
      </c>
      <c r="D3169" t="s">
        <v>38</v>
      </c>
      <c r="E3169" t="s">
        <v>32</v>
      </c>
      <c r="F3169" t="s">
        <v>33</v>
      </c>
      <c r="G3169" t="s">
        <v>34</v>
      </c>
      <c r="H3169" t="s">
        <v>65</v>
      </c>
      <c r="I3169" t="s">
        <v>45</v>
      </c>
      <c r="J3169" t="s">
        <v>46</v>
      </c>
      <c r="K3169">
        <v>8</v>
      </c>
      <c r="L3169">
        <v>5.34</v>
      </c>
      <c r="M3169">
        <v>4.9000000000000004</v>
      </c>
      <c r="N3169" t="s">
        <v>22</v>
      </c>
      <c r="O3169" t="str">
        <f t="shared" si="49"/>
        <v>No</v>
      </c>
    </row>
    <row r="3170" spans="1:15" x14ac:dyDescent="0.25">
      <c r="A3170" t="s">
        <v>3231</v>
      </c>
      <c r="B3170" s="1">
        <v>45806</v>
      </c>
      <c r="C3170" s="2">
        <v>45806.305</v>
      </c>
      <c r="D3170" t="s">
        <v>24</v>
      </c>
      <c r="E3170" t="s">
        <v>32</v>
      </c>
      <c r="F3170" t="s">
        <v>75</v>
      </c>
      <c r="G3170" t="s">
        <v>56</v>
      </c>
      <c r="H3170" t="s">
        <v>44</v>
      </c>
      <c r="I3170" t="s">
        <v>36</v>
      </c>
      <c r="J3170" t="s">
        <v>46</v>
      </c>
      <c r="K3170">
        <v>24</v>
      </c>
      <c r="L3170">
        <v>7.32</v>
      </c>
      <c r="M3170">
        <v>4.7</v>
      </c>
      <c r="N3170" t="s">
        <v>22</v>
      </c>
      <c r="O3170" t="str">
        <f t="shared" si="49"/>
        <v>No</v>
      </c>
    </row>
    <row r="3171" spans="1:15" x14ac:dyDescent="0.25">
      <c r="A3171" t="s">
        <v>3232</v>
      </c>
      <c r="B3171" s="1">
        <v>45767</v>
      </c>
      <c r="C3171" s="2">
        <v>45767.064583333333</v>
      </c>
      <c r="D3171" t="s">
        <v>38</v>
      </c>
      <c r="E3171" t="s">
        <v>32</v>
      </c>
      <c r="F3171" t="s">
        <v>64</v>
      </c>
      <c r="G3171" t="s">
        <v>34</v>
      </c>
      <c r="H3171" t="s">
        <v>19</v>
      </c>
      <c r="I3171" t="s">
        <v>20</v>
      </c>
      <c r="J3171" t="s">
        <v>21</v>
      </c>
      <c r="K3171">
        <v>8</v>
      </c>
      <c r="L3171">
        <v>1.55</v>
      </c>
      <c r="M3171">
        <v>5</v>
      </c>
      <c r="N3171" t="s">
        <v>22</v>
      </c>
      <c r="O3171" t="str">
        <f t="shared" si="49"/>
        <v>No</v>
      </c>
    </row>
    <row r="3172" spans="1:15" x14ac:dyDescent="0.25">
      <c r="A3172" t="s">
        <v>3233</v>
      </c>
      <c r="B3172" s="1">
        <v>45771</v>
      </c>
      <c r="C3172" s="2">
        <v>45772.047083333331</v>
      </c>
      <c r="D3172" t="s">
        <v>24</v>
      </c>
      <c r="E3172" t="s">
        <v>32</v>
      </c>
      <c r="F3172" t="s">
        <v>33</v>
      </c>
      <c r="G3172" t="s">
        <v>51</v>
      </c>
      <c r="H3172" t="s">
        <v>27</v>
      </c>
      <c r="I3172" t="s">
        <v>36</v>
      </c>
      <c r="J3172" t="s">
        <v>21</v>
      </c>
      <c r="K3172">
        <v>24</v>
      </c>
      <c r="L3172">
        <v>25.13</v>
      </c>
      <c r="M3172">
        <v>3.4</v>
      </c>
      <c r="N3172" t="s">
        <v>22</v>
      </c>
      <c r="O3172" t="str">
        <f t="shared" si="49"/>
        <v>Yes</v>
      </c>
    </row>
    <row r="3173" spans="1:15" x14ac:dyDescent="0.25">
      <c r="A3173" t="s">
        <v>3234</v>
      </c>
      <c r="B3173" s="1">
        <v>45827</v>
      </c>
      <c r="C3173" s="2">
        <v>45827.564583333333</v>
      </c>
      <c r="D3173" t="s">
        <v>38</v>
      </c>
      <c r="E3173" t="s">
        <v>25</v>
      </c>
      <c r="F3173" t="s">
        <v>70</v>
      </c>
      <c r="G3173" t="s">
        <v>41</v>
      </c>
      <c r="H3173" t="s">
        <v>27</v>
      </c>
      <c r="I3173" t="s">
        <v>45</v>
      </c>
      <c r="J3173" t="s">
        <v>85</v>
      </c>
      <c r="K3173">
        <v>8</v>
      </c>
      <c r="L3173">
        <v>13.55</v>
      </c>
      <c r="M3173">
        <v>2.2999999999999998</v>
      </c>
      <c r="N3173" t="s">
        <v>22</v>
      </c>
      <c r="O3173" t="str">
        <f t="shared" si="49"/>
        <v>Yes</v>
      </c>
    </row>
    <row r="3174" spans="1:15" x14ac:dyDescent="0.25">
      <c r="A3174" t="s">
        <v>3235</v>
      </c>
      <c r="B3174" s="1">
        <v>45736</v>
      </c>
      <c r="C3174" s="2">
        <v>45736.346250000002</v>
      </c>
      <c r="D3174" t="s">
        <v>24</v>
      </c>
      <c r="E3174" t="s">
        <v>39</v>
      </c>
      <c r="F3174" t="s">
        <v>119</v>
      </c>
      <c r="G3174" t="s">
        <v>18</v>
      </c>
      <c r="H3174" t="s">
        <v>27</v>
      </c>
      <c r="I3174" t="s">
        <v>20</v>
      </c>
      <c r="J3174" t="s">
        <v>21</v>
      </c>
      <c r="K3174">
        <v>24</v>
      </c>
      <c r="L3174">
        <v>8.31</v>
      </c>
      <c r="M3174">
        <v>4.7</v>
      </c>
      <c r="N3174" t="s">
        <v>22</v>
      </c>
      <c r="O3174" t="str">
        <f t="shared" si="49"/>
        <v>No</v>
      </c>
    </row>
    <row r="3175" spans="1:15" x14ac:dyDescent="0.25">
      <c r="A3175" t="s">
        <v>3236</v>
      </c>
      <c r="B3175" s="1">
        <v>45720</v>
      </c>
      <c r="C3175" s="2">
        <v>45720.889166666668</v>
      </c>
      <c r="D3175" t="s">
        <v>24</v>
      </c>
      <c r="E3175" t="s">
        <v>25</v>
      </c>
      <c r="F3175" t="s">
        <v>48</v>
      </c>
      <c r="G3175" t="s">
        <v>51</v>
      </c>
      <c r="H3175" t="s">
        <v>54</v>
      </c>
      <c r="I3175" t="s">
        <v>45</v>
      </c>
      <c r="J3175" t="s">
        <v>21</v>
      </c>
      <c r="K3175">
        <v>24</v>
      </c>
      <c r="L3175">
        <v>21.34</v>
      </c>
      <c r="M3175">
        <v>2.9</v>
      </c>
      <c r="N3175" t="s">
        <v>22</v>
      </c>
      <c r="O3175" t="str">
        <f t="shared" si="49"/>
        <v>No</v>
      </c>
    </row>
    <row r="3176" spans="1:15" x14ac:dyDescent="0.25">
      <c r="A3176" t="s">
        <v>3237</v>
      </c>
      <c r="B3176" s="1">
        <v>45838</v>
      </c>
      <c r="C3176" s="2">
        <v>45838.705416666664</v>
      </c>
      <c r="D3176" t="s">
        <v>24</v>
      </c>
      <c r="E3176" t="s">
        <v>45</v>
      </c>
      <c r="F3176" t="s">
        <v>112</v>
      </c>
      <c r="G3176" t="s">
        <v>41</v>
      </c>
      <c r="H3176" t="s">
        <v>27</v>
      </c>
      <c r="I3176" t="s">
        <v>45</v>
      </c>
      <c r="J3176" t="s">
        <v>46</v>
      </c>
      <c r="K3176">
        <v>24</v>
      </c>
      <c r="L3176">
        <v>16.93</v>
      </c>
      <c r="M3176">
        <v>3.4</v>
      </c>
      <c r="N3176" t="s">
        <v>22</v>
      </c>
      <c r="O3176" t="str">
        <f t="shared" si="49"/>
        <v>No</v>
      </c>
    </row>
    <row r="3177" spans="1:15" x14ac:dyDescent="0.25">
      <c r="A3177" t="s">
        <v>3238</v>
      </c>
      <c r="B3177" s="1">
        <v>45758</v>
      </c>
      <c r="C3177" s="2">
        <v>45758.204583333332</v>
      </c>
      <c r="D3177" t="s">
        <v>38</v>
      </c>
      <c r="E3177" t="s">
        <v>16</v>
      </c>
      <c r="F3177" t="s">
        <v>43</v>
      </c>
      <c r="G3177" t="s">
        <v>34</v>
      </c>
      <c r="H3177" t="s">
        <v>54</v>
      </c>
      <c r="I3177" t="s">
        <v>28</v>
      </c>
      <c r="J3177" t="s">
        <v>46</v>
      </c>
      <c r="K3177">
        <v>8</v>
      </c>
      <c r="L3177">
        <v>4.91</v>
      </c>
      <c r="M3177">
        <v>4.5999999999999996</v>
      </c>
      <c r="N3177" t="s">
        <v>22</v>
      </c>
      <c r="O3177" t="str">
        <f t="shared" si="49"/>
        <v>No</v>
      </c>
    </row>
    <row r="3178" spans="1:15" x14ac:dyDescent="0.25">
      <c r="A3178" t="s">
        <v>3239</v>
      </c>
      <c r="B3178" s="1">
        <v>45769</v>
      </c>
      <c r="C3178" s="2">
        <v>45769.371249999997</v>
      </c>
      <c r="D3178" t="s">
        <v>15</v>
      </c>
      <c r="E3178" t="s">
        <v>16</v>
      </c>
      <c r="F3178" t="s">
        <v>60</v>
      </c>
      <c r="G3178" t="s">
        <v>41</v>
      </c>
      <c r="H3178" t="s">
        <v>65</v>
      </c>
      <c r="I3178" t="s">
        <v>36</v>
      </c>
      <c r="J3178" t="s">
        <v>21</v>
      </c>
      <c r="K3178">
        <v>48</v>
      </c>
      <c r="L3178">
        <v>8.91</v>
      </c>
      <c r="M3178">
        <v>4.9000000000000004</v>
      </c>
      <c r="N3178" t="s">
        <v>22</v>
      </c>
      <c r="O3178" t="str">
        <f t="shared" si="49"/>
        <v>No</v>
      </c>
    </row>
    <row r="3179" spans="1:15" x14ac:dyDescent="0.25">
      <c r="A3179" t="s">
        <v>3240</v>
      </c>
      <c r="B3179" s="1">
        <v>45711</v>
      </c>
      <c r="C3179" s="2">
        <v>45711.657916666663</v>
      </c>
      <c r="D3179" t="s">
        <v>24</v>
      </c>
      <c r="E3179" t="s">
        <v>25</v>
      </c>
      <c r="F3179" t="s">
        <v>70</v>
      </c>
      <c r="G3179" t="s">
        <v>51</v>
      </c>
      <c r="H3179" t="s">
        <v>65</v>
      </c>
      <c r="I3179" t="s">
        <v>36</v>
      </c>
      <c r="J3179" t="s">
        <v>85</v>
      </c>
      <c r="K3179">
        <v>24</v>
      </c>
      <c r="L3179">
        <v>15.79</v>
      </c>
      <c r="M3179">
        <v>3.3</v>
      </c>
      <c r="N3179" t="s">
        <v>22</v>
      </c>
      <c r="O3179" t="str">
        <f t="shared" si="49"/>
        <v>No</v>
      </c>
    </row>
    <row r="3180" spans="1:15" x14ac:dyDescent="0.25">
      <c r="A3180" t="s">
        <v>3241</v>
      </c>
      <c r="B3180" s="1">
        <v>45696</v>
      </c>
      <c r="C3180" s="2">
        <v>45696.30541666667</v>
      </c>
      <c r="D3180" t="s">
        <v>38</v>
      </c>
      <c r="E3180" t="s">
        <v>32</v>
      </c>
      <c r="F3180" t="s">
        <v>33</v>
      </c>
      <c r="G3180" t="s">
        <v>34</v>
      </c>
      <c r="H3180" t="s">
        <v>19</v>
      </c>
      <c r="I3180" t="s">
        <v>28</v>
      </c>
      <c r="J3180" t="s">
        <v>21</v>
      </c>
      <c r="K3180">
        <v>8</v>
      </c>
      <c r="L3180">
        <v>7.33</v>
      </c>
      <c r="M3180">
        <v>3.6</v>
      </c>
      <c r="N3180" t="s">
        <v>22</v>
      </c>
      <c r="O3180" t="str">
        <f t="shared" si="49"/>
        <v>No</v>
      </c>
    </row>
    <row r="3181" spans="1:15" x14ac:dyDescent="0.25">
      <c r="A3181" t="s">
        <v>3242</v>
      </c>
      <c r="B3181" s="1">
        <v>45688</v>
      </c>
      <c r="C3181" s="2">
        <v>45690.010833333334</v>
      </c>
      <c r="D3181" t="s">
        <v>24</v>
      </c>
      <c r="E3181" t="s">
        <v>39</v>
      </c>
      <c r="F3181" t="s">
        <v>40</v>
      </c>
      <c r="G3181" t="s">
        <v>56</v>
      </c>
      <c r="H3181" t="s">
        <v>27</v>
      </c>
      <c r="I3181" t="s">
        <v>20</v>
      </c>
      <c r="J3181" t="s">
        <v>21</v>
      </c>
      <c r="K3181">
        <v>24</v>
      </c>
      <c r="L3181">
        <v>48.26</v>
      </c>
      <c r="M3181">
        <v>1.7</v>
      </c>
      <c r="N3181" t="s">
        <v>22</v>
      </c>
      <c r="O3181" t="str">
        <f t="shared" si="49"/>
        <v>Yes</v>
      </c>
    </row>
    <row r="3182" spans="1:15" x14ac:dyDescent="0.25">
      <c r="A3182" t="s">
        <v>3243</v>
      </c>
      <c r="B3182" s="1">
        <v>45698</v>
      </c>
      <c r="C3182" s="2">
        <v>45698.022916666669</v>
      </c>
      <c r="D3182" t="s">
        <v>38</v>
      </c>
      <c r="E3182" t="s">
        <v>16</v>
      </c>
      <c r="F3182" t="s">
        <v>60</v>
      </c>
      <c r="G3182" t="s">
        <v>34</v>
      </c>
      <c r="H3182" t="s">
        <v>19</v>
      </c>
      <c r="I3182" t="s">
        <v>45</v>
      </c>
      <c r="J3182" t="s">
        <v>21</v>
      </c>
      <c r="K3182">
        <v>8</v>
      </c>
      <c r="L3182">
        <v>0.55000000000000004</v>
      </c>
      <c r="M3182">
        <v>4.5999999999999996</v>
      </c>
      <c r="N3182" t="s">
        <v>61</v>
      </c>
      <c r="O3182" t="str">
        <f t="shared" si="49"/>
        <v>No</v>
      </c>
    </row>
    <row r="3183" spans="1:15" x14ac:dyDescent="0.25">
      <c r="A3183" t="s">
        <v>3244</v>
      </c>
      <c r="B3183" s="1">
        <v>45693</v>
      </c>
      <c r="C3183" s="2">
        <v>45693.881249999999</v>
      </c>
      <c r="D3183" t="s">
        <v>24</v>
      </c>
      <c r="E3183" t="s">
        <v>25</v>
      </c>
      <c r="F3183" t="s">
        <v>70</v>
      </c>
      <c r="G3183" t="s">
        <v>34</v>
      </c>
      <c r="H3183" t="s">
        <v>19</v>
      </c>
      <c r="I3183" t="s">
        <v>36</v>
      </c>
      <c r="J3183" t="s">
        <v>21</v>
      </c>
      <c r="K3183">
        <v>24</v>
      </c>
      <c r="L3183">
        <v>21.15</v>
      </c>
      <c r="M3183">
        <v>3.6</v>
      </c>
      <c r="N3183" t="s">
        <v>22</v>
      </c>
      <c r="O3183" t="str">
        <f t="shared" si="49"/>
        <v>No</v>
      </c>
    </row>
    <row r="3184" spans="1:15" x14ac:dyDescent="0.25">
      <c r="A3184" t="s">
        <v>3245</v>
      </c>
      <c r="B3184" s="1">
        <v>45793</v>
      </c>
      <c r="C3184" s="2">
        <v>45794.224999999999</v>
      </c>
      <c r="D3184" t="s">
        <v>15</v>
      </c>
      <c r="E3184" t="s">
        <v>25</v>
      </c>
      <c r="F3184" t="s">
        <v>70</v>
      </c>
      <c r="G3184" t="s">
        <v>51</v>
      </c>
      <c r="H3184" t="s">
        <v>35</v>
      </c>
      <c r="I3184" t="s">
        <v>36</v>
      </c>
      <c r="J3184" t="s">
        <v>21</v>
      </c>
      <c r="K3184">
        <v>48</v>
      </c>
      <c r="L3184">
        <v>29.4</v>
      </c>
      <c r="M3184">
        <v>4.9000000000000004</v>
      </c>
      <c r="N3184" t="s">
        <v>22</v>
      </c>
      <c r="O3184" t="str">
        <f t="shared" si="49"/>
        <v>No</v>
      </c>
    </row>
    <row r="3185" spans="1:15" x14ac:dyDescent="0.25">
      <c r="A3185" t="s">
        <v>3246</v>
      </c>
      <c r="B3185" s="1">
        <v>45668</v>
      </c>
      <c r="C3185" s="2">
        <v>45668.46875</v>
      </c>
      <c r="D3185" t="s">
        <v>24</v>
      </c>
      <c r="E3185" t="s">
        <v>25</v>
      </c>
      <c r="F3185" t="s">
        <v>26</v>
      </c>
      <c r="G3185" t="s">
        <v>51</v>
      </c>
      <c r="H3185" t="s">
        <v>54</v>
      </c>
      <c r="I3185" t="s">
        <v>20</v>
      </c>
      <c r="J3185" t="s">
        <v>21</v>
      </c>
      <c r="K3185">
        <v>24</v>
      </c>
      <c r="L3185">
        <v>11.25</v>
      </c>
      <c r="M3185">
        <v>4.3</v>
      </c>
      <c r="N3185" t="s">
        <v>22</v>
      </c>
      <c r="O3185" t="str">
        <f t="shared" si="49"/>
        <v>No</v>
      </c>
    </row>
    <row r="3186" spans="1:15" x14ac:dyDescent="0.25">
      <c r="A3186" t="s">
        <v>3247</v>
      </c>
      <c r="B3186" s="1">
        <v>45771</v>
      </c>
      <c r="C3186" s="2">
        <v>45772.306250000001</v>
      </c>
      <c r="D3186" t="s">
        <v>24</v>
      </c>
      <c r="E3186" t="s">
        <v>16</v>
      </c>
      <c r="F3186" t="s">
        <v>60</v>
      </c>
      <c r="G3186" t="s">
        <v>18</v>
      </c>
      <c r="H3186" t="s">
        <v>19</v>
      </c>
      <c r="I3186" t="s">
        <v>45</v>
      </c>
      <c r="J3186" t="s">
        <v>21</v>
      </c>
      <c r="K3186">
        <v>24</v>
      </c>
      <c r="L3186">
        <v>31.35</v>
      </c>
      <c r="M3186">
        <v>3.3</v>
      </c>
      <c r="N3186" t="s">
        <v>22</v>
      </c>
      <c r="O3186" t="str">
        <f t="shared" si="49"/>
        <v>Yes</v>
      </c>
    </row>
    <row r="3187" spans="1:15" x14ac:dyDescent="0.25">
      <c r="A3187" t="s">
        <v>3248</v>
      </c>
      <c r="B3187" s="1">
        <v>45829</v>
      </c>
      <c r="C3187" s="2">
        <v>45829.681250000001</v>
      </c>
      <c r="D3187" t="s">
        <v>15</v>
      </c>
      <c r="E3187" t="s">
        <v>16</v>
      </c>
      <c r="F3187" t="s">
        <v>17</v>
      </c>
      <c r="G3187" t="s">
        <v>18</v>
      </c>
      <c r="H3187" t="s">
        <v>44</v>
      </c>
      <c r="I3187" t="s">
        <v>36</v>
      </c>
      <c r="J3187" t="s">
        <v>21</v>
      </c>
      <c r="K3187">
        <v>48</v>
      </c>
      <c r="L3187">
        <v>16.350000000000001</v>
      </c>
      <c r="M3187">
        <v>4.3</v>
      </c>
      <c r="N3187" t="s">
        <v>22</v>
      </c>
      <c r="O3187" t="str">
        <f t="shared" si="49"/>
        <v>No</v>
      </c>
    </row>
    <row r="3188" spans="1:15" x14ac:dyDescent="0.25">
      <c r="A3188" t="s">
        <v>3249</v>
      </c>
      <c r="B3188" s="1">
        <v>45796</v>
      </c>
      <c r="C3188" s="2">
        <v>45799.340416666666</v>
      </c>
      <c r="D3188" t="s">
        <v>15</v>
      </c>
      <c r="E3188" t="s">
        <v>25</v>
      </c>
      <c r="F3188" t="s">
        <v>53</v>
      </c>
      <c r="G3188" t="s">
        <v>34</v>
      </c>
      <c r="H3188" t="s">
        <v>27</v>
      </c>
      <c r="I3188" t="s">
        <v>36</v>
      </c>
      <c r="J3188" t="s">
        <v>21</v>
      </c>
      <c r="K3188">
        <v>48</v>
      </c>
      <c r="L3188">
        <v>80.17</v>
      </c>
      <c r="M3188">
        <v>1.9</v>
      </c>
      <c r="N3188" t="s">
        <v>22</v>
      </c>
      <c r="O3188" t="str">
        <f t="shared" si="49"/>
        <v>Yes</v>
      </c>
    </row>
    <row r="3189" spans="1:15" x14ac:dyDescent="0.25">
      <c r="A3189" t="s">
        <v>3250</v>
      </c>
      <c r="B3189" s="1">
        <v>45730</v>
      </c>
      <c r="C3189" s="2">
        <v>45730.1175</v>
      </c>
      <c r="D3189" t="s">
        <v>15</v>
      </c>
      <c r="E3189" t="s">
        <v>25</v>
      </c>
      <c r="F3189" t="s">
        <v>26</v>
      </c>
      <c r="G3189" t="s">
        <v>18</v>
      </c>
      <c r="H3189" t="s">
        <v>35</v>
      </c>
      <c r="I3189" t="s">
        <v>20</v>
      </c>
      <c r="J3189" t="s">
        <v>85</v>
      </c>
      <c r="K3189">
        <v>48</v>
      </c>
      <c r="L3189">
        <v>2.82</v>
      </c>
      <c r="M3189">
        <v>4.9000000000000004</v>
      </c>
      <c r="N3189" t="s">
        <v>22</v>
      </c>
      <c r="O3189" t="str">
        <f t="shared" si="49"/>
        <v>No</v>
      </c>
    </row>
    <row r="3190" spans="1:15" x14ac:dyDescent="0.25">
      <c r="A3190" t="s">
        <v>3251</v>
      </c>
      <c r="B3190" s="1">
        <v>45668</v>
      </c>
      <c r="C3190" s="2">
        <v>45668.138333333336</v>
      </c>
      <c r="D3190" t="s">
        <v>38</v>
      </c>
      <c r="E3190" t="s">
        <v>16</v>
      </c>
      <c r="F3190" t="s">
        <v>58</v>
      </c>
      <c r="G3190" t="s">
        <v>56</v>
      </c>
      <c r="H3190" t="s">
        <v>44</v>
      </c>
      <c r="I3190" t="s">
        <v>45</v>
      </c>
      <c r="J3190" t="s">
        <v>21</v>
      </c>
      <c r="K3190">
        <v>8</v>
      </c>
      <c r="L3190">
        <v>3.32</v>
      </c>
      <c r="M3190">
        <v>4.8</v>
      </c>
      <c r="N3190" t="s">
        <v>22</v>
      </c>
      <c r="O3190" t="str">
        <f t="shared" si="49"/>
        <v>No</v>
      </c>
    </row>
    <row r="3191" spans="1:15" x14ac:dyDescent="0.25">
      <c r="A3191" t="s">
        <v>3252</v>
      </c>
      <c r="B3191" s="1">
        <v>45808</v>
      </c>
      <c r="C3191" s="2">
        <v>45808.353750000002</v>
      </c>
      <c r="D3191" t="s">
        <v>38</v>
      </c>
      <c r="E3191" t="s">
        <v>45</v>
      </c>
      <c r="F3191" t="s">
        <v>112</v>
      </c>
      <c r="G3191" t="s">
        <v>56</v>
      </c>
      <c r="H3191" t="s">
        <v>65</v>
      </c>
      <c r="I3191" t="s">
        <v>28</v>
      </c>
      <c r="J3191" t="s">
        <v>29</v>
      </c>
      <c r="K3191">
        <v>8</v>
      </c>
      <c r="L3191">
        <v>8.49</v>
      </c>
      <c r="M3191">
        <v>3.9</v>
      </c>
      <c r="N3191" t="s">
        <v>22</v>
      </c>
      <c r="O3191" t="str">
        <f t="shared" si="49"/>
        <v>Yes</v>
      </c>
    </row>
    <row r="3192" spans="1:15" x14ac:dyDescent="0.25">
      <c r="A3192" t="s">
        <v>3253</v>
      </c>
      <c r="B3192" s="1">
        <v>45658</v>
      </c>
      <c r="C3192" s="2">
        <v>45658.637071759258</v>
      </c>
      <c r="D3192" t="s">
        <v>24</v>
      </c>
      <c r="E3192" t="s">
        <v>25</v>
      </c>
      <c r="F3192" t="s">
        <v>26</v>
      </c>
      <c r="G3192" t="s">
        <v>18</v>
      </c>
      <c r="H3192" t="s">
        <v>44</v>
      </c>
      <c r="I3192" t="s">
        <v>36</v>
      </c>
      <c r="J3192" t="s">
        <v>21</v>
      </c>
      <c r="K3192">
        <v>24</v>
      </c>
      <c r="L3192">
        <v>15.29</v>
      </c>
      <c r="M3192">
        <v>4.7</v>
      </c>
      <c r="N3192" t="s">
        <v>22</v>
      </c>
      <c r="O3192" t="str">
        <f t="shared" si="49"/>
        <v>No</v>
      </c>
    </row>
    <row r="3193" spans="1:15" x14ac:dyDescent="0.25">
      <c r="A3193" t="s">
        <v>3254</v>
      </c>
      <c r="B3193" s="1">
        <v>45781</v>
      </c>
      <c r="C3193" s="2">
        <v>45781.609583333331</v>
      </c>
      <c r="D3193" t="s">
        <v>15</v>
      </c>
      <c r="E3193" t="s">
        <v>16</v>
      </c>
      <c r="F3193" t="s">
        <v>60</v>
      </c>
      <c r="G3193" t="s">
        <v>18</v>
      </c>
      <c r="H3193" t="s">
        <v>27</v>
      </c>
      <c r="I3193" t="s">
        <v>36</v>
      </c>
      <c r="J3193" t="s">
        <v>21</v>
      </c>
      <c r="K3193">
        <v>48</v>
      </c>
      <c r="L3193">
        <v>14.63</v>
      </c>
      <c r="M3193">
        <v>5</v>
      </c>
      <c r="N3193" t="s">
        <v>22</v>
      </c>
      <c r="O3193" t="str">
        <f t="shared" si="49"/>
        <v>No</v>
      </c>
    </row>
    <row r="3194" spans="1:15" x14ac:dyDescent="0.25">
      <c r="A3194" t="s">
        <v>3255</v>
      </c>
      <c r="B3194" s="1">
        <v>45779</v>
      </c>
      <c r="C3194" s="2">
        <v>45779.357488425929</v>
      </c>
      <c r="D3194" t="s">
        <v>24</v>
      </c>
      <c r="E3194" t="s">
        <v>32</v>
      </c>
      <c r="F3194" t="s">
        <v>33</v>
      </c>
      <c r="G3194" t="s">
        <v>56</v>
      </c>
      <c r="H3194" t="s">
        <v>54</v>
      </c>
      <c r="I3194" t="s">
        <v>36</v>
      </c>
      <c r="J3194" t="s">
        <v>21</v>
      </c>
      <c r="K3194">
        <v>24</v>
      </c>
      <c r="L3194">
        <v>8.58</v>
      </c>
      <c r="M3194">
        <v>5</v>
      </c>
      <c r="N3194" t="s">
        <v>22</v>
      </c>
      <c r="O3194" t="str">
        <f t="shared" si="49"/>
        <v>No</v>
      </c>
    </row>
    <row r="3195" spans="1:15" x14ac:dyDescent="0.25">
      <c r="A3195" t="s">
        <v>3256</v>
      </c>
      <c r="B3195" s="1">
        <v>45692</v>
      </c>
      <c r="C3195" s="2">
        <v>45692.26</v>
      </c>
      <c r="D3195" t="s">
        <v>38</v>
      </c>
      <c r="E3195" t="s">
        <v>32</v>
      </c>
      <c r="F3195" t="s">
        <v>75</v>
      </c>
      <c r="G3195" t="s">
        <v>18</v>
      </c>
      <c r="H3195" t="s">
        <v>27</v>
      </c>
      <c r="I3195" t="s">
        <v>45</v>
      </c>
      <c r="J3195" t="s">
        <v>85</v>
      </c>
      <c r="K3195">
        <v>8</v>
      </c>
      <c r="L3195">
        <v>6.24</v>
      </c>
      <c r="M3195">
        <v>3.3</v>
      </c>
      <c r="N3195" t="s">
        <v>22</v>
      </c>
      <c r="O3195" t="str">
        <f t="shared" si="49"/>
        <v>No</v>
      </c>
    </row>
    <row r="3196" spans="1:15" x14ac:dyDescent="0.25">
      <c r="A3196" t="s">
        <v>3257</v>
      </c>
      <c r="B3196" s="1">
        <v>45791</v>
      </c>
      <c r="C3196" s="2">
        <v>45791.090416666666</v>
      </c>
      <c r="D3196" t="s">
        <v>38</v>
      </c>
      <c r="E3196" t="s">
        <v>25</v>
      </c>
      <c r="F3196" t="s">
        <v>48</v>
      </c>
      <c r="G3196" t="s">
        <v>34</v>
      </c>
      <c r="H3196" t="s">
        <v>44</v>
      </c>
      <c r="I3196" t="s">
        <v>36</v>
      </c>
      <c r="J3196" t="s">
        <v>21</v>
      </c>
      <c r="K3196">
        <v>8</v>
      </c>
      <c r="L3196">
        <v>2.17</v>
      </c>
      <c r="M3196">
        <v>4.8</v>
      </c>
      <c r="N3196" t="s">
        <v>22</v>
      </c>
      <c r="O3196" t="str">
        <f t="shared" si="49"/>
        <v>No</v>
      </c>
    </row>
    <row r="3197" spans="1:15" x14ac:dyDescent="0.25">
      <c r="A3197" t="s">
        <v>3258</v>
      </c>
      <c r="B3197" s="1">
        <v>45689</v>
      </c>
      <c r="C3197" s="2">
        <v>45691.883750000001</v>
      </c>
      <c r="D3197" t="s">
        <v>15</v>
      </c>
      <c r="E3197" t="s">
        <v>32</v>
      </c>
      <c r="F3197" t="s">
        <v>33</v>
      </c>
      <c r="G3197" t="s">
        <v>41</v>
      </c>
      <c r="H3197" t="s">
        <v>27</v>
      </c>
      <c r="I3197" t="s">
        <v>36</v>
      </c>
      <c r="J3197" t="s">
        <v>21</v>
      </c>
      <c r="K3197">
        <v>48</v>
      </c>
      <c r="L3197">
        <v>69.209999999999994</v>
      </c>
      <c r="M3197">
        <v>3.5</v>
      </c>
      <c r="N3197" t="s">
        <v>22</v>
      </c>
      <c r="O3197" t="str">
        <f t="shared" si="49"/>
        <v>Yes</v>
      </c>
    </row>
    <row r="3198" spans="1:15" x14ac:dyDescent="0.25">
      <c r="A3198" t="s">
        <v>3259</v>
      </c>
      <c r="B3198" s="1">
        <v>45698</v>
      </c>
      <c r="C3198" s="2">
        <v>45699.03875</v>
      </c>
      <c r="D3198" t="s">
        <v>15</v>
      </c>
      <c r="E3198" t="s">
        <v>39</v>
      </c>
      <c r="F3198" t="s">
        <v>78</v>
      </c>
      <c r="G3198" t="s">
        <v>18</v>
      </c>
      <c r="H3198" t="s">
        <v>19</v>
      </c>
      <c r="I3198" t="s">
        <v>36</v>
      </c>
      <c r="J3198" t="s">
        <v>21</v>
      </c>
      <c r="K3198">
        <v>48</v>
      </c>
      <c r="L3198">
        <v>24.93</v>
      </c>
      <c r="M3198">
        <v>4.2</v>
      </c>
      <c r="N3198" t="s">
        <v>22</v>
      </c>
      <c r="O3198" t="str">
        <f t="shared" si="49"/>
        <v>No</v>
      </c>
    </row>
    <row r="3199" spans="1:15" x14ac:dyDescent="0.25">
      <c r="A3199" t="s">
        <v>3260</v>
      </c>
      <c r="B3199" s="1">
        <v>45804</v>
      </c>
      <c r="C3199" s="2">
        <v>45804.160416666666</v>
      </c>
      <c r="D3199" t="s">
        <v>38</v>
      </c>
      <c r="E3199" t="s">
        <v>16</v>
      </c>
      <c r="F3199" t="s">
        <v>17</v>
      </c>
      <c r="G3199" t="s">
        <v>34</v>
      </c>
      <c r="H3199" t="s">
        <v>44</v>
      </c>
      <c r="I3199" t="s">
        <v>36</v>
      </c>
      <c r="J3199" t="s">
        <v>46</v>
      </c>
      <c r="K3199">
        <v>8</v>
      </c>
      <c r="L3199">
        <v>3.85</v>
      </c>
      <c r="M3199">
        <v>4</v>
      </c>
      <c r="N3199" t="s">
        <v>22</v>
      </c>
      <c r="O3199" t="str">
        <f t="shared" si="49"/>
        <v>No</v>
      </c>
    </row>
    <row r="3200" spans="1:15" x14ac:dyDescent="0.25">
      <c r="A3200" t="s">
        <v>3261</v>
      </c>
      <c r="B3200" s="1">
        <v>45835</v>
      </c>
      <c r="C3200" s="2">
        <v>45835.238749999997</v>
      </c>
      <c r="D3200" t="s">
        <v>38</v>
      </c>
      <c r="E3200" t="s">
        <v>25</v>
      </c>
      <c r="F3200" t="s">
        <v>26</v>
      </c>
      <c r="G3200" t="s">
        <v>56</v>
      </c>
      <c r="H3200" t="s">
        <v>35</v>
      </c>
      <c r="I3200" t="s">
        <v>20</v>
      </c>
      <c r="J3200" t="s">
        <v>21</v>
      </c>
      <c r="K3200">
        <v>8</v>
      </c>
      <c r="L3200">
        <v>5.73</v>
      </c>
      <c r="M3200">
        <v>4.5</v>
      </c>
      <c r="N3200" t="s">
        <v>61</v>
      </c>
      <c r="O3200" t="str">
        <f t="shared" si="49"/>
        <v>No</v>
      </c>
    </row>
    <row r="3201" spans="1:15" x14ac:dyDescent="0.25">
      <c r="A3201" t="s">
        <v>3262</v>
      </c>
      <c r="B3201" s="1">
        <v>45705</v>
      </c>
      <c r="C3201" s="2">
        <v>45705.286249999997</v>
      </c>
      <c r="D3201" t="s">
        <v>15</v>
      </c>
      <c r="E3201" t="s">
        <v>25</v>
      </c>
      <c r="F3201" t="s">
        <v>26</v>
      </c>
      <c r="G3201" t="s">
        <v>51</v>
      </c>
      <c r="H3201" t="s">
        <v>65</v>
      </c>
      <c r="I3201" t="s">
        <v>36</v>
      </c>
      <c r="J3201" t="s">
        <v>21</v>
      </c>
      <c r="K3201">
        <v>48</v>
      </c>
      <c r="L3201">
        <v>6.87</v>
      </c>
      <c r="M3201">
        <v>5</v>
      </c>
      <c r="N3201" t="s">
        <v>22</v>
      </c>
      <c r="O3201" t="str">
        <f t="shared" si="49"/>
        <v>No</v>
      </c>
    </row>
    <row r="3202" spans="1:15" x14ac:dyDescent="0.25">
      <c r="A3202" t="s">
        <v>3263</v>
      </c>
      <c r="B3202" s="1">
        <v>45824</v>
      </c>
      <c r="C3202" s="2">
        <v>45824.213333333333</v>
      </c>
      <c r="D3202" t="s">
        <v>38</v>
      </c>
      <c r="E3202" t="s">
        <v>25</v>
      </c>
      <c r="F3202" t="s">
        <v>53</v>
      </c>
      <c r="G3202" t="s">
        <v>51</v>
      </c>
      <c r="H3202" t="s">
        <v>44</v>
      </c>
      <c r="I3202" t="s">
        <v>45</v>
      </c>
      <c r="J3202" t="s">
        <v>21</v>
      </c>
      <c r="K3202">
        <v>8</v>
      </c>
      <c r="L3202">
        <v>5.12</v>
      </c>
      <c r="M3202">
        <v>3.5</v>
      </c>
      <c r="N3202" t="s">
        <v>22</v>
      </c>
      <c r="O3202" t="str">
        <f t="shared" si="49"/>
        <v>No</v>
      </c>
    </row>
    <row r="3203" spans="1:15" x14ac:dyDescent="0.25">
      <c r="A3203" t="s">
        <v>3264</v>
      </c>
      <c r="B3203" s="1">
        <v>45823</v>
      </c>
      <c r="C3203" s="2">
        <v>45827.426666666666</v>
      </c>
      <c r="D3203" t="s">
        <v>15</v>
      </c>
      <c r="E3203" t="s">
        <v>39</v>
      </c>
      <c r="F3203" t="s">
        <v>40</v>
      </c>
      <c r="G3203" t="s">
        <v>18</v>
      </c>
      <c r="H3203" t="s">
        <v>44</v>
      </c>
      <c r="I3203" t="s">
        <v>45</v>
      </c>
      <c r="J3203" t="s">
        <v>29</v>
      </c>
      <c r="K3203">
        <v>48</v>
      </c>
      <c r="L3203">
        <v>106.24</v>
      </c>
      <c r="M3203">
        <v>1.2</v>
      </c>
      <c r="N3203" t="s">
        <v>22</v>
      </c>
      <c r="O3203" t="str">
        <f t="shared" ref="O3203:O3266" si="50">IF(L3203&gt;K3203,"Yes","No")</f>
        <v>Yes</v>
      </c>
    </row>
    <row r="3204" spans="1:15" x14ac:dyDescent="0.25">
      <c r="A3204" t="s">
        <v>3265</v>
      </c>
      <c r="B3204" s="1">
        <v>45797</v>
      </c>
      <c r="C3204" s="2">
        <v>45798.014999999999</v>
      </c>
      <c r="D3204" t="s">
        <v>15</v>
      </c>
      <c r="E3204" t="s">
        <v>32</v>
      </c>
      <c r="F3204" t="s">
        <v>33</v>
      </c>
      <c r="G3204" t="s">
        <v>51</v>
      </c>
      <c r="H3204" t="s">
        <v>44</v>
      </c>
      <c r="I3204" t="s">
        <v>36</v>
      </c>
      <c r="J3204" t="s">
        <v>29</v>
      </c>
      <c r="K3204">
        <v>48</v>
      </c>
      <c r="L3204">
        <v>24.36</v>
      </c>
      <c r="M3204">
        <v>4.0999999999999996</v>
      </c>
      <c r="N3204" t="s">
        <v>61</v>
      </c>
      <c r="O3204" t="str">
        <f t="shared" si="50"/>
        <v>No</v>
      </c>
    </row>
    <row r="3205" spans="1:15" x14ac:dyDescent="0.25">
      <c r="A3205" t="s">
        <v>3266</v>
      </c>
      <c r="B3205" s="1">
        <v>45683</v>
      </c>
      <c r="C3205" s="2">
        <v>45683.207499999997</v>
      </c>
      <c r="D3205" t="s">
        <v>38</v>
      </c>
      <c r="E3205" t="s">
        <v>16</v>
      </c>
      <c r="F3205" t="s">
        <v>43</v>
      </c>
      <c r="G3205" t="s">
        <v>18</v>
      </c>
      <c r="H3205" t="s">
        <v>27</v>
      </c>
      <c r="I3205" t="s">
        <v>45</v>
      </c>
      <c r="J3205" t="s">
        <v>85</v>
      </c>
      <c r="K3205">
        <v>8</v>
      </c>
      <c r="L3205">
        <v>4.9800000000000004</v>
      </c>
      <c r="M3205">
        <v>3.8</v>
      </c>
      <c r="N3205" t="s">
        <v>22</v>
      </c>
      <c r="O3205" t="str">
        <f t="shared" si="50"/>
        <v>No</v>
      </c>
    </row>
    <row r="3206" spans="1:15" x14ac:dyDescent="0.25">
      <c r="A3206" t="s">
        <v>3267</v>
      </c>
      <c r="B3206" s="1">
        <v>45712</v>
      </c>
      <c r="C3206" s="2">
        <v>45712.960416666669</v>
      </c>
      <c r="D3206" t="s">
        <v>24</v>
      </c>
      <c r="E3206" t="s">
        <v>32</v>
      </c>
      <c r="F3206" t="s">
        <v>33</v>
      </c>
      <c r="G3206" t="s">
        <v>51</v>
      </c>
      <c r="H3206" t="s">
        <v>27</v>
      </c>
      <c r="I3206" t="s">
        <v>20</v>
      </c>
      <c r="J3206" t="s">
        <v>21</v>
      </c>
      <c r="K3206">
        <v>24</v>
      </c>
      <c r="L3206">
        <v>23.05</v>
      </c>
      <c r="M3206">
        <v>4.2</v>
      </c>
      <c r="N3206" t="s">
        <v>22</v>
      </c>
      <c r="O3206" t="str">
        <f t="shared" si="50"/>
        <v>No</v>
      </c>
    </row>
    <row r="3207" spans="1:15" x14ac:dyDescent="0.25">
      <c r="A3207" t="s">
        <v>3268</v>
      </c>
      <c r="B3207" s="1">
        <v>45780</v>
      </c>
      <c r="C3207" s="2">
        <v>45781.417083333334</v>
      </c>
      <c r="D3207" t="s">
        <v>24</v>
      </c>
      <c r="E3207" t="s">
        <v>16</v>
      </c>
      <c r="F3207" t="s">
        <v>17</v>
      </c>
      <c r="G3207" t="s">
        <v>41</v>
      </c>
      <c r="H3207" t="s">
        <v>54</v>
      </c>
      <c r="I3207" t="s">
        <v>45</v>
      </c>
      <c r="J3207" t="s">
        <v>21</v>
      </c>
      <c r="K3207">
        <v>24</v>
      </c>
      <c r="L3207">
        <v>34.01</v>
      </c>
      <c r="M3207">
        <v>2.7</v>
      </c>
      <c r="N3207" t="s">
        <v>22</v>
      </c>
      <c r="O3207" t="str">
        <f t="shared" si="50"/>
        <v>Yes</v>
      </c>
    </row>
    <row r="3208" spans="1:15" x14ac:dyDescent="0.25">
      <c r="A3208" t="s">
        <v>3269</v>
      </c>
      <c r="B3208" s="1">
        <v>45838</v>
      </c>
      <c r="C3208" s="2">
        <v>45838.21125</v>
      </c>
      <c r="D3208" t="s">
        <v>38</v>
      </c>
      <c r="E3208" t="s">
        <v>45</v>
      </c>
      <c r="F3208" t="s">
        <v>104</v>
      </c>
      <c r="G3208" t="s">
        <v>51</v>
      </c>
      <c r="H3208" t="s">
        <v>44</v>
      </c>
      <c r="I3208" t="s">
        <v>45</v>
      </c>
      <c r="J3208" t="s">
        <v>21</v>
      </c>
      <c r="K3208">
        <v>8</v>
      </c>
      <c r="L3208">
        <v>5.07</v>
      </c>
      <c r="M3208">
        <v>4.0999999999999996</v>
      </c>
      <c r="N3208" t="s">
        <v>22</v>
      </c>
      <c r="O3208" t="str">
        <f t="shared" si="50"/>
        <v>No</v>
      </c>
    </row>
    <row r="3209" spans="1:15" x14ac:dyDescent="0.25">
      <c r="A3209" t="s">
        <v>3270</v>
      </c>
      <c r="B3209" s="1">
        <v>45805</v>
      </c>
      <c r="C3209" s="2">
        <v>45805.154166666667</v>
      </c>
      <c r="D3209" t="s">
        <v>38</v>
      </c>
      <c r="E3209" t="s">
        <v>16</v>
      </c>
      <c r="F3209" t="s">
        <v>17</v>
      </c>
      <c r="G3209" t="s">
        <v>41</v>
      </c>
      <c r="H3209" t="s">
        <v>54</v>
      </c>
      <c r="I3209" t="s">
        <v>20</v>
      </c>
      <c r="J3209" t="s">
        <v>29</v>
      </c>
      <c r="K3209">
        <v>8</v>
      </c>
      <c r="L3209">
        <v>3.7</v>
      </c>
      <c r="M3209">
        <v>3.3</v>
      </c>
      <c r="N3209" t="s">
        <v>22</v>
      </c>
      <c r="O3209" t="str">
        <f t="shared" si="50"/>
        <v>No</v>
      </c>
    </row>
    <row r="3210" spans="1:15" x14ac:dyDescent="0.25">
      <c r="A3210" t="s">
        <v>3271</v>
      </c>
      <c r="B3210" s="1">
        <v>45734</v>
      </c>
      <c r="C3210" s="2">
        <v>45736.070416666669</v>
      </c>
      <c r="D3210" t="s">
        <v>15</v>
      </c>
      <c r="E3210" t="s">
        <v>16</v>
      </c>
      <c r="F3210" t="s">
        <v>58</v>
      </c>
      <c r="G3210" t="s">
        <v>34</v>
      </c>
      <c r="H3210" t="s">
        <v>35</v>
      </c>
      <c r="I3210" t="s">
        <v>28</v>
      </c>
      <c r="J3210" t="s">
        <v>46</v>
      </c>
      <c r="K3210">
        <v>48</v>
      </c>
      <c r="L3210">
        <v>49.69</v>
      </c>
      <c r="M3210">
        <v>2.7</v>
      </c>
      <c r="N3210" t="s">
        <v>22</v>
      </c>
      <c r="O3210" t="str">
        <f t="shared" si="50"/>
        <v>Yes</v>
      </c>
    </row>
    <row r="3211" spans="1:15" x14ac:dyDescent="0.25">
      <c r="A3211" t="s">
        <v>3272</v>
      </c>
      <c r="B3211" s="1">
        <v>45700</v>
      </c>
      <c r="C3211" s="2">
        <v>45700.267916666664</v>
      </c>
      <c r="D3211" t="s">
        <v>24</v>
      </c>
      <c r="E3211" t="s">
        <v>16</v>
      </c>
      <c r="F3211" t="s">
        <v>17</v>
      </c>
      <c r="G3211" t="s">
        <v>51</v>
      </c>
      <c r="H3211" t="s">
        <v>44</v>
      </c>
      <c r="I3211" t="s">
        <v>20</v>
      </c>
      <c r="J3211" t="s">
        <v>46</v>
      </c>
      <c r="K3211">
        <v>24</v>
      </c>
      <c r="L3211">
        <v>6.43</v>
      </c>
      <c r="M3211">
        <v>4.2</v>
      </c>
      <c r="N3211" t="s">
        <v>22</v>
      </c>
      <c r="O3211" t="str">
        <f t="shared" si="50"/>
        <v>No</v>
      </c>
    </row>
    <row r="3212" spans="1:15" x14ac:dyDescent="0.25">
      <c r="A3212" t="s">
        <v>3273</v>
      </c>
      <c r="B3212" s="1">
        <v>45831</v>
      </c>
      <c r="C3212" s="2">
        <v>45831.464166666665</v>
      </c>
      <c r="D3212" t="s">
        <v>38</v>
      </c>
      <c r="E3212" t="s">
        <v>25</v>
      </c>
      <c r="F3212" t="s">
        <v>48</v>
      </c>
      <c r="G3212" t="s">
        <v>41</v>
      </c>
      <c r="H3212" t="s">
        <v>35</v>
      </c>
      <c r="I3212" t="s">
        <v>36</v>
      </c>
      <c r="J3212" t="s">
        <v>21</v>
      </c>
      <c r="K3212">
        <v>8</v>
      </c>
      <c r="L3212">
        <v>11.14</v>
      </c>
      <c r="M3212">
        <v>3.2</v>
      </c>
      <c r="N3212" t="s">
        <v>22</v>
      </c>
      <c r="O3212" t="str">
        <f t="shared" si="50"/>
        <v>Yes</v>
      </c>
    </row>
    <row r="3213" spans="1:15" x14ac:dyDescent="0.25">
      <c r="A3213" t="s">
        <v>3274</v>
      </c>
      <c r="B3213" s="1">
        <v>45707</v>
      </c>
      <c r="C3213" s="2">
        <v>45708.135000000002</v>
      </c>
      <c r="D3213" t="s">
        <v>24</v>
      </c>
      <c r="E3213" t="s">
        <v>39</v>
      </c>
      <c r="F3213" t="s">
        <v>87</v>
      </c>
      <c r="G3213" t="s">
        <v>41</v>
      </c>
      <c r="H3213" t="s">
        <v>44</v>
      </c>
      <c r="I3213" t="s">
        <v>45</v>
      </c>
      <c r="J3213" t="s">
        <v>21</v>
      </c>
      <c r="K3213">
        <v>24</v>
      </c>
      <c r="L3213">
        <v>27.24</v>
      </c>
      <c r="M3213">
        <v>3.1</v>
      </c>
      <c r="N3213" t="s">
        <v>22</v>
      </c>
      <c r="O3213" t="str">
        <f t="shared" si="50"/>
        <v>Yes</v>
      </c>
    </row>
    <row r="3214" spans="1:15" x14ac:dyDescent="0.25">
      <c r="A3214" t="s">
        <v>3275</v>
      </c>
      <c r="B3214" s="1">
        <v>45719</v>
      </c>
      <c r="C3214" s="2">
        <v>45719.169166666667</v>
      </c>
      <c r="D3214" t="s">
        <v>31</v>
      </c>
      <c r="E3214" t="s">
        <v>16</v>
      </c>
      <c r="F3214" t="s">
        <v>60</v>
      </c>
      <c r="G3214" t="s">
        <v>41</v>
      </c>
      <c r="H3214" t="s">
        <v>27</v>
      </c>
      <c r="I3214" t="s">
        <v>45</v>
      </c>
      <c r="J3214" t="s">
        <v>21</v>
      </c>
      <c r="K3214">
        <v>4</v>
      </c>
      <c r="L3214">
        <v>4.0599999999999996</v>
      </c>
      <c r="M3214">
        <v>3.9</v>
      </c>
      <c r="N3214" t="s">
        <v>22</v>
      </c>
      <c r="O3214" t="str">
        <f t="shared" si="50"/>
        <v>Yes</v>
      </c>
    </row>
    <row r="3215" spans="1:15" x14ac:dyDescent="0.25">
      <c r="A3215" t="s">
        <v>3276</v>
      </c>
      <c r="B3215" s="1">
        <v>45832</v>
      </c>
      <c r="C3215" s="2">
        <v>45832.739583333336</v>
      </c>
      <c r="D3215" t="s">
        <v>24</v>
      </c>
      <c r="E3215" t="s">
        <v>32</v>
      </c>
      <c r="F3215" t="s">
        <v>75</v>
      </c>
      <c r="G3215" t="s">
        <v>34</v>
      </c>
      <c r="H3215" t="s">
        <v>54</v>
      </c>
      <c r="I3215" t="s">
        <v>36</v>
      </c>
      <c r="J3215" t="s">
        <v>21</v>
      </c>
      <c r="K3215">
        <v>24</v>
      </c>
      <c r="L3215">
        <v>17.75</v>
      </c>
      <c r="M3215">
        <v>3</v>
      </c>
      <c r="N3215" t="s">
        <v>22</v>
      </c>
      <c r="O3215" t="str">
        <f t="shared" si="50"/>
        <v>No</v>
      </c>
    </row>
    <row r="3216" spans="1:15" x14ac:dyDescent="0.25">
      <c r="A3216" t="s">
        <v>3277</v>
      </c>
      <c r="B3216" s="1">
        <v>45759</v>
      </c>
      <c r="C3216" s="2">
        <v>45760.739583333336</v>
      </c>
      <c r="D3216" t="s">
        <v>15</v>
      </c>
      <c r="E3216" t="s">
        <v>16</v>
      </c>
      <c r="F3216" t="s">
        <v>58</v>
      </c>
      <c r="G3216" t="s">
        <v>56</v>
      </c>
      <c r="H3216" t="s">
        <v>19</v>
      </c>
      <c r="I3216" t="s">
        <v>36</v>
      </c>
      <c r="J3216" t="s">
        <v>21</v>
      </c>
      <c r="K3216">
        <v>48</v>
      </c>
      <c r="L3216">
        <v>41.75</v>
      </c>
      <c r="M3216">
        <v>3.8</v>
      </c>
      <c r="N3216" t="s">
        <v>22</v>
      </c>
      <c r="O3216" t="str">
        <f t="shared" si="50"/>
        <v>No</v>
      </c>
    </row>
    <row r="3217" spans="1:15" x14ac:dyDescent="0.25">
      <c r="A3217" t="s">
        <v>3278</v>
      </c>
      <c r="B3217" s="1">
        <v>45705</v>
      </c>
      <c r="C3217" s="2">
        <v>45706.738333333335</v>
      </c>
      <c r="D3217" t="s">
        <v>15</v>
      </c>
      <c r="E3217" t="s">
        <v>39</v>
      </c>
      <c r="F3217" t="s">
        <v>40</v>
      </c>
      <c r="G3217" t="s">
        <v>18</v>
      </c>
      <c r="H3217" t="s">
        <v>54</v>
      </c>
      <c r="I3217" t="s">
        <v>20</v>
      </c>
      <c r="J3217" t="s">
        <v>21</v>
      </c>
      <c r="K3217">
        <v>48</v>
      </c>
      <c r="L3217">
        <v>41.72</v>
      </c>
      <c r="M3217">
        <v>3.8</v>
      </c>
      <c r="N3217" t="s">
        <v>22</v>
      </c>
      <c r="O3217" t="str">
        <f t="shared" si="50"/>
        <v>No</v>
      </c>
    </row>
    <row r="3218" spans="1:15" x14ac:dyDescent="0.25">
      <c r="A3218" t="s">
        <v>3279</v>
      </c>
      <c r="B3218" s="1">
        <v>45658</v>
      </c>
      <c r="C3218" s="2">
        <v>45658.228333333333</v>
      </c>
      <c r="D3218" t="s">
        <v>38</v>
      </c>
      <c r="E3218" t="s">
        <v>16</v>
      </c>
      <c r="F3218" t="s">
        <v>43</v>
      </c>
      <c r="G3218" t="s">
        <v>18</v>
      </c>
      <c r="H3218" t="s">
        <v>27</v>
      </c>
      <c r="I3218" t="s">
        <v>36</v>
      </c>
      <c r="J3218" t="s">
        <v>21</v>
      </c>
      <c r="K3218">
        <v>8</v>
      </c>
      <c r="L3218">
        <v>5.48</v>
      </c>
      <c r="M3218">
        <v>3.2</v>
      </c>
      <c r="N3218" t="s">
        <v>22</v>
      </c>
      <c r="O3218" t="str">
        <f t="shared" si="50"/>
        <v>No</v>
      </c>
    </row>
    <row r="3219" spans="1:15" x14ac:dyDescent="0.25">
      <c r="A3219" t="s">
        <v>3280</v>
      </c>
      <c r="B3219" s="1">
        <v>45735</v>
      </c>
      <c r="C3219" s="2">
        <v>45735.057083333333</v>
      </c>
      <c r="D3219" t="s">
        <v>31</v>
      </c>
      <c r="E3219" t="s">
        <v>25</v>
      </c>
      <c r="F3219" t="s">
        <v>70</v>
      </c>
      <c r="G3219" t="s">
        <v>41</v>
      </c>
      <c r="H3219" t="s">
        <v>19</v>
      </c>
      <c r="I3219" t="s">
        <v>20</v>
      </c>
      <c r="J3219" t="s">
        <v>21</v>
      </c>
      <c r="K3219">
        <v>4</v>
      </c>
      <c r="L3219">
        <v>1.37</v>
      </c>
      <c r="M3219">
        <v>4.7</v>
      </c>
      <c r="N3219" t="s">
        <v>22</v>
      </c>
      <c r="O3219" t="str">
        <f t="shared" si="50"/>
        <v>No</v>
      </c>
    </row>
    <row r="3220" spans="1:15" x14ac:dyDescent="0.25">
      <c r="A3220" t="s">
        <v>3281</v>
      </c>
      <c r="B3220" s="1">
        <v>45836</v>
      </c>
      <c r="C3220" s="2">
        <v>45837.776666666665</v>
      </c>
      <c r="D3220" t="s">
        <v>15</v>
      </c>
      <c r="E3220" t="s">
        <v>32</v>
      </c>
      <c r="F3220" t="s">
        <v>80</v>
      </c>
      <c r="G3220" t="s">
        <v>18</v>
      </c>
      <c r="H3220" t="s">
        <v>65</v>
      </c>
      <c r="I3220" t="s">
        <v>28</v>
      </c>
      <c r="J3220" t="s">
        <v>85</v>
      </c>
      <c r="K3220">
        <v>48</v>
      </c>
      <c r="L3220">
        <v>42.64</v>
      </c>
      <c r="M3220">
        <v>2.5</v>
      </c>
      <c r="N3220" t="s">
        <v>22</v>
      </c>
      <c r="O3220" t="str">
        <f t="shared" si="50"/>
        <v>No</v>
      </c>
    </row>
    <row r="3221" spans="1:15" x14ac:dyDescent="0.25">
      <c r="A3221" t="s">
        <v>3282</v>
      </c>
      <c r="B3221" s="1">
        <v>45736</v>
      </c>
      <c r="C3221" s="2">
        <v>45736.362083333333</v>
      </c>
      <c r="D3221" t="s">
        <v>15</v>
      </c>
      <c r="E3221" t="s">
        <v>16</v>
      </c>
      <c r="F3221" t="s">
        <v>58</v>
      </c>
      <c r="G3221" t="s">
        <v>34</v>
      </c>
      <c r="H3221" t="s">
        <v>65</v>
      </c>
      <c r="I3221" t="s">
        <v>36</v>
      </c>
      <c r="J3221" t="s">
        <v>85</v>
      </c>
      <c r="K3221">
        <v>48</v>
      </c>
      <c r="L3221">
        <v>8.69</v>
      </c>
      <c r="M3221">
        <v>4.3</v>
      </c>
      <c r="N3221" t="s">
        <v>22</v>
      </c>
      <c r="O3221" t="str">
        <f t="shared" si="50"/>
        <v>No</v>
      </c>
    </row>
    <row r="3222" spans="1:15" x14ac:dyDescent="0.25">
      <c r="A3222" t="s">
        <v>3283</v>
      </c>
      <c r="B3222" s="1">
        <v>45784</v>
      </c>
      <c r="C3222" s="2">
        <v>45784.072916666664</v>
      </c>
      <c r="D3222" t="s">
        <v>38</v>
      </c>
      <c r="E3222" t="s">
        <v>32</v>
      </c>
      <c r="F3222" t="s">
        <v>75</v>
      </c>
      <c r="G3222" t="s">
        <v>56</v>
      </c>
      <c r="H3222" t="s">
        <v>27</v>
      </c>
      <c r="I3222" t="s">
        <v>36</v>
      </c>
      <c r="J3222" t="s">
        <v>46</v>
      </c>
      <c r="K3222">
        <v>8</v>
      </c>
      <c r="L3222">
        <v>1.75</v>
      </c>
      <c r="M3222">
        <v>5</v>
      </c>
      <c r="N3222" t="s">
        <v>22</v>
      </c>
      <c r="O3222" t="str">
        <f t="shared" si="50"/>
        <v>No</v>
      </c>
    </row>
    <row r="3223" spans="1:15" x14ac:dyDescent="0.25">
      <c r="A3223" t="s">
        <v>3284</v>
      </c>
      <c r="B3223" s="1">
        <v>45703</v>
      </c>
      <c r="C3223" s="2">
        <v>45705.886250000003</v>
      </c>
      <c r="D3223" t="s">
        <v>15</v>
      </c>
      <c r="E3223" t="s">
        <v>32</v>
      </c>
      <c r="F3223" t="s">
        <v>75</v>
      </c>
      <c r="G3223" t="s">
        <v>18</v>
      </c>
      <c r="H3223" t="s">
        <v>44</v>
      </c>
      <c r="I3223" t="s">
        <v>28</v>
      </c>
      <c r="J3223" t="s">
        <v>46</v>
      </c>
      <c r="K3223">
        <v>48</v>
      </c>
      <c r="L3223">
        <v>69.27</v>
      </c>
      <c r="M3223">
        <v>1.8</v>
      </c>
      <c r="N3223" t="s">
        <v>22</v>
      </c>
      <c r="O3223" t="str">
        <f t="shared" si="50"/>
        <v>Yes</v>
      </c>
    </row>
    <row r="3224" spans="1:15" x14ac:dyDescent="0.25">
      <c r="A3224" t="s">
        <v>3285</v>
      </c>
      <c r="B3224" s="1">
        <v>45798</v>
      </c>
      <c r="C3224" s="2">
        <v>45798.426666666666</v>
      </c>
      <c r="D3224" t="s">
        <v>15</v>
      </c>
      <c r="E3224" t="s">
        <v>32</v>
      </c>
      <c r="F3224" t="s">
        <v>80</v>
      </c>
      <c r="G3224" t="s">
        <v>41</v>
      </c>
      <c r="H3224" t="s">
        <v>44</v>
      </c>
      <c r="I3224" t="s">
        <v>36</v>
      </c>
      <c r="J3224" t="s">
        <v>21</v>
      </c>
      <c r="K3224">
        <v>48</v>
      </c>
      <c r="L3224">
        <v>10.24</v>
      </c>
      <c r="M3224">
        <v>5</v>
      </c>
      <c r="N3224" t="s">
        <v>22</v>
      </c>
      <c r="O3224" t="str">
        <f t="shared" si="50"/>
        <v>No</v>
      </c>
    </row>
    <row r="3225" spans="1:15" x14ac:dyDescent="0.25">
      <c r="A3225" t="s">
        <v>3286</v>
      </c>
      <c r="B3225" s="1">
        <v>45798</v>
      </c>
      <c r="C3225" s="2">
        <v>45798.409166666665</v>
      </c>
      <c r="D3225" t="s">
        <v>38</v>
      </c>
      <c r="E3225" t="s">
        <v>32</v>
      </c>
      <c r="F3225" t="s">
        <v>33</v>
      </c>
      <c r="G3225" t="s">
        <v>18</v>
      </c>
      <c r="H3225" t="s">
        <v>27</v>
      </c>
      <c r="I3225" t="s">
        <v>20</v>
      </c>
      <c r="J3225" t="s">
        <v>21</v>
      </c>
      <c r="K3225">
        <v>8</v>
      </c>
      <c r="L3225">
        <v>9.82</v>
      </c>
      <c r="M3225">
        <v>2.8</v>
      </c>
      <c r="N3225" t="s">
        <v>22</v>
      </c>
      <c r="O3225" t="str">
        <f t="shared" si="50"/>
        <v>Yes</v>
      </c>
    </row>
    <row r="3226" spans="1:15" x14ac:dyDescent="0.25">
      <c r="A3226" t="s">
        <v>3287</v>
      </c>
      <c r="B3226" s="1">
        <v>45768</v>
      </c>
      <c r="C3226" s="2">
        <v>45768.068749999999</v>
      </c>
      <c r="D3226" t="s">
        <v>38</v>
      </c>
      <c r="E3226" t="s">
        <v>45</v>
      </c>
      <c r="F3226" t="s">
        <v>104</v>
      </c>
      <c r="G3226" t="s">
        <v>18</v>
      </c>
      <c r="H3226" t="s">
        <v>44</v>
      </c>
      <c r="I3226" t="s">
        <v>36</v>
      </c>
      <c r="J3226" t="s">
        <v>21</v>
      </c>
      <c r="K3226">
        <v>8</v>
      </c>
      <c r="L3226">
        <v>1.65</v>
      </c>
      <c r="M3226">
        <v>4.4000000000000004</v>
      </c>
      <c r="N3226" t="s">
        <v>22</v>
      </c>
      <c r="O3226" t="str">
        <f t="shared" si="50"/>
        <v>No</v>
      </c>
    </row>
    <row r="3227" spans="1:15" x14ac:dyDescent="0.25">
      <c r="A3227" t="s">
        <v>3288</v>
      </c>
      <c r="B3227" s="1">
        <v>45797</v>
      </c>
      <c r="C3227" s="2">
        <v>45797.162083333336</v>
      </c>
      <c r="D3227" t="s">
        <v>38</v>
      </c>
      <c r="E3227" t="s">
        <v>45</v>
      </c>
      <c r="F3227" t="s">
        <v>50</v>
      </c>
      <c r="G3227" t="s">
        <v>41</v>
      </c>
      <c r="H3227" t="s">
        <v>54</v>
      </c>
      <c r="I3227" t="s">
        <v>36</v>
      </c>
      <c r="J3227" t="s">
        <v>21</v>
      </c>
      <c r="K3227">
        <v>8</v>
      </c>
      <c r="L3227">
        <v>3.89</v>
      </c>
      <c r="M3227">
        <v>5</v>
      </c>
      <c r="N3227" t="s">
        <v>22</v>
      </c>
      <c r="O3227" t="str">
        <f t="shared" si="50"/>
        <v>No</v>
      </c>
    </row>
    <row r="3228" spans="1:15" x14ac:dyDescent="0.25">
      <c r="A3228" t="s">
        <v>3289</v>
      </c>
      <c r="B3228" s="1">
        <v>45762</v>
      </c>
      <c r="C3228" s="2">
        <v>45762.527083333334</v>
      </c>
      <c r="D3228" t="s">
        <v>24</v>
      </c>
      <c r="E3228" t="s">
        <v>16</v>
      </c>
      <c r="F3228" t="s">
        <v>60</v>
      </c>
      <c r="G3228" t="s">
        <v>51</v>
      </c>
      <c r="H3228" t="s">
        <v>54</v>
      </c>
      <c r="I3228" t="s">
        <v>36</v>
      </c>
      <c r="J3228" t="s">
        <v>46</v>
      </c>
      <c r="K3228">
        <v>24</v>
      </c>
      <c r="L3228">
        <v>12.65</v>
      </c>
      <c r="M3228">
        <v>4</v>
      </c>
      <c r="N3228" t="s">
        <v>22</v>
      </c>
      <c r="O3228" t="str">
        <f t="shared" si="50"/>
        <v>No</v>
      </c>
    </row>
    <row r="3229" spans="1:15" x14ac:dyDescent="0.25">
      <c r="A3229" t="s">
        <v>3290</v>
      </c>
      <c r="B3229" s="1">
        <v>45726</v>
      </c>
      <c r="C3229" s="2">
        <v>45726.131249999999</v>
      </c>
      <c r="D3229" t="s">
        <v>24</v>
      </c>
      <c r="E3229" t="s">
        <v>16</v>
      </c>
      <c r="F3229" t="s">
        <v>43</v>
      </c>
      <c r="G3229" t="s">
        <v>51</v>
      </c>
      <c r="H3229" t="s">
        <v>27</v>
      </c>
      <c r="I3229" t="s">
        <v>36</v>
      </c>
      <c r="J3229" t="s">
        <v>21</v>
      </c>
      <c r="K3229">
        <v>24</v>
      </c>
      <c r="L3229">
        <v>3.15</v>
      </c>
      <c r="M3229">
        <v>5</v>
      </c>
      <c r="N3229" t="s">
        <v>22</v>
      </c>
      <c r="O3229" t="str">
        <f t="shared" si="50"/>
        <v>No</v>
      </c>
    </row>
    <row r="3230" spans="1:15" x14ac:dyDescent="0.25">
      <c r="A3230" t="s">
        <v>3291</v>
      </c>
      <c r="B3230" s="1">
        <v>45791</v>
      </c>
      <c r="C3230" s="2">
        <v>45791.271249999998</v>
      </c>
      <c r="D3230" t="s">
        <v>38</v>
      </c>
      <c r="E3230" t="s">
        <v>25</v>
      </c>
      <c r="F3230" t="s">
        <v>48</v>
      </c>
      <c r="G3230" t="s">
        <v>34</v>
      </c>
      <c r="H3230" t="s">
        <v>27</v>
      </c>
      <c r="I3230" t="s">
        <v>28</v>
      </c>
      <c r="J3230" t="s">
        <v>85</v>
      </c>
      <c r="K3230">
        <v>8</v>
      </c>
      <c r="L3230">
        <v>6.51</v>
      </c>
      <c r="M3230">
        <v>3.8</v>
      </c>
      <c r="N3230" t="s">
        <v>22</v>
      </c>
      <c r="O3230" t="str">
        <f t="shared" si="50"/>
        <v>No</v>
      </c>
    </row>
    <row r="3231" spans="1:15" x14ac:dyDescent="0.25">
      <c r="A3231" t="s">
        <v>3292</v>
      </c>
      <c r="B3231" s="1">
        <v>45809</v>
      </c>
      <c r="C3231" s="2">
        <v>45809.312083333331</v>
      </c>
      <c r="D3231" t="s">
        <v>15</v>
      </c>
      <c r="E3231" t="s">
        <v>45</v>
      </c>
      <c r="F3231" t="s">
        <v>50</v>
      </c>
      <c r="G3231" t="s">
        <v>18</v>
      </c>
      <c r="H3231" t="s">
        <v>44</v>
      </c>
      <c r="I3231" t="s">
        <v>36</v>
      </c>
      <c r="J3231" t="s">
        <v>46</v>
      </c>
      <c r="K3231">
        <v>48</v>
      </c>
      <c r="L3231">
        <v>7.49</v>
      </c>
      <c r="M3231">
        <v>4.8</v>
      </c>
      <c r="N3231" t="s">
        <v>22</v>
      </c>
      <c r="O3231" t="str">
        <f t="shared" si="50"/>
        <v>No</v>
      </c>
    </row>
    <row r="3232" spans="1:15" x14ac:dyDescent="0.25">
      <c r="A3232" t="s">
        <v>3293</v>
      </c>
      <c r="B3232" s="1">
        <v>45810</v>
      </c>
      <c r="C3232" s="2">
        <v>45810.333333333336</v>
      </c>
      <c r="D3232" t="s">
        <v>15</v>
      </c>
      <c r="E3232" t="s">
        <v>16</v>
      </c>
      <c r="F3232" t="s">
        <v>43</v>
      </c>
      <c r="G3232" t="s">
        <v>18</v>
      </c>
      <c r="H3232" t="s">
        <v>27</v>
      </c>
      <c r="I3232" t="s">
        <v>36</v>
      </c>
      <c r="J3232" t="s">
        <v>21</v>
      </c>
      <c r="K3232">
        <v>48</v>
      </c>
      <c r="L3232">
        <v>8</v>
      </c>
      <c r="M3232">
        <v>5</v>
      </c>
      <c r="N3232" t="s">
        <v>22</v>
      </c>
      <c r="O3232" t="str">
        <f t="shared" si="50"/>
        <v>No</v>
      </c>
    </row>
    <row r="3233" spans="1:15" x14ac:dyDescent="0.25">
      <c r="A3233" t="s">
        <v>3294</v>
      </c>
      <c r="B3233" s="1">
        <v>45696</v>
      </c>
      <c r="C3233" s="2">
        <v>45696.049583333333</v>
      </c>
      <c r="D3233" t="s">
        <v>38</v>
      </c>
      <c r="E3233" t="s">
        <v>32</v>
      </c>
      <c r="F3233" t="s">
        <v>80</v>
      </c>
      <c r="G3233" t="s">
        <v>34</v>
      </c>
      <c r="H3233" t="s">
        <v>44</v>
      </c>
      <c r="I3233" t="s">
        <v>45</v>
      </c>
      <c r="J3233" t="s">
        <v>46</v>
      </c>
      <c r="K3233">
        <v>8</v>
      </c>
      <c r="L3233">
        <v>1.19</v>
      </c>
      <c r="M3233">
        <v>5</v>
      </c>
      <c r="N3233" t="s">
        <v>22</v>
      </c>
      <c r="O3233" t="str">
        <f t="shared" si="50"/>
        <v>No</v>
      </c>
    </row>
    <row r="3234" spans="1:15" x14ac:dyDescent="0.25">
      <c r="A3234" t="s">
        <v>3295</v>
      </c>
      <c r="B3234" s="1">
        <v>45780</v>
      </c>
      <c r="C3234" s="2">
        <v>45780.057500000003</v>
      </c>
      <c r="D3234" t="s">
        <v>24</v>
      </c>
      <c r="E3234" t="s">
        <v>16</v>
      </c>
      <c r="F3234" t="s">
        <v>58</v>
      </c>
      <c r="G3234" t="s">
        <v>18</v>
      </c>
      <c r="H3234" t="s">
        <v>27</v>
      </c>
      <c r="I3234" t="s">
        <v>28</v>
      </c>
      <c r="J3234" t="s">
        <v>46</v>
      </c>
      <c r="K3234">
        <v>24</v>
      </c>
      <c r="L3234">
        <v>1.38</v>
      </c>
      <c r="M3234">
        <v>5</v>
      </c>
      <c r="N3234" t="s">
        <v>22</v>
      </c>
      <c r="O3234" t="str">
        <f t="shared" si="50"/>
        <v>No</v>
      </c>
    </row>
    <row r="3235" spans="1:15" x14ac:dyDescent="0.25">
      <c r="A3235" t="s">
        <v>3296</v>
      </c>
      <c r="B3235" s="1">
        <v>45658</v>
      </c>
      <c r="C3235" s="2">
        <v>45658.333333333336</v>
      </c>
      <c r="D3235" t="s">
        <v>38</v>
      </c>
      <c r="E3235" t="s">
        <v>45</v>
      </c>
      <c r="F3235" t="s">
        <v>100</v>
      </c>
      <c r="G3235" t="s">
        <v>51</v>
      </c>
      <c r="H3235" t="s">
        <v>35</v>
      </c>
      <c r="I3235" t="s">
        <v>36</v>
      </c>
      <c r="J3235" t="s">
        <v>21</v>
      </c>
      <c r="K3235">
        <v>8</v>
      </c>
      <c r="L3235">
        <v>8</v>
      </c>
      <c r="M3235">
        <v>3.5</v>
      </c>
      <c r="N3235" t="s">
        <v>22</v>
      </c>
      <c r="O3235" t="str">
        <f t="shared" si="50"/>
        <v>No</v>
      </c>
    </row>
    <row r="3236" spans="1:15" x14ac:dyDescent="0.25">
      <c r="A3236" t="s">
        <v>3297</v>
      </c>
      <c r="B3236" s="1">
        <v>45761</v>
      </c>
      <c r="C3236" s="2">
        <v>45761.710416666669</v>
      </c>
      <c r="D3236" t="s">
        <v>15</v>
      </c>
      <c r="E3236" t="s">
        <v>32</v>
      </c>
      <c r="F3236" t="s">
        <v>64</v>
      </c>
      <c r="G3236" t="s">
        <v>51</v>
      </c>
      <c r="H3236" t="s">
        <v>19</v>
      </c>
      <c r="I3236" t="s">
        <v>20</v>
      </c>
      <c r="J3236" t="s">
        <v>21</v>
      </c>
      <c r="K3236">
        <v>48</v>
      </c>
      <c r="L3236">
        <v>17.05</v>
      </c>
      <c r="M3236">
        <v>3.6</v>
      </c>
      <c r="N3236" t="s">
        <v>22</v>
      </c>
      <c r="O3236" t="str">
        <f t="shared" si="50"/>
        <v>No</v>
      </c>
    </row>
    <row r="3237" spans="1:15" x14ac:dyDescent="0.25">
      <c r="A3237" t="s">
        <v>3298</v>
      </c>
      <c r="B3237" s="1">
        <v>45761</v>
      </c>
      <c r="C3237" s="2">
        <v>45761.072083333333</v>
      </c>
      <c r="D3237" t="s">
        <v>31</v>
      </c>
      <c r="E3237" t="s">
        <v>39</v>
      </c>
      <c r="F3237" t="s">
        <v>40</v>
      </c>
      <c r="G3237" t="s">
        <v>34</v>
      </c>
      <c r="H3237" t="s">
        <v>65</v>
      </c>
      <c r="I3237" t="s">
        <v>36</v>
      </c>
      <c r="J3237" t="s">
        <v>21</v>
      </c>
      <c r="K3237">
        <v>4</v>
      </c>
      <c r="L3237">
        <v>1.73</v>
      </c>
      <c r="M3237">
        <v>3.5</v>
      </c>
      <c r="N3237" t="s">
        <v>22</v>
      </c>
      <c r="O3237" t="str">
        <f t="shared" si="50"/>
        <v>No</v>
      </c>
    </row>
    <row r="3238" spans="1:15" x14ac:dyDescent="0.25">
      <c r="A3238" t="s">
        <v>3299</v>
      </c>
      <c r="B3238" s="1">
        <v>45723</v>
      </c>
      <c r="C3238" s="2">
        <v>45723.481666666667</v>
      </c>
      <c r="D3238" t="s">
        <v>24</v>
      </c>
      <c r="E3238" t="s">
        <v>39</v>
      </c>
      <c r="F3238" t="s">
        <v>78</v>
      </c>
      <c r="G3238" t="s">
        <v>18</v>
      </c>
      <c r="H3238" t="s">
        <v>65</v>
      </c>
      <c r="I3238" t="s">
        <v>20</v>
      </c>
      <c r="J3238" t="s">
        <v>21</v>
      </c>
      <c r="K3238">
        <v>24</v>
      </c>
      <c r="L3238">
        <v>11.56</v>
      </c>
      <c r="M3238">
        <v>5</v>
      </c>
      <c r="N3238" t="s">
        <v>22</v>
      </c>
      <c r="O3238" t="str">
        <f t="shared" si="50"/>
        <v>No</v>
      </c>
    </row>
    <row r="3239" spans="1:15" x14ac:dyDescent="0.25">
      <c r="A3239" t="s">
        <v>3300</v>
      </c>
      <c r="B3239" s="1">
        <v>45837</v>
      </c>
      <c r="C3239" s="2">
        <v>45837.369583333333</v>
      </c>
      <c r="D3239" t="s">
        <v>24</v>
      </c>
      <c r="E3239" t="s">
        <v>39</v>
      </c>
      <c r="F3239" t="s">
        <v>119</v>
      </c>
      <c r="G3239" t="s">
        <v>51</v>
      </c>
      <c r="H3239" t="s">
        <v>35</v>
      </c>
      <c r="I3239" t="s">
        <v>20</v>
      </c>
      <c r="J3239" t="s">
        <v>46</v>
      </c>
      <c r="K3239">
        <v>24</v>
      </c>
      <c r="L3239">
        <v>8.8699999999999992</v>
      </c>
      <c r="M3239">
        <v>5</v>
      </c>
      <c r="N3239" t="s">
        <v>22</v>
      </c>
      <c r="O3239" t="str">
        <f t="shared" si="50"/>
        <v>No</v>
      </c>
    </row>
    <row r="3240" spans="1:15" x14ac:dyDescent="0.25">
      <c r="A3240" t="s">
        <v>3301</v>
      </c>
      <c r="B3240" s="1">
        <v>45817</v>
      </c>
      <c r="C3240" s="2">
        <v>45817.065821759257</v>
      </c>
      <c r="D3240" t="s">
        <v>38</v>
      </c>
      <c r="E3240" t="s">
        <v>25</v>
      </c>
      <c r="F3240" t="s">
        <v>70</v>
      </c>
      <c r="G3240" t="s">
        <v>41</v>
      </c>
      <c r="H3240" t="s">
        <v>19</v>
      </c>
      <c r="I3240" t="s">
        <v>20</v>
      </c>
      <c r="J3240" t="s">
        <v>21</v>
      </c>
      <c r="K3240">
        <v>8</v>
      </c>
      <c r="L3240">
        <v>1.58</v>
      </c>
      <c r="M3240">
        <v>4.8</v>
      </c>
      <c r="N3240" t="s">
        <v>22</v>
      </c>
      <c r="O3240" t="str">
        <f t="shared" si="50"/>
        <v>No</v>
      </c>
    </row>
    <row r="3241" spans="1:15" x14ac:dyDescent="0.25">
      <c r="A3241" t="s">
        <v>3302</v>
      </c>
      <c r="B3241" s="1">
        <v>45664</v>
      </c>
      <c r="C3241" s="2">
        <v>45664.33625</v>
      </c>
      <c r="D3241" t="s">
        <v>24</v>
      </c>
      <c r="E3241" t="s">
        <v>39</v>
      </c>
      <c r="F3241" t="s">
        <v>87</v>
      </c>
      <c r="G3241" t="s">
        <v>51</v>
      </c>
      <c r="H3241" t="s">
        <v>65</v>
      </c>
      <c r="I3241" t="s">
        <v>45</v>
      </c>
      <c r="J3241" t="s">
        <v>29</v>
      </c>
      <c r="K3241">
        <v>24</v>
      </c>
      <c r="L3241">
        <v>8.07</v>
      </c>
      <c r="M3241">
        <v>3.4</v>
      </c>
      <c r="N3241" t="s">
        <v>22</v>
      </c>
      <c r="O3241" t="str">
        <f t="shared" si="50"/>
        <v>No</v>
      </c>
    </row>
    <row r="3242" spans="1:15" x14ac:dyDescent="0.25">
      <c r="A3242" t="s">
        <v>3303</v>
      </c>
      <c r="B3242" s="1">
        <v>45695</v>
      </c>
      <c r="C3242" s="2">
        <v>45695.478750000002</v>
      </c>
      <c r="D3242" t="s">
        <v>24</v>
      </c>
      <c r="E3242" t="s">
        <v>45</v>
      </c>
      <c r="F3242" t="s">
        <v>100</v>
      </c>
      <c r="G3242" t="s">
        <v>41</v>
      </c>
      <c r="H3242" t="s">
        <v>19</v>
      </c>
      <c r="I3242" t="s">
        <v>28</v>
      </c>
      <c r="J3242" t="s">
        <v>21</v>
      </c>
      <c r="K3242">
        <v>24</v>
      </c>
      <c r="L3242">
        <v>11.49</v>
      </c>
      <c r="M3242">
        <v>3.9</v>
      </c>
      <c r="N3242" t="s">
        <v>22</v>
      </c>
      <c r="O3242" t="str">
        <f t="shared" si="50"/>
        <v>No</v>
      </c>
    </row>
    <row r="3243" spans="1:15" x14ac:dyDescent="0.25">
      <c r="A3243" t="s">
        <v>3304</v>
      </c>
      <c r="B3243" s="1">
        <v>45695</v>
      </c>
      <c r="C3243" s="2">
        <v>45695.185833333337</v>
      </c>
      <c r="D3243" t="s">
        <v>24</v>
      </c>
      <c r="E3243" t="s">
        <v>25</v>
      </c>
      <c r="F3243" t="s">
        <v>70</v>
      </c>
      <c r="G3243" t="s">
        <v>51</v>
      </c>
      <c r="H3243" t="s">
        <v>65</v>
      </c>
      <c r="I3243" t="s">
        <v>36</v>
      </c>
      <c r="J3243" t="s">
        <v>85</v>
      </c>
      <c r="K3243">
        <v>24</v>
      </c>
      <c r="L3243">
        <v>4.46</v>
      </c>
      <c r="M3243">
        <v>4.2</v>
      </c>
      <c r="N3243" t="s">
        <v>22</v>
      </c>
      <c r="O3243" t="str">
        <f t="shared" si="50"/>
        <v>No</v>
      </c>
    </row>
    <row r="3244" spans="1:15" x14ac:dyDescent="0.25">
      <c r="A3244" t="s">
        <v>3305</v>
      </c>
      <c r="B3244" s="1">
        <v>45820</v>
      </c>
      <c r="C3244" s="2">
        <v>45820.115833333337</v>
      </c>
      <c r="D3244" t="s">
        <v>38</v>
      </c>
      <c r="E3244" t="s">
        <v>32</v>
      </c>
      <c r="F3244" t="s">
        <v>80</v>
      </c>
      <c r="G3244" t="s">
        <v>18</v>
      </c>
      <c r="H3244" t="s">
        <v>54</v>
      </c>
      <c r="I3244" t="s">
        <v>20</v>
      </c>
      <c r="J3244" t="s">
        <v>21</v>
      </c>
      <c r="K3244">
        <v>8</v>
      </c>
      <c r="L3244">
        <v>2.78</v>
      </c>
      <c r="M3244">
        <v>4.2</v>
      </c>
      <c r="N3244" t="s">
        <v>22</v>
      </c>
      <c r="O3244" t="str">
        <f t="shared" si="50"/>
        <v>No</v>
      </c>
    </row>
    <row r="3245" spans="1:15" x14ac:dyDescent="0.25">
      <c r="A3245" t="s">
        <v>3306</v>
      </c>
      <c r="B3245" s="1">
        <v>45751</v>
      </c>
      <c r="C3245" s="2">
        <v>45751.367083333331</v>
      </c>
      <c r="D3245" t="s">
        <v>38</v>
      </c>
      <c r="E3245" t="s">
        <v>25</v>
      </c>
      <c r="F3245" t="s">
        <v>70</v>
      </c>
      <c r="G3245" t="s">
        <v>56</v>
      </c>
      <c r="H3245" t="s">
        <v>65</v>
      </c>
      <c r="I3245" t="s">
        <v>20</v>
      </c>
      <c r="J3245" t="s">
        <v>46</v>
      </c>
      <c r="K3245">
        <v>8</v>
      </c>
      <c r="L3245">
        <v>8.81</v>
      </c>
      <c r="M3245">
        <v>3.1</v>
      </c>
      <c r="N3245" t="s">
        <v>22</v>
      </c>
      <c r="O3245" t="str">
        <f t="shared" si="50"/>
        <v>Yes</v>
      </c>
    </row>
    <row r="3246" spans="1:15" x14ac:dyDescent="0.25">
      <c r="A3246" t="s">
        <v>3307</v>
      </c>
      <c r="B3246" s="1">
        <v>45789</v>
      </c>
      <c r="C3246" s="2">
        <v>45789.334166666667</v>
      </c>
      <c r="D3246" t="s">
        <v>24</v>
      </c>
      <c r="E3246" t="s">
        <v>25</v>
      </c>
      <c r="F3246" t="s">
        <v>70</v>
      </c>
      <c r="G3246" t="s">
        <v>41</v>
      </c>
      <c r="H3246" t="s">
        <v>65</v>
      </c>
      <c r="I3246" t="s">
        <v>36</v>
      </c>
      <c r="J3246" t="s">
        <v>21</v>
      </c>
      <c r="K3246">
        <v>24</v>
      </c>
      <c r="L3246">
        <v>8.02</v>
      </c>
      <c r="M3246">
        <v>4.9000000000000004</v>
      </c>
      <c r="N3246" t="s">
        <v>22</v>
      </c>
      <c r="O3246" t="str">
        <f t="shared" si="50"/>
        <v>No</v>
      </c>
    </row>
    <row r="3247" spans="1:15" x14ac:dyDescent="0.25">
      <c r="A3247" t="s">
        <v>3308</v>
      </c>
      <c r="B3247" s="1">
        <v>45804</v>
      </c>
      <c r="C3247" s="2">
        <v>45805.445</v>
      </c>
      <c r="D3247" t="s">
        <v>15</v>
      </c>
      <c r="E3247" t="s">
        <v>16</v>
      </c>
      <c r="F3247" t="s">
        <v>60</v>
      </c>
      <c r="G3247" t="s">
        <v>51</v>
      </c>
      <c r="H3247" t="s">
        <v>19</v>
      </c>
      <c r="I3247" t="s">
        <v>28</v>
      </c>
      <c r="J3247" t="s">
        <v>46</v>
      </c>
      <c r="K3247">
        <v>48</v>
      </c>
      <c r="L3247">
        <v>34.68</v>
      </c>
      <c r="M3247">
        <v>4.3</v>
      </c>
      <c r="N3247" t="s">
        <v>22</v>
      </c>
      <c r="O3247" t="str">
        <f t="shared" si="50"/>
        <v>No</v>
      </c>
    </row>
    <row r="3248" spans="1:15" x14ac:dyDescent="0.25">
      <c r="A3248" t="s">
        <v>3309</v>
      </c>
      <c r="B3248" s="1">
        <v>45796</v>
      </c>
      <c r="C3248" s="2">
        <v>45797.599166666667</v>
      </c>
      <c r="D3248" t="s">
        <v>15</v>
      </c>
      <c r="E3248" t="s">
        <v>16</v>
      </c>
      <c r="F3248" t="s">
        <v>60</v>
      </c>
      <c r="G3248" t="s">
        <v>56</v>
      </c>
      <c r="H3248" t="s">
        <v>27</v>
      </c>
      <c r="I3248" t="s">
        <v>20</v>
      </c>
      <c r="J3248" t="s">
        <v>29</v>
      </c>
      <c r="K3248">
        <v>48</v>
      </c>
      <c r="L3248">
        <v>38.380000000000003</v>
      </c>
      <c r="M3248">
        <v>5</v>
      </c>
      <c r="N3248" t="s">
        <v>22</v>
      </c>
      <c r="O3248" t="str">
        <f t="shared" si="50"/>
        <v>No</v>
      </c>
    </row>
    <row r="3249" spans="1:15" x14ac:dyDescent="0.25">
      <c r="A3249" t="s">
        <v>3310</v>
      </c>
      <c r="B3249" s="1">
        <v>45674</v>
      </c>
      <c r="C3249" s="2">
        <v>45674.020833333336</v>
      </c>
      <c r="D3249" t="s">
        <v>31</v>
      </c>
      <c r="E3249" t="s">
        <v>25</v>
      </c>
      <c r="F3249" t="s">
        <v>26</v>
      </c>
      <c r="G3249" t="s">
        <v>51</v>
      </c>
      <c r="H3249" t="s">
        <v>44</v>
      </c>
      <c r="I3249" t="s">
        <v>20</v>
      </c>
      <c r="J3249" t="s">
        <v>21</v>
      </c>
      <c r="K3249">
        <v>4</v>
      </c>
      <c r="L3249">
        <v>0.5</v>
      </c>
      <c r="M3249">
        <v>4.5999999999999996</v>
      </c>
      <c r="N3249" t="s">
        <v>22</v>
      </c>
      <c r="O3249" t="str">
        <f t="shared" si="50"/>
        <v>No</v>
      </c>
    </row>
    <row r="3250" spans="1:15" x14ac:dyDescent="0.25">
      <c r="A3250" t="s">
        <v>3311</v>
      </c>
      <c r="B3250" s="1">
        <v>45683</v>
      </c>
      <c r="C3250" s="2">
        <v>45683.135416666664</v>
      </c>
      <c r="D3250" t="s">
        <v>31</v>
      </c>
      <c r="E3250" t="s">
        <v>39</v>
      </c>
      <c r="F3250" t="s">
        <v>87</v>
      </c>
      <c r="G3250" t="s">
        <v>18</v>
      </c>
      <c r="H3250" t="s">
        <v>35</v>
      </c>
      <c r="I3250" t="s">
        <v>36</v>
      </c>
      <c r="J3250" t="s">
        <v>21</v>
      </c>
      <c r="K3250">
        <v>4</v>
      </c>
      <c r="L3250">
        <v>3.25</v>
      </c>
      <c r="M3250">
        <v>4.2</v>
      </c>
      <c r="N3250" t="s">
        <v>61</v>
      </c>
      <c r="O3250" t="str">
        <f t="shared" si="50"/>
        <v>No</v>
      </c>
    </row>
    <row r="3251" spans="1:15" x14ac:dyDescent="0.25">
      <c r="A3251" t="s">
        <v>3312</v>
      </c>
      <c r="B3251" s="1">
        <v>45729</v>
      </c>
      <c r="C3251" s="2">
        <v>45729.167500000003</v>
      </c>
      <c r="D3251" t="s">
        <v>31</v>
      </c>
      <c r="E3251" t="s">
        <v>32</v>
      </c>
      <c r="F3251" t="s">
        <v>64</v>
      </c>
      <c r="G3251" t="s">
        <v>41</v>
      </c>
      <c r="H3251" t="s">
        <v>44</v>
      </c>
      <c r="I3251" t="s">
        <v>20</v>
      </c>
      <c r="J3251" t="s">
        <v>85</v>
      </c>
      <c r="K3251">
        <v>4</v>
      </c>
      <c r="L3251">
        <v>4.0199999999999996</v>
      </c>
      <c r="M3251">
        <v>4.3</v>
      </c>
      <c r="N3251" t="s">
        <v>22</v>
      </c>
      <c r="O3251" t="str">
        <f t="shared" si="50"/>
        <v>Yes</v>
      </c>
    </row>
    <row r="3252" spans="1:15" x14ac:dyDescent="0.25">
      <c r="A3252" t="s">
        <v>3313</v>
      </c>
      <c r="B3252" s="1">
        <v>45719</v>
      </c>
      <c r="C3252" s="2">
        <v>45720.487500000003</v>
      </c>
      <c r="D3252" t="s">
        <v>15</v>
      </c>
      <c r="E3252" t="s">
        <v>39</v>
      </c>
      <c r="F3252" t="s">
        <v>87</v>
      </c>
      <c r="G3252" t="s">
        <v>56</v>
      </c>
      <c r="H3252" t="s">
        <v>44</v>
      </c>
      <c r="I3252" t="s">
        <v>36</v>
      </c>
      <c r="J3252" t="s">
        <v>85</v>
      </c>
      <c r="K3252">
        <v>48</v>
      </c>
      <c r="L3252">
        <v>35.700000000000003</v>
      </c>
      <c r="M3252">
        <v>4.8</v>
      </c>
      <c r="N3252" t="s">
        <v>22</v>
      </c>
      <c r="O3252" t="str">
        <f t="shared" si="50"/>
        <v>No</v>
      </c>
    </row>
    <row r="3253" spans="1:15" x14ac:dyDescent="0.25">
      <c r="A3253" t="s">
        <v>3314</v>
      </c>
      <c r="B3253" s="1">
        <v>45793</v>
      </c>
      <c r="C3253" s="2">
        <v>45793.396249999998</v>
      </c>
      <c r="D3253" t="s">
        <v>24</v>
      </c>
      <c r="E3253" t="s">
        <v>32</v>
      </c>
      <c r="F3253" t="s">
        <v>75</v>
      </c>
      <c r="G3253" t="s">
        <v>51</v>
      </c>
      <c r="H3253" t="s">
        <v>19</v>
      </c>
      <c r="I3253" t="s">
        <v>28</v>
      </c>
      <c r="J3253" t="s">
        <v>46</v>
      </c>
      <c r="K3253">
        <v>24</v>
      </c>
      <c r="L3253">
        <v>9.51</v>
      </c>
      <c r="M3253">
        <v>3.7</v>
      </c>
      <c r="N3253" t="s">
        <v>22</v>
      </c>
      <c r="O3253" t="str">
        <f t="shared" si="50"/>
        <v>No</v>
      </c>
    </row>
    <row r="3254" spans="1:15" x14ac:dyDescent="0.25">
      <c r="A3254" t="s">
        <v>3315</v>
      </c>
      <c r="B3254" s="1">
        <v>45686</v>
      </c>
      <c r="C3254" s="2">
        <v>45686.049166666664</v>
      </c>
      <c r="D3254" t="s">
        <v>38</v>
      </c>
      <c r="E3254" t="s">
        <v>16</v>
      </c>
      <c r="F3254" t="s">
        <v>17</v>
      </c>
      <c r="G3254" t="s">
        <v>51</v>
      </c>
      <c r="H3254" t="s">
        <v>27</v>
      </c>
      <c r="I3254" t="s">
        <v>36</v>
      </c>
      <c r="J3254" t="s">
        <v>21</v>
      </c>
      <c r="K3254">
        <v>8</v>
      </c>
      <c r="L3254">
        <v>1.18</v>
      </c>
      <c r="M3254">
        <v>5</v>
      </c>
      <c r="N3254" t="s">
        <v>22</v>
      </c>
      <c r="O3254" t="str">
        <f t="shared" si="50"/>
        <v>No</v>
      </c>
    </row>
    <row r="3255" spans="1:15" x14ac:dyDescent="0.25">
      <c r="A3255" t="s">
        <v>3316</v>
      </c>
      <c r="B3255" s="1">
        <v>45725</v>
      </c>
      <c r="C3255" s="2">
        <v>45725.256666666668</v>
      </c>
      <c r="D3255" t="s">
        <v>38</v>
      </c>
      <c r="E3255" t="s">
        <v>32</v>
      </c>
      <c r="F3255" t="s">
        <v>33</v>
      </c>
      <c r="G3255" t="s">
        <v>18</v>
      </c>
      <c r="H3255" t="s">
        <v>44</v>
      </c>
      <c r="I3255" t="s">
        <v>45</v>
      </c>
      <c r="J3255" t="s">
        <v>21</v>
      </c>
      <c r="K3255">
        <v>8</v>
      </c>
      <c r="L3255">
        <v>6.16</v>
      </c>
      <c r="M3255">
        <v>4.2</v>
      </c>
      <c r="N3255" t="s">
        <v>22</v>
      </c>
      <c r="O3255" t="str">
        <f t="shared" si="50"/>
        <v>No</v>
      </c>
    </row>
    <row r="3256" spans="1:15" x14ac:dyDescent="0.25">
      <c r="A3256" t="s">
        <v>3317</v>
      </c>
      <c r="B3256" s="1">
        <v>45700</v>
      </c>
      <c r="C3256" s="2">
        <v>45700.701666666668</v>
      </c>
      <c r="D3256" t="s">
        <v>15</v>
      </c>
      <c r="E3256" t="s">
        <v>16</v>
      </c>
      <c r="F3256" t="s">
        <v>43</v>
      </c>
      <c r="G3256" t="s">
        <v>51</v>
      </c>
      <c r="H3256" t="s">
        <v>19</v>
      </c>
      <c r="I3256" t="s">
        <v>36</v>
      </c>
      <c r="J3256" t="s">
        <v>21</v>
      </c>
      <c r="K3256">
        <v>48</v>
      </c>
      <c r="L3256">
        <v>16.84</v>
      </c>
      <c r="M3256">
        <v>4.8</v>
      </c>
      <c r="N3256" t="s">
        <v>22</v>
      </c>
      <c r="O3256" t="str">
        <f t="shared" si="50"/>
        <v>No</v>
      </c>
    </row>
    <row r="3257" spans="1:15" x14ac:dyDescent="0.25">
      <c r="A3257" t="s">
        <v>3318</v>
      </c>
      <c r="B3257" s="1">
        <v>45692</v>
      </c>
      <c r="C3257" s="2">
        <v>45692.445416666669</v>
      </c>
      <c r="D3257" t="s">
        <v>24</v>
      </c>
      <c r="E3257" t="s">
        <v>39</v>
      </c>
      <c r="F3257" t="s">
        <v>119</v>
      </c>
      <c r="G3257" t="s">
        <v>56</v>
      </c>
      <c r="H3257" t="s">
        <v>65</v>
      </c>
      <c r="I3257" t="s">
        <v>20</v>
      </c>
      <c r="J3257" t="s">
        <v>46</v>
      </c>
      <c r="K3257">
        <v>24</v>
      </c>
      <c r="L3257">
        <v>10.69</v>
      </c>
      <c r="M3257">
        <v>4.5</v>
      </c>
      <c r="N3257" t="s">
        <v>22</v>
      </c>
      <c r="O3257" t="str">
        <f t="shared" si="50"/>
        <v>No</v>
      </c>
    </row>
    <row r="3258" spans="1:15" x14ac:dyDescent="0.25">
      <c r="A3258" t="s">
        <v>3319</v>
      </c>
      <c r="B3258" s="1">
        <v>45689</v>
      </c>
      <c r="C3258" s="2">
        <v>45689.519583333335</v>
      </c>
      <c r="D3258" t="s">
        <v>15</v>
      </c>
      <c r="E3258" t="s">
        <v>25</v>
      </c>
      <c r="F3258" t="s">
        <v>70</v>
      </c>
      <c r="G3258" t="s">
        <v>18</v>
      </c>
      <c r="H3258" t="s">
        <v>54</v>
      </c>
      <c r="I3258" t="s">
        <v>36</v>
      </c>
      <c r="J3258" t="s">
        <v>21</v>
      </c>
      <c r="K3258">
        <v>48</v>
      </c>
      <c r="L3258">
        <v>12.47</v>
      </c>
      <c r="M3258">
        <v>5</v>
      </c>
      <c r="N3258" t="s">
        <v>22</v>
      </c>
      <c r="O3258" t="str">
        <f t="shared" si="50"/>
        <v>No</v>
      </c>
    </row>
    <row r="3259" spans="1:15" x14ac:dyDescent="0.25">
      <c r="A3259" t="s">
        <v>3320</v>
      </c>
      <c r="B3259" s="1">
        <v>45693</v>
      </c>
      <c r="C3259" s="2">
        <v>45693.48333333333</v>
      </c>
      <c r="D3259" t="s">
        <v>24</v>
      </c>
      <c r="E3259" t="s">
        <v>16</v>
      </c>
      <c r="F3259" t="s">
        <v>17</v>
      </c>
      <c r="G3259" t="s">
        <v>41</v>
      </c>
      <c r="H3259" t="s">
        <v>65</v>
      </c>
      <c r="I3259" t="s">
        <v>20</v>
      </c>
      <c r="J3259" t="s">
        <v>21</v>
      </c>
      <c r="K3259">
        <v>24</v>
      </c>
      <c r="L3259">
        <v>11.6</v>
      </c>
      <c r="M3259">
        <v>3.8</v>
      </c>
      <c r="N3259" t="s">
        <v>61</v>
      </c>
      <c r="O3259" t="str">
        <f t="shared" si="50"/>
        <v>No</v>
      </c>
    </row>
    <row r="3260" spans="1:15" x14ac:dyDescent="0.25">
      <c r="A3260" t="s">
        <v>3321</v>
      </c>
      <c r="B3260" s="1">
        <v>45760</v>
      </c>
      <c r="C3260" s="2">
        <v>45760.92291666667</v>
      </c>
      <c r="D3260" t="s">
        <v>15</v>
      </c>
      <c r="E3260" t="s">
        <v>45</v>
      </c>
      <c r="F3260" t="s">
        <v>50</v>
      </c>
      <c r="G3260" t="s">
        <v>18</v>
      </c>
      <c r="H3260" t="s">
        <v>54</v>
      </c>
      <c r="I3260" t="s">
        <v>20</v>
      </c>
      <c r="J3260" t="s">
        <v>29</v>
      </c>
      <c r="K3260">
        <v>48</v>
      </c>
      <c r="L3260">
        <v>22.15</v>
      </c>
      <c r="M3260">
        <v>3.8</v>
      </c>
      <c r="N3260" t="s">
        <v>22</v>
      </c>
      <c r="O3260" t="str">
        <f t="shared" si="50"/>
        <v>No</v>
      </c>
    </row>
    <row r="3261" spans="1:15" x14ac:dyDescent="0.25">
      <c r="A3261" t="s">
        <v>3322</v>
      </c>
      <c r="B3261" s="1">
        <v>45732</v>
      </c>
      <c r="C3261" s="2">
        <v>45732.416666666664</v>
      </c>
      <c r="D3261" t="s">
        <v>15</v>
      </c>
      <c r="E3261" t="s">
        <v>45</v>
      </c>
      <c r="F3261" t="s">
        <v>50</v>
      </c>
      <c r="G3261" t="s">
        <v>41</v>
      </c>
      <c r="H3261" t="s">
        <v>35</v>
      </c>
      <c r="I3261" t="s">
        <v>36</v>
      </c>
      <c r="J3261" t="s">
        <v>46</v>
      </c>
      <c r="K3261">
        <v>48</v>
      </c>
      <c r="L3261">
        <v>10</v>
      </c>
      <c r="M3261">
        <v>4.2</v>
      </c>
      <c r="N3261" t="s">
        <v>61</v>
      </c>
      <c r="O3261" t="str">
        <f t="shared" si="50"/>
        <v>No</v>
      </c>
    </row>
    <row r="3262" spans="1:15" x14ac:dyDescent="0.25">
      <c r="A3262" t="s">
        <v>3323</v>
      </c>
      <c r="B3262" s="1">
        <v>45736</v>
      </c>
      <c r="C3262" s="2">
        <v>45737.397499999999</v>
      </c>
      <c r="D3262" t="s">
        <v>15</v>
      </c>
      <c r="E3262" t="s">
        <v>32</v>
      </c>
      <c r="F3262" t="s">
        <v>33</v>
      </c>
      <c r="G3262" t="s">
        <v>51</v>
      </c>
      <c r="H3262" t="s">
        <v>35</v>
      </c>
      <c r="I3262" t="s">
        <v>20</v>
      </c>
      <c r="J3262" t="s">
        <v>46</v>
      </c>
      <c r="K3262">
        <v>48</v>
      </c>
      <c r="L3262">
        <v>33.54</v>
      </c>
      <c r="M3262">
        <v>4</v>
      </c>
      <c r="N3262" t="s">
        <v>22</v>
      </c>
      <c r="O3262" t="str">
        <f t="shared" si="50"/>
        <v>No</v>
      </c>
    </row>
    <row r="3263" spans="1:15" x14ac:dyDescent="0.25">
      <c r="A3263" t="s">
        <v>3324</v>
      </c>
      <c r="B3263" s="1">
        <v>45744</v>
      </c>
      <c r="C3263" s="2">
        <v>45744.480000000003</v>
      </c>
      <c r="D3263" t="s">
        <v>38</v>
      </c>
      <c r="E3263" t="s">
        <v>16</v>
      </c>
      <c r="F3263" t="s">
        <v>17</v>
      </c>
      <c r="G3263" t="s">
        <v>41</v>
      </c>
      <c r="H3263" t="s">
        <v>27</v>
      </c>
      <c r="I3263" t="s">
        <v>45</v>
      </c>
      <c r="J3263" t="s">
        <v>85</v>
      </c>
      <c r="K3263">
        <v>8</v>
      </c>
      <c r="L3263">
        <v>11.52</v>
      </c>
      <c r="M3263">
        <v>3.5</v>
      </c>
      <c r="N3263" t="s">
        <v>22</v>
      </c>
      <c r="O3263" t="str">
        <f t="shared" si="50"/>
        <v>Yes</v>
      </c>
    </row>
    <row r="3264" spans="1:15" x14ac:dyDescent="0.25">
      <c r="A3264" t="s">
        <v>3325</v>
      </c>
      <c r="B3264" s="1">
        <v>45792</v>
      </c>
      <c r="C3264" s="2">
        <v>45792.354166666664</v>
      </c>
      <c r="D3264" t="s">
        <v>38</v>
      </c>
      <c r="E3264" t="s">
        <v>32</v>
      </c>
      <c r="F3264" t="s">
        <v>80</v>
      </c>
      <c r="G3264" t="s">
        <v>41</v>
      </c>
      <c r="H3264" t="s">
        <v>54</v>
      </c>
      <c r="I3264" t="s">
        <v>36</v>
      </c>
      <c r="J3264" t="s">
        <v>21</v>
      </c>
      <c r="K3264">
        <v>8</v>
      </c>
      <c r="L3264">
        <v>8.5</v>
      </c>
      <c r="M3264">
        <v>3.4</v>
      </c>
      <c r="N3264" t="s">
        <v>61</v>
      </c>
      <c r="O3264" t="str">
        <f t="shared" si="50"/>
        <v>Yes</v>
      </c>
    </row>
    <row r="3265" spans="1:15" x14ac:dyDescent="0.25">
      <c r="A3265" t="s">
        <v>3326</v>
      </c>
      <c r="B3265" s="1">
        <v>45813</v>
      </c>
      <c r="C3265" s="2">
        <v>45813.5075</v>
      </c>
      <c r="D3265" t="s">
        <v>38</v>
      </c>
      <c r="E3265" t="s">
        <v>25</v>
      </c>
      <c r="F3265" t="s">
        <v>53</v>
      </c>
      <c r="G3265" t="s">
        <v>41</v>
      </c>
      <c r="H3265" t="s">
        <v>19</v>
      </c>
      <c r="I3265" t="s">
        <v>36</v>
      </c>
      <c r="J3265" t="s">
        <v>21</v>
      </c>
      <c r="K3265">
        <v>8</v>
      </c>
      <c r="L3265">
        <v>12.18</v>
      </c>
      <c r="M3265">
        <v>3.8</v>
      </c>
      <c r="N3265" t="s">
        <v>22</v>
      </c>
      <c r="O3265" t="str">
        <f t="shared" si="50"/>
        <v>Yes</v>
      </c>
    </row>
    <row r="3266" spans="1:15" x14ac:dyDescent="0.25">
      <c r="A3266" t="s">
        <v>3327</v>
      </c>
      <c r="B3266" s="1">
        <v>45753</v>
      </c>
      <c r="C3266" s="2">
        <v>45753.334166666667</v>
      </c>
      <c r="D3266" t="s">
        <v>24</v>
      </c>
      <c r="E3266" t="s">
        <v>16</v>
      </c>
      <c r="F3266" t="s">
        <v>43</v>
      </c>
      <c r="G3266" t="s">
        <v>18</v>
      </c>
      <c r="H3266" t="s">
        <v>19</v>
      </c>
      <c r="I3266" t="s">
        <v>36</v>
      </c>
      <c r="J3266" t="s">
        <v>29</v>
      </c>
      <c r="K3266">
        <v>24</v>
      </c>
      <c r="L3266">
        <v>8.02</v>
      </c>
      <c r="M3266">
        <v>4.5999999999999996</v>
      </c>
      <c r="N3266" t="s">
        <v>22</v>
      </c>
      <c r="O3266" t="str">
        <f t="shared" si="50"/>
        <v>No</v>
      </c>
    </row>
    <row r="3267" spans="1:15" x14ac:dyDescent="0.25">
      <c r="A3267" t="s">
        <v>3328</v>
      </c>
      <c r="B3267" s="1">
        <v>45774</v>
      </c>
      <c r="C3267" s="2">
        <v>45774.232916666668</v>
      </c>
      <c r="D3267" t="s">
        <v>24</v>
      </c>
      <c r="E3267" t="s">
        <v>39</v>
      </c>
      <c r="F3267" t="s">
        <v>78</v>
      </c>
      <c r="G3267" t="s">
        <v>41</v>
      </c>
      <c r="H3267" t="s">
        <v>35</v>
      </c>
      <c r="I3267" t="s">
        <v>36</v>
      </c>
      <c r="J3267" t="s">
        <v>85</v>
      </c>
      <c r="K3267">
        <v>24</v>
      </c>
      <c r="L3267">
        <v>5.59</v>
      </c>
      <c r="M3267">
        <v>4.7</v>
      </c>
      <c r="N3267" t="s">
        <v>22</v>
      </c>
      <c r="O3267" t="str">
        <f t="shared" ref="O3267:O3330" si="51">IF(L3267&gt;K3267,"Yes","No")</f>
        <v>No</v>
      </c>
    </row>
    <row r="3268" spans="1:15" x14ac:dyDescent="0.25">
      <c r="A3268" t="s">
        <v>3329</v>
      </c>
      <c r="B3268" s="1">
        <v>45791</v>
      </c>
      <c r="C3268" s="2">
        <v>45791.080416666664</v>
      </c>
      <c r="D3268" t="s">
        <v>24</v>
      </c>
      <c r="E3268" t="s">
        <v>32</v>
      </c>
      <c r="F3268" t="s">
        <v>64</v>
      </c>
      <c r="G3268" t="s">
        <v>51</v>
      </c>
      <c r="H3268" t="s">
        <v>27</v>
      </c>
      <c r="I3268" t="s">
        <v>45</v>
      </c>
      <c r="J3268" t="s">
        <v>21</v>
      </c>
      <c r="K3268">
        <v>24</v>
      </c>
      <c r="L3268">
        <v>1.93</v>
      </c>
      <c r="M3268">
        <v>4</v>
      </c>
      <c r="N3268" t="s">
        <v>22</v>
      </c>
      <c r="O3268" t="str">
        <f t="shared" si="51"/>
        <v>No</v>
      </c>
    </row>
    <row r="3269" spans="1:15" x14ac:dyDescent="0.25">
      <c r="A3269" t="s">
        <v>3330</v>
      </c>
      <c r="B3269" s="1">
        <v>45782</v>
      </c>
      <c r="C3269" s="2">
        <v>45782.410833333335</v>
      </c>
      <c r="D3269" t="s">
        <v>24</v>
      </c>
      <c r="E3269" t="s">
        <v>39</v>
      </c>
      <c r="F3269" t="s">
        <v>119</v>
      </c>
      <c r="G3269" t="s">
        <v>41</v>
      </c>
      <c r="H3269" t="s">
        <v>54</v>
      </c>
      <c r="I3269" t="s">
        <v>45</v>
      </c>
      <c r="J3269" t="s">
        <v>21</v>
      </c>
      <c r="K3269">
        <v>24</v>
      </c>
      <c r="L3269">
        <v>9.86</v>
      </c>
      <c r="M3269">
        <v>5</v>
      </c>
      <c r="N3269" t="s">
        <v>22</v>
      </c>
      <c r="O3269" t="str">
        <f t="shared" si="51"/>
        <v>No</v>
      </c>
    </row>
    <row r="3270" spans="1:15" x14ac:dyDescent="0.25">
      <c r="A3270" t="s">
        <v>3331</v>
      </c>
      <c r="B3270" s="1">
        <v>45682</v>
      </c>
      <c r="C3270" s="2">
        <v>45682.456666666665</v>
      </c>
      <c r="D3270" t="s">
        <v>24</v>
      </c>
      <c r="E3270" t="s">
        <v>25</v>
      </c>
      <c r="F3270" t="s">
        <v>48</v>
      </c>
      <c r="G3270" t="s">
        <v>34</v>
      </c>
      <c r="H3270" t="s">
        <v>19</v>
      </c>
      <c r="I3270" t="s">
        <v>36</v>
      </c>
      <c r="J3270" t="s">
        <v>21</v>
      </c>
      <c r="K3270">
        <v>24</v>
      </c>
      <c r="L3270">
        <v>10.96</v>
      </c>
      <c r="M3270">
        <v>4.4000000000000004</v>
      </c>
      <c r="N3270" t="s">
        <v>22</v>
      </c>
      <c r="O3270" t="str">
        <f t="shared" si="51"/>
        <v>No</v>
      </c>
    </row>
    <row r="3271" spans="1:15" x14ac:dyDescent="0.25">
      <c r="A3271" t="s">
        <v>3332</v>
      </c>
      <c r="B3271" s="1">
        <v>45835</v>
      </c>
      <c r="C3271" s="2">
        <v>45835.179166666669</v>
      </c>
      <c r="D3271" t="s">
        <v>38</v>
      </c>
      <c r="E3271" t="s">
        <v>25</v>
      </c>
      <c r="F3271" t="s">
        <v>26</v>
      </c>
      <c r="G3271" t="s">
        <v>56</v>
      </c>
      <c r="H3271" t="s">
        <v>65</v>
      </c>
      <c r="I3271" t="s">
        <v>28</v>
      </c>
      <c r="J3271" t="s">
        <v>21</v>
      </c>
      <c r="K3271">
        <v>8</v>
      </c>
      <c r="L3271">
        <v>4.3</v>
      </c>
      <c r="M3271">
        <v>5</v>
      </c>
      <c r="N3271" t="s">
        <v>22</v>
      </c>
      <c r="O3271" t="str">
        <f t="shared" si="51"/>
        <v>No</v>
      </c>
    </row>
    <row r="3272" spans="1:15" x14ac:dyDescent="0.25">
      <c r="A3272" t="s">
        <v>3333</v>
      </c>
      <c r="B3272" s="1">
        <v>45687</v>
      </c>
      <c r="C3272" s="2">
        <v>45687.066250000003</v>
      </c>
      <c r="D3272" t="s">
        <v>38</v>
      </c>
      <c r="E3272" t="s">
        <v>32</v>
      </c>
      <c r="F3272" t="s">
        <v>64</v>
      </c>
      <c r="G3272" t="s">
        <v>41</v>
      </c>
      <c r="H3272" t="s">
        <v>35</v>
      </c>
      <c r="I3272" t="s">
        <v>36</v>
      </c>
      <c r="J3272" t="s">
        <v>21</v>
      </c>
      <c r="K3272">
        <v>8</v>
      </c>
      <c r="L3272">
        <v>1.59</v>
      </c>
      <c r="M3272">
        <v>4.4000000000000004</v>
      </c>
      <c r="N3272" t="s">
        <v>22</v>
      </c>
      <c r="O3272" t="str">
        <f t="shared" si="51"/>
        <v>No</v>
      </c>
    </row>
    <row r="3273" spans="1:15" x14ac:dyDescent="0.25">
      <c r="A3273" t="s">
        <v>3334</v>
      </c>
      <c r="B3273" s="1">
        <v>45732</v>
      </c>
      <c r="C3273" s="2">
        <v>45732.20416666667</v>
      </c>
      <c r="D3273" t="s">
        <v>38</v>
      </c>
      <c r="E3273" t="s">
        <v>39</v>
      </c>
      <c r="F3273" t="s">
        <v>87</v>
      </c>
      <c r="G3273" t="s">
        <v>56</v>
      </c>
      <c r="H3273" t="s">
        <v>35</v>
      </c>
      <c r="I3273" t="s">
        <v>20</v>
      </c>
      <c r="J3273" t="s">
        <v>21</v>
      </c>
      <c r="K3273">
        <v>8</v>
      </c>
      <c r="L3273">
        <v>4.9000000000000004</v>
      </c>
      <c r="M3273">
        <v>4.8</v>
      </c>
      <c r="N3273" t="s">
        <v>22</v>
      </c>
      <c r="O3273" t="str">
        <f t="shared" si="51"/>
        <v>No</v>
      </c>
    </row>
    <row r="3274" spans="1:15" x14ac:dyDescent="0.25">
      <c r="A3274" t="s">
        <v>3335</v>
      </c>
      <c r="B3274" s="1">
        <v>45776</v>
      </c>
      <c r="C3274" s="2">
        <v>45777.017083333332</v>
      </c>
      <c r="D3274" t="s">
        <v>15</v>
      </c>
      <c r="E3274" t="s">
        <v>39</v>
      </c>
      <c r="F3274" t="s">
        <v>87</v>
      </c>
      <c r="G3274" t="s">
        <v>41</v>
      </c>
      <c r="H3274" t="s">
        <v>27</v>
      </c>
      <c r="I3274" t="s">
        <v>20</v>
      </c>
      <c r="J3274" t="s">
        <v>46</v>
      </c>
      <c r="K3274">
        <v>48</v>
      </c>
      <c r="L3274">
        <v>24.41</v>
      </c>
      <c r="M3274">
        <v>4</v>
      </c>
      <c r="N3274" t="s">
        <v>22</v>
      </c>
      <c r="O3274" t="str">
        <f t="shared" si="51"/>
        <v>No</v>
      </c>
    </row>
    <row r="3275" spans="1:15" x14ac:dyDescent="0.25">
      <c r="A3275" t="s">
        <v>3336</v>
      </c>
      <c r="B3275" s="1">
        <v>45731</v>
      </c>
      <c r="C3275" s="2">
        <v>45731.620416666665</v>
      </c>
      <c r="D3275" t="s">
        <v>24</v>
      </c>
      <c r="E3275" t="s">
        <v>16</v>
      </c>
      <c r="F3275" t="s">
        <v>58</v>
      </c>
      <c r="G3275" t="s">
        <v>34</v>
      </c>
      <c r="H3275" t="s">
        <v>19</v>
      </c>
      <c r="I3275" t="s">
        <v>20</v>
      </c>
      <c r="J3275" t="s">
        <v>21</v>
      </c>
      <c r="K3275">
        <v>24</v>
      </c>
      <c r="L3275">
        <v>14.89</v>
      </c>
      <c r="M3275">
        <v>5</v>
      </c>
      <c r="N3275" t="s">
        <v>22</v>
      </c>
      <c r="O3275" t="str">
        <f t="shared" si="51"/>
        <v>No</v>
      </c>
    </row>
    <row r="3276" spans="1:15" x14ac:dyDescent="0.25">
      <c r="A3276" t="s">
        <v>3337</v>
      </c>
      <c r="B3276" s="1">
        <v>45702</v>
      </c>
      <c r="C3276" s="2">
        <v>45703.443333333336</v>
      </c>
      <c r="D3276" t="s">
        <v>15</v>
      </c>
      <c r="E3276" t="s">
        <v>32</v>
      </c>
      <c r="F3276" t="s">
        <v>33</v>
      </c>
      <c r="G3276" t="s">
        <v>56</v>
      </c>
      <c r="H3276" t="s">
        <v>27</v>
      </c>
      <c r="I3276" t="s">
        <v>45</v>
      </c>
      <c r="J3276" t="s">
        <v>29</v>
      </c>
      <c r="K3276">
        <v>48</v>
      </c>
      <c r="L3276">
        <v>34.64</v>
      </c>
      <c r="M3276">
        <v>4.9000000000000004</v>
      </c>
      <c r="N3276" t="s">
        <v>22</v>
      </c>
      <c r="O3276" t="str">
        <f t="shared" si="51"/>
        <v>No</v>
      </c>
    </row>
    <row r="3277" spans="1:15" x14ac:dyDescent="0.25">
      <c r="A3277" t="s">
        <v>3338</v>
      </c>
      <c r="B3277" s="1">
        <v>45825</v>
      </c>
      <c r="C3277" s="2">
        <v>45826.112083333333</v>
      </c>
      <c r="D3277" t="s">
        <v>15</v>
      </c>
      <c r="E3277" t="s">
        <v>39</v>
      </c>
      <c r="F3277" t="s">
        <v>78</v>
      </c>
      <c r="G3277" t="s">
        <v>34</v>
      </c>
      <c r="H3277" t="s">
        <v>19</v>
      </c>
      <c r="I3277" t="s">
        <v>36</v>
      </c>
      <c r="J3277" t="s">
        <v>21</v>
      </c>
      <c r="K3277">
        <v>48</v>
      </c>
      <c r="L3277">
        <v>26.69</v>
      </c>
      <c r="M3277">
        <v>4.9000000000000004</v>
      </c>
      <c r="N3277" t="s">
        <v>22</v>
      </c>
      <c r="O3277" t="str">
        <f t="shared" si="51"/>
        <v>No</v>
      </c>
    </row>
    <row r="3278" spans="1:15" x14ac:dyDescent="0.25">
      <c r="A3278" t="s">
        <v>3339</v>
      </c>
      <c r="B3278" s="1">
        <v>45670</v>
      </c>
      <c r="C3278" s="2">
        <v>45671.040833333333</v>
      </c>
      <c r="D3278" t="s">
        <v>24</v>
      </c>
      <c r="E3278" t="s">
        <v>45</v>
      </c>
      <c r="F3278" t="s">
        <v>112</v>
      </c>
      <c r="G3278" t="s">
        <v>18</v>
      </c>
      <c r="H3278" t="s">
        <v>54</v>
      </c>
      <c r="I3278" t="s">
        <v>20</v>
      </c>
      <c r="J3278" t="s">
        <v>21</v>
      </c>
      <c r="K3278">
        <v>24</v>
      </c>
      <c r="L3278">
        <v>24.98</v>
      </c>
      <c r="M3278">
        <v>3.3</v>
      </c>
      <c r="N3278" t="s">
        <v>22</v>
      </c>
      <c r="O3278" t="str">
        <f t="shared" si="51"/>
        <v>Yes</v>
      </c>
    </row>
    <row r="3279" spans="1:15" x14ac:dyDescent="0.25">
      <c r="A3279" t="s">
        <v>3340</v>
      </c>
      <c r="B3279" s="1">
        <v>45702</v>
      </c>
      <c r="C3279" s="2">
        <v>45702.685416666667</v>
      </c>
      <c r="D3279" t="s">
        <v>24</v>
      </c>
      <c r="E3279" t="s">
        <v>39</v>
      </c>
      <c r="F3279" t="s">
        <v>87</v>
      </c>
      <c r="G3279" t="s">
        <v>41</v>
      </c>
      <c r="H3279" t="s">
        <v>44</v>
      </c>
      <c r="I3279" t="s">
        <v>20</v>
      </c>
      <c r="J3279" t="s">
        <v>46</v>
      </c>
      <c r="K3279">
        <v>24</v>
      </c>
      <c r="L3279">
        <v>16.45</v>
      </c>
      <c r="M3279">
        <v>5</v>
      </c>
      <c r="N3279" t="s">
        <v>61</v>
      </c>
      <c r="O3279" t="str">
        <f t="shared" si="51"/>
        <v>No</v>
      </c>
    </row>
    <row r="3280" spans="1:15" x14ac:dyDescent="0.25">
      <c r="A3280" t="s">
        <v>3341</v>
      </c>
      <c r="B3280" s="1">
        <v>45837</v>
      </c>
      <c r="C3280" s="2">
        <v>45837.173333333332</v>
      </c>
      <c r="D3280" t="s">
        <v>38</v>
      </c>
      <c r="E3280" t="s">
        <v>25</v>
      </c>
      <c r="F3280" t="s">
        <v>53</v>
      </c>
      <c r="G3280" t="s">
        <v>18</v>
      </c>
      <c r="H3280" t="s">
        <v>35</v>
      </c>
      <c r="I3280" t="s">
        <v>20</v>
      </c>
      <c r="J3280" t="s">
        <v>46</v>
      </c>
      <c r="K3280">
        <v>8</v>
      </c>
      <c r="L3280">
        <v>4.16</v>
      </c>
      <c r="M3280">
        <v>5</v>
      </c>
      <c r="N3280" t="s">
        <v>22</v>
      </c>
      <c r="O3280" t="str">
        <f t="shared" si="51"/>
        <v>No</v>
      </c>
    </row>
    <row r="3281" spans="1:15" x14ac:dyDescent="0.25">
      <c r="A3281" t="s">
        <v>3342</v>
      </c>
      <c r="B3281" s="1">
        <v>45790</v>
      </c>
      <c r="C3281" s="2">
        <v>45790.582083333335</v>
      </c>
      <c r="D3281" t="s">
        <v>15</v>
      </c>
      <c r="E3281" t="s">
        <v>16</v>
      </c>
      <c r="F3281" t="s">
        <v>17</v>
      </c>
      <c r="G3281" t="s">
        <v>56</v>
      </c>
      <c r="H3281" t="s">
        <v>35</v>
      </c>
      <c r="I3281" t="s">
        <v>36</v>
      </c>
      <c r="J3281" t="s">
        <v>46</v>
      </c>
      <c r="K3281">
        <v>48</v>
      </c>
      <c r="L3281">
        <v>13.97</v>
      </c>
      <c r="M3281">
        <v>4.4000000000000004</v>
      </c>
      <c r="N3281" t="s">
        <v>22</v>
      </c>
      <c r="O3281" t="str">
        <f t="shared" si="51"/>
        <v>No</v>
      </c>
    </row>
    <row r="3282" spans="1:15" x14ac:dyDescent="0.25">
      <c r="A3282" t="s">
        <v>3343</v>
      </c>
      <c r="B3282" s="1">
        <v>45673</v>
      </c>
      <c r="C3282" s="2">
        <v>45673.07</v>
      </c>
      <c r="D3282" t="s">
        <v>31</v>
      </c>
      <c r="E3282" t="s">
        <v>39</v>
      </c>
      <c r="F3282" t="s">
        <v>87</v>
      </c>
      <c r="G3282" t="s">
        <v>51</v>
      </c>
      <c r="H3282" t="s">
        <v>65</v>
      </c>
      <c r="I3282" t="s">
        <v>45</v>
      </c>
      <c r="J3282" t="s">
        <v>29</v>
      </c>
      <c r="K3282">
        <v>4</v>
      </c>
      <c r="L3282">
        <v>1.68</v>
      </c>
      <c r="M3282">
        <v>4.5999999999999996</v>
      </c>
      <c r="N3282" t="s">
        <v>22</v>
      </c>
      <c r="O3282" t="str">
        <f t="shared" si="51"/>
        <v>No</v>
      </c>
    </row>
    <row r="3283" spans="1:15" x14ac:dyDescent="0.25">
      <c r="A3283" t="s">
        <v>3344</v>
      </c>
      <c r="B3283" s="1">
        <v>45794</v>
      </c>
      <c r="C3283" s="2">
        <v>45794.023333333331</v>
      </c>
      <c r="D3283" t="s">
        <v>31</v>
      </c>
      <c r="E3283" t="s">
        <v>16</v>
      </c>
      <c r="F3283" t="s">
        <v>58</v>
      </c>
      <c r="G3283" t="s">
        <v>56</v>
      </c>
      <c r="H3283" t="s">
        <v>35</v>
      </c>
      <c r="I3283" t="s">
        <v>36</v>
      </c>
      <c r="J3283" t="s">
        <v>46</v>
      </c>
      <c r="K3283">
        <v>4</v>
      </c>
      <c r="L3283">
        <v>0.56000000000000005</v>
      </c>
      <c r="M3283">
        <v>5</v>
      </c>
      <c r="N3283" t="s">
        <v>22</v>
      </c>
      <c r="O3283" t="str">
        <f t="shared" si="51"/>
        <v>No</v>
      </c>
    </row>
    <row r="3284" spans="1:15" x14ac:dyDescent="0.25">
      <c r="A3284" t="s">
        <v>3345</v>
      </c>
      <c r="B3284" s="1">
        <v>45833</v>
      </c>
      <c r="C3284" s="2">
        <v>45833.900416666664</v>
      </c>
      <c r="D3284" t="s">
        <v>24</v>
      </c>
      <c r="E3284" t="s">
        <v>32</v>
      </c>
      <c r="F3284" t="s">
        <v>80</v>
      </c>
      <c r="G3284" t="s">
        <v>34</v>
      </c>
      <c r="H3284" t="s">
        <v>54</v>
      </c>
      <c r="I3284" t="s">
        <v>45</v>
      </c>
      <c r="J3284" t="s">
        <v>46</v>
      </c>
      <c r="K3284">
        <v>24</v>
      </c>
      <c r="L3284">
        <v>21.61</v>
      </c>
      <c r="M3284">
        <v>2.6</v>
      </c>
      <c r="N3284" t="s">
        <v>22</v>
      </c>
      <c r="O3284" t="str">
        <f t="shared" si="51"/>
        <v>No</v>
      </c>
    </row>
    <row r="3285" spans="1:15" x14ac:dyDescent="0.25">
      <c r="A3285" t="s">
        <v>3346</v>
      </c>
      <c r="B3285" s="1">
        <v>45675</v>
      </c>
      <c r="C3285" s="2">
        <v>45675.097500000003</v>
      </c>
      <c r="D3285" t="s">
        <v>38</v>
      </c>
      <c r="E3285" t="s">
        <v>32</v>
      </c>
      <c r="F3285" t="s">
        <v>80</v>
      </c>
      <c r="G3285" t="s">
        <v>18</v>
      </c>
      <c r="H3285" t="s">
        <v>19</v>
      </c>
      <c r="I3285" t="s">
        <v>20</v>
      </c>
      <c r="J3285" t="s">
        <v>46</v>
      </c>
      <c r="K3285">
        <v>8</v>
      </c>
      <c r="L3285">
        <v>2.34</v>
      </c>
      <c r="M3285">
        <v>5</v>
      </c>
      <c r="N3285" t="s">
        <v>22</v>
      </c>
      <c r="O3285" t="str">
        <f t="shared" si="51"/>
        <v>No</v>
      </c>
    </row>
    <row r="3286" spans="1:15" x14ac:dyDescent="0.25">
      <c r="A3286" t="s">
        <v>3347</v>
      </c>
      <c r="B3286" s="1">
        <v>45732</v>
      </c>
      <c r="C3286" s="2">
        <v>45732.456666666665</v>
      </c>
      <c r="D3286" t="s">
        <v>15</v>
      </c>
      <c r="E3286" t="s">
        <v>45</v>
      </c>
      <c r="F3286" t="s">
        <v>100</v>
      </c>
      <c r="G3286" t="s">
        <v>18</v>
      </c>
      <c r="H3286" t="s">
        <v>65</v>
      </c>
      <c r="I3286" t="s">
        <v>36</v>
      </c>
      <c r="J3286" t="s">
        <v>21</v>
      </c>
      <c r="K3286">
        <v>48</v>
      </c>
      <c r="L3286">
        <v>10.96</v>
      </c>
      <c r="M3286">
        <v>5</v>
      </c>
      <c r="N3286" t="s">
        <v>22</v>
      </c>
      <c r="O3286" t="str">
        <f t="shared" si="51"/>
        <v>No</v>
      </c>
    </row>
    <row r="3287" spans="1:15" x14ac:dyDescent="0.25">
      <c r="A3287" t="s">
        <v>3348</v>
      </c>
      <c r="B3287" s="1">
        <v>45742</v>
      </c>
      <c r="C3287" s="2">
        <v>45742.053333333337</v>
      </c>
      <c r="D3287" t="s">
        <v>38</v>
      </c>
      <c r="E3287" t="s">
        <v>25</v>
      </c>
      <c r="F3287" t="s">
        <v>26</v>
      </c>
      <c r="G3287" t="s">
        <v>56</v>
      </c>
      <c r="H3287" t="s">
        <v>65</v>
      </c>
      <c r="I3287" t="s">
        <v>36</v>
      </c>
      <c r="J3287" t="s">
        <v>46</v>
      </c>
      <c r="K3287">
        <v>8</v>
      </c>
      <c r="L3287">
        <v>1.28</v>
      </c>
      <c r="M3287">
        <v>4.4000000000000004</v>
      </c>
      <c r="N3287" t="s">
        <v>22</v>
      </c>
      <c r="O3287" t="str">
        <f t="shared" si="51"/>
        <v>No</v>
      </c>
    </row>
    <row r="3288" spans="1:15" x14ac:dyDescent="0.25">
      <c r="A3288" t="s">
        <v>3349</v>
      </c>
      <c r="B3288" s="1">
        <v>45681</v>
      </c>
      <c r="C3288" s="2">
        <v>45681.091249999998</v>
      </c>
      <c r="D3288" t="s">
        <v>38</v>
      </c>
      <c r="E3288" t="s">
        <v>25</v>
      </c>
      <c r="F3288" t="s">
        <v>48</v>
      </c>
      <c r="G3288" t="s">
        <v>41</v>
      </c>
      <c r="H3288" t="s">
        <v>44</v>
      </c>
      <c r="I3288" t="s">
        <v>36</v>
      </c>
      <c r="J3288" t="s">
        <v>21</v>
      </c>
      <c r="K3288">
        <v>8</v>
      </c>
      <c r="L3288">
        <v>2.19</v>
      </c>
      <c r="M3288">
        <v>3.2</v>
      </c>
      <c r="N3288" t="s">
        <v>22</v>
      </c>
      <c r="O3288" t="str">
        <f t="shared" si="51"/>
        <v>No</v>
      </c>
    </row>
    <row r="3289" spans="1:15" x14ac:dyDescent="0.25">
      <c r="A3289" t="s">
        <v>3350</v>
      </c>
      <c r="B3289" s="1">
        <v>45694</v>
      </c>
      <c r="C3289" s="2">
        <v>45694.114999999998</v>
      </c>
      <c r="D3289" t="s">
        <v>38</v>
      </c>
      <c r="E3289" t="s">
        <v>32</v>
      </c>
      <c r="F3289" t="s">
        <v>75</v>
      </c>
      <c r="G3289" t="s">
        <v>51</v>
      </c>
      <c r="H3289" t="s">
        <v>35</v>
      </c>
      <c r="I3289" t="s">
        <v>36</v>
      </c>
      <c r="J3289" t="s">
        <v>85</v>
      </c>
      <c r="K3289">
        <v>8</v>
      </c>
      <c r="L3289">
        <v>2.76</v>
      </c>
      <c r="M3289">
        <v>4.8</v>
      </c>
      <c r="N3289" t="s">
        <v>22</v>
      </c>
      <c r="O3289" t="str">
        <f t="shared" si="51"/>
        <v>No</v>
      </c>
    </row>
    <row r="3290" spans="1:15" x14ac:dyDescent="0.25">
      <c r="A3290" t="s">
        <v>3351</v>
      </c>
      <c r="B3290" s="1">
        <v>45689</v>
      </c>
      <c r="C3290" s="2">
        <v>45689.394999999997</v>
      </c>
      <c r="D3290" t="s">
        <v>38</v>
      </c>
      <c r="E3290" t="s">
        <v>32</v>
      </c>
      <c r="F3290" t="s">
        <v>33</v>
      </c>
      <c r="G3290" t="s">
        <v>41</v>
      </c>
      <c r="H3290" t="s">
        <v>19</v>
      </c>
      <c r="I3290" t="s">
        <v>36</v>
      </c>
      <c r="J3290" t="s">
        <v>21</v>
      </c>
      <c r="K3290">
        <v>8</v>
      </c>
      <c r="L3290">
        <v>9.48</v>
      </c>
      <c r="M3290">
        <v>2.8</v>
      </c>
      <c r="N3290" t="s">
        <v>22</v>
      </c>
      <c r="O3290" t="str">
        <f t="shared" si="51"/>
        <v>Yes</v>
      </c>
    </row>
    <row r="3291" spans="1:15" x14ac:dyDescent="0.25">
      <c r="A3291" t="s">
        <v>3352</v>
      </c>
      <c r="B3291" s="1">
        <v>45691</v>
      </c>
      <c r="C3291" s="2">
        <v>45691.287499999999</v>
      </c>
      <c r="D3291" t="s">
        <v>24</v>
      </c>
      <c r="E3291" t="s">
        <v>32</v>
      </c>
      <c r="F3291" t="s">
        <v>64</v>
      </c>
      <c r="G3291" t="s">
        <v>51</v>
      </c>
      <c r="H3291" t="s">
        <v>35</v>
      </c>
      <c r="I3291" t="s">
        <v>36</v>
      </c>
      <c r="J3291" t="s">
        <v>21</v>
      </c>
      <c r="K3291">
        <v>24</v>
      </c>
      <c r="L3291">
        <v>6.9</v>
      </c>
      <c r="M3291">
        <v>3.6</v>
      </c>
      <c r="N3291" t="s">
        <v>22</v>
      </c>
      <c r="O3291" t="str">
        <f t="shared" si="51"/>
        <v>No</v>
      </c>
    </row>
    <row r="3292" spans="1:15" x14ac:dyDescent="0.25">
      <c r="A3292" t="s">
        <v>3353</v>
      </c>
      <c r="B3292" s="1">
        <v>45731</v>
      </c>
      <c r="C3292" s="2">
        <v>45731.456666666665</v>
      </c>
      <c r="D3292" t="s">
        <v>38</v>
      </c>
      <c r="E3292" t="s">
        <v>45</v>
      </c>
      <c r="F3292" t="s">
        <v>100</v>
      </c>
      <c r="G3292" t="s">
        <v>18</v>
      </c>
      <c r="H3292" t="s">
        <v>27</v>
      </c>
      <c r="I3292" t="s">
        <v>36</v>
      </c>
      <c r="J3292" t="s">
        <v>21</v>
      </c>
      <c r="K3292">
        <v>8</v>
      </c>
      <c r="L3292">
        <v>10.96</v>
      </c>
      <c r="M3292">
        <v>3.6</v>
      </c>
      <c r="N3292" t="s">
        <v>22</v>
      </c>
      <c r="O3292" t="str">
        <f t="shared" si="51"/>
        <v>Yes</v>
      </c>
    </row>
    <row r="3293" spans="1:15" x14ac:dyDescent="0.25">
      <c r="A3293" t="s">
        <v>3354</v>
      </c>
      <c r="B3293" s="1">
        <v>45741</v>
      </c>
      <c r="C3293" s="2">
        <v>45742.194166666668</v>
      </c>
      <c r="D3293" t="s">
        <v>24</v>
      </c>
      <c r="E3293" t="s">
        <v>25</v>
      </c>
      <c r="F3293" t="s">
        <v>53</v>
      </c>
      <c r="G3293" t="s">
        <v>18</v>
      </c>
      <c r="H3293" t="s">
        <v>19</v>
      </c>
      <c r="I3293" t="s">
        <v>45</v>
      </c>
      <c r="J3293" t="s">
        <v>21</v>
      </c>
      <c r="K3293">
        <v>24</v>
      </c>
      <c r="L3293">
        <v>28.66</v>
      </c>
      <c r="M3293">
        <v>4.4000000000000004</v>
      </c>
      <c r="N3293" t="s">
        <v>22</v>
      </c>
      <c r="O3293" t="str">
        <f t="shared" si="51"/>
        <v>Yes</v>
      </c>
    </row>
    <row r="3294" spans="1:15" x14ac:dyDescent="0.25">
      <c r="A3294" t="s">
        <v>3355</v>
      </c>
      <c r="B3294" s="1">
        <v>45701</v>
      </c>
      <c r="C3294" s="2">
        <v>45703.326666666668</v>
      </c>
      <c r="D3294" t="s">
        <v>15</v>
      </c>
      <c r="E3294" t="s">
        <v>16</v>
      </c>
      <c r="F3294" t="s">
        <v>43</v>
      </c>
      <c r="G3294" t="s">
        <v>51</v>
      </c>
      <c r="H3294" t="s">
        <v>65</v>
      </c>
      <c r="I3294" t="s">
        <v>20</v>
      </c>
      <c r="J3294" t="s">
        <v>21</v>
      </c>
      <c r="K3294">
        <v>48</v>
      </c>
      <c r="L3294">
        <v>55.84</v>
      </c>
      <c r="M3294">
        <v>3.5</v>
      </c>
      <c r="N3294" t="s">
        <v>22</v>
      </c>
      <c r="O3294" t="str">
        <f t="shared" si="51"/>
        <v>Yes</v>
      </c>
    </row>
    <row r="3295" spans="1:15" x14ac:dyDescent="0.25">
      <c r="A3295" t="s">
        <v>3356</v>
      </c>
      <c r="B3295" s="1">
        <v>45710</v>
      </c>
      <c r="C3295" s="2">
        <v>45711.556250000001</v>
      </c>
      <c r="D3295" t="s">
        <v>15</v>
      </c>
      <c r="E3295" t="s">
        <v>45</v>
      </c>
      <c r="F3295" t="s">
        <v>50</v>
      </c>
      <c r="G3295" t="s">
        <v>51</v>
      </c>
      <c r="H3295" t="s">
        <v>35</v>
      </c>
      <c r="I3295" t="s">
        <v>36</v>
      </c>
      <c r="J3295" t="s">
        <v>21</v>
      </c>
      <c r="K3295">
        <v>48</v>
      </c>
      <c r="L3295">
        <v>37.35</v>
      </c>
      <c r="M3295">
        <v>4.8</v>
      </c>
      <c r="N3295" t="s">
        <v>22</v>
      </c>
      <c r="O3295" t="str">
        <f t="shared" si="51"/>
        <v>No</v>
      </c>
    </row>
    <row r="3296" spans="1:15" x14ac:dyDescent="0.25">
      <c r="A3296" t="s">
        <v>3357</v>
      </c>
      <c r="B3296" s="1">
        <v>45692</v>
      </c>
      <c r="C3296" s="2">
        <v>45692.035833333335</v>
      </c>
      <c r="D3296" t="s">
        <v>38</v>
      </c>
      <c r="E3296" t="s">
        <v>32</v>
      </c>
      <c r="F3296" t="s">
        <v>33</v>
      </c>
      <c r="G3296" t="s">
        <v>34</v>
      </c>
      <c r="H3296" t="s">
        <v>54</v>
      </c>
      <c r="I3296" t="s">
        <v>36</v>
      </c>
      <c r="J3296" t="s">
        <v>85</v>
      </c>
      <c r="K3296">
        <v>8</v>
      </c>
      <c r="L3296">
        <v>0.86</v>
      </c>
      <c r="M3296">
        <v>5</v>
      </c>
      <c r="N3296" t="s">
        <v>22</v>
      </c>
      <c r="O3296" t="str">
        <f t="shared" si="51"/>
        <v>No</v>
      </c>
    </row>
    <row r="3297" spans="1:15" x14ac:dyDescent="0.25">
      <c r="A3297" t="s">
        <v>3358</v>
      </c>
      <c r="B3297" s="1">
        <v>45802</v>
      </c>
      <c r="C3297" s="2">
        <v>45803.074583333335</v>
      </c>
      <c r="D3297" t="s">
        <v>24</v>
      </c>
      <c r="E3297" t="s">
        <v>16</v>
      </c>
      <c r="F3297" t="s">
        <v>17</v>
      </c>
      <c r="G3297" t="s">
        <v>18</v>
      </c>
      <c r="H3297" t="s">
        <v>19</v>
      </c>
      <c r="I3297" t="s">
        <v>20</v>
      </c>
      <c r="J3297" t="s">
        <v>21</v>
      </c>
      <c r="K3297">
        <v>24</v>
      </c>
      <c r="L3297">
        <v>25.79</v>
      </c>
      <c r="M3297">
        <v>2.8</v>
      </c>
      <c r="N3297" t="s">
        <v>22</v>
      </c>
      <c r="O3297" t="str">
        <f t="shared" si="51"/>
        <v>Yes</v>
      </c>
    </row>
    <row r="3298" spans="1:15" x14ac:dyDescent="0.25">
      <c r="A3298" t="s">
        <v>3359</v>
      </c>
      <c r="B3298" s="1">
        <v>45696</v>
      </c>
      <c r="C3298" s="2">
        <v>45696.122083333335</v>
      </c>
      <c r="D3298" t="s">
        <v>24</v>
      </c>
      <c r="E3298" t="s">
        <v>32</v>
      </c>
      <c r="F3298" t="s">
        <v>75</v>
      </c>
      <c r="G3298" t="s">
        <v>34</v>
      </c>
      <c r="H3298" t="s">
        <v>19</v>
      </c>
      <c r="I3298" t="s">
        <v>36</v>
      </c>
      <c r="J3298" t="s">
        <v>85</v>
      </c>
      <c r="K3298">
        <v>24</v>
      </c>
      <c r="L3298">
        <v>2.93</v>
      </c>
      <c r="M3298">
        <v>4.5</v>
      </c>
      <c r="N3298" t="s">
        <v>22</v>
      </c>
      <c r="O3298" t="str">
        <f t="shared" si="51"/>
        <v>No</v>
      </c>
    </row>
    <row r="3299" spans="1:15" x14ac:dyDescent="0.25">
      <c r="A3299" t="s">
        <v>3360</v>
      </c>
      <c r="B3299" s="1">
        <v>45822</v>
      </c>
      <c r="C3299" s="2">
        <v>45822.069166666668</v>
      </c>
      <c r="D3299" t="s">
        <v>38</v>
      </c>
      <c r="E3299" t="s">
        <v>39</v>
      </c>
      <c r="F3299" t="s">
        <v>119</v>
      </c>
      <c r="G3299" t="s">
        <v>34</v>
      </c>
      <c r="H3299" t="s">
        <v>27</v>
      </c>
      <c r="I3299" t="s">
        <v>36</v>
      </c>
      <c r="J3299" t="s">
        <v>46</v>
      </c>
      <c r="K3299">
        <v>8</v>
      </c>
      <c r="L3299">
        <v>1.66</v>
      </c>
      <c r="M3299">
        <v>5</v>
      </c>
      <c r="N3299" t="s">
        <v>22</v>
      </c>
      <c r="O3299" t="str">
        <f t="shared" si="51"/>
        <v>No</v>
      </c>
    </row>
    <row r="3300" spans="1:15" x14ac:dyDescent="0.25">
      <c r="A3300" t="s">
        <v>3361</v>
      </c>
      <c r="B3300" s="1">
        <v>45755</v>
      </c>
      <c r="C3300" s="2">
        <v>45755.343333333331</v>
      </c>
      <c r="D3300" t="s">
        <v>24</v>
      </c>
      <c r="E3300" t="s">
        <v>45</v>
      </c>
      <c r="F3300" t="s">
        <v>112</v>
      </c>
      <c r="G3300" t="s">
        <v>34</v>
      </c>
      <c r="H3300" t="s">
        <v>44</v>
      </c>
      <c r="I3300" t="s">
        <v>45</v>
      </c>
      <c r="J3300" t="s">
        <v>21</v>
      </c>
      <c r="K3300">
        <v>24</v>
      </c>
      <c r="L3300">
        <v>8.24</v>
      </c>
      <c r="M3300">
        <v>4.2</v>
      </c>
      <c r="N3300" t="s">
        <v>22</v>
      </c>
      <c r="O3300" t="str">
        <f t="shared" si="51"/>
        <v>No</v>
      </c>
    </row>
    <row r="3301" spans="1:15" x14ac:dyDescent="0.25">
      <c r="A3301" t="s">
        <v>3362</v>
      </c>
      <c r="B3301" s="1">
        <v>45803</v>
      </c>
      <c r="C3301" s="2">
        <v>45803.296249999999</v>
      </c>
      <c r="D3301" t="s">
        <v>24</v>
      </c>
      <c r="E3301" t="s">
        <v>25</v>
      </c>
      <c r="F3301" t="s">
        <v>53</v>
      </c>
      <c r="G3301" t="s">
        <v>34</v>
      </c>
      <c r="H3301" t="s">
        <v>44</v>
      </c>
      <c r="I3301" t="s">
        <v>28</v>
      </c>
      <c r="J3301" t="s">
        <v>21</v>
      </c>
      <c r="K3301">
        <v>24</v>
      </c>
      <c r="L3301">
        <v>7.11</v>
      </c>
      <c r="M3301">
        <v>5</v>
      </c>
      <c r="N3301" t="s">
        <v>22</v>
      </c>
      <c r="O3301" t="str">
        <f t="shared" si="51"/>
        <v>No</v>
      </c>
    </row>
    <row r="3302" spans="1:15" x14ac:dyDescent="0.25">
      <c r="A3302" t="s">
        <v>3363</v>
      </c>
      <c r="B3302" s="1">
        <v>45773</v>
      </c>
      <c r="C3302" s="2">
        <v>45773.933749999997</v>
      </c>
      <c r="D3302" t="s">
        <v>24</v>
      </c>
      <c r="E3302" t="s">
        <v>32</v>
      </c>
      <c r="F3302" t="s">
        <v>64</v>
      </c>
      <c r="G3302" t="s">
        <v>51</v>
      </c>
      <c r="H3302" t="s">
        <v>35</v>
      </c>
      <c r="I3302" t="s">
        <v>36</v>
      </c>
      <c r="J3302" t="s">
        <v>29</v>
      </c>
      <c r="K3302">
        <v>24</v>
      </c>
      <c r="L3302">
        <v>22.41</v>
      </c>
      <c r="M3302">
        <v>3.6</v>
      </c>
      <c r="N3302" t="s">
        <v>22</v>
      </c>
      <c r="O3302" t="str">
        <f t="shared" si="51"/>
        <v>No</v>
      </c>
    </row>
    <row r="3303" spans="1:15" x14ac:dyDescent="0.25">
      <c r="A3303" t="s">
        <v>3364</v>
      </c>
      <c r="B3303" s="1">
        <v>45706</v>
      </c>
      <c r="C3303" s="2">
        <v>45706.853333333333</v>
      </c>
      <c r="D3303" t="s">
        <v>24</v>
      </c>
      <c r="E3303" t="s">
        <v>32</v>
      </c>
      <c r="F3303" t="s">
        <v>33</v>
      </c>
      <c r="G3303" t="s">
        <v>18</v>
      </c>
      <c r="H3303" t="s">
        <v>27</v>
      </c>
      <c r="I3303" t="s">
        <v>28</v>
      </c>
      <c r="J3303" t="s">
        <v>46</v>
      </c>
      <c r="K3303">
        <v>24</v>
      </c>
      <c r="L3303">
        <v>20.48</v>
      </c>
      <c r="M3303">
        <v>4.4000000000000004</v>
      </c>
      <c r="N3303" t="s">
        <v>22</v>
      </c>
      <c r="O3303" t="str">
        <f t="shared" si="51"/>
        <v>No</v>
      </c>
    </row>
    <row r="3304" spans="1:15" x14ac:dyDescent="0.25">
      <c r="A3304" t="s">
        <v>3365</v>
      </c>
      <c r="B3304" s="1">
        <v>45766</v>
      </c>
      <c r="C3304" s="2">
        <v>45766.155416666668</v>
      </c>
      <c r="D3304" t="s">
        <v>38</v>
      </c>
      <c r="E3304" t="s">
        <v>16</v>
      </c>
      <c r="F3304" t="s">
        <v>60</v>
      </c>
      <c r="G3304" t="s">
        <v>51</v>
      </c>
      <c r="H3304" t="s">
        <v>44</v>
      </c>
      <c r="I3304" t="s">
        <v>36</v>
      </c>
      <c r="J3304" t="s">
        <v>21</v>
      </c>
      <c r="K3304">
        <v>8</v>
      </c>
      <c r="L3304">
        <v>3.73</v>
      </c>
      <c r="M3304">
        <v>4.7</v>
      </c>
      <c r="N3304" t="s">
        <v>22</v>
      </c>
      <c r="O3304" t="str">
        <f t="shared" si="51"/>
        <v>No</v>
      </c>
    </row>
    <row r="3305" spans="1:15" x14ac:dyDescent="0.25">
      <c r="A3305" t="s">
        <v>3366</v>
      </c>
      <c r="B3305" s="1">
        <v>45707</v>
      </c>
      <c r="C3305" s="2">
        <v>45707.77</v>
      </c>
      <c r="D3305" t="s">
        <v>24</v>
      </c>
      <c r="E3305" t="s">
        <v>32</v>
      </c>
      <c r="F3305" t="s">
        <v>33</v>
      </c>
      <c r="G3305" t="s">
        <v>51</v>
      </c>
      <c r="H3305" t="s">
        <v>35</v>
      </c>
      <c r="I3305" t="s">
        <v>36</v>
      </c>
      <c r="J3305" t="s">
        <v>21</v>
      </c>
      <c r="K3305">
        <v>24</v>
      </c>
      <c r="L3305">
        <v>18.48</v>
      </c>
      <c r="M3305">
        <v>3.9</v>
      </c>
      <c r="N3305" t="s">
        <v>22</v>
      </c>
      <c r="O3305" t="str">
        <f t="shared" si="51"/>
        <v>No</v>
      </c>
    </row>
    <row r="3306" spans="1:15" x14ac:dyDescent="0.25">
      <c r="A3306" t="s">
        <v>3367</v>
      </c>
      <c r="B3306" s="1">
        <v>45679</v>
      </c>
      <c r="C3306" s="2">
        <v>45679.570416666669</v>
      </c>
      <c r="D3306" t="s">
        <v>24</v>
      </c>
      <c r="E3306" t="s">
        <v>16</v>
      </c>
      <c r="F3306" t="s">
        <v>60</v>
      </c>
      <c r="G3306" t="s">
        <v>18</v>
      </c>
      <c r="H3306" t="s">
        <v>54</v>
      </c>
      <c r="I3306" t="s">
        <v>36</v>
      </c>
      <c r="J3306" t="s">
        <v>21</v>
      </c>
      <c r="K3306">
        <v>24</v>
      </c>
      <c r="L3306">
        <v>13.69</v>
      </c>
      <c r="M3306">
        <v>4.8</v>
      </c>
      <c r="N3306" t="s">
        <v>22</v>
      </c>
      <c r="O3306" t="str">
        <f t="shared" si="51"/>
        <v>No</v>
      </c>
    </row>
    <row r="3307" spans="1:15" x14ac:dyDescent="0.25">
      <c r="A3307" t="s">
        <v>3368</v>
      </c>
      <c r="B3307" s="1">
        <v>45704</v>
      </c>
      <c r="C3307" s="2">
        <v>45704.167916666665</v>
      </c>
      <c r="D3307" t="s">
        <v>38</v>
      </c>
      <c r="E3307" t="s">
        <v>16</v>
      </c>
      <c r="F3307" t="s">
        <v>17</v>
      </c>
      <c r="G3307" t="s">
        <v>34</v>
      </c>
      <c r="H3307" t="s">
        <v>44</v>
      </c>
      <c r="I3307" t="s">
        <v>20</v>
      </c>
      <c r="J3307" t="s">
        <v>46</v>
      </c>
      <c r="K3307">
        <v>8</v>
      </c>
      <c r="L3307">
        <v>4.03</v>
      </c>
      <c r="M3307">
        <v>3</v>
      </c>
      <c r="N3307" t="s">
        <v>22</v>
      </c>
      <c r="O3307" t="str">
        <f t="shared" si="51"/>
        <v>No</v>
      </c>
    </row>
    <row r="3308" spans="1:15" x14ac:dyDescent="0.25">
      <c r="A3308" t="s">
        <v>3369</v>
      </c>
      <c r="B3308" s="1">
        <v>45707</v>
      </c>
      <c r="C3308" s="2">
        <v>45707.375416666669</v>
      </c>
      <c r="D3308" t="s">
        <v>24</v>
      </c>
      <c r="E3308" t="s">
        <v>39</v>
      </c>
      <c r="F3308" t="s">
        <v>78</v>
      </c>
      <c r="G3308" t="s">
        <v>51</v>
      </c>
      <c r="H3308" t="s">
        <v>35</v>
      </c>
      <c r="I3308" t="s">
        <v>45</v>
      </c>
      <c r="J3308" t="s">
        <v>21</v>
      </c>
      <c r="K3308">
        <v>24</v>
      </c>
      <c r="L3308">
        <v>9.01</v>
      </c>
      <c r="M3308">
        <v>3.8</v>
      </c>
      <c r="N3308" t="s">
        <v>22</v>
      </c>
      <c r="O3308" t="str">
        <f t="shared" si="51"/>
        <v>No</v>
      </c>
    </row>
    <row r="3309" spans="1:15" x14ac:dyDescent="0.25">
      <c r="A3309" t="s">
        <v>3370</v>
      </c>
      <c r="B3309" s="1">
        <v>45682</v>
      </c>
      <c r="C3309" s="2">
        <v>45682.087083333332</v>
      </c>
      <c r="D3309" t="s">
        <v>38</v>
      </c>
      <c r="E3309" t="s">
        <v>39</v>
      </c>
      <c r="F3309" t="s">
        <v>40</v>
      </c>
      <c r="G3309" t="s">
        <v>56</v>
      </c>
      <c r="H3309" t="s">
        <v>54</v>
      </c>
      <c r="I3309" t="s">
        <v>45</v>
      </c>
      <c r="J3309" t="s">
        <v>21</v>
      </c>
      <c r="K3309">
        <v>8</v>
      </c>
      <c r="L3309">
        <v>2.09</v>
      </c>
      <c r="M3309">
        <v>4.4000000000000004</v>
      </c>
      <c r="N3309" t="s">
        <v>22</v>
      </c>
      <c r="O3309" t="str">
        <f t="shared" si="51"/>
        <v>No</v>
      </c>
    </row>
    <row r="3310" spans="1:15" x14ac:dyDescent="0.25">
      <c r="A3310" t="s">
        <v>3371</v>
      </c>
      <c r="B3310" s="1">
        <v>45662</v>
      </c>
      <c r="C3310" s="2">
        <v>45662.054583333331</v>
      </c>
      <c r="D3310" t="s">
        <v>15</v>
      </c>
      <c r="E3310" t="s">
        <v>32</v>
      </c>
      <c r="F3310" t="s">
        <v>75</v>
      </c>
      <c r="G3310" t="s">
        <v>34</v>
      </c>
      <c r="H3310" t="s">
        <v>19</v>
      </c>
      <c r="I3310" t="s">
        <v>28</v>
      </c>
      <c r="J3310" t="s">
        <v>21</v>
      </c>
      <c r="K3310">
        <v>48</v>
      </c>
      <c r="L3310">
        <v>1.31</v>
      </c>
      <c r="M3310">
        <v>5</v>
      </c>
      <c r="N3310" t="s">
        <v>22</v>
      </c>
      <c r="O3310" t="str">
        <f t="shared" si="51"/>
        <v>No</v>
      </c>
    </row>
    <row r="3311" spans="1:15" x14ac:dyDescent="0.25">
      <c r="A3311" t="s">
        <v>3372</v>
      </c>
      <c r="B3311" s="1">
        <v>45828</v>
      </c>
      <c r="C3311" s="2">
        <v>45828.305833333332</v>
      </c>
      <c r="D3311" t="s">
        <v>38</v>
      </c>
      <c r="E3311" t="s">
        <v>45</v>
      </c>
      <c r="F3311" t="s">
        <v>50</v>
      </c>
      <c r="G3311" t="s">
        <v>41</v>
      </c>
      <c r="H3311" t="s">
        <v>19</v>
      </c>
      <c r="I3311" t="s">
        <v>45</v>
      </c>
      <c r="J3311" t="s">
        <v>21</v>
      </c>
      <c r="K3311">
        <v>8</v>
      </c>
      <c r="L3311">
        <v>7.34</v>
      </c>
      <c r="M3311">
        <v>3</v>
      </c>
      <c r="N3311" t="s">
        <v>22</v>
      </c>
      <c r="O3311" t="str">
        <f t="shared" si="51"/>
        <v>No</v>
      </c>
    </row>
    <row r="3312" spans="1:15" x14ac:dyDescent="0.25">
      <c r="A3312" t="s">
        <v>3373</v>
      </c>
      <c r="B3312" s="1">
        <v>45750</v>
      </c>
      <c r="C3312" s="2">
        <v>45750.28</v>
      </c>
      <c r="D3312" t="s">
        <v>24</v>
      </c>
      <c r="E3312" t="s">
        <v>39</v>
      </c>
      <c r="F3312" t="s">
        <v>78</v>
      </c>
      <c r="G3312" t="s">
        <v>51</v>
      </c>
      <c r="H3312" t="s">
        <v>19</v>
      </c>
      <c r="I3312" t="s">
        <v>36</v>
      </c>
      <c r="J3312" t="s">
        <v>21</v>
      </c>
      <c r="K3312">
        <v>24</v>
      </c>
      <c r="L3312">
        <v>6.72</v>
      </c>
      <c r="M3312">
        <v>4.5999999999999996</v>
      </c>
      <c r="N3312" t="s">
        <v>61</v>
      </c>
      <c r="O3312" t="str">
        <f t="shared" si="51"/>
        <v>No</v>
      </c>
    </row>
    <row r="3313" spans="1:15" x14ac:dyDescent="0.25">
      <c r="A3313" t="s">
        <v>3374</v>
      </c>
      <c r="B3313" s="1">
        <v>45730</v>
      </c>
      <c r="C3313" s="2">
        <v>45730.606249999997</v>
      </c>
      <c r="D3313" t="s">
        <v>15</v>
      </c>
      <c r="E3313" t="s">
        <v>16</v>
      </c>
      <c r="F3313" t="s">
        <v>17</v>
      </c>
      <c r="G3313" t="s">
        <v>51</v>
      </c>
      <c r="H3313" t="s">
        <v>19</v>
      </c>
      <c r="I3313" t="s">
        <v>20</v>
      </c>
      <c r="J3313" t="s">
        <v>46</v>
      </c>
      <c r="K3313">
        <v>48</v>
      </c>
      <c r="L3313">
        <v>14.55</v>
      </c>
      <c r="M3313">
        <v>4.8</v>
      </c>
      <c r="N3313" t="s">
        <v>22</v>
      </c>
      <c r="O3313" t="str">
        <f t="shared" si="51"/>
        <v>No</v>
      </c>
    </row>
    <row r="3314" spans="1:15" x14ac:dyDescent="0.25">
      <c r="A3314" t="s">
        <v>3375</v>
      </c>
      <c r="B3314" s="1">
        <v>45826</v>
      </c>
      <c r="C3314" s="2">
        <v>45826.26458333333</v>
      </c>
      <c r="D3314" t="s">
        <v>24</v>
      </c>
      <c r="E3314" t="s">
        <v>39</v>
      </c>
      <c r="F3314" t="s">
        <v>119</v>
      </c>
      <c r="G3314" t="s">
        <v>41</v>
      </c>
      <c r="H3314" t="s">
        <v>35</v>
      </c>
      <c r="I3314" t="s">
        <v>36</v>
      </c>
      <c r="J3314" t="s">
        <v>46</v>
      </c>
      <c r="K3314">
        <v>24</v>
      </c>
      <c r="L3314">
        <v>6.35</v>
      </c>
      <c r="M3314">
        <v>4.8</v>
      </c>
      <c r="N3314" t="s">
        <v>22</v>
      </c>
      <c r="O3314" t="str">
        <f t="shared" si="51"/>
        <v>No</v>
      </c>
    </row>
    <row r="3315" spans="1:15" x14ac:dyDescent="0.25">
      <c r="A3315" t="s">
        <v>3376</v>
      </c>
      <c r="B3315" s="1">
        <v>45698</v>
      </c>
      <c r="C3315" s="2">
        <v>45698.621666666666</v>
      </c>
      <c r="D3315" t="s">
        <v>24</v>
      </c>
      <c r="E3315" t="s">
        <v>16</v>
      </c>
      <c r="F3315" t="s">
        <v>58</v>
      </c>
      <c r="G3315" t="s">
        <v>56</v>
      </c>
      <c r="H3315" t="s">
        <v>35</v>
      </c>
      <c r="I3315" t="s">
        <v>45</v>
      </c>
      <c r="J3315" t="s">
        <v>46</v>
      </c>
      <c r="K3315">
        <v>24</v>
      </c>
      <c r="L3315">
        <v>14.92</v>
      </c>
      <c r="M3315">
        <v>4.2</v>
      </c>
      <c r="N3315" t="s">
        <v>22</v>
      </c>
      <c r="O3315" t="str">
        <f t="shared" si="51"/>
        <v>No</v>
      </c>
    </row>
    <row r="3316" spans="1:15" x14ac:dyDescent="0.25">
      <c r="A3316" t="s">
        <v>3377</v>
      </c>
      <c r="B3316" s="1">
        <v>45730</v>
      </c>
      <c r="C3316" s="2">
        <v>45730.732488425929</v>
      </c>
      <c r="D3316" t="s">
        <v>24</v>
      </c>
      <c r="E3316" t="s">
        <v>32</v>
      </c>
      <c r="F3316" t="s">
        <v>64</v>
      </c>
      <c r="G3316" t="s">
        <v>56</v>
      </c>
      <c r="H3316" t="s">
        <v>54</v>
      </c>
      <c r="I3316" t="s">
        <v>20</v>
      </c>
      <c r="J3316" t="s">
        <v>29</v>
      </c>
      <c r="K3316">
        <v>24</v>
      </c>
      <c r="L3316">
        <v>17.579999999999998</v>
      </c>
      <c r="M3316">
        <v>3.7</v>
      </c>
      <c r="N3316" t="s">
        <v>22</v>
      </c>
      <c r="O3316" t="str">
        <f t="shared" si="51"/>
        <v>No</v>
      </c>
    </row>
    <row r="3317" spans="1:15" x14ac:dyDescent="0.25">
      <c r="A3317" t="s">
        <v>3378</v>
      </c>
      <c r="B3317" s="1">
        <v>45811</v>
      </c>
      <c r="C3317" s="2">
        <v>45811.105416666665</v>
      </c>
      <c r="D3317" t="s">
        <v>38</v>
      </c>
      <c r="E3317" t="s">
        <v>32</v>
      </c>
      <c r="F3317" t="s">
        <v>75</v>
      </c>
      <c r="G3317" t="s">
        <v>18</v>
      </c>
      <c r="H3317" t="s">
        <v>35</v>
      </c>
      <c r="I3317" t="s">
        <v>45</v>
      </c>
      <c r="J3317" t="s">
        <v>46</v>
      </c>
      <c r="K3317">
        <v>8</v>
      </c>
      <c r="L3317">
        <v>2.5299999999999998</v>
      </c>
      <c r="M3317">
        <v>4.5</v>
      </c>
      <c r="N3317" t="s">
        <v>22</v>
      </c>
      <c r="O3317" t="str">
        <f t="shared" si="51"/>
        <v>No</v>
      </c>
    </row>
    <row r="3318" spans="1:15" x14ac:dyDescent="0.25">
      <c r="A3318" t="s">
        <v>3379</v>
      </c>
      <c r="B3318" s="1">
        <v>45772</v>
      </c>
      <c r="C3318" s="2">
        <v>45772.519166666665</v>
      </c>
      <c r="D3318" t="s">
        <v>24</v>
      </c>
      <c r="E3318" t="s">
        <v>25</v>
      </c>
      <c r="F3318" t="s">
        <v>70</v>
      </c>
      <c r="G3318" t="s">
        <v>34</v>
      </c>
      <c r="H3318" t="s">
        <v>19</v>
      </c>
      <c r="I3318" t="s">
        <v>36</v>
      </c>
      <c r="J3318" t="s">
        <v>21</v>
      </c>
      <c r="K3318">
        <v>24</v>
      </c>
      <c r="L3318">
        <v>12.46</v>
      </c>
      <c r="M3318">
        <v>5</v>
      </c>
      <c r="N3318" t="s">
        <v>22</v>
      </c>
      <c r="O3318" t="str">
        <f t="shared" si="51"/>
        <v>No</v>
      </c>
    </row>
    <row r="3319" spans="1:15" x14ac:dyDescent="0.25">
      <c r="A3319" t="s">
        <v>3380</v>
      </c>
      <c r="B3319" s="1">
        <v>45730</v>
      </c>
      <c r="C3319" s="2">
        <v>45730.666666666664</v>
      </c>
      <c r="D3319" t="s">
        <v>15</v>
      </c>
      <c r="E3319" t="s">
        <v>25</v>
      </c>
      <c r="F3319" t="s">
        <v>26</v>
      </c>
      <c r="G3319" t="s">
        <v>51</v>
      </c>
      <c r="H3319" t="s">
        <v>44</v>
      </c>
      <c r="I3319" t="s">
        <v>45</v>
      </c>
      <c r="J3319" t="s">
        <v>21</v>
      </c>
      <c r="K3319">
        <v>48</v>
      </c>
      <c r="L3319">
        <v>16</v>
      </c>
      <c r="M3319">
        <v>4.2</v>
      </c>
      <c r="N3319" t="s">
        <v>22</v>
      </c>
      <c r="O3319" t="str">
        <f t="shared" si="51"/>
        <v>No</v>
      </c>
    </row>
    <row r="3320" spans="1:15" x14ac:dyDescent="0.25">
      <c r="A3320" t="s">
        <v>3381</v>
      </c>
      <c r="B3320" s="1">
        <v>45704</v>
      </c>
      <c r="C3320" s="2">
        <v>45704.918333333335</v>
      </c>
      <c r="D3320" t="s">
        <v>24</v>
      </c>
      <c r="E3320" t="s">
        <v>32</v>
      </c>
      <c r="F3320" t="s">
        <v>75</v>
      </c>
      <c r="G3320" t="s">
        <v>18</v>
      </c>
      <c r="H3320" t="s">
        <v>44</v>
      </c>
      <c r="I3320" t="s">
        <v>36</v>
      </c>
      <c r="J3320" t="s">
        <v>46</v>
      </c>
      <c r="K3320">
        <v>24</v>
      </c>
      <c r="L3320">
        <v>22.04</v>
      </c>
      <c r="M3320">
        <v>2.5</v>
      </c>
      <c r="N3320" t="s">
        <v>22</v>
      </c>
      <c r="O3320" t="str">
        <f t="shared" si="51"/>
        <v>No</v>
      </c>
    </row>
    <row r="3321" spans="1:15" x14ac:dyDescent="0.25">
      <c r="A3321" t="s">
        <v>3382</v>
      </c>
      <c r="B3321" s="1">
        <v>45664</v>
      </c>
      <c r="C3321" s="2">
        <v>45664.662916666668</v>
      </c>
      <c r="D3321" t="s">
        <v>24</v>
      </c>
      <c r="E3321" t="s">
        <v>39</v>
      </c>
      <c r="F3321" t="s">
        <v>78</v>
      </c>
      <c r="G3321" t="s">
        <v>56</v>
      </c>
      <c r="H3321" t="s">
        <v>27</v>
      </c>
      <c r="I3321" t="s">
        <v>36</v>
      </c>
      <c r="J3321" t="s">
        <v>46</v>
      </c>
      <c r="K3321">
        <v>24</v>
      </c>
      <c r="L3321">
        <v>15.91</v>
      </c>
      <c r="M3321">
        <v>4.5</v>
      </c>
      <c r="N3321" t="s">
        <v>22</v>
      </c>
      <c r="O3321" t="str">
        <f t="shared" si="51"/>
        <v>No</v>
      </c>
    </row>
    <row r="3322" spans="1:15" x14ac:dyDescent="0.25">
      <c r="A3322" t="s">
        <v>3383</v>
      </c>
      <c r="B3322" s="1">
        <v>45673</v>
      </c>
      <c r="C3322" s="2">
        <v>45673.061666666668</v>
      </c>
      <c r="D3322" t="s">
        <v>24</v>
      </c>
      <c r="E3322" t="s">
        <v>45</v>
      </c>
      <c r="F3322" t="s">
        <v>112</v>
      </c>
      <c r="G3322" t="s">
        <v>41</v>
      </c>
      <c r="H3322" t="s">
        <v>65</v>
      </c>
      <c r="I3322" t="s">
        <v>45</v>
      </c>
      <c r="J3322" t="s">
        <v>85</v>
      </c>
      <c r="K3322">
        <v>24</v>
      </c>
      <c r="L3322">
        <v>1.48</v>
      </c>
      <c r="M3322">
        <v>5</v>
      </c>
      <c r="N3322" t="s">
        <v>22</v>
      </c>
      <c r="O3322" t="str">
        <f t="shared" si="51"/>
        <v>No</v>
      </c>
    </row>
    <row r="3323" spans="1:15" x14ac:dyDescent="0.25">
      <c r="A3323" t="s">
        <v>3384</v>
      </c>
      <c r="B3323" s="1">
        <v>45687</v>
      </c>
      <c r="C3323" s="2">
        <v>45687.237916666665</v>
      </c>
      <c r="D3323" t="s">
        <v>38</v>
      </c>
      <c r="E3323" t="s">
        <v>32</v>
      </c>
      <c r="F3323" t="s">
        <v>33</v>
      </c>
      <c r="G3323" t="s">
        <v>41</v>
      </c>
      <c r="H3323" t="s">
        <v>54</v>
      </c>
      <c r="I3323" t="s">
        <v>36</v>
      </c>
      <c r="J3323" t="s">
        <v>21</v>
      </c>
      <c r="K3323">
        <v>8</v>
      </c>
      <c r="L3323">
        <v>5.71</v>
      </c>
      <c r="M3323">
        <v>3.5</v>
      </c>
      <c r="N3323" t="s">
        <v>22</v>
      </c>
      <c r="O3323" t="str">
        <f t="shared" si="51"/>
        <v>No</v>
      </c>
    </row>
    <row r="3324" spans="1:15" x14ac:dyDescent="0.25">
      <c r="A3324" t="s">
        <v>3385</v>
      </c>
      <c r="B3324" s="1">
        <v>45800</v>
      </c>
      <c r="C3324" s="2">
        <v>45800.182083333333</v>
      </c>
      <c r="D3324" t="s">
        <v>38</v>
      </c>
      <c r="E3324" t="s">
        <v>32</v>
      </c>
      <c r="F3324" t="s">
        <v>64</v>
      </c>
      <c r="G3324" t="s">
        <v>51</v>
      </c>
      <c r="H3324" t="s">
        <v>65</v>
      </c>
      <c r="I3324" t="s">
        <v>36</v>
      </c>
      <c r="J3324" t="s">
        <v>21</v>
      </c>
      <c r="K3324">
        <v>8</v>
      </c>
      <c r="L3324">
        <v>4.37</v>
      </c>
      <c r="M3324">
        <v>5</v>
      </c>
      <c r="N3324" t="s">
        <v>22</v>
      </c>
      <c r="O3324" t="str">
        <f t="shared" si="51"/>
        <v>No</v>
      </c>
    </row>
    <row r="3325" spans="1:15" x14ac:dyDescent="0.25">
      <c r="A3325" t="s">
        <v>3386</v>
      </c>
      <c r="B3325" s="1">
        <v>45773</v>
      </c>
      <c r="C3325" s="2">
        <v>45773.487500000003</v>
      </c>
      <c r="D3325" t="s">
        <v>15</v>
      </c>
      <c r="E3325" t="s">
        <v>39</v>
      </c>
      <c r="F3325" t="s">
        <v>119</v>
      </c>
      <c r="G3325" t="s">
        <v>34</v>
      </c>
      <c r="H3325" t="s">
        <v>35</v>
      </c>
      <c r="I3325" t="s">
        <v>45</v>
      </c>
      <c r="J3325" t="s">
        <v>46</v>
      </c>
      <c r="K3325">
        <v>48</v>
      </c>
      <c r="L3325">
        <v>11.7</v>
      </c>
      <c r="M3325">
        <v>5</v>
      </c>
      <c r="N3325" t="s">
        <v>22</v>
      </c>
      <c r="O3325" t="str">
        <f t="shared" si="51"/>
        <v>No</v>
      </c>
    </row>
    <row r="3326" spans="1:15" x14ac:dyDescent="0.25">
      <c r="A3326" t="s">
        <v>3387</v>
      </c>
      <c r="B3326" s="1">
        <v>45736</v>
      </c>
      <c r="C3326" s="2">
        <v>45736.215416666666</v>
      </c>
      <c r="D3326" t="s">
        <v>24</v>
      </c>
      <c r="E3326" t="s">
        <v>39</v>
      </c>
      <c r="F3326" t="s">
        <v>119</v>
      </c>
      <c r="G3326" t="s">
        <v>18</v>
      </c>
      <c r="H3326" t="s">
        <v>19</v>
      </c>
      <c r="I3326" t="s">
        <v>36</v>
      </c>
      <c r="J3326" t="s">
        <v>29</v>
      </c>
      <c r="K3326">
        <v>24</v>
      </c>
      <c r="L3326">
        <v>5.17</v>
      </c>
      <c r="M3326">
        <v>4</v>
      </c>
      <c r="N3326" t="s">
        <v>22</v>
      </c>
      <c r="O3326" t="str">
        <f t="shared" si="51"/>
        <v>No</v>
      </c>
    </row>
    <row r="3327" spans="1:15" x14ac:dyDescent="0.25">
      <c r="A3327" t="s">
        <v>3388</v>
      </c>
      <c r="B3327" s="1">
        <v>45799</v>
      </c>
      <c r="C3327" s="2">
        <v>45800.693333333336</v>
      </c>
      <c r="D3327" t="s">
        <v>15</v>
      </c>
      <c r="E3327" t="s">
        <v>16</v>
      </c>
      <c r="F3327" t="s">
        <v>17</v>
      </c>
      <c r="G3327" t="s">
        <v>18</v>
      </c>
      <c r="H3327" t="s">
        <v>65</v>
      </c>
      <c r="I3327" t="s">
        <v>36</v>
      </c>
      <c r="J3327" t="s">
        <v>21</v>
      </c>
      <c r="K3327">
        <v>48</v>
      </c>
      <c r="L3327">
        <v>40.64</v>
      </c>
      <c r="M3327">
        <v>3.5</v>
      </c>
      <c r="N3327" t="s">
        <v>22</v>
      </c>
      <c r="O3327" t="str">
        <f t="shared" si="51"/>
        <v>No</v>
      </c>
    </row>
    <row r="3328" spans="1:15" x14ac:dyDescent="0.25">
      <c r="A3328" t="s">
        <v>3389</v>
      </c>
      <c r="B3328" s="1">
        <v>45687</v>
      </c>
      <c r="C3328" s="2">
        <v>45687.885416666664</v>
      </c>
      <c r="D3328" t="s">
        <v>24</v>
      </c>
      <c r="E3328" t="s">
        <v>16</v>
      </c>
      <c r="F3328" t="s">
        <v>58</v>
      </c>
      <c r="G3328" t="s">
        <v>51</v>
      </c>
      <c r="H3328" t="s">
        <v>35</v>
      </c>
      <c r="I3328" t="s">
        <v>28</v>
      </c>
      <c r="J3328" t="s">
        <v>21</v>
      </c>
      <c r="K3328">
        <v>24</v>
      </c>
      <c r="L3328">
        <v>21.25</v>
      </c>
      <c r="M3328">
        <v>3.5</v>
      </c>
      <c r="N3328" t="s">
        <v>22</v>
      </c>
      <c r="O3328" t="str">
        <f t="shared" si="51"/>
        <v>No</v>
      </c>
    </row>
    <row r="3329" spans="1:15" x14ac:dyDescent="0.25">
      <c r="A3329" t="s">
        <v>3390</v>
      </c>
      <c r="B3329" s="1">
        <v>45696</v>
      </c>
      <c r="C3329" s="2">
        <v>45697.14</v>
      </c>
      <c r="D3329" t="s">
        <v>15</v>
      </c>
      <c r="E3329" t="s">
        <v>16</v>
      </c>
      <c r="F3329" t="s">
        <v>58</v>
      </c>
      <c r="G3329" t="s">
        <v>56</v>
      </c>
      <c r="H3329" t="s">
        <v>44</v>
      </c>
      <c r="I3329" t="s">
        <v>36</v>
      </c>
      <c r="J3329" t="s">
        <v>29</v>
      </c>
      <c r="K3329">
        <v>48</v>
      </c>
      <c r="L3329">
        <v>27.36</v>
      </c>
      <c r="M3329">
        <v>4.4000000000000004</v>
      </c>
      <c r="N3329" t="s">
        <v>22</v>
      </c>
      <c r="O3329" t="str">
        <f t="shared" si="51"/>
        <v>No</v>
      </c>
    </row>
    <row r="3330" spans="1:15" x14ac:dyDescent="0.25">
      <c r="A3330" t="s">
        <v>3391</v>
      </c>
      <c r="B3330" s="1">
        <v>45729</v>
      </c>
      <c r="C3330" s="2">
        <v>45729.321250000001</v>
      </c>
      <c r="D3330" t="s">
        <v>24</v>
      </c>
      <c r="E3330" t="s">
        <v>16</v>
      </c>
      <c r="F3330" t="s">
        <v>17</v>
      </c>
      <c r="G3330" t="s">
        <v>41</v>
      </c>
      <c r="H3330" t="s">
        <v>35</v>
      </c>
      <c r="I3330" t="s">
        <v>36</v>
      </c>
      <c r="J3330" t="s">
        <v>21</v>
      </c>
      <c r="K3330">
        <v>24</v>
      </c>
      <c r="L3330">
        <v>7.71</v>
      </c>
      <c r="M3330">
        <v>4.5</v>
      </c>
      <c r="N3330" t="s">
        <v>22</v>
      </c>
      <c r="O3330" t="str">
        <f t="shared" si="51"/>
        <v>No</v>
      </c>
    </row>
    <row r="3331" spans="1:15" x14ac:dyDescent="0.25">
      <c r="A3331" t="s">
        <v>3392</v>
      </c>
      <c r="B3331" s="1">
        <v>45824</v>
      </c>
      <c r="C3331" s="2">
        <v>45824.083333333336</v>
      </c>
      <c r="D3331" t="s">
        <v>38</v>
      </c>
      <c r="E3331" t="s">
        <v>39</v>
      </c>
      <c r="F3331" t="s">
        <v>40</v>
      </c>
      <c r="G3331" t="s">
        <v>51</v>
      </c>
      <c r="H3331" t="s">
        <v>35</v>
      </c>
      <c r="I3331" t="s">
        <v>20</v>
      </c>
      <c r="J3331" t="s">
        <v>46</v>
      </c>
      <c r="K3331">
        <v>8</v>
      </c>
      <c r="L3331">
        <v>2</v>
      </c>
      <c r="M3331">
        <v>5</v>
      </c>
      <c r="N3331" t="s">
        <v>22</v>
      </c>
      <c r="O3331" t="str">
        <f t="shared" ref="O3331:O3394" si="52">IF(L3331&gt;K3331,"Yes","No")</f>
        <v>No</v>
      </c>
    </row>
    <row r="3332" spans="1:15" x14ac:dyDescent="0.25">
      <c r="A3332" t="s">
        <v>3393</v>
      </c>
      <c r="B3332" s="1">
        <v>45769</v>
      </c>
      <c r="C3332" s="2">
        <v>45769.259166666663</v>
      </c>
      <c r="D3332" t="s">
        <v>24</v>
      </c>
      <c r="E3332" t="s">
        <v>25</v>
      </c>
      <c r="F3332" t="s">
        <v>26</v>
      </c>
      <c r="G3332" t="s">
        <v>18</v>
      </c>
      <c r="H3332" t="s">
        <v>35</v>
      </c>
      <c r="I3332" t="s">
        <v>36</v>
      </c>
      <c r="J3332" t="s">
        <v>85</v>
      </c>
      <c r="K3332">
        <v>24</v>
      </c>
      <c r="L3332">
        <v>6.22</v>
      </c>
      <c r="M3332">
        <v>5</v>
      </c>
      <c r="N3332" t="s">
        <v>22</v>
      </c>
      <c r="O3332" t="str">
        <f t="shared" si="52"/>
        <v>No</v>
      </c>
    </row>
    <row r="3333" spans="1:15" x14ac:dyDescent="0.25">
      <c r="A3333" t="s">
        <v>3394</v>
      </c>
      <c r="B3333" s="1">
        <v>45812</v>
      </c>
      <c r="C3333" s="2">
        <v>45812.766250000001</v>
      </c>
      <c r="D3333" t="s">
        <v>15</v>
      </c>
      <c r="E3333" t="s">
        <v>32</v>
      </c>
      <c r="F3333" t="s">
        <v>33</v>
      </c>
      <c r="G3333" t="s">
        <v>41</v>
      </c>
      <c r="H3333" t="s">
        <v>27</v>
      </c>
      <c r="I3333" t="s">
        <v>28</v>
      </c>
      <c r="J3333" t="s">
        <v>21</v>
      </c>
      <c r="K3333">
        <v>48</v>
      </c>
      <c r="L3333">
        <v>18.39</v>
      </c>
      <c r="M3333">
        <v>3.5</v>
      </c>
      <c r="N3333" t="s">
        <v>22</v>
      </c>
      <c r="O3333" t="str">
        <f t="shared" si="52"/>
        <v>No</v>
      </c>
    </row>
    <row r="3334" spans="1:15" x14ac:dyDescent="0.25">
      <c r="A3334" t="s">
        <v>3395</v>
      </c>
      <c r="B3334" s="1">
        <v>45702</v>
      </c>
      <c r="C3334" s="2">
        <v>45703.026250000003</v>
      </c>
      <c r="D3334" t="s">
        <v>24</v>
      </c>
      <c r="E3334" t="s">
        <v>39</v>
      </c>
      <c r="F3334" t="s">
        <v>78</v>
      </c>
      <c r="G3334" t="s">
        <v>56</v>
      </c>
      <c r="H3334" t="s">
        <v>44</v>
      </c>
      <c r="I3334" t="s">
        <v>45</v>
      </c>
      <c r="J3334" t="s">
        <v>21</v>
      </c>
      <c r="K3334">
        <v>24</v>
      </c>
      <c r="L3334">
        <v>24.63</v>
      </c>
      <c r="M3334">
        <v>2.8</v>
      </c>
      <c r="N3334" t="s">
        <v>22</v>
      </c>
      <c r="O3334" t="str">
        <f t="shared" si="52"/>
        <v>Yes</v>
      </c>
    </row>
    <row r="3335" spans="1:15" x14ac:dyDescent="0.25">
      <c r="A3335" t="s">
        <v>3396</v>
      </c>
      <c r="B3335" s="1">
        <v>45811</v>
      </c>
      <c r="C3335" s="2">
        <v>45811.094166666669</v>
      </c>
      <c r="D3335" t="s">
        <v>24</v>
      </c>
      <c r="E3335" t="s">
        <v>16</v>
      </c>
      <c r="F3335" t="s">
        <v>58</v>
      </c>
      <c r="G3335" t="s">
        <v>51</v>
      </c>
      <c r="H3335" t="s">
        <v>19</v>
      </c>
      <c r="I3335" t="s">
        <v>45</v>
      </c>
      <c r="J3335" t="s">
        <v>85</v>
      </c>
      <c r="K3335">
        <v>24</v>
      </c>
      <c r="L3335">
        <v>2.2599999999999998</v>
      </c>
      <c r="M3335">
        <v>5</v>
      </c>
      <c r="N3335" t="s">
        <v>22</v>
      </c>
      <c r="O3335" t="str">
        <f t="shared" si="52"/>
        <v>No</v>
      </c>
    </row>
    <row r="3336" spans="1:15" x14ac:dyDescent="0.25">
      <c r="A3336" t="s">
        <v>3397</v>
      </c>
      <c r="B3336" s="1">
        <v>45671</v>
      </c>
      <c r="C3336" s="2">
        <v>45671.507916666669</v>
      </c>
      <c r="D3336" t="s">
        <v>24</v>
      </c>
      <c r="E3336" t="s">
        <v>39</v>
      </c>
      <c r="F3336" t="s">
        <v>119</v>
      </c>
      <c r="G3336" t="s">
        <v>56</v>
      </c>
      <c r="H3336" t="s">
        <v>44</v>
      </c>
      <c r="I3336" t="s">
        <v>36</v>
      </c>
      <c r="J3336" t="s">
        <v>21</v>
      </c>
      <c r="K3336">
        <v>24</v>
      </c>
      <c r="L3336">
        <v>12.19</v>
      </c>
      <c r="M3336">
        <v>4.0999999999999996</v>
      </c>
      <c r="N3336" t="s">
        <v>22</v>
      </c>
      <c r="O3336" t="str">
        <f t="shared" si="52"/>
        <v>No</v>
      </c>
    </row>
    <row r="3337" spans="1:15" x14ac:dyDescent="0.25">
      <c r="A3337" t="s">
        <v>3398</v>
      </c>
      <c r="B3337" s="1">
        <v>45699</v>
      </c>
      <c r="C3337" s="2">
        <v>45699.772083333337</v>
      </c>
      <c r="D3337" t="s">
        <v>15</v>
      </c>
      <c r="E3337" t="s">
        <v>32</v>
      </c>
      <c r="F3337" t="s">
        <v>75</v>
      </c>
      <c r="G3337" t="s">
        <v>51</v>
      </c>
      <c r="H3337" t="s">
        <v>27</v>
      </c>
      <c r="I3337" t="s">
        <v>36</v>
      </c>
      <c r="J3337" t="s">
        <v>21</v>
      </c>
      <c r="K3337">
        <v>48</v>
      </c>
      <c r="L3337">
        <v>18.53</v>
      </c>
      <c r="M3337">
        <v>4.4000000000000004</v>
      </c>
      <c r="N3337" t="s">
        <v>22</v>
      </c>
      <c r="O3337" t="str">
        <f t="shared" si="52"/>
        <v>No</v>
      </c>
    </row>
    <row r="3338" spans="1:15" x14ac:dyDescent="0.25">
      <c r="A3338" t="s">
        <v>3399</v>
      </c>
      <c r="B3338" s="1">
        <v>45752</v>
      </c>
      <c r="C3338" s="2">
        <v>45752.223749999997</v>
      </c>
      <c r="D3338" t="s">
        <v>38</v>
      </c>
      <c r="E3338" t="s">
        <v>39</v>
      </c>
      <c r="F3338" t="s">
        <v>40</v>
      </c>
      <c r="G3338" t="s">
        <v>18</v>
      </c>
      <c r="H3338" t="s">
        <v>65</v>
      </c>
      <c r="I3338" t="s">
        <v>20</v>
      </c>
      <c r="J3338" t="s">
        <v>21</v>
      </c>
      <c r="K3338">
        <v>8</v>
      </c>
      <c r="L3338">
        <v>5.37</v>
      </c>
      <c r="M3338">
        <v>4.5</v>
      </c>
      <c r="N3338" t="s">
        <v>22</v>
      </c>
      <c r="O3338" t="str">
        <f t="shared" si="52"/>
        <v>No</v>
      </c>
    </row>
    <row r="3339" spans="1:15" x14ac:dyDescent="0.25">
      <c r="A3339" t="s">
        <v>3400</v>
      </c>
      <c r="B3339" s="1">
        <v>45667</v>
      </c>
      <c r="C3339" s="2">
        <v>45667.203750000001</v>
      </c>
      <c r="D3339" t="s">
        <v>24</v>
      </c>
      <c r="E3339" t="s">
        <v>16</v>
      </c>
      <c r="F3339" t="s">
        <v>58</v>
      </c>
      <c r="G3339" t="s">
        <v>56</v>
      </c>
      <c r="H3339" t="s">
        <v>19</v>
      </c>
      <c r="I3339" t="s">
        <v>36</v>
      </c>
      <c r="J3339" t="s">
        <v>46</v>
      </c>
      <c r="K3339">
        <v>24</v>
      </c>
      <c r="L3339">
        <v>4.8899999999999997</v>
      </c>
      <c r="M3339">
        <v>5</v>
      </c>
      <c r="N3339" t="s">
        <v>22</v>
      </c>
      <c r="O3339" t="str">
        <f t="shared" si="52"/>
        <v>No</v>
      </c>
    </row>
    <row r="3340" spans="1:15" x14ac:dyDescent="0.25">
      <c r="A3340" t="s">
        <v>3401</v>
      </c>
      <c r="B3340" s="1">
        <v>45813</v>
      </c>
      <c r="C3340" s="2">
        <v>45813.423333333332</v>
      </c>
      <c r="D3340" t="s">
        <v>24</v>
      </c>
      <c r="E3340" t="s">
        <v>32</v>
      </c>
      <c r="F3340" t="s">
        <v>75</v>
      </c>
      <c r="G3340" t="s">
        <v>51</v>
      </c>
      <c r="H3340" t="s">
        <v>54</v>
      </c>
      <c r="I3340" t="s">
        <v>20</v>
      </c>
      <c r="J3340" t="s">
        <v>21</v>
      </c>
      <c r="K3340">
        <v>24</v>
      </c>
      <c r="L3340">
        <v>10.16</v>
      </c>
      <c r="M3340">
        <v>3.7</v>
      </c>
      <c r="N3340" t="s">
        <v>61</v>
      </c>
      <c r="O3340" t="str">
        <f t="shared" si="52"/>
        <v>No</v>
      </c>
    </row>
    <row r="3341" spans="1:15" x14ac:dyDescent="0.25">
      <c r="A3341" t="s">
        <v>3402</v>
      </c>
      <c r="B3341" s="1">
        <v>45815</v>
      </c>
      <c r="C3341" s="2">
        <v>45816.745416666665</v>
      </c>
      <c r="D3341" t="s">
        <v>15</v>
      </c>
      <c r="E3341" t="s">
        <v>25</v>
      </c>
      <c r="F3341" t="s">
        <v>53</v>
      </c>
      <c r="G3341" t="s">
        <v>56</v>
      </c>
      <c r="H3341" t="s">
        <v>54</v>
      </c>
      <c r="I3341" t="s">
        <v>20</v>
      </c>
      <c r="J3341" t="s">
        <v>46</v>
      </c>
      <c r="K3341">
        <v>48</v>
      </c>
      <c r="L3341">
        <v>41.89</v>
      </c>
      <c r="M3341">
        <v>2.5</v>
      </c>
      <c r="N3341" t="s">
        <v>22</v>
      </c>
      <c r="O3341" t="str">
        <f t="shared" si="52"/>
        <v>No</v>
      </c>
    </row>
    <row r="3342" spans="1:15" x14ac:dyDescent="0.25">
      <c r="A3342" t="s">
        <v>3403</v>
      </c>
      <c r="B3342" s="1">
        <v>45756</v>
      </c>
      <c r="C3342" s="2">
        <v>45756.574583333335</v>
      </c>
      <c r="D3342" t="s">
        <v>24</v>
      </c>
      <c r="E3342" t="s">
        <v>25</v>
      </c>
      <c r="F3342" t="s">
        <v>48</v>
      </c>
      <c r="G3342" t="s">
        <v>18</v>
      </c>
      <c r="H3342" t="s">
        <v>65</v>
      </c>
      <c r="I3342" t="s">
        <v>20</v>
      </c>
      <c r="J3342" t="s">
        <v>21</v>
      </c>
      <c r="K3342">
        <v>24</v>
      </c>
      <c r="L3342">
        <v>13.79</v>
      </c>
      <c r="M3342">
        <v>4.2</v>
      </c>
      <c r="N3342" t="s">
        <v>22</v>
      </c>
      <c r="O3342" t="str">
        <f t="shared" si="52"/>
        <v>No</v>
      </c>
    </row>
    <row r="3343" spans="1:15" x14ac:dyDescent="0.25">
      <c r="A3343" t="s">
        <v>3404</v>
      </c>
      <c r="B3343" s="1">
        <v>45713</v>
      </c>
      <c r="C3343" s="2">
        <v>45713.340416666666</v>
      </c>
      <c r="D3343" t="s">
        <v>24</v>
      </c>
      <c r="E3343" t="s">
        <v>16</v>
      </c>
      <c r="F3343" t="s">
        <v>17</v>
      </c>
      <c r="G3343" t="s">
        <v>34</v>
      </c>
      <c r="H3343" t="s">
        <v>35</v>
      </c>
      <c r="I3343" t="s">
        <v>36</v>
      </c>
      <c r="J3343" t="s">
        <v>21</v>
      </c>
      <c r="K3343">
        <v>24</v>
      </c>
      <c r="L3343">
        <v>8.17</v>
      </c>
      <c r="M3343">
        <v>4</v>
      </c>
      <c r="N3343" t="s">
        <v>61</v>
      </c>
      <c r="O3343" t="str">
        <f t="shared" si="52"/>
        <v>No</v>
      </c>
    </row>
    <row r="3344" spans="1:15" x14ac:dyDescent="0.25">
      <c r="A3344" t="s">
        <v>3405</v>
      </c>
      <c r="B3344" s="1">
        <v>45675</v>
      </c>
      <c r="C3344" s="2">
        <v>45675.477500000001</v>
      </c>
      <c r="D3344" t="s">
        <v>15</v>
      </c>
      <c r="E3344" t="s">
        <v>32</v>
      </c>
      <c r="F3344" t="s">
        <v>80</v>
      </c>
      <c r="G3344" t="s">
        <v>41</v>
      </c>
      <c r="H3344" t="s">
        <v>65</v>
      </c>
      <c r="I3344" t="s">
        <v>20</v>
      </c>
      <c r="J3344" t="s">
        <v>21</v>
      </c>
      <c r="K3344">
        <v>48</v>
      </c>
      <c r="L3344">
        <v>11.46</v>
      </c>
      <c r="M3344">
        <v>4.8</v>
      </c>
      <c r="N3344" t="s">
        <v>22</v>
      </c>
      <c r="O3344" t="str">
        <f t="shared" si="52"/>
        <v>No</v>
      </c>
    </row>
    <row r="3345" spans="1:15" x14ac:dyDescent="0.25">
      <c r="A3345" t="s">
        <v>3406</v>
      </c>
      <c r="B3345" s="1">
        <v>45770</v>
      </c>
      <c r="C3345" s="2">
        <v>45771.195833333331</v>
      </c>
      <c r="D3345" t="s">
        <v>24</v>
      </c>
      <c r="E3345" t="s">
        <v>25</v>
      </c>
      <c r="F3345" t="s">
        <v>70</v>
      </c>
      <c r="G3345" t="s">
        <v>34</v>
      </c>
      <c r="H3345" t="s">
        <v>35</v>
      </c>
      <c r="I3345" t="s">
        <v>20</v>
      </c>
      <c r="J3345" t="s">
        <v>21</v>
      </c>
      <c r="K3345">
        <v>24</v>
      </c>
      <c r="L3345">
        <v>28.7</v>
      </c>
      <c r="M3345">
        <v>3.5</v>
      </c>
      <c r="N3345" t="s">
        <v>22</v>
      </c>
      <c r="O3345" t="str">
        <f t="shared" si="52"/>
        <v>Yes</v>
      </c>
    </row>
    <row r="3346" spans="1:15" x14ac:dyDescent="0.25">
      <c r="A3346" t="s">
        <v>3407</v>
      </c>
      <c r="B3346" s="1">
        <v>45755</v>
      </c>
      <c r="C3346" s="2">
        <v>45755.145416666666</v>
      </c>
      <c r="D3346" t="s">
        <v>24</v>
      </c>
      <c r="E3346" t="s">
        <v>32</v>
      </c>
      <c r="F3346" t="s">
        <v>75</v>
      </c>
      <c r="G3346" t="s">
        <v>51</v>
      </c>
      <c r="H3346" t="s">
        <v>19</v>
      </c>
      <c r="I3346" t="s">
        <v>36</v>
      </c>
      <c r="J3346" t="s">
        <v>29</v>
      </c>
      <c r="K3346">
        <v>24</v>
      </c>
      <c r="L3346">
        <v>3.49</v>
      </c>
      <c r="M3346">
        <v>4.2</v>
      </c>
      <c r="N3346" t="s">
        <v>22</v>
      </c>
      <c r="O3346" t="str">
        <f t="shared" si="52"/>
        <v>No</v>
      </c>
    </row>
    <row r="3347" spans="1:15" x14ac:dyDescent="0.25">
      <c r="A3347" t="s">
        <v>3408</v>
      </c>
      <c r="B3347" s="1">
        <v>45795</v>
      </c>
      <c r="C3347" s="2">
        <v>45795.436249999999</v>
      </c>
      <c r="D3347" t="s">
        <v>38</v>
      </c>
      <c r="E3347" t="s">
        <v>45</v>
      </c>
      <c r="F3347" t="s">
        <v>104</v>
      </c>
      <c r="G3347" t="s">
        <v>41</v>
      </c>
      <c r="H3347" t="s">
        <v>65</v>
      </c>
      <c r="I3347" t="s">
        <v>20</v>
      </c>
      <c r="J3347" t="s">
        <v>21</v>
      </c>
      <c r="K3347">
        <v>8</v>
      </c>
      <c r="L3347">
        <v>10.47</v>
      </c>
      <c r="M3347">
        <v>4.8</v>
      </c>
      <c r="N3347" t="s">
        <v>61</v>
      </c>
      <c r="O3347" t="str">
        <f t="shared" si="52"/>
        <v>Yes</v>
      </c>
    </row>
    <row r="3348" spans="1:15" x14ac:dyDescent="0.25">
      <c r="A3348" t="s">
        <v>3409</v>
      </c>
      <c r="B3348" s="1">
        <v>45767</v>
      </c>
      <c r="C3348" s="2">
        <v>45767.187916666669</v>
      </c>
      <c r="D3348" t="s">
        <v>38</v>
      </c>
      <c r="E3348" t="s">
        <v>16</v>
      </c>
      <c r="F3348" t="s">
        <v>58</v>
      </c>
      <c r="G3348" t="s">
        <v>18</v>
      </c>
      <c r="H3348" t="s">
        <v>35</v>
      </c>
      <c r="I3348" t="s">
        <v>36</v>
      </c>
      <c r="J3348" t="s">
        <v>46</v>
      </c>
      <c r="K3348">
        <v>8</v>
      </c>
      <c r="L3348">
        <v>4.51</v>
      </c>
      <c r="M3348">
        <v>4.3</v>
      </c>
      <c r="N3348" t="s">
        <v>22</v>
      </c>
      <c r="O3348" t="str">
        <f t="shared" si="52"/>
        <v>No</v>
      </c>
    </row>
    <row r="3349" spans="1:15" x14ac:dyDescent="0.25">
      <c r="A3349" t="s">
        <v>3410</v>
      </c>
      <c r="B3349" s="1">
        <v>45681</v>
      </c>
      <c r="C3349" s="2">
        <v>45681.912083333336</v>
      </c>
      <c r="D3349" t="s">
        <v>15</v>
      </c>
      <c r="E3349" t="s">
        <v>32</v>
      </c>
      <c r="F3349" t="s">
        <v>64</v>
      </c>
      <c r="G3349" t="s">
        <v>18</v>
      </c>
      <c r="H3349" t="s">
        <v>65</v>
      </c>
      <c r="I3349" t="s">
        <v>28</v>
      </c>
      <c r="J3349" t="s">
        <v>21</v>
      </c>
      <c r="K3349">
        <v>48</v>
      </c>
      <c r="L3349">
        <v>21.89</v>
      </c>
      <c r="M3349">
        <v>4.0999999999999996</v>
      </c>
      <c r="N3349" t="s">
        <v>22</v>
      </c>
      <c r="O3349" t="str">
        <f t="shared" si="52"/>
        <v>No</v>
      </c>
    </row>
    <row r="3350" spans="1:15" x14ac:dyDescent="0.25">
      <c r="A3350" t="s">
        <v>3411</v>
      </c>
      <c r="B3350" s="1">
        <v>45680</v>
      </c>
      <c r="C3350" s="2">
        <v>45682.024583333332</v>
      </c>
      <c r="D3350" t="s">
        <v>15</v>
      </c>
      <c r="E3350" t="s">
        <v>25</v>
      </c>
      <c r="F3350" t="s">
        <v>53</v>
      </c>
      <c r="G3350" t="s">
        <v>34</v>
      </c>
      <c r="H3350" t="s">
        <v>19</v>
      </c>
      <c r="I3350" t="s">
        <v>36</v>
      </c>
      <c r="J3350" t="s">
        <v>21</v>
      </c>
      <c r="K3350">
        <v>48</v>
      </c>
      <c r="L3350">
        <v>48.59</v>
      </c>
      <c r="M3350">
        <v>3.9</v>
      </c>
      <c r="N3350" t="s">
        <v>22</v>
      </c>
      <c r="O3350" t="str">
        <f t="shared" si="52"/>
        <v>Yes</v>
      </c>
    </row>
    <row r="3351" spans="1:15" x14ac:dyDescent="0.25">
      <c r="A3351" t="s">
        <v>3412</v>
      </c>
      <c r="B3351" s="1">
        <v>45799</v>
      </c>
      <c r="C3351" s="2">
        <v>45799.347916666666</v>
      </c>
      <c r="D3351" t="s">
        <v>38</v>
      </c>
      <c r="E3351" t="s">
        <v>16</v>
      </c>
      <c r="F3351" t="s">
        <v>43</v>
      </c>
      <c r="G3351" t="s">
        <v>56</v>
      </c>
      <c r="H3351" t="s">
        <v>19</v>
      </c>
      <c r="I3351" t="s">
        <v>36</v>
      </c>
      <c r="J3351" t="s">
        <v>21</v>
      </c>
      <c r="K3351">
        <v>8</v>
      </c>
      <c r="L3351">
        <v>8.35</v>
      </c>
      <c r="M3351">
        <v>4.0999999999999996</v>
      </c>
      <c r="N3351" t="s">
        <v>22</v>
      </c>
      <c r="O3351" t="str">
        <f t="shared" si="52"/>
        <v>Yes</v>
      </c>
    </row>
    <row r="3352" spans="1:15" x14ac:dyDescent="0.25">
      <c r="A3352" t="s">
        <v>3413</v>
      </c>
      <c r="B3352" s="1">
        <v>45686</v>
      </c>
      <c r="C3352" s="2">
        <v>45686.088750000003</v>
      </c>
      <c r="D3352" t="s">
        <v>31</v>
      </c>
      <c r="E3352" t="s">
        <v>39</v>
      </c>
      <c r="F3352" t="s">
        <v>87</v>
      </c>
      <c r="G3352" t="s">
        <v>18</v>
      </c>
      <c r="H3352" t="s">
        <v>65</v>
      </c>
      <c r="I3352" t="s">
        <v>45</v>
      </c>
      <c r="J3352" t="s">
        <v>46</v>
      </c>
      <c r="K3352">
        <v>4</v>
      </c>
      <c r="L3352">
        <v>2.13</v>
      </c>
      <c r="M3352">
        <v>3.9</v>
      </c>
      <c r="N3352" t="s">
        <v>22</v>
      </c>
      <c r="O3352" t="str">
        <f t="shared" si="52"/>
        <v>No</v>
      </c>
    </row>
    <row r="3353" spans="1:15" x14ac:dyDescent="0.25">
      <c r="A3353" t="s">
        <v>3414</v>
      </c>
      <c r="B3353" s="1">
        <v>45827</v>
      </c>
      <c r="C3353" s="2">
        <v>45827.229583333334</v>
      </c>
      <c r="D3353" t="s">
        <v>38</v>
      </c>
      <c r="E3353" t="s">
        <v>39</v>
      </c>
      <c r="F3353" t="s">
        <v>87</v>
      </c>
      <c r="G3353" t="s">
        <v>34</v>
      </c>
      <c r="H3353" t="s">
        <v>65</v>
      </c>
      <c r="I3353" t="s">
        <v>36</v>
      </c>
      <c r="J3353" t="s">
        <v>46</v>
      </c>
      <c r="K3353">
        <v>8</v>
      </c>
      <c r="L3353">
        <v>5.51</v>
      </c>
      <c r="M3353">
        <v>5</v>
      </c>
      <c r="N3353" t="s">
        <v>22</v>
      </c>
      <c r="O3353" t="str">
        <f t="shared" si="52"/>
        <v>No</v>
      </c>
    </row>
    <row r="3354" spans="1:15" x14ac:dyDescent="0.25">
      <c r="A3354" t="s">
        <v>3415</v>
      </c>
      <c r="B3354" s="1">
        <v>45677</v>
      </c>
      <c r="C3354" s="2">
        <v>45677.360833333332</v>
      </c>
      <c r="D3354" t="s">
        <v>15</v>
      </c>
      <c r="E3354" t="s">
        <v>16</v>
      </c>
      <c r="F3354" t="s">
        <v>17</v>
      </c>
      <c r="G3354" t="s">
        <v>41</v>
      </c>
      <c r="H3354" t="s">
        <v>44</v>
      </c>
      <c r="I3354" t="s">
        <v>36</v>
      </c>
      <c r="J3354" t="s">
        <v>46</v>
      </c>
      <c r="K3354">
        <v>48</v>
      </c>
      <c r="L3354">
        <v>8.66</v>
      </c>
      <c r="M3354">
        <v>3.8</v>
      </c>
      <c r="N3354" t="s">
        <v>22</v>
      </c>
      <c r="O3354" t="str">
        <f t="shared" si="52"/>
        <v>No</v>
      </c>
    </row>
    <row r="3355" spans="1:15" x14ac:dyDescent="0.25">
      <c r="A3355" t="s">
        <v>3416</v>
      </c>
      <c r="B3355" s="1">
        <v>45789</v>
      </c>
      <c r="C3355" s="2">
        <v>45789.85</v>
      </c>
      <c r="D3355" t="s">
        <v>15</v>
      </c>
      <c r="E3355" t="s">
        <v>25</v>
      </c>
      <c r="F3355" t="s">
        <v>26</v>
      </c>
      <c r="G3355" t="s">
        <v>34</v>
      </c>
      <c r="H3355" t="s">
        <v>35</v>
      </c>
      <c r="I3355" t="s">
        <v>36</v>
      </c>
      <c r="J3355" t="s">
        <v>21</v>
      </c>
      <c r="K3355">
        <v>48</v>
      </c>
      <c r="L3355">
        <v>20.399999999999999</v>
      </c>
      <c r="M3355">
        <v>3.5</v>
      </c>
      <c r="N3355" t="s">
        <v>22</v>
      </c>
      <c r="O3355" t="str">
        <f t="shared" si="52"/>
        <v>No</v>
      </c>
    </row>
    <row r="3356" spans="1:15" x14ac:dyDescent="0.25">
      <c r="A3356" t="s">
        <v>3417</v>
      </c>
      <c r="B3356" s="1">
        <v>45834</v>
      </c>
      <c r="C3356" s="2">
        <v>45834.577499999999</v>
      </c>
      <c r="D3356" t="s">
        <v>15</v>
      </c>
      <c r="E3356" t="s">
        <v>45</v>
      </c>
      <c r="F3356" t="s">
        <v>104</v>
      </c>
      <c r="G3356" t="s">
        <v>34</v>
      </c>
      <c r="H3356" t="s">
        <v>19</v>
      </c>
      <c r="I3356" t="s">
        <v>20</v>
      </c>
      <c r="J3356" t="s">
        <v>85</v>
      </c>
      <c r="K3356">
        <v>48</v>
      </c>
      <c r="L3356">
        <v>13.86</v>
      </c>
      <c r="M3356">
        <v>3.6</v>
      </c>
      <c r="N3356" t="s">
        <v>22</v>
      </c>
      <c r="O3356" t="str">
        <f t="shared" si="52"/>
        <v>No</v>
      </c>
    </row>
    <row r="3357" spans="1:15" x14ac:dyDescent="0.25">
      <c r="A3357" t="s">
        <v>3418</v>
      </c>
      <c r="B3357" s="1">
        <v>45737</v>
      </c>
      <c r="C3357" s="2">
        <v>45737.403333333335</v>
      </c>
      <c r="D3357" t="s">
        <v>38</v>
      </c>
      <c r="E3357" t="s">
        <v>32</v>
      </c>
      <c r="F3357" t="s">
        <v>75</v>
      </c>
      <c r="G3357" t="s">
        <v>18</v>
      </c>
      <c r="H3357" t="s">
        <v>44</v>
      </c>
      <c r="I3357" t="s">
        <v>36</v>
      </c>
      <c r="J3357" t="s">
        <v>46</v>
      </c>
      <c r="K3357">
        <v>8</v>
      </c>
      <c r="L3357">
        <v>9.68</v>
      </c>
      <c r="M3357">
        <v>3.6</v>
      </c>
      <c r="N3357" t="s">
        <v>22</v>
      </c>
      <c r="O3357" t="str">
        <f t="shared" si="52"/>
        <v>Yes</v>
      </c>
    </row>
    <row r="3358" spans="1:15" x14ac:dyDescent="0.25">
      <c r="A3358" t="s">
        <v>3419</v>
      </c>
      <c r="B3358" s="1">
        <v>45668</v>
      </c>
      <c r="C3358" s="2">
        <v>45669.13208333333</v>
      </c>
      <c r="D3358" t="s">
        <v>24</v>
      </c>
      <c r="E3358" t="s">
        <v>16</v>
      </c>
      <c r="F3358" t="s">
        <v>17</v>
      </c>
      <c r="G3358" t="s">
        <v>41</v>
      </c>
      <c r="H3358" t="s">
        <v>35</v>
      </c>
      <c r="I3358" t="s">
        <v>45</v>
      </c>
      <c r="J3358" t="s">
        <v>29</v>
      </c>
      <c r="K3358">
        <v>24</v>
      </c>
      <c r="L3358">
        <v>27.17</v>
      </c>
      <c r="M3358">
        <v>3.9</v>
      </c>
      <c r="N3358" t="s">
        <v>22</v>
      </c>
      <c r="O3358" t="str">
        <f t="shared" si="52"/>
        <v>Yes</v>
      </c>
    </row>
    <row r="3359" spans="1:15" x14ac:dyDescent="0.25">
      <c r="A3359" t="s">
        <v>3420</v>
      </c>
      <c r="B3359" s="1">
        <v>45816</v>
      </c>
      <c r="C3359" s="2">
        <v>45816.184583333335</v>
      </c>
      <c r="D3359" t="s">
        <v>24</v>
      </c>
      <c r="E3359" t="s">
        <v>16</v>
      </c>
      <c r="F3359" t="s">
        <v>60</v>
      </c>
      <c r="G3359" t="s">
        <v>34</v>
      </c>
      <c r="H3359" t="s">
        <v>35</v>
      </c>
      <c r="I3359" t="s">
        <v>45</v>
      </c>
      <c r="J3359" t="s">
        <v>21</v>
      </c>
      <c r="K3359">
        <v>24</v>
      </c>
      <c r="L3359">
        <v>4.43</v>
      </c>
      <c r="M3359">
        <v>4.5999999999999996</v>
      </c>
      <c r="N3359" t="s">
        <v>22</v>
      </c>
      <c r="O3359" t="str">
        <f t="shared" si="52"/>
        <v>No</v>
      </c>
    </row>
    <row r="3360" spans="1:15" x14ac:dyDescent="0.25">
      <c r="A3360" t="s">
        <v>3421</v>
      </c>
      <c r="B3360" s="1">
        <v>45691</v>
      </c>
      <c r="C3360" s="2">
        <v>45691.173750000002</v>
      </c>
      <c r="D3360" t="s">
        <v>24</v>
      </c>
      <c r="E3360" t="s">
        <v>16</v>
      </c>
      <c r="F3360" t="s">
        <v>60</v>
      </c>
      <c r="G3360" t="s">
        <v>34</v>
      </c>
      <c r="H3360" t="s">
        <v>27</v>
      </c>
      <c r="I3360" t="s">
        <v>45</v>
      </c>
      <c r="J3360" t="s">
        <v>21</v>
      </c>
      <c r="K3360">
        <v>24</v>
      </c>
      <c r="L3360">
        <v>4.17</v>
      </c>
      <c r="M3360">
        <v>5</v>
      </c>
      <c r="N3360" t="s">
        <v>22</v>
      </c>
      <c r="O3360" t="str">
        <f t="shared" si="52"/>
        <v>No</v>
      </c>
    </row>
    <row r="3361" spans="1:15" x14ac:dyDescent="0.25">
      <c r="A3361" t="s">
        <v>3422</v>
      </c>
      <c r="B3361" s="1">
        <v>45753</v>
      </c>
      <c r="C3361" s="2">
        <v>45753.882916666669</v>
      </c>
      <c r="D3361" t="s">
        <v>15</v>
      </c>
      <c r="E3361" t="s">
        <v>16</v>
      </c>
      <c r="F3361" t="s">
        <v>43</v>
      </c>
      <c r="G3361" t="s">
        <v>18</v>
      </c>
      <c r="H3361" t="s">
        <v>65</v>
      </c>
      <c r="I3361" t="s">
        <v>36</v>
      </c>
      <c r="J3361" t="s">
        <v>46</v>
      </c>
      <c r="K3361">
        <v>48</v>
      </c>
      <c r="L3361">
        <v>21.19</v>
      </c>
      <c r="M3361">
        <v>4.8</v>
      </c>
      <c r="N3361" t="s">
        <v>61</v>
      </c>
      <c r="O3361" t="str">
        <f t="shared" si="52"/>
        <v>No</v>
      </c>
    </row>
    <row r="3362" spans="1:15" x14ac:dyDescent="0.25">
      <c r="A3362" t="s">
        <v>3423</v>
      </c>
      <c r="B3362" s="1">
        <v>45836</v>
      </c>
      <c r="C3362" s="2">
        <v>45837.339583333334</v>
      </c>
      <c r="D3362" t="s">
        <v>24</v>
      </c>
      <c r="E3362" t="s">
        <v>39</v>
      </c>
      <c r="F3362" t="s">
        <v>40</v>
      </c>
      <c r="G3362" t="s">
        <v>41</v>
      </c>
      <c r="H3362" t="s">
        <v>54</v>
      </c>
      <c r="I3362" t="s">
        <v>36</v>
      </c>
      <c r="J3362" t="s">
        <v>21</v>
      </c>
      <c r="K3362">
        <v>24</v>
      </c>
      <c r="L3362">
        <v>32.15</v>
      </c>
      <c r="M3362">
        <v>3.2</v>
      </c>
      <c r="N3362" t="s">
        <v>22</v>
      </c>
      <c r="O3362" t="str">
        <f t="shared" si="52"/>
        <v>Yes</v>
      </c>
    </row>
    <row r="3363" spans="1:15" x14ac:dyDescent="0.25">
      <c r="A3363" t="s">
        <v>3424</v>
      </c>
      <c r="B3363" s="1">
        <v>45792</v>
      </c>
      <c r="C3363" s="2">
        <v>45792.712083333332</v>
      </c>
      <c r="D3363" t="s">
        <v>15</v>
      </c>
      <c r="E3363" t="s">
        <v>25</v>
      </c>
      <c r="F3363" t="s">
        <v>70</v>
      </c>
      <c r="G3363" t="s">
        <v>18</v>
      </c>
      <c r="H3363" t="s">
        <v>54</v>
      </c>
      <c r="I3363" t="s">
        <v>28</v>
      </c>
      <c r="J3363" t="s">
        <v>46</v>
      </c>
      <c r="K3363">
        <v>48</v>
      </c>
      <c r="L3363">
        <v>17.09</v>
      </c>
      <c r="M3363">
        <v>4.9000000000000004</v>
      </c>
      <c r="N3363" t="s">
        <v>22</v>
      </c>
      <c r="O3363" t="str">
        <f t="shared" si="52"/>
        <v>No</v>
      </c>
    </row>
    <row r="3364" spans="1:15" x14ac:dyDescent="0.25">
      <c r="A3364" t="s">
        <v>3425</v>
      </c>
      <c r="B3364" s="1">
        <v>45666</v>
      </c>
      <c r="C3364" s="2">
        <v>45667.967083333337</v>
      </c>
      <c r="D3364" t="s">
        <v>24</v>
      </c>
      <c r="E3364" t="s">
        <v>39</v>
      </c>
      <c r="F3364" t="s">
        <v>119</v>
      </c>
      <c r="G3364" t="s">
        <v>41</v>
      </c>
      <c r="H3364" t="s">
        <v>35</v>
      </c>
      <c r="I3364" t="s">
        <v>20</v>
      </c>
      <c r="J3364" t="s">
        <v>21</v>
      </c>
      <c r="K3364">
        <v>24</v>
      </c>
      <c r="L3364">
        <v>47.21</v>
      </c>
      <c r="M3364">
        <v>2.5</v>
      </c>
      <c r="N3364" t="s">
        <v>22</v>
      </c>
      <c r="O3364" t="str">
        <f t="shared" si="52"/>
        <v>Yes</v>
      </c>
    </row>
    <row r="3365" spans="1:15" x14ac:dyDescent="0.25">
      <c r="A3365" t="s">
        <v>3426</v>
      </c>
      <c r="B3365" s="1">
        <v>45806</v>
      </c>
      <c r="C3365" s="2">
        <v>45806.05</v>
      </c>
      <c r="D3365" t="s">
        <v>38</v>
      </c>
      <c r="E3365" t="s">
        <v>32</v>
      </c>
      <c r="F3365" t="s">
        <v>75</v>
      </c>
      <c r="G3365" t="s">
        <v>51</v>
      </c>
      <c r="H3365" t="s">
        <v>54</v>
      </c>
      <c r="I3365" t="s">
        <v>28</v>
      </c>
      <c r="J3365" t="s">
        <v>21</v>
      </c>
      <c r="K3365">
        <v>8</v>
      </c>
      <c r="L3365">
        <v>1.2</v>
      </c>
      <c r="M3365">
        <v>4.5999999999999996</v>
      </c>
      <c r="N3365" t="s">
        <v>22</v>
      </c>
      <c r="O3365" t="str">
        <f t="shared" si="52"/>
        <v>No</v>
      </c>
    </row>
    <row r="3366" spans="1:15" x14ac:dyDescent="0.25">
      <c r="A3366" t="s">
        <v>3427</v>
      </c>
      <c r="B3366" s="1">
        <v>45687</v>
      </c>
      <c r="C3366" s="2">
        <v>45687.279583333337</v>
      </c>
      <c r="D3366" t="s">
        <v>24</v>
      </c>
      <c r="E3366" t="s">
        <v>16</v>
      </c>
      <c r="F3366" t="s">
        <v>60</v>
      </c>
      <c r="G3366" t="s">
        <v>56</v>
      </c>
      <c r="H3366" t="s">
        <v>44</v>
      </c>
      <c r="I3366" t="s">
        <v>20</v>
      </c>
      <c r="J3366" t="s">
        <v>21</v>
      </c>
      <c r="K3366">
        <v>24</v>
      </c>
      <c r="L3366">
        <v>6.71</v>
      </c>
      <c r="M3366">
        <v>4.3</v>
      </c>
      <c r="N3366" t="s">
        <v>22</v>
      </c>
      <c r="O3366" t="str">
        <f t="shared" si="52"/>
        <v>No</v>
      </c>
    </row>
    <row r="3367" spans="1:15" x14ac:dyDescent="0.25">
      <c r="A3367" t="s">
        <v>3428</v>
      </c>
      <c r="B3367" s="1">
        <v>45793</v>
      </c>
      <c r="C3367" s="2">
        <v>45793.179166666669</v>
      </c>
      <c r="D3367" t="s">
        <v>24</v>
      </c>
      <c r="E3367" t="s">
        <v>32</v>
      </c>
      <c r="F3367" t="s">
        <v>64</v>
      </c>
      <c r="G3367" t="s">
        <v>18</v>
      </c>
      <c r="H3367" t="s">
        <v>65</v>
      </c>
      <c r="I3367" t="s">
        <v>20</v>
      </c>
      <c r="J3367" t="s">
        <v>21</v>
      </c>
      <c r="K3367">
        <v>24</v>
      </c>
      <c r="L3367">
        <v>4.3</v>
      </c>
      <c r="M3367">
        <v>4.9000000000000004</v>
      </c>
      <c r="N3367" t="s">
        <v>22</v>
      </c>
      <c r="O3367" t="str">
        <f t="shared" si="52"/>
        <v>No</v>
      </c>
    </row>
    <row r="3368" spans="1:15" x14ac:dyDescent="0.25">
      <c r="A3368" t="s">
        <v>3429</v>
      </c>
      <c r="B3368" s="1">
        <v>45770</v>
      </c>
      <c r="C3368" s="2">
        <v>45770.18</v>
      </c>
      <c r="D3368" t="s">
        <v>38</v>
      </c>
      <c r="E3368" t="s">
        <v>32</v>
      </c>
      <c r="F3368" t="s">
        <v>75</v>
      </c>
      <c r="G3368" t="s">
        <v>51</v>
      </c>
      <c r="H3368" t="s">
        <v>27</v>
      </c>
      <c r="I3368" t="s">
        <v>28</v>
      </c>
      <c r="J3368" t="s">
        <v>21</v>
      </c>
      <c r="K3368">
        <v>8</v>
      </c>
      <c r="L3368">
        <v>4.32</v>
      </c>
      <c r="M3368">
        <v>5</v>
      </c>
      <c r="N3368" t="s">
        <v>22</v>
      </c>
      <c r="O3368" t="str">
        <f t="shared" si="52"/>
        <v>No</v>
      </c>
    </row>
    <row r="3369" spans="1:15" x14ac:dyDescent="0.25">
      <c r="A3369" t="s">
        <v>3430</v>
      </c>
      <c r="B3369" s="1">
        <v>45710</v>
      </c>
      <c r="C3369" s="2">
        <v>45710.348749999997</v>
      </c>
      <c r="D3369" t="s">
        <v>24</v>
      </c>
      <c r="E3369" t="s">
        <v>32</v>
      </c>
      <c r="F3369" t="s">
        <v>33</v>
      </c>
      <c r="G3369" t="s">
        <v>51</v>
      </c>
      <c r="H3369" t="s">
        <v>27</v>
      </c>
      <c r="I3369" t="s">
        <v>45</v>
      </c>
      <c r="J3369" t="s">
        <v>29</v>
      </c>
      <c r="K3369">
        <v>24</v>
      </c>
      <c r="L3369">
        <v>8.3699999999999992</v>
      </c>
      <c r="M3369">
        <v>3.8</v>
      </c>
      <c r="N3369" t="s">
        <v>22</v>
      </c>
      <c r="O3369" t="str">
        <f t="shared" si="52"/>
        <v>No</v>
      </c>
    </row>
    <row r="3370" spans="1:15" x14ac:dyDescent="0.25">
      <c r="A3370" t="s">
        <v>3431</v>
      </c>
      <c r="B3370" s="1">
        <v>45734</v>
      </c>
      <c r="C3370" s="2">
        <v>45736.51666666667</v>
      </c>
      <c r="D3370" t="s">
        <v>15</v>
      </c>
      <c r="E3370" t="s">
        <v>16</v>
      </c>
      <c r="F3370" t="s">
        <v>43</v>
      </c>
      <c r="G3370" t="s">
        <v>41</v>
      </c>
      <c r="H3370" t="s">
        <v>27</v>
      </c>
      <c r="I3370" t="s">
        <v>28</v>
      </c>
      <c r="J3370" t="s">
        <v>21</v>
      </c>
      <c r="K3370">
        <v>48</v>
      </c>
      <c r="L3370">
        <v>60.4</v>
      </c>
      <c r="M3370">
        <v>3.2</v>
      </c>
      <c r="N3370" t="s">
        <v>22</v>
      </c>
      <c r="O3370" t="str">
        <f t="shared" si="52"/>
        <v>Yes</v>
      </c>
    </row>
    <row r="3371" spans="1:15" x14ac:dyDescent="0.25">
      <c r="A3371" t="s">
        <v>3432</v>
      </c>
      <c r="B3371" s="1">
        <v>45679</v>
      </c>
      <c r="C3371" s="2">
        <v>45679.65</v>
      </c>
      <c r="D3371" t="s">
        <v>15</v>
      </c>
      <c r="E3371" t="s">
        <v>45</v>
      </c>
      <c r="F3371" t="s">
        <v>100</v>
      </c>
      <c r="G3371" t="s">
        <v>56</v>
      </c>
      <c r="H3371" t="s">
        <v>19</v>
      </c>
      <c r="I3371" t="s">
        <v>36</v>
      </c>
      <c r="J3371" t="s">
        <v>21</v>
      </c>
      <c r="K3371">
        <v>48</v>
      </c>
      <c r="L3371">
        <v>15.6</v>
      </c>
      <c r="M3371">
        <v>4.7</v>
      </c>
      <c r="N3371" t="s">
        <v>22</v>
      </c>
      <c r="O3371" t="str">
        <f t="shared" si="52"/>
        <v>No</v>
      </c>
    </row>
    <row r="3372" spans="1:15" x14ac:dyDescent="0.25">
      <c r="A3372" t="s">
        <v>3433</v>
      </c>
      <c r="B3372" s="1">
        <v>45836</v>
      </c>
      <c r="C3372" s="2">
        <v>45836.897083333337</v>
      </c>
      <c r="D3372" t="s">
        <v>24</v>
      </c>
      <c r="E3372" t="s">
        <v>39</v>
      </c>
      <c r="F3372" t="s">
        <v>119</v>
      </c>
      <c r="G3372" t="s">
        <v>34</v>
      </c>
      <c r="H3372" t="s">
        <v>65</v>
      </c>
      <c r="I3372" t="s">
        <v>36</v>
      </c>
      <c r="J3372" t="s">
        <v>21</v>
      </c>
      <c r="K3372">
        <v>24</v>
      </c>
      <c r="L3372">
        <v>21.53</v>
      </c>
      <c r="M3372">
        <v>5</v>
      </c>
      <c r="N3372" t="s">
        <v>22</v>
      </c>
      <c r="O3372" t="str">
        <f t="shared" si="52"/>
        <v>No</v>
      </c>
    </row>
    <row r="3373" spans="1:15" x14ac:dyDescent="0.25">
      <c r="A3373" t="s">
        <v>3434</v>
      </c>
      <c r="B3373" s="1">
        <v>45701</v>
      </c>
      <c r="C3373" s="2">
        <v>45701.380416666667</v>
      </c>
      <c r="D3373" t="s">
        <v>15</v>
      </c>
      <c r="E3373" t="s">
        <v>32</v>
      </c>
      <c r="F3373" t="s">
        <v>80</v>
      </c>
      <c r="G3373" t="s">
        <v>51</v>
      </c>
      <c r="H3373" t="s">
        <v>35</v>
      </c>
      <c r="I3373" t="s">
        <v>45</v>
      </c>
      <c r="J3373" t="s">
        <v>21</v>
      </c>
      <c r="K3373">
        <v>48</v>
      </c>
      <c r="L3373">
        <v>9.1300000000000008</v>
      </c>
      <c r="M3373">
        <v>5</v>
      </c>
      <c r="N3373" t="s">
        <v>22</v>
      </c>
      <c r="O3373" t="str">
        <f t="shared" si="52"/>
        <v>No</v>
      </c>
    </row>
    <row r="3374" spans="1:15" x14ac:dyDescent="0.25">
      <c r="A3374" t="s">
        <v>3435</v>
      </c>
      <c r="B3374" s="1">
        <v>45713</v>
      </c>
      <c r="C3374" s="2">
        <v>45713.809166666666</v>
      </c>
      <c r="D3374" t="s">
        <v>15</v>
      </c>
      <c r="E3374" t="s">
        <v>25</v>
      </c>
      <c r="F3374" t="s">
        <v>70</v>
      </c>
      <c r="G3374" t="s">
        <v>34</v>
      </c>
      <c r="H3374" t="s">
        <v>27</v>
      </c>
      <c r="I3374" t="s">
        <v>45</v>
      </c>
      <c r="J3374" t="s">
        <v>21</v>
      </c>
      <c r="K3374">
        <v>48</v>
      </c>
      <c r="L3374">
        <v>19.420000000000002</v>
      </c>
      <c r="M3374">
        <v>4</v>
      </c>
      <c r="N3374" t="s">
        <v>22</v>
      </c>
      <c r="O3374" t="str">
        <f t="shared" si="52"/>
        <v>No</v>
      </c>
    </row>
    <row r="3375" spans="1:15" x14ac:dyDescent="0.25">
      <c r="A3375" t="s">
        <v>3436</v>
      </c>
      <c r="B3375" s="1">
        <v>45749</v>
      </c>
      <c r="C3375" s="2">
        <v>45749.154583333337</v>
      </c>
      <c r="D3375" t="s">
        <v>15</v>
      </c>
      <c r="E3375" t="s">
        <v>32</v>
      </c>
      <c r="F3375" t="s">
        <v>33</v>
      </c>
      <c r="G3375" t="s">
        <v>34</v>
      </c>
      <c r="H3375" t="s">
        <v>19</v>
      </c>
      <c r="I3375" t="s">
        <v>36</v>
      </c>
      <c r="J3375" t="s">
        <v>21</v>
      </c>
      <c r="K3375">
        <v>48</v>
      </c>
      <c r="L3375">
        <v>3.71</v>
      </c>
      <c r="M3375">
        <v>4.3</v>
      </c>
      <c r="N3375" t="s">
        <v>22</v>
      </c>
      <c r="O3375" t="str">
        <f t="shared" si="52"/>
        <v>No</v>
      </c>
    </row>
    <row r="3376" spans="1:15" x14ac:dyDescent="0.25">
      <c r="A3376" t="s">
        <v>3437</v>
      </c>
      <c r="B3376" s="1">
        <v>45779</v>
      </c>
      <c r="C3376" s="2">
        <v>45781.709583333337</v>
      </c>
      <c r="D3376" t="s">
        <v>15</v>
      </c>
      <c r="E3376" t="s">
        <v>45</v>
      </c>
      <c r="F3376" t="s">
        <v>112</v>
      </c>
      <c r="G3376" t="s">
        <v>41</v>
      </c>
      <c r="H3376" t="s">
        <v>19</v>
      </c>
      <c r="I3376" t="s">
        <v>45</v>
      </c>
      <c r="J3376" t="s">
        <v>21</v>
      </c>
      <c r="K3376">
        <v>48</v>
      </c>
      <c r="L3376">
        <v>65.03</v>
      </c>
      <c r="M3376">
        <v>4</v>
      </c>
      <c r="N3376" t="s">
        <v>22</v>
      </c>
      <c r="O3376" t="str">
        <f t="shared" si="52"/>
        <v>Yes</v>
      </c>
    </row>
    <row r="3377" spans="1:15" x14ac:dyDescent="0.25">
      <c r="A3377" t="s">
        <v>3438</v>
      </c>
      <c r="B3377" s="1">
        <v>45749</v>
      </c>
      <c r="C3377" s="2">
        <v>45749.440000000002</v>
      </c>
      <c r="D3377" t="s">
        <v>24</v>
      </c>
      <c r="E3377" t="s">
        <v>16</v>
      </c>
      <c r="F3377" t="s">
        <v>60</v>
      </c>
      <c r="G3377" t="s">
        <v>18</v>
      </c>
      <c r="H3377" t="s">
        <v>35</v>
      </c>
      <c r="I3377" t="s">
        <v>45</v>
      </c>
      <c r="J3377" t="s">
        <v>21</v>
      </c>
      <c r="K3377">
        <v>24</v>
      </c>
      <c r="L3377">
        <v>10.56</v>
      </c>
      <c r="M3377">
        <v>4.3</v>
      </c>
      <c r="N3377" t="s">
        <v>61</v>
      </c>
      <c r="O3377" t="str">
        <f t="shared" si="52"/>
        <v>No</v>
      </c>
    </row>
    <row r="3378" spans="1:15" x14ac:dyDescent="0.25">
      <c r="A3378" t="s">
        <v>3439</v>
      </c>
      <c r="B3378" s="1">
        <v>45749</v>
      </c>
      <c r="C3378" s="2">
        <v>45749.892916666664</v>
      </c>
      <c r="D3378" t="s">
        <v>24</v>
      </c>
      <c r="E3378" t="s">
        <v>32</v>
      </c>
      <c r="F3378" t="s">
        <v>75</v>
      </c>
      <c r="G3378" t="s">
        <v>56</v>
      </c>
      <c r="H3378" t="s">
        <v>35</v>
      </c>
      <c r="I3378" t="s">
        <v>20</v>
      </c>
      <c r="J3378" t="s">
        <v>46</v>
      </c>
      <c r="K3378">
        <v>24</v>
      </c>
      <c r="L3378">
        <v>21.43</v>
      </c>
      <c r="M3378">
        <v>3.1</v>
      </c>
      <c r="N3378" t="s">
        <v>22</v>
      </c>
      <c r="O3378" t="str">
        <f t="shared" si="52"/>
        <v>No</v>
      </c>
    </row>
    <row r="3379" spans="1:15" x14ac:dyDescent="0.25">
      <c r="A3379" t="s">
        <v>3440</v>
      </c>
      <c r="B3379" s="1">
        <v>45763</v>
      </c>
      <c r="C3379" s="2">
        <v>45763.224166666667</v>
      </c>
      <c r="D3379" t="s">
        <v>15</v>
      </c>
      <c r="E3379" t="s">
        <v>16</v>
      </c>
      <c r="F3379" t="s">
        <v>58</v>
      </c>
      <c r="G3379" t="s">
        <v>56</v>
      </c>
      <c r="H3379" t="s">
        <v>54</v>
      </c>
      <c r="I3379" t="s">
        <v>36</v>
      </c>
      <c r="J3379" t="s">
        <v>29</v>
      </c>
      <c r="K3379">
        <v>48</v>
      </c>
      <c r="L3379">
        <v>5.38</v>
      </c>
      <c r="M3379">
        <v>5</v>
      </c>
      <c r="N3379" t="s">
        <v>22</v>
      </c>
      <c r="O3379" t="str">
        <f t="shared" si="52"/>
        <v>No</v>
      </c>
    </row>
    <row r="3380" spans="1:15" x14ac:dyDescent="0.25">
      <c r="A3380" t="s">
        <v>3441</v>
      </c>
      <c r="B3380" s="1">
        <v>45813</v>
      </c>
      <c r="C3380" s="2">
        <v>45813.137499999997</v>
      </c>
      <c r="D3380" t="s">
        <v>24</v>
      </c>
      <c r="E3380" t="s">
        <v>39</v>
      </c>
      <c r="F3380" t="s">
        <v>78</v>
      </c>
      <c r="G3380" t="s">
        <v>51</v>
      </c>
      <c r="H3380" t="s">
        <v>54</v>
      </c>
      <c r="I3380" t="s">
        <v>36</v>
      </c>
      <c r="J3380" t="s">
        <v>46</v>
      </c>
      <c r="K3380">
        <v>24</v>
      </c>
      <c r="L3380">
        <v>3.3</v>
      </c>
      <c r="M3380">
        <v>5</v>
      </c>
      <c r="N3380" t="s">
        <v>22</v>
      </c>
      <c r="O3380" t="str">
        <f t="shared" si="52"/>
        <v>No</v>
      </c>
    </row>
    <row r="3381" spans="1:15" x14ac:dyDescent="0.25">
      <c r="A3381" t="s">
        <v>3442</v>
      </c>
      <c r="B3381" s="1">
        <v>45729</v>
      </c>
      <c r="C3381" s="2">
        <v>45729.38958333333</v>
      </c>
      <c r="D3381" t="s">
        <v>15</v>
      </c>
      <c r="E3381" t="s">
        <v>25</v>
      </c>
      <c r="F3381" t="s">
        <v>53</v>
      </c>
      <c r="G3381" t="s">
        <v>51</v>
      </c>
      <c r="H3381" t="s">
        <v>54</v>
      </c>
      <c r="I3381" t="s">
        <v>20</v>
      </c>
      <c r="J3381" t="s">
        <v>21</v>
      </c>
      <c r="K3381">
        <v>48</v>
      </c>
      <c r="L3381">
        <v>9.35</v>
      </c>
      <c r="M3381">
        <v>4</v>
      </c>
      <c r="N3381" t="s">
        <v>22</v>
      </c>
      <c r="O3381" t="str">
        <f t="shared" si="52"/>
        <v>No</v>
      </c>
    </row>
    <row r="3382" spans="1:15" x14ac:dyDescent="0.25">
      <c r="A3382" t="s">
        <v>3443</v>
      </c>
      <c r="B3382" s="1">
        <v>45808</v>
      </c>
      <c r="C3382" s="2">
        <v>45808.299166666664</v>
      </c>
      <c r="D3382" t="s">
        <v>24</v>
      </c>
      <c r="E3382" t="s">
        <v>32</v>
      </c>
      <c r="F3382" t="s">
        <v>33</v>
      </c>
      <c r="G3382" t="s">
        <v>51</v>
      </c>
      <c r="H3382" t="s">
        <v>44</v>
      </c>
      <c r="I3382" t="s">
        <v>45</v>
      </c>
      <c r="J3382" t="s">
        <v>21</v>
      </c>
      <c r="K3382">
        <v>24</v>
      </c>
      <c r="L3382">
        <v>7.18</v>
      </c>
      <c r="M3382">
        <v>3.8</v>
      </c>
      <c r="N3382" t="s">
        <v>22</v>
      </c>
      <c r="O3382" t="str">
        <f t="shared" si="52"/>
        <v>No</v>
      </c>
    </row>
    <row r="3383" spans="1:15" x14ac:dyDescent="0.25">
      <c r="A3383" t="s">
        <v>3444</v>
      </c>
      <c r="B3383" s="1">
        <v>45800</v>
      </c>
      <c r="C3383" s="2">
        <v>45802.07</v>
      </c>
      <c r="D3383" t="s">
        <v>15</v>
      </c>
      <c r="E3383" t="s">
        <v>25</v>
      </c>
      <c r="F3383" t="s">
        <v>48</v>
      </c>
      <c r="G3383" t="s">
        <v>41</v>
      </c>
      <c r="H3383" t="s">
        <v>19</v>
      </c>
      <c r="I3383" t="s">
        <v>20</v>
      </c>
      <c r="J3383" t="s">
        <v>21</v>
      </c>
      <c r="K3383">
        <v>48</v>
      </c>
      <c r="L3383">
        <v>49.68</v>
      </c>
      <c r="M3383">
        <v>2.2999999999999998</v>
      </c>
      <c r="N3383" t="s">
        <v>61</v>
      </c>
      <c r="O3383" t="str">
        <f t="shared" si="52"/>
        <v>Yes</v>
      </c>
    </row>
    <row r="3384" spans="1:15" x14ac:dyDescent="0.25">
      <c r="A3384" t="s">
        <v>3445</v>
      </c>
      <c r="B3384" s="1">
        <v>45831</v>
      </c>
      <c r="C3384" s="2">
        <v>45831.112500000003</v>
      </c>
      <c r="D3384" t="s">
        <v>38</v>
      </c>
      <c r="E3384" t="s">
        <v>25</v>
      </c>
      <c r="F3384" t="s">
        <v>48</v>
      </c>
      <c r="G3384" t="s">
        <v>51</v>
      </c>
      <c r="H3384" t="s">
        <v>19</v>
      </c>
      <c r="I3384" t="s">
        <v>36</v>
      </c>
      <c r="J3384" t="s">
        <v>21</v>
      </c>
      <c r="K3384">
        <v>8</v>
      </c>
      <c r="L3384">
        <v>2.7</v>
      </c>
      <c r="M3384">
        <v>4.2</v>
      </c>
      <c r="N3384" t="s">
        <v>22</v>
      </c>
      <c r="O3384" t="str">
        <f t="shared" si="52"/>
        <v>No</v>
      </c>
    </row>
    <row r="3385" spans="1:15" x14ac:dyDescent="0.25">
      <c r="A3385" t="s">
        <v>3446</v>
      </c>
      <c r="B3385" s="1">
        <v>45823</v>
      </c>
      <c r="C3385" s="2">
        <v>45823.119583333333</v>
      </c>
      <c r="D3385" t="s">
        <v>31</v>
      </c>
      <c r="E3385" t="s">
        <v>25</v>
      </c>
      <c r="F3385" t="s">
        <v>53</v>
      </c>
      <c r="G3385" t="s">
        <v>51</v>
      </c>
      <c r="H3385" t="s">
        <v>54</v>
      </c>
      <c r="I3385" t="s">
        <v>36</v>
      </c>
      <c r="J3385" t="s">
        <v>46</v>
      </c>
      <c r="K3385">
        <v>4</v>
      </c>
      <c r="L3385">
        <v>2.87</v>
      </c>
      <c r="M3385">
        <v>4.3</v>
      </c>
      <c r="N3385" t="s">
        <v>22</v>
      </c>
      <c r="O3385" t="str">
        <f t="shared" si="52"/>
        <v>No</v>
      </c>
    </row>
    <row r="3386" spans="1:15" x14ac:dyDescent="0.25">
      <c r="A3386" t="s">
        <v>3447</v>
      </c>
      <c r="B3386" s="1">
        <v>45802</v>
      </c>
      <c r="C3386" s="2">
        <v>45803.573333333334</v>
      </c>
      <c r="D3386" t="s">
        <v>24</v>
      </c>
      <c r="E3386" t="s">
        <v>45</v>
      </c>
      <c r="F3386" t="s">
        <v>50</v>
      </c>
      <c r="G3386" t="s">
        <v>51</v>
      </c>
      <c r="H3386" t="s">
        <v>19</v>
      </c>
      <c r="I3386" t="s">
        <v>28</v>
      </c>
      <c r="J3386" t="s">
        <v>21</v>
      </c>
      <c r="K3386">
        <v>24</v>
      </c>
      <c r="L3386">
        <v>37.76</v>
      </c>
      <c r="M3386">
        <v>3.7</v>
      </c>
      <c r="N3386" t="s">
        <v>22</v>
      </c>
      <c r="O3386" t="str">
        <f t="shared" si="52"/>
        <v>Yes</v>
      </c>
    </row>
    <row r="3387" spans="1:15" x14ac:dyDescent="0.25">
      <c r="A3387" t="s">
        <v>3448</v>
      </c>
      <c r="B3387" s="1">
        <v>45702</v>
      </c>
      <c r="C3387" s="2">
        <v>45702.778749999998</v>
      </c>
      <c r="D3387" t="s">
        <v>15</v>
      </c>
      <c r="E3387" t="s">
        <v>32</v>
      </c>
      <c r="F3387" t="s">
        <v>64</v>
      </c>
      <c r="G3387" t="s">
        <v>56</v>
      </c>
      <c r="H3387" t="s">
        <v>27</v>
      </c>
      <c r="I3387" t="s">
        <v>36</v>
      </c>
      <c r="J3387" t="s">
        <v>21</v>
      </c>
      <c r="K3387">
        <v>48</v>
      </c>
      <c r="L3387">
        <v>18.690000000000001</v>
      </c>
      <c r="M3387">
        <v>4.8</v>
      </c>
      <c r="N3387" t="s">
        <v>22</v>
      </c>
      <c r="O3387" t="str">
        <f t="shared" si="52"/>
        <v>No</v>
      </c>
    </row>
    <row r="3388" spans="1:15" x14ac:dyDescent="0.25">
      <c r="A3388" t="s">
        <v>3449</v>
      </c>
      <c r="B3388" s="1">
        <v>45798</v>
      </c>
      <c r="C3388" s="2">
        <v>45798.252083333333</v>
      </c>
      <c r="D3388" t="s">
        <v>15</v>
      </c>
      <c r="E3388" t="s">
        <v>16</v>
      </c>
      <c r="F3388" t="s">
        <v>60</v>
      </c>
      <c r="G3388" t="s">
        <v>41</v>
      </c>
      <c r="H3388" t="s">
        <v>44</v>
      </c>
      <c r="I3388" t="s">
        <v>45</v>
      </c>
      <c r="J3388" t="s">
        <v>46</v>
      </c>
      <c r="K3388">
        <v>48</v>
      </c>
      <c r="L3388">
        <v>6.05</v>
      </c>
      <c r="M3388">
        <v>4</v>
      </c>
      <c r="N3388" t="s">
        <v>22</v>
      </c>
      <c r="O3388" t="str">
        <f t="shared" si="52"/>
        <v>No</v>
      </c>
    </row>
    <row r="3389" spans="1:15" x14ac:dyDescent="0.25">
      <c r="A3389" t="s">
        <v>3450</v>
      </c>
      <c r="B3389" s="1">
        <v>45791</v>
      </c>
      <c r="C3389" s="2">
        <v>45791.396666666667</v>
      </c>
      <c r="D3389" t="s">
        <v>15</v>
      </c>
      <c r="E3389" t="s">
        <v>25</v>
      </c>
      <c r="F3389" t="s">
        <v>53</v>
      </c>
      <c r="G3389" t="s">
        <v>41</v>
      </c>
      <c r="H3389" t="s">
        <v>19</v>
      </c>
      <c r="I3389" t="s">
        <v>36</v>
      </c>
      <c r="J3389" t="s">
        <v>21</v>
      </c>
      <c r="K3389">
        <v>48</v>
      </c>
      <c r="L3389">
        <v>9.52</v>
      </c>
      <c r="M3389">
        <v>4.5999999999999996</v>
      </c>
      <c r="N3389" t="s">
        <v>22</v>
      </c>
      <c r="O3389" t="str">
        <f t="shared" si="52"/>
        <v>No</v>
      </c>
    </row>
    <row r="3390" spans="1:15" x14ac:dyDescent="0.25">
      <c r="A3390" t="s">
        <v>3451</v>
      </c>
      <c r="B3390" s="1">
        <v>45710</v>
      </c>
      <c r="C3390" s="2">
        <v>45710.255833333336</v>
      </c>
      <c r="D3390" t="s">
        <v>38</v>
      </c>
      <c r="E3390" t="s">
        <v>39</v>
      </c>
      <c r="F3390" t="s">
        <v>119</v>
      </c>
      <c r="G3390" t="s">
        <v>51</v>
      </c>
      <c r="H3390" t="s">
        <v>54</v>
      </c>
      <c r="I3390" t="s">
        <v>36</v>
      </c>
      <c r="J3390" t="s">
        <v>21</v>
      </c>
      <c r="K3390">
        <v>8</v>
      </c>
      <c r="L3390">
        <v>6.14</v>
      </c>
      <c r="M3390">
        <v>5</v>
      </c>
      <c r="N3390" t="s">
        <v>61</v>
      </c>
      <c r="O3390" t="str">
        <f t="shared" si="52"/>
        <v>No</v>
      </c>
    </row>
    <row r="3391" spans="1:15" x14ac:dyDescent="0.25">
      <c r="A3391" t="s">
        <v>3452</v>
      </c>
      <c r="B3391" s="1">
        <v>45780</v>
      </c>
      <c r="C3391" s="2">
        <v>45780.581666666665</v>
      </c>
      <c r="D3391" t="s">
        <v>15</v>
      </c>
      <c r="E3391" t="s">
        <v>32</v>
      </c>
      <c r="F3391" t="s">
        <v>75</v>
      </c>
      <c r="G3391" t="s">
        <v>34</v>
      </c>
      <c r="H3391" t="s">
        <v>19</v>
      </c>
      <c r="I3391" t="s">
        <v>20</v>
      </c>
      <c r="J3391" t="s">
        <v>85</v>
      </c>
      <c r="K3391">
        <v>48</v>
      </c>
      <c r="L3391">
        <v>13.96</v>
      </c>
      <c r="M3391">
        <v>4.3</v>
      </c>
      <c r="N3391" t="s">
        <v>22</v>
      </c>
      <c r="O3391" t="str">
        <f t="shared" si="52"/>
        <v>No</v>
      </c>
    </row>
    <row r="3392" spans="1:15" x14ac:dyDescent="0.25">
      <c r="A3392" t="s">
        <v>3453</v>
      </c>
      <c r="B3392" s="1">
        <v>45703</v>
      </c>
      <c r="C3392" s="2">
        <v>45703.020833333336</v>
      </c>
      <c r="D3392" t="s">
        <v>31</v>
      </c>
      <c r="E3392" t="s">
        <v>39</v>
      </c>
      <c r="F3392" t="s">
        <v>87</v>
      </c>
      <c r="G3392" t="s">
        <v>34</v>
      </c>
      <c r="H3392" t="s">
        <v>65</v>
      </c>
      <c r="I3392" t="s">
        <v>36</v>
      </c>
      <c r="J3392" t="s">
        <v>21</v>
      </c>
      <c r="K3392">
        <v>4</v>
      </c>
      <c r="L3392">
        <v>0.5</v>
      </c>
      <c r="M3392">
        <v>5</v>
      </c>
      <c r="N3392" t="s">
        <v>22</v>
      </c>
      <c r="O3392" t="str">
        <f t="shared" si="52"/>
        <v>No</v>
      </c>
    </row>
    <row r="3393" spans="1:15" x14ac:dyDescent="0.25">
      <c r="A3393" t="s">
        <v>3454</v>
      </c>
      <c r="B3393" s="1">
        <v>45752</v>
      </c>
      <c r="C3393" s="2">
        <v>45754.501666666663</v>
      </c>
      <c r="D3393" t="s">
        <v>24</v>
      </c>
      <c r="E3393" t="s">
        <v>32</v>
      </c>
      <c r="F3393" t="s">
        <v>75</v>
      </c>
      <c r="G3393" t="s">
        <v>56</v>
      </c>
      <c r="H3393" t="s">
        <v>27</v>
      </c>
      <c r="I3393" t="s">
        <v>36</v>
      </c>
      <c r="J3393" t="s">
        <v>46</v>
      </c>
      <c r="K3393">
        <v>24</v>
      </c>
      <c r="L3393">
        <v>60.04</v>
      </c>
      <c r="M3393">
        <v>2.4</v>
      </c>
      <c r="N3393" t="s">
        <v>22</v>
      </c>
      <c r="O3393" t="str">
        <f t="shared" si="52"/>
        <v>Yes</v>
      </c>
    </row>
    <row r="3394" spans="1:15" x14ac:dyDescent="0.25">
      <c r="A3394" t="s">
        <v>3455</v>
      </c>
      <c r="B3394" s="1">
        <v>45802</v>
      </c>
      <c r="C3394" s="2">
        <v>45803.091249999998</v>
      </c>
      <c r="D3394" t="s">
        <v>24</v>
      </c>
      <c r="E3394" t="s">
        <v>25</v>
      </c>
      <c r="F3394" t="s">
        <v>26</v>
      </c>
      <c r="G3394" t="s">
        <v>56</v>
      </c>
      <c r="H3394" t="s">
        <v>35</v>
      </c>
      <c r="I3394" t="s">
        <v>20</v>
      </c>
      <c r="J3394" t="s">
        <v>21</v>
      </c>
      <c r="K3394">
        <v>24</v>
      </c>
      <c r="L3394">
        <v>26.19</v>
      </c>
      <c r="M3394">
        <v>4.2</v>
      </c>
      <c r="N3394" t="s">
        <v>22</v>
      </c>
      <c r="O3394" t="str">
        <f t="shared" si="52"/>
        <v>Yes</v>
      </c>
    </row>
    <row r="3395" spans="1:15" x14ac:dyDescent="0.25">
      <c r="A3395" t="s">
        <v>3456</v>
      </c>
      <c r="B3395" s="1">
        <v>45692</v>
      </c>
      <c r="C3395" s="2">
        <v>45692.077916666669</v>
      </c>
      <c r="D3395" t="s">
        <v>38</v>
      </c>
      <c r="E3395" t="s">
        <v>39</v>
      </c>
      <c r="F3395" t="s">
        <v>40</v>
      </c>
      <c r="G3395" t="s">
        <v>41</v>
      </c>
      <c r="H3395" t="s">
        <v>44</v>
      </c>
      <c r="I3395" t="s">
        <v>36</v>
      </c>
      <c r="J3395" t="s">
        <v>85</v>
      </c>
      <c r="K3395">
        <v>8</v>
      </c>
      <c r="L3395">
        <v>1.87</v>
      </c>
      <c r="M3395">
        <v>5</v>
      </c>
      <c r="N3395" t="s">
        <v>22</v>
      </c>
      <c r="O3395" t="str">
        <f t="shared" ref="O3395:O3458" si="53">IF(L3395&gt;K3395,"Yes","No")</f>
        <v>No</v>
      </c>
    </row>
    <row r="3396" spans="1:15" x14ac:dyDescent="0.25">
      <c r="A3396" t="s">
        <v>3457</v>
      </c>
      <c r="B3396" s="1">
        <v>45718</v>
      </c>
      <c r="C3396" s="2">
        <v>45721.7425</v>
      </c>
      <c r="D3396" t="s">
        <v>15</v>
      </c>
      <c r="E3396" t="s">
        <v>16</v>
      </c>
      <c r="F3396" t="s">
        <v>43</v>
      </c>
      <c r="G3396" t="s">
        <v>56</v>
      </c>
      <c r="H3396" t="s">
        <v>19</v>
      </c>
      <c r="I3396" t="s">
        <v>36</v>
      </c>
      <c r="J3396" t="s">
        <v>46</v>
      </c>
      <c r="K3396">
        <v>48</v>
      </c>
      <c r="L3396">
        <v>89.82</v>
      </c>
      <c r="M3396">
        <v>3.2</v>
      </c>
      <c r="N3396" t="s">
        <v>22</v>
      </c>
      <c r="O3396" t="str">
        <f t="shared" si="53"/>
        <v>Yes</v>
      </c>
    </row>
    <row r="3397" spans="1:15" x14ac:dyDescent="0.25">
      <c r="A3397" t="s">
        <v>3458</v>
      </c>
      <c r="B3397" s="1">
        <v>45801</v>
      </c>
      <c r="C3397" s="2">
        <v>45801.725416666668</v>
      </c>
      <c r="D3397" t="s">
        <v>38</v>
      </c>
      <c r="E3397" t="s">
        <v>45</v>
      </c>
      <c r="F3397" t="s">
        <v>50</v>
      </c>
      <c r="G3397" t="s">
        <v>41</v>
      </c>
      <c r="H3397" t="s">
        <v>54</v>
      </c>
      <c r="I3397" t="s">
        <v>45</v>
      </c>
      <c r="J3397" t="s">
        <v>21</v>
      </c>
      <c r="K3397">
        <v>8</v>
      </c>
      <c r="L3397">
        <v>17.41</v>
      </c>
      <c r="M3397">
        <v>1.4</v>
      </c>
      <c r="N3397" t="s">
        <v>22</v>
      </c>
      <c r="O3397" t="str">
        <f t="shared" si="53"/>
        <v>Yes</v>
      </c>
    </row>
    <row r="3398" spans="1:15" x14ac:dyDescent="0.25">
      <c r="A3398" t="s">
        <v>3459</v>
      </c>
      <c r="B3398" s="1">
        <v>45740</v>
      </c>
      <c r="C3398" s="2">
        <v>45743.268750000003</v>
      </c>
      <c r="D3398" t="s">
        <v>15</v>
      </c>
      <c r="E3398" t="s">
        <v>39</v>
      </c>
      <c r="F3398" t="s">
        <v>40</v>
      </c>
      <c r="G3398" t="s">
        <v>51</v>
      </c>
      <c r="H3398" t="s">
        <v>65</v>
      </c>
      <c r="I3398" t="s">
        <v>36</v>
      </c>
      <c r="J3398" t="s">
        <v>85</v>
      </c>
      <c r="K3398">
        <v>48</v>
      </c>
      <c r="L3398">
        <v>78.45</v>
      </c>
      <c r="M3398">
        <v>4</v>
      </c>
      <c r="N3398" t="s">
        <v>61</v>
      </c>
      <c r="O3398" t="str">
        <f t="shared" si="53"/>
        <v>Yes</v>
      </c>
    </row>
    <row r="3399" spans="1:15" x14ac:dyDescent="0.25">
      <c r="A3399" t="s">
        <v>3460</v>
      </c>
      <c r="B3399" s="1">
        <v>45831</v>
      </c>
      <c r="C3399" s="2">
        <v>45831.133333333331</v>
      </c>
      <c r="D3399" t="s">
        <v>38</v>
      </c>
      <c r="E3399" t="s">
        <v>25</v>
      </c>
      <c r="F3399" t="s">
        <v>53</v>
      </c>
      <c r="G3399" t="s">
        <v>51</v>
      </c>
      <c r="H3399" t="s">
        <v>35</v>
      </c>
      <c r="I3399" t="s">
        <v>45</v>
      </c>
      <c r="J3399" t="s">
        <v>21</v>
      </c>
      <c r="K3399">
        <v>8</v>
      </c>
      <c r="L3399">
        <v>3.2</v>
      </c>
      <c r="M3399">
        <v>3.3</v>
      </c>
      <c r="N3399" t="s">
        <v>22</v>
      </c>
      <c r="O3399" t="str">
        <f t="shared" si="53"/>
        <v>No</v>
      </c>
    </row>
    <row r="3400" spans="1:15" x14ac:dyDescent="0.25">
      <c r="A3400" t="s">
        <v>3461</v>
      </c>
      <c r="B3400" s="1">
        <v>45659</v>
      </c>
      <c r="C3400" s="2">
        <v>45659.477083333331</v>
      </c>
      <c r="D3400" t="s">
        <v>24</v>
      </c>
      <c r="E3400" t="s">
        <v>32</v>
      </c>
      <c r="F3400" t="s">
        <v>80</v>
      </c>
      <c r="G3400" t="s">
        <v>41</v>
      </c>
      <c r="H3400" t="s">
        <v>19</v>
      </c>
      <c r="I3400" t="s">
        <v>36</v>
      </c>
      <c r="J3400" t="s">
        <v>29</v>
      </c>
      <c r="K3400">
        <v>24</v>
      </c>
      <c r="L3400">
        <v>11.45</v>
      </c>
      <c r="M3400">
        <v>4.5999999999999996</v>
      </c>
      <c r="N3400" t="s">
        <v>22</v>
      </c>
      <c r="O3400" t="str">
        <f t="shared" si="53"/>
        <v>No</v>
      </c>
    </row>
    <row r="3401" spans="1:15" x14ac:dyDescent="0.25">
      <c r="A3401" t="s">
        <v>3462</v>
      </c>
      <c r="B3401" s="1">
        <v>45788</v>
      </c>
      <c r="C3401" s="2">
        <v>45789.484166666669</v>
      </c>
      <c r="D3401" t="s">
        <v>15</v>
      </c>
      <c r="E3401" t="s">
        <v>32</v>
      </c>
      <c r="F3401" t="s">
        <v>64</v>
      </c>
      <c r="G3401" t="s">
        <v>34</v>
      </c>
      <c r="H3401" t="s">
        <v>27</v>
      </c>
      <c r="I3401" t="s">
        <v>36</v>
      </c>
      <c r="J3401" t="s">
        <v>46</v>
      </c>
      <c r="K3401">
        <v>48</v>
      </c>
      <c r="L3401">
        <v>35.619999999999997</v>
      </c>
      <c r="M3401">
        <v>4.0999999999999996</v>
      </c>
      <c r="N3401" t="s">
        <v>61</v>
      </c>
      <c r="O3401" t="str">
        <f t="shared" si="53"/>
        <v>No</v>
      </c>
    </row>
    <row r="3402" spans="1:15" x14ac:dyDescent="0.25">
      <c r="A3402" t="s">
        <v>3463</v>
      </c>
      <c r="B3402" s="1">
        <v>45805</v>
      </c>
      <c r="C3402" s="2">
        <v>45805.08666666667</v>
      </c>
      <c r="D3402" t="s">
        <v>38</v>
      </c>
      <c r="E3402" t="s">
        <v>32</v>
      </c>
      <c r="F3402" t="s">
        <v>64</v>
      </c>
      <c r="G3402" t="s">
        <v>51</v>
      </c>
      <c r="H3402" t="s">
        <v>54</v>
      </c>
      <c r="I3402" t="s">
        <v>36</v>
      </c>
      <c r="J3402" t="s">
        <v>21</v>
      </c>
      <c r="K3402">
        <v>8</v>
      </c>
      <c r="L3402">
        <v>2.08</v>
      </c>
      <c r="M3402">
        <v>4.3</v>
      </c>
      <c r="N3402" t="s">
        <v>22</v>
      </c>
      <c r="O3402" t="str">
        <f t="shared" si="53"/>
        <v>No</v>
      </c>
    </row>
    <row r="3403" spans="1:15" x14ac:dyDescent="0.25">
      <c r="A3403" t="s">
        <v>3464</v>
      </c>
      <c r="B3403" s="1">
        <v>45824</v>
      </c>
      <c r="C3403" s="2">
        <v>45826.064166666663</v>
      </c>
      <c r="D3403" t="s">
        <v>15</v>
      </c>
      <c r="E3403" t="s">
        <v>39</v>
      </c>
      <c r="F3403" t="s">
        <v>119</v>
      </c>
      <c r="G3403" t="s">
        <v>18</v>
      </c>
      <c r="H3403" t="s">
        <v>35</v>
      </c>
      <c r="I3403" t="s">
        <v>20</v>
      </c>
      <c r="J3403" t="s">
        <v>21</v>
      </c>
      <c r="K3403">
        <v>48</v>
      </c>
      <c r="L3403">
        <v>49.54</v>
      </c>
      <c r="M3403">
        <v>3.1</v>
      </c>
      <c r="N3403" t="s">
        <v>22</v>
      </c>
      <c r="O3403" t="str">
        <f t="shared" si="53"/>
        <v>Yes</v>
      </c>
    </row>
    <row r="3404" spans="1:15" x14ac:dyDescent="0.25">
      <c r="A3404" t="s">
        <v>3465</v>
      </c>
      <c r="B3404" s="1">
        <v>45686</v>
      </c>
      <c r="C3404" s="2">
        <v>45687.280416666668</v>
      </c>
      <c r="D3404" t="s">
        <v>15</v>
      </c>
      <c r="E3404" t="s">
        <v>39</v>
      </c>
      <c r="F3404" t="s">
        <v>119</v>
      </c>
      <c r="G3404" t="s">
        <v>56</v>
      </c>
      <c r="H3404" t="s">
        <v>44</v>
      </c>
      <c r="I3404" t="s">
        <v>36</v>
      </c>
      <c r="J3404" t="s">
        <v>21</v>
      </c>
      <c r="K3404">
        <v>48</v>
      </c>
      <c r="L3404">
        <v>30.73</v>
      </c>
      <c r="M3404">
        <v>4.5999999999999996</v>
      </c>
      <c r="N3404" t="s">
        <v>22</v>
      </c>
      <c r="O3404" t="str">
        <f t="shared" si="53"/>
        <v>No</v>
      </c>
    </row>
    <row r="3405" spans="1:15" x14ac:dyDescent="0.25">
      <c r="A3405" t="s">
        <v>3466</v>
      </c>
      <c r="B3405" s="1">
        <v>45836</v>
      </c>
      <c r="C3405" s="2">
        <v>45836.337083333332</v>
      </c>
      <c r="D3405" t="s">
        <v>38</v>
      </c>
      <c r="E3405" t="s">
        <v>39</v>
      </c>
      <c r="F3405" t="s">
        <v>78</v>
      </c>
      <c r="G3405" t="s">
        <v>41</v>
      </c>
      <c r="H3405" t="s">
        <v>54</v>
      </c>
      <c r="I3405" t="s">
        <v>28</v>
      </c>
      <c r="J3405" t="s">
        <v>21</v>
      </c>
      <c r="K3405">
        <v>8</v>
      </c>
      <c r="L3405">
        <v>8.09</v>
      </c>
      <c r="M3405">
        <v>4.3</v>
      </c>
      <c r="N3405" t="s">
        <v>61</v>
      </c>
      <c r="O3405" t="str">
        <f t="shared" si="53"/>
        <v>Yes</v>
      </c>
    </row>
    <row r="3406" spans="1:15" x14ac:dyDescent="0.25">
      <c r="A3406" t="s">
        <v>3467</v>
      </c>
      <c r="B3406" s="1">
        <v>45729</v>
      </c>
      <c r="C3406" s="2">
        <v>45729.341249999998</v>
      </c>
      <c r="D3406" t="s">
        <v>24</v>
      </c>
      <c r="E3406" t="s">
        <v>32</v>
      </c>
      <c r="F3406" t="s">
        <v>75</v>
      </c>
      <c r="G3406" t="s">
        <v>34</v>
      </c>
      <c r="H3406" t="s">
        <v>54</v>
      </c>
      <c r="I3406" t="s">
        <v>36</v>
      </c>
      <c r="J3406" t="s">
        <v>21</v>
      </c>
      <c r="K3406">
        <v>24</v>
      </c>
      <c r="L3406">
        <v>8.19</v>
      </c>
      <c r="M3406">
        <v>4.5</v>
      </c>
      <c r="N3406" t="s">
        <v>22</v>
      </c>
      <c r="O3406" t="str">
        <f t="shared" si="53"/>
        <v>No</v>
      </c>
    </row>
    <row r="3407" spans="1:15" x14ac:dyDescent="0.25">
      <c r="A3407" t="s">
        <v>3468</v>
      </c>
      <c r="B3407" s="1">
        <v>45721</v>
      </c>
      <c r="C3407" s="2">
        <v>45721.201249999998</v>
      </c>
      <c r="D3407" t="s">
        <v>38</v>
      </c>
      <c r="E3407" t="s">
        <v>32</v>
      </c>
      <c r="F3407" t="s">
        <v>75</v>
      </c>
      <c r="G3407" t="s">
        <v>41</v>
      </c>
      <c r="H3407" t="s">
        <v>65</v>
      </c>
      <c r="I3407" t="s">
        <v>36</v>
      </c>
      <c r="J3407" t="s">
        <v>21</v>
      </c>
      <c r="K3407">
        <v>8</v>
      </c>
      <c r="L3407">
        <v>4.83</v>
      </c>
      <c r="M3407">
        <v>4.0999999999999996</v>
      </c>
      <c r="N3407" t="s">
        <v>22</v>
      </c>
      <c r="O3407" t="str">
        <f t="shared" si="53"/>
        <v>No</v>
      </c>
    </row>
    <row r="3408" spans="1:15" x14ac:dyDescent="0.25">
      <c r="A3408" t="s">
        <v>3469</v>
      </c>
      <c r="B3408" s="1">
        <v>45722</v>
      </c>
      <c r="C3408" s="2">
        <v>45722.160416666666</v>
      </c>
      <c r="D3408" t="s">
        <v>24</v>
      </c>
      <c r="E3408" t="s">
        <v>16</v>
      </c>
      <c r="F3408" t="s">
        <v>60</v>
      </c>
      <c r="G3408" t="s">
        <v>34</v>
      </c>
      <c r="H3408" t="s">
        <v>65</v>
      </c>
      <c r="I3408" t="s">
        <v>20</v>
      </c>
      <c r="J3408" t="s">
        <v>46</v>
      </c>
      <c r="K3408">
        <v>24</v>
      </c>
      <c r="L3408">
        <v>3.85</v>
      </c>
      <c r="M3408">
        <v>5</v>
      </c>
      <c r="N3408" t="s">
        <v>22</v>
      </c>
      <c r="O3408" t="str">
        <f t="shared" si="53"/>
        <v>No</v>
      </c>
    </row>
    <row r="3409" spans="1:15" x14ac:dyDescent="0.25">
      <c r="A3409" t="s">
        <v>3470</v>
      </c>
      <c r="B3409" s="1">
        <v>45773</v>
      </c>
      <c r="C3409" s="2">
        <v>45773.313333333332</v>
      </c>
      <c r="D3409" t="s">
        <v>24</v>
      </c>
      <c r="E3409" t="s">
        <v>32</v>
      </c>
      <c r="F3409" t="s">
        <v>64</v>
      </c>
      <c r="G3409" t="s">
        <v>51</v>
      </c>
      <c r="H3409" t="s">
        <v>54</v>
      </c>
      <c r="I3409" t="s">
        <v>36</v>
      </c>
      <c r="J3409" t="s">
        <v>85</v>
      </c>
      <c r="K3409">
        <v>24</v>
      </c>
      <c r="L3409">
        <v>7.52</v>
      </c>
      <c r="M3409">
        <v>4.3</v>
      </c>
      <c r="N3409" t="s">
        <v>22</v>
      </c>
      <c r="O3409" t="str">
        <f t="shared" si="53"/>
        <v>No</v>
      </c>
    </row>
    <row r="3410" spans="1:15" x14ac:dyDescent="0.25">
      <c r="A3410" t="s">
        <v>3471</v>
      </c>
      <c r="B3410" s="1">
        <v>45777</v>
      </c>
      <c r="C3410" s="2">
        <v>45777.738749999997</v>
      </c>
      <c r="D3410" t="s">
        <v>15</v>
      </c>
      <c r="E3410" t="s">
        <v>25</v>
      </c>
      <c r="F3410" t="s">
        <v>48</v>
      </c>
      <c r="G3410" t="s">
        <v>34</v>
      </c>
      <c r="H3410" t="s">
        <v>35</v>
      </c>
      <c r="I3410" t="s">
        <v>45</v>
      </c>
      <c r="J3410" t="s">
        <v>21</v>
      </c>
      <c r="K3410">
        <v>48</v>
      </c>
      <c r="L3410">
        <v>17.73</v>
      </c>
      <c r="M3410">
        <v>4.5</v>
      </c>
      <c r="N3410" t="s">
        <v>61</v>
      </c>
      <c r="O3410" t="str">
        <f t="shared" si="53"/>
        <v>No</v>
      </c>
    </row>
    <row r="3411" spans="1:15" x14ac:dyDescent="0.25">
      <c r="A3411" t="s">
        <v>3472</v>
      </c>
      <c r="B3411" s="1">
        <v>45743</v>
      </c>
      <c r="C3411" s="2">
        <v>45744.529166666667</v>
      </c>
      <c r="D3411" t="s">
        <v>15</v>
      </c>
      <c r="E3411" t="s">
        <v>45</v>
      </c>
      <c r="F3411" t="s">
        <v>100</v>
      </c>
      <c r="G3411" t="s">
        <v>18</v>
      </c>
      <c r="H3411" t="s">
        <v>27</v>
      </c>
      <c r="I3411" t="s">
        <v>28</v>
      </c>
      <c r="J3411" t="s">
        <v>46</v>
      </c>
      <c r="K3411">
        <v>48</v>
      </c>
      <c r="L3411">
        <v>36.700000000000003</v>
      </c>
      <c r="M3411">
        <v>4</v>
      </c>
      <c r="N3411" t="s">
        <v>22</v>
      </c>
      <c r="O3411" t="str">
        <f t="shared" si="53"/>
        <v>No</v>
      </c>
    </row>
    <row r="3412" spans="1:15" x14ac:dyDescent="0.25">
      <c r="A3412" t="s">
        <v>3473</v>
      </c>
      <c r="B3412" s="1">
        <v>45670</v>
      </c>
      <c r="C3412" s="2">
        <v>45670.160416666666</v>
      </c>
      <c r="D3412" t="s">
        <v>31</v>
      </c>
      <c r="E3412" t="s">
        <v>16</v>
      </c>
      <c r="F3412" t="s">
        <v>43</v>
      </c>
      <c r="G3412" t="s">
        <v>34</v>
      </c>
      <c r="H3412" t="s">
        <v>44</v>
      </c>
      <c r="I3412" t="s">
        <v>20</v>
      </c>
      <c r="J3412" t="s">
        <v>21</v>
      </c>
      <c r="K3412">
        <v>4</v>
      </c>
      <c r="L3412">
        <v>3.85</v>
      </c>
      <c r="M3412">
        <v>5</v>
      </c>
      <c r="N3412" t="s">
        <v>22</v>
      </c>
      <c r="O3412" t="str">
        <f t="shared" si="53"/>
        <v>No</v>
      </c>
    </row>
    <row r="3413" spans="1:15" x14ac:dyDescent="0.25">
      <c r="A3413" t="s">
        <v>3474</v>
      </c>
      <c r="B3413" s="1">
        <v>45836</v>
      </c>
      <c r="C3413" s="2">
        <v>45836.376250000001</v>
      </c>
      <c r="D3413" t="s">
        <v>15</v>
      </c>
      <c r="E3413" t="s">
        <v>16</v>
      </c>
      <c r="F3413" t="s">
        <v>43</v>
      </c>
      <c r="G3413" t="s">
        <v>56</v>
      </c>
      <c r="H3413" t="s">
        <v>35</v>
      </c>
      <c r="I3413" t="s">
        <v>45</v>
      </c>
      <c r="J3413" t="s">
        <v>85</v>
      </c>
      <c r="K3413">
        <v>48</v>
      </c>
      <c r="L3413">
        <v>9.0299999999999994</v>
      </c>
      <c r="M3413">
        <v>4.2</v>
      </c>
      <c r="N3413" t="s">
        <v>61</v>
      </c>
      <c r="O3413" t="str">
        <f t="shared" si="53"/>
        <v>No</v>
      </c>
    </row>
    <row r="3414" spans="1:15" x14ac:dyDescent="0.25">
      <c r="A3414" t="s">
        <v>3475</v>
      </c>
      <c r="B3414" s="1">
        <v>45698</v>
      </c>
      <c r="C3414" s="2">
        <v>45699.196250000001</v>
      </c>
      <c r="D3414" t="s">
        <v>24</v>
      </c>
      <c r="E3414" t="s">
        <v>16</v>
      </c>
      <c r="F3414" t="s">
        <v>17</v>
      </c>
      <c r="G3414" t="s">
        <v>18</v>
      </c>
      <c r="H3414" t="s">
        <v>65</v>
      </c>
      <c r="I3414" t="s">
        <v>20</v>
      </c>
      <c r="J3414" t="s">
        <v>29</v>
      </c>
      <c r="K3414">
        <v>24</v>
      </c>
      <c r="L3414">
        <v>28.71</v>
      </c>
      <c r="M3414">
        <v>4.0999999999999996</v>
      </c>
      <c r="N3414" t="s">
        <v>22</v>
      </c>
      <c r="O3414" t="str">
        <f t="shared" si="53"/>
        <v>Yes</v>
      </c>
    </row>
    <row r="3415" spans="1:15" x14ac:dyDescent="0.25">
      <c r="A3415" t="s">
        <v>3476</v>
      </c>
      <c r="B3415" s="1">
        <v>45674</v>
      </c>
      <c r="C3415" s="2">
        <v>45675.394583333335</v>
      </c>
      <c r="D3415" t="s">
        <v>15</v>
      </c>
      <c r="E3415" t="s">
        <v>16</v>
      </c>
      <c r="F3415" t="s">
        <v>17</v>
      </c>
      <c r="G3415" t="s">
        <v>18</v>
      </c>
      <c r="H3415" t="s">
        <v>44</v>
      </c>
      <c r="I3415" t="s">
        <v>36</v>
      </c>
      <c r="J3415" t="s">
        <v>85</v>
      </c>
      <c r="K3415">
        <v>48</v>
      </c>
      <c r="L3415">
        <v>33.47</v>
      </c>
      <c r="M3415">
        <v>3.1</v>
      </c>
      <c r="N3415" t="s">
        <v>22</v>
      </c>
      <c r="O3415" t="str">
        <f t="shared" si="53"/>
        <v>No</v>
      </c>
    </row>
    <row r="3416" spans="1:15" x14ac:dyDescent="0.25">
      <c r="A3416" t="s">
        <v>3477</v>
      </c>
      <c r="B3416" s="1">
        <v>45766</v>
      </c>
      <c r="C3416" s="2">
        <v>45767.625416666669</v>
      </c>
      <c r="D3416" t="s">
        <v>15</v>
      </c>
      <c r="E3416" t="s">
        <v>45</v>
      </c>
      <c r="F3416" t="s">
        <v>112</v>
      </c>
      <c r="G3416" t="s">
        <v>34</v>
      </c>
      <c r="H3416" t="s">
        <v>65</v>
      </c>
      <c r="I3416" t="s">
        <v>20</v>
      </c>
      <c r="J3416" t="s">
        <v>46</v>
      </c>
      <c r="K3416">
        <v>48</v>
      </c>
      <c r="L3416">
        <v>39.01</v>
      </c>
      <c r="M3416">
        <v>3.4</v>
      </c>
      <c r="N3416" t="s">
        <v>22</v>
      </c>
      <c r="O3416" t="str">
        <f t="shared" si="53"/>
        <v>No</v>
      </c>
    </row>
    <row r="3417" spans="1:15" x14ac:dyDescent="0.25">
      <c r="A3417" t="s">
        <v>3478</v>
      </c>
      <c r="B3417" s="1">
        <v>45732</v>
      </c>
      <c r="C3417" s="2">
        <v>45732.957499999997</v>
      </c>
      <c r="D3417" t="s">
        <v>24</v>
      </c>
      <c r="E3417" t="s">
        <v>45</v>
      </c>
      <c r="F3417" t="s">
        <v>100</v>
      </c>
      <c r="G3417" t="s">
        <v>56</v>
      </c>
      <c r="H3417" t="s">
        <v>35</v>
      </c>
      <c r="I3417" t="s">
        <v>36</v>
      </c>
      <c r="J3417" t="s">
        <v>21</v>
      </c>
      <c r="K3417">
        <v>24</v>
      </c>
      <c r="L3417">
        <v>22.98</v>
      </c>
      <c r="M3417">
        <v>3.7</v>
      </c>
      <c r="N3417" t="s">
        <v>22</v>
      </c>
      <c r="O3417" t="str">
        <f t="shared" si="53"/>
        <v>No</v>
      </c>
    </row>
    <row r="3418" spans="1:15" x14ac:dyDescent="0.25">
      <c r="A3418" t="s">
        <v>3479</v>
      </c>
      <c r="B3418" s="1">
        <v>45769</v>
      </c>
      <c r="C3418" s="2">
        <v>45769.074999999997</v>
      </c>
      <c r="D3418" t="s">
        <v>38</v>
      </c>
      <c r="E3418" t="s">
        <v>39</v>
      </c>
      <c r="F3418" t="s">
        <v>40</v>
      </c>
      <c r="G3418" t="s">
        <v>56</v>
      </c>
      <c r="H3418" t="s">
        <v>35</v>
      </c>
      <c r="I3418" t="s">
        <v>36</v>
      </c>
      <c r="J3418" t="s">
        <v>21</v>
      </c>
      <c r="K3418">
        <v>8</v>
      </c>
      <c r="L3418">
        <v>1.8</v>
      </c>
      <c r="M3418">
        <v>4.5999999999999996</v>
      </c>
      <c r="N3418" t="s">
        <v>22</v>
      </c>
      <c r="O3418" t="str">
        <f t="shared" si="53"/>
        <v>No</v>
      </c>
    </row>
    <row r="3419" spans="1:15" x14ac:dyDescent="0.25">
      <c r="A3419" t="s">
        <v>3480</v>
      </c>
      <c r="B3419" s="1">
        <v>45816</v>
      </c>
      <c r="C3419" s="2">
        <v>45816.393750000003</v>
      </c>
      <c r="D3419" t="s">
        <v>38</v>
      </c>
      <c r="E3419" t="s">
        <v>16</v>
      </c>
      <c r="F3419" t="s">
        <v>43</v>
      </c>
      <c r="G3419" t="s">
        <v>51</v>
      </c>
      <c r="H3419" t="s">
        <v>65</v>
      </c>
      <c r="I3419" t="s">
        <v>45</v>
      </c>
      <c r="J3419" t="s">
        <v>21</v>
      </c>
      <c r="K3419">
        <v>8</v>
      </c>
      <c r="L3419">
        <v>9.4499999999999993</v>
      </c>
      <c r="M3419">
        <v>3.4</v>
      </c>
      <c r="N3419" t="s">
        <v>22</v>
      </c>
      <c r="O3419" t="str">
        <f t="shared" si="53"/>
        <v>Yes</v>
      </c>
    </row>
    <row r="3420" spans="1:15" x14ac:dyDescent="0.25">
      <c r="A3420" t="s">
        <v>3481</v>
      </c>
      <c r="B3420" s="1">
        <v>45675</v>
      </c>
      <c r="C3420" s="2">
        <v>45675.098333333335</v>
      </c>
      <c r="D3420" t="s">
        <v>38</v>
      </c>
      <c r="E3420" t="s">
        <v>25</v>
      </c>
      <c r="F3420" t="s">
        <v>53</v>
      </c>
      <c r="G3420" t="s">
        <v>56</v>
      </c>
      <c r="H3420" t="s">
        <v>54</v>
      </c>
      <c r="I3420" t="s">
        <v>36</v>
      </c>
      <c r="J3420" t="s">
        <v>21</v>
      </c>
      <c r="K3420">
        <v>8</v>
      </c>
      <c r="L3420">
        <v>2.36</v>
      </c>
      <c r="M3420">
        <v>4.5999999999999996</v>
      </c>
      <c r="N3420" t="s">
        <v>22</v>
      </c>
      <c r="O3420" t="str">
        <f t="shared" si="53"/>
        <v>No</v>
      </c>
    </row>
    <row r="3421" spans="1:15" x14ac:dyDescent="0.25">
      <c r="A3421" t="s">
        <v>3482</v>
      </c>
      <c r="B3421" s="1">
        <v>45709</v>
      </c>
      <c r="C3421" s="2">
        <v>45709.917500000003</v>
      </c>
      <c r="D3421" t="s">
        <v>15</v>
      </c>
      <c r="E3421" t="s">
        <v>32</v>
      </c>
      <c r="F3421" t="s">
        <v>80</v>
      </c>
      <c r="G3421" t="s">
        <v>56</v>
      </c>
      <c r="H3421" t="s">
        <v>19</v>
      </c>
      <c r="I3421" t="s">
        <v>20</v>
      </c>
      <c r="J3421" t="s">
        <v>21</v>
      </c>
      <c r="K3421">
        <v>48</v>
      </c>
      <c r="L3421">
        <v>22.02</v>
      </c>
      <c r="M3421">
        <v>4</v>
      </c>
      <c r="N3421" t="s">
        <v>22</v>
      </c>
      <c r="O3421" t="str">
        <f t="shared" si="53"/>
        <v>No</v>
      </c>
    </row>
    <row r="3422" spans="1:15" x14ac:dyDescent="0.25">
      <c r="A3422" t="s">
        <v>3483</v>
      </c>
      <c r="B3422" s="1">
        <v>45751</v>
      </c>
      <c r="C3422" s="2">
        <v>45751.402083333334</v>
      </c>
      <c r="D3422" t="s">
        <v>24</v>
      </c>
      <c r="E3422" t="s">
        <v>16</v>
      </c>
      <c r="F3422" t="s">
        <v>43</v>
      </c>
      <c r="G3422" t="s">
        <v>18</v>
      </c>
      <c r="H3422" t="s">
        <v>35</v>
      </c>
      <c r="I3422" t="s">
        <v>36</v>
      </c>
      <c r="J3422" t="s">
        <v>21</v>
      </c>
      <c r="K3422">
        <v>24</v>
      </c>
      <c r="L3422">
        <v>9.65</v>
      </c>
      <c r="M3422">
        <v>5</v>
      </c>
      <c r="N3422" t="s">
        <v>22</v>
      </c>
      <c r="O3422" t="str">
        <f t="shared" si="53"/>
        <v>No</v>
      </c>
    </row>
    <row r="3423" spans="1:15" x14ac:dyDescent="0.25">
      <c r="A3423" t="s">
        <v>3484</v>
      </c>
      <c r="B3423" s="1">
        <v>45800</v>
      </c>
      <c r="C3423" s="2">
        <v>45803.75</v>
      </c>
      <c r="D3423" t="s">
        <v>15</v>
      </c>
      <c r="E3423" t="s">
        <v>16</v>
      </c>
      <c r="F3423" t="s">
        <v>17</v>
      </c>
      <c r="G3423" t="s">
        <v>41</v>
      </c>
      <c r="H3423" t="s">
        <v>35</v>
      </c>
      <c r="I3423" t="s">
        <v>36</v>
      </c>
      <c r="J3423" t="s">
        <v>46</v>
      </c>
      <c r="K3423">
        <v>48</v>
      </c>
      <c r="L3423">
        <v>90</v>
      </c>
      <c r="M3423">
        <v>2.1</v>
      </c>
      <c r="N3423" t="s">
        <v>22</v>
      </c>
      <c r="O3423" t="str">
        <f t="shared" si="53"/>
        <v>Yes</v>
      </c>
    </row>
    <row r="3424" spans="1:15" x14ac:dyDescent="0.25">
      <c r="A3424" t="s">
        <v>3485</v>
      </c>
      <c r="B3424" s="1">
        <v>45766</v>
      </c>
      <c r="C3424" s="2">
        <v>45766.077499999999</v>
      </c>
      <c r="D3424" t="s">
        <v>38</v>
      </c>
      <c r="E3424" t="s">
        <v>16</v>
      </c>
      <c r="F3424" t="s">
        <v>58</v>
      </c>
      <c r="G3424" t="s">
        <v>34</v>
      </c>
      <c r="H3424" t="s">
        <v>44</v>
      </c>
      <c r="I3424" t="s">
        <v>45</v>
      </c>
      <c r="J3424" t="s">
        <v>46</v>
      </c>
      <c r="K3424">
        <v>8</v>
      </c>
      <c r="L3424">
        <v>1.86</v>
      </c>
      <c r="M3424">
        <v>5</v>
      </c>
      <c r="N3424" t="s">
        <v>22</v>
      </c>
      <c r="O3424" t="str">
        <f t="shared" si="53"/>
        <v>No</v>
      </c>
    </row>
    <row r="3425" spans="1:15" x14ac:dyDescent="0.25">
      <c r="A3425" t="s">
        <v>3486</v>
      </c>
      <c r="B3425" s="1">
        <v>45727</v>
      </c>
      <c r="C3425" s="2">
        <v>45728.638333333336</v>
      </c>
      <c r="D3425" t="s">
        <v>24</v>
      </c>
      <c r="E3425" t="s">
        <v>39</v>
      </c>
      <c r="F3425" t="s">
        <v>119</v>
      </c>
      <c r="G3425" t="s">
        <v>56</v>
      </c>
      <c r="H3425" t="s">
        <v>65</v>
      </c>
      <c r="I3425" t="s">
        <v>45</v>
      </c>
      <c r="J3425" t="s">
        <v>21</v>
      </c>
      <c r="K3425">
        <v>24</v>
      </c>
      <c r="L3425">
        <v>39.32</v>
      </c>
      <c r="M3425">
        <v>3.5</v>
      </c>
      <c r="N3425" t="s">
        <v>22</v>
      </c>
      <c r="O3425" t="str">
        <f t="shared" si="53"/>
        <v>Yes</v>
      </c>
    </row>
    <row r="3426" spans="1:15" x14ac:dyDescent="0.25">
      <c r="A3426" t="s">
        <v>3487</v>
      </c>
      <c r="B3426" s="1">
        <v>45768</v>
      </c>
      <c r="C3426" s="2">
        <v>45769.362916666665</v>
      </c>
      <c r="D3426" t="s">
        <v>24</v>
      </c>
      <c r="E3426" t="s">
        <v>39</v>
      </c>
      <c r="F3426" t="s">
        <v>78</v>
      </c>
      <c r="G3426" t="s">
        <v>34</v>
      </c>
      <c r="H3426" t="s">
        <v>44</v>
      </c>
      <c r="I3426" t="s">
        <v>28</v>
      </c>
      <c r="J3426" t="s">
        <v>46</v>
      </c>
      <c r="K3426">
        <v>24</v>
      </c>
      <c r="L3426">
        <v>32.71</v>
      </c>
      <c r="M3426">
        <v>2.7</v>
      </c>
      <c r="N3426" t="s">
        <v>22</v>
      </c>
      <c r="O3426" t="str">
        <f t="shared" si="53"/>
        <v>Yes</v>
      </c>
    </row>
    <row r="3427" spans="1:15" x14ac:dyDescent="0.25">
      <c r="A3427" t="s">
        <v>3488</v>
      </c>
      <c r="B3427" s="1">
        <v>45835</v>
      </c>
      <c r="C3427" s="2">
        <v>45835.298750000002</v>
      </c>
      <c r="D3427" t="s">
        <v>15</v>
      </c>
      <c r="E3427" t="s">
        <v>32</v>
      </c>
      <c r="F3427" t="s">
        <v>80</v>
      </c>
      <c r="G3427" t="s">
        <v>56</v>
      </c>
      <c r="H3427" t="s">
        <v>19</v>
      </c>
      <c r="I3427" t="s">
        <v>36</v>
      </c>
      <c r="J3427" t="s">
        <v>21</v>
      </c>
      <c r="K3427">
        <v>48</v>
      </c>
      <c r="L3427">
        <v>7.17</v>
      </c>
      <c r="M3427">
        <v>4.5999999999999996</v>
      </c>
      <c r="N3427" t="s">
        <v>22</v>
      </c>
      <c r="O3427" t="str">
        <f t="shared" si="53"/>
        <v>No</v>
      </c>
    </row>
    <row r="3428" spans="1:15" x14ac:dyDescent="0.25">
      <c r="A3428" t="s">
        <v>3489</v>
      </c>
      <c r="B3428" s="1">
        <v>45744</v>
      </c>
      <c r="C3428" s="2">
        <v>45744.095833333333</v>
      </c>
      <c r="D3428" t="s">
        <v>38</v>
      </c>
      <c r="E3428" t="s">
        <v>16</v>
      </c>
      <c r="F3428" t="s">
        <v>17</v>
      </c>
      <c r="G3428" t="s">
        <v>56</v>
      </c>
      <c r="H3428" t="s">
        <v>27</v>
      </c>
      <c r="I3428" t="s">
        <v>36</v>
      </c>
      <c r="J3428" t="s">
        <v>21</v>
      </c>
      <c r="K3428">
        <v>8</v>
      </c>
      <c r="L3428">
        <v>2.2999999999999998</v>
      </c>
      <c r="M3428">
        <v>4.7</v>
      </c>
      <c r="N3428" t="s">
        <v>22</v>
      </c>
      <c r="O3428" t="str">
        <f t="shared" si="53"/>
        <v>No</v>
      </c>
    </row>
    <row r="3429" spans="1:15" x14ac:dyDescent="0.25">
      <c r="A3429" t="s">
        <v>3490</v>
      </c>
      <c r="B3429" s="1">
        <v>45817</v>
      </c>
      <c r="C3429" s="2">
        <v>45817.097500000003</v>
      </c>
      <c r="D3429" t="s">
        <v>38</v>
      </c>
      <c r="E3429" t="s">
        <v>45</v>
      </c>
      <c r="F3429" t="s">
        <v>50</v>
      </c>
      <c r="G3429" t="s">
        <v>56</v>
      </c>
      <c r="H3429" t="s">
        <v>27</v>
      </c>
      <c r="I3429" t="s">
        <v>36</v>
      </c>
      <c r="J3429" t="s">
        <v>21</v>
      </c>
      <c r="K3429">
        <v>8</v>
      </c>
      <c r="L3429">
        <v>2.34</v>
      </c>
      <c r="M3429">
        <v>5</v>
      </c>
      <c r="N3429" t="s">
        <v>22</v>
      </c>
      <c r="O3429" t="str">
        <f t="shared" si="53"/>
        <v>No</v>
      </c>
    </row>
    <row r="3430" spans="1:15" x14ac:dyDescent="0.25">
      <c r="A3430" t="s">
        <v>3491</v>
      </c>
      <c r="B3430" s="1">
        <v>45799</v>
      </c>
      <c r="C3430" s="2">
        <v>45799.274583333332</v>
      </c>
      <c r="D3430" t="s">
        <v>38</v>
      </c>
      <c r="E3430" t="s">
        <v>45</v>
      </c>
      <c r="F3430" t="s">
        <v>104</v>
      </c>
      <c r="G3430" t="s">
        <v>34</v>
      </c>
      <c r="H3430" t="s">
        <v>54</v>
      </c>
      <c r="I3430" t="s">
        <v>36</v>
      </c>
      <c r="J3430" t="s">
        <v>21</v>
      </c>
      <c r="K3430">
        <v>8</v>
      </c>
      <c r="L3430">
        <v>6.59</v>
      </c>
      <c r="M3430">
        <v>3.8</v>
      </c>
      <c r="N3430" t="s">
        <v>61</v>
      </c>
      <c r="O3430" t="str">
        <f t="shared" si="53"/>
        <v>No</v>
      </c>
    </row>
    <row r="3431" spans="1:15" x14ac:dyDescent="0.25">
      <c r="A3431" t="s">
        <v>3492</v>
      </c>
      <c r="B3431" s="1">
        <v>45712</v>
      </c>
      <c r="C3431" s="2">
        <v>45714.368333333332</v>
      </c>
      <c r="D3431" t="s">
        <v>15</v>
      </c>
      <c r="E3431" t="s">
        <v>39</v>
      </c>
      <c r="F3431" t="s">
        <v>87</v>
      </c>
      <c r="G3431" t="s">
        <v>41</v>
      </c>
      <c r="H3431" t="s">
        <v>54</v>
      </c>
      <c r="I3431" t="s">
        <v>36</v>
      </c>
      <c r="J3431" t="s">
        <v>21</v>
      </c>
      <c r="K3431">
        <v>48</v>
      </c>
      <c r="L3431">
        <v>56.84</v>
      </c>
      <c r="M3431">
        <v>5</v>
      </c>
      <c r="N3431" t="s">
        <v>22</v>
      </c>
      <c r="O3431" t="str">
        <f t="shared" si="53"/>
        <v>Yes</v>
      </c>
    </row>
    <row r="3432" spans="1:15" x14ac:dyDescent="0.25">
      <c r="A3432" t="s">
        <v>3493</v>
      </c>
      <c r="B3432" s="1">
        <v>45703</v>
      </c>
      <c r="C3432" s="2">
        <v>45703.048750000002</v>
      </c>
      <c r="D3432" t="s">
        <v>31</v>
      </c>
      <c r="E3432" t="s">
        <v>32</v>
      </c>
      <c r="F3432" t="s">
        <v>33</v>
      </c>
      <c r="G3432" t="s">
        <v>56</v>
      </c>
      <c r="H3432" t="s">
        <v>44</v>
      </c>
      <c r="I3432" t="s">
        <v>20</v>
      </c>
      <c r="J3432" t="s">
        <v>21</v>
      </c>
      <c r="K3432">
        <v>4</v>
      </c>
      <c r="L3432">
        <v>1.17</v>
      </c>
      <c r="M3432">
        <v>5</v>
      </c>
      <c r="N3432" t="s">
        <v>22</v>
      </c>
      <c r="O3432" t="str">
        <f t="shared" si="53"/>
        <v>No</v>
      </c>
    </row>
    <row r="3433" spans="1:15" x14ac:dyDescent="0.25">
      <c r="A3433" t="s">
        <v>3494</v>
      </c>
      <c r="B3433" s="1">
        <v>45797</v>
      </c>
      <c r="C3433" s="2">
        <v>45797.236250000002</v>
      </c>
      <c r="D3433" t="s">
        <v>15</v>
      </c>
      <c r="E3433" t="s">
        <v>25</v>
      </c>
      <c r="F3433" t="s">
        <v>70</v>
      </c>
      <c r="G3433" t="s">
        <v>41</v>
      </c>
      <c r="H3433" t="s">
        <v>19</v>
      </c>
      <c r="I3433" t="s">
        <v>36</v>
      </c>
      <c r="J3433" t="s">
        <v>21</v>
      </c>
      <c r="K3433">
        <v>48</v>
      </c>
      <c r="L3433">
        <v>5.67</v>
      </c>
      <c r="M3433">
        <v>5</v>
      </c>
      <c r="N3433" t="s">
        <v>61</v>
      </c>
      <c r="O3433" t="str">
        <f t="shared" si="53"/>
        <v>No</v>
      </c>
    </row>
    <row r="3434" spans="1:15" x14ac:dyDescent="0.25">
      <c r="A3434" t="s">
        <v>3495</v>
      </c>
      <c r="B3434" s="1">
        <v>45695</v>
      </c>
      <c r="C3434" s="2">
        <v>45695.825833333336</v>
      </c>
      <c r="D3434" t="s">
        <v>24</v>
      </c>
      <c r="E3434" t="s">
        <v>25</v>
      </c>
      <c r="F3434" t="s">
        <v>26</v>
      </c>
      <c r="G3434" t="s">
        <v>34</v>
      </c>
      <c r="H3434" t="s">
        <v>27</v>
      </c>
      <c r="I3434" t="s">
        <v>28</v>
      </c>
      <c r="J3434" t="s">
        <v>21</v>
      </c>
      <c r="K3434">
        <v>24</v>
      </c>
      <c r="L3434">
        <v>19.82</v>
      </c>
      <c r="M3434">
        <v>4.5999999999999996</v>
      </c>
      <c r="N3434" t="s">
        <v>61</v>
      </c>
      <c r="O3434" t="str">
        <f t="shared" si="53"/>
        <v>No</v>
      </c>
    </row>
    <row r="3435" spans="1:15" x14ac:dyDescent="0.25">
      <c r="A3435" t="s">
        <v>3496</v>
      </c>
      <c r="B3435" s="1">
        <v>45718</v>
      </c>
      <c r="C3435" s="2">
        <v>45719.10083333333</v>
      </c>
      <c r="D3435" t="s">
        <v>15</v>
      </c>
      <c r="E3435" t="s">
        <v>16</v>
      </c>
      <c r="F3435" t="s">
        <v>17</v>
      </c>
      <c r="G3435" t="s">
        <v>56</v>
      </c>
      <c r="H3435" t="s">
        <v>19</v>
      </c>
      <c r="I3435" t="s">
        <v>45</v>
      </c>
      <c r="J3435" t="s">
        <v>21</v>
      </c>
      <c r="K3435">
        <v>48</v>
      </c>
      <c r="L3435">
        <v>26.42</v>
      </c>
      <c r="M3435">
        <v>3.2</v>
      </c>
      <c r="N3435" t="s">
        <v>22</v>
      </c>
      <c r="O3435" t="str">
        <f t="shared" si="53"/>
        <v>No</v>
      </c>
    </row>
    <row r="3436" spans="1:15" x14ac:dyDescent="0.25">
      <c r="A3436" t="s">
        <v>3497</v>
      </c>
      <c r="B3436" s="1">
        <v>45700</v>
      </c>
      <c r="C3436" s="2">
        <v>45700.290833333333</v>
      </c>
      <c r="D3436" t="s">
        <v>15</v>
      </c>
      <c r="E3436" t="s">
        <v>39</v>
      </c>
      <c r="F3436" t="s">
        <v>40</v>
      </c>
      <c r="G3436" t="s">
        <v>34</v>
      </c>
      <c r="H3436" t="s">
        <v>35</v>
      </c>
      <c r="I3436" t="s">
        <v>45</v>
      </c>
      <c r="J3436" t="s">
        <v>46</v>
      </c>
      <c r="K3436">
        <v>48</v>
      </c>
      <c r="L3436">
        <v>6.98</v>
      </c>
      <c r="M3436">
        <v>5</v>
      </c>
      <c r="N3436" t="s">
        <v>22</v>
      </c>
      <c r="O3436" t="str">
        <f t="shared" si="53"/>
        <v>No</v>
      </c>
    </row>
    <row r="3437" spans="1:15" x14ac:dyDescent="0.25">
      <c r="A3437" t="s">
        <v>3498</v>
      </c>
      <c r="B3437" s="1">
        <v>45767</v>
      </c>
      <c r="C3437" s="2">
        <v>45767.745833333334</v>
      </c>
      <c r="D3437" t="s">
        <v>24</v>
      </c>
      <c r="E3437" t="s">
        <v>32</v>
      </c>
      <c r="F3437" t="s">
        <v>64</v>
      </c>
      <c r="G3437" t="s">
        <v>18</v>
      </c>
      <c r="H3437" t="s">
        <v>35</v>
      </c>
      <c r="I3437" t="s">
        <v>36</v>
      </c>
      <c r="J3437" t="s">
        <v>21</v>
      </c>
      <c r="K3437">
        <v>24</v>
      </c>
      <c r="L3437">
        <v>17.899999999999999</v>
      </c>
      <c r="M3437">
        <v>3.2</v>
      </c>
      <c r="N3437" t="s">
        <v>22</v>
      </c>
      <c r="O3437" t="str">
        <f t="shared" si="53"/>
        <v>No</v>
      </c>
    </row>
    <row r="3438" spans="1:15" x14ac:dyDescent="0.25">
      <c r="A3438" t="s">
        <v>3499</v>
      </c>
      <c r="B3438" s="1">
        <v>45711</v>
      </c>
      <c r="C3438" s="2">
        <v>45712.037916666668</v>
      </c>
      <c r="D3438" t="s">
        <v>15</v>
      </c>
      <c r="E3438" t="s">
        <v>25</v>
      </c>
      <c r="F3438" t="s">
        <v>53</v>
      </c>
      <c r="G3438" t="s">
        <v>41</v>
      </c>
      <c r="H3438" t="s">
        <v>35</v>
      </c>
      <c r="I3438" t="s">
        <v>36</v>
      </c>
      <c r="J3438" t="s">
        <v>21</v>
      </c>
      <c r="K3438">
        <v>48</v>
      </c>
      <c r="L3438">
        <v>24.91</v>
      </c>
      <c r="M3438">
        <v>4.9000000000000004</v>
      </c>
      <c r="N3438" t="s">
        <v>22</v>
      </c>
      <c r="O3438" t="str">
        <f t="shared" si="53"/>
        <v>No</v>
      </c>
    </row>
    <row r="3439" spans="1:15" x14ac:dyDescent="0.25">
      <c r="A3439" t="s">
        <v>3500</v>
      </c>
      <c r="B3439" s="1">
        <v>45777</v>
      </c>
      <c r="C3439" s="2">
        <v>45777.188333333332</v>
      </c>
      <c r="D3439" t="s">
        <v>24</v>
      </c>
      <c r="E3439" t="s">
        <v>16</v>
      </c>
      <c r="F3439" t="s">
        <v>58</v>
      </c>
      <c r="G3439" t="s">
        <v>51</v>
      </c>
      <c r="H3439" t="s">
        <v>19</v>
      </c>
      <c r="I3439" t="s">
        <v>36</v>
      </c>
      <c r="J3439" t="s">
        <v>21</v>
      </c>
      <c r="K3439">
        <v>24</v>
      </c>
      <c r="L3439">
        <v>4.5199999999999996</v>
      </c>
      <c r="M3439">
        <v>4.4000000000000004</v>
      </c>
      <c r="N3439" t="s">
        <v>22</v>
      </c>
      <c r="O3439" t="str">
        <f t="shared" si="53"/>
        <v>No</v>
      </c>
    </row>
    <row r="3440" spans="1:15" x14ac:dyDescent="0.25">
      <c r="A3440" t="s">
        <v>3501</v>
      </c>
      <c r="B3440" s="1">
        <v>45827</v>
      </c>
      <c r="C3440" s="2">
        <v>45827.332499999997</v>
      </c>
      <c r="D3440" t="s">
        <v>24</v>
      </c>
      <c r="E3440" t="s">
        <v>39</v>
      </c>
      <c r="F3440" t="s">
        <v>78</v>
      </c>
      <c r="G3440" t="s">
        <v>41</v>
      </c>
      <c r="H3440" t="s">
        <v>65</v>
      </c>
      <c r="I3440" t="s">
        <v>45</v>
      </c>
      <c r="J3440" t="s">
        <v>21</v>
      </c>
      <c r="K3440">
        <v>24</v>
      </c>
      <c r="L3440">
        <v>7.98</v>
      </c>
      <c r="M3440">
        <v>4.0999999999999996</v>
      </c>
      <c r="N3440" t="s">
        <v>22</v>
      </c>
      <c r="O3440" t="str">
        <f t="shared" si="53"/>
        <v>No</v>
      </c>
    </row>
    <row r="3441" spans="1:15" x14ac:dyDescent="0.25">
      <c r="A3441" t="s">
        <v>3502</v>
      </c>
      <c r="B3441" s="1">
        <v>45808</v>
      </c>
      <c r="C3441" s="2">
        <v>45808.522083333337</v>
      </c>
      <c r="D3441" t="s">
        <v>38</v>
      </c>
      <c r="E3441" t="s">
        <v>45</v>
      </c>
      <c r="F3441" t="s">
        <v>112</v>
      </c>
      <c r="G3441" t="s">
        <v>18</v>
      </c>
      <c r="H3441" t="s">
        <v>65</v>
      </c>
      <c r="I3441" t="s">
        <v>45</v>
      </c>
      <c r="J3441" t="s">
        <v>21</v>
      </c>
      <c r="K3441">
        <v>8</v>
      </c>
      <c r="L3441">
        <v>12.53</v>
      </c>
      <c r="M3441">
        <v>4.3</v>
      </c>
      <c r="N3441" t="s">
        <v>61</v>
      </c>
      <c r="O3441" t="str">
        <f t="shared" si="53"/>
        <v>Yes</v>
      </c>
    </row>
    <row r="3442" spans="1:15" x14ac:dyDescent="0.25">
      <c r="A3442" t="s">
        <v>3503</v>
      </c>
      <c r="B3442" s="1">
        <v>45829</v>
      </c>
      <c r="C3442" s="2">
        <v>45829.025833333333</v>
      </c>
      <c r="D3442" t="s">
        <v>24</v>
      </c>
      <c r="E3442" t="s">
        <v>16</v>
      </c>
      <c r="F3442" t="s">
        <v>60</v>
      </c>
      <c r="G3442" t="s">
        <v>18</v>
      </c>
      <c r="H3442" t="s">
        <v>35</v>
      </c>
      <c r="I3442" t="s">
        <v>36</v>
      </c>
      <c r="J3442" t="s">
        <v>21</v>
      </c>
      <c r="K3442">
        <v>24</v>
      </c>
      <c r="L3442">
        <v>0.62</v>
      </c>
      <c r="M3442">
        <v>4.9000000000000004</v>
      </c>
      <c r="N3442" t="s">
        <v>22</v>
      </c>
      <c r="O3442" t="str">
        <f t="shared" si="53"/>
        <v>No</v>
      </c>
    </row>
    <row r="3443" spans="1:15" x14ac:dyDescent="0.25">
      <c r="A3443" t="s">
        <v>3504</v>
      </c>
      <c r="B3443" s="1">
        <v>45662</v>
      </c>
      <c r="C3443" s="2">
        <v>45662.212083333332</v>
      </c>
      <c r="D3443" t="s">
        <v>24</v>
      </c>
      <c r="E3443" t="s">
        <v>45</v>
      </c>
      <c r="F3443" t="s">
        <v>50</v>
      </c>
      <c r="G3443" t="s">
        <v>18</v>
      </c>
      <c r="H3443" t="s">
        <v>65</v>
      </c>
      <c r="I3443" t="s">
        <v>36</v>
      </c>
      <c r="J3443" t="s">
        <v>46</v>
      </c>
      <c r="K3443">
        <v>24</v>
      </c>
      <c r="L3443">
        <v>5.09</v>
      </c>
      <c r="M3443">
        <v>3.8</v>
      </c>
      <c r="N3443" t="s">
        <v>22</v>
      </c>
      <c r="O3443" t="str">
        <f t="shared" si="53"/>
        <v>No</v>
      </c>
    </row>
    <row r="3444" spans="1:15" x14ac:dyDescent="0.25">
      <c r="A3444" t="s">
        <v>3505</v>
      </c>
      <c r="B3444" s="1">
        <v>45740</v>
      </c>
      <c r="C3444" s="2">
        <v>45740.263333333336</v>
      </c>
      <c r="D3444" t="s">
        <v>15</v>
      </c>
      <c r="E3444" t="s">
        <v>39</v>
      </c>
      <c r="F3444" t="s">
        <v>119</v>
      </c>
      <c r="G3444" t="s">
        <v>41</v>
      </c>
      <c r="H3444" t="s">
        <v>35</v>
      </c>
      <c r="I3444" t="s">
        <v>28</v>
      </c>
      <c r="J3444" t="s">
        <v>46</v>
      </c>
      <c r="K3444">
        <v>48</v>
      </c>
      <c r="L3444">
        <v>6.32</v>
      </c>
      <c r="M3444">
        <v>5</v>
      </c>
      <c r="N3444" t="s">
        <v>22</v>
      </c>
      <c r="O3444" t="str">
        <f t="shared" si="53"/>
        <v>No</v>
      </c>
    </row>
    <row r="3445" spans="1:15" x14ac:dyDescent="0.25">
      <c r="A3445" t="s">
        <v>3506</v>
      </c>
      <c r="B3445" s="1">
        <v>45697</v>
      </c>
      <c r="C3445" s="2">
        <v>45697.136666666665</v>
      </c>
      <c r="D3445" t="s">
        <v>38</v>
      </c>
      <c r="E3445" t="s">
        <v>39</v>
      </c>
      <c r="F3445" t="s">
        <v>87</v>
      </c>
      <c r="G3445" t="s">
        <v>51</v>
      </c>
      <c r="H3445" t="s">
        <v>44</v>
      </c>
      <c r="I3445" t="s">
        <v>36</v>
      </c>
      <c r="J3445" t="s">
        <v>29</v>
      </c>
      <c r="K3445">
        <v>8</v>
      </c>
      <c r="L3445">
        <v>3.28</v>
      </c>
      <c r="M3445">
        <v>3.7</v>
      </c>
      <c r="N3445" t="s">
        <v>22</v>
      </c>
      <c r="O3445" t="str">
        <f t="shared" si="53"/>
        <v>No</v>
      </c>
    </row>
    <row r="3446" spans="1:15" x14ac:dyDescent="0.25">
      <c r="A3446" t="s">
        <v>3507</v>
      </c>
      <c r="B3446" s="1">
        <v>45824</v>
      </c>
      <c r="C3446" s="2">
        <v>45825.167083333334</v>
      </c>
      <c r="D3446" t="s">
        <v>15</v>
      </c>
      <c r="E3446" t="s">
        <v>45</v>
      </c>
      <c r="F3446" t="s">
        <v>50</v>
      </c>
      <c r="G3446" t="s">
        <v>51</v>
      </c>
      <c r="H3446" t="s">
        <v>19</v>
      </c>
      <c r="I3446" t="s">
        <v>36</v>
      </c>
      <c r="J3446" t="s">
        <v>29</v>
      </c>
      <c r="K3446">
        <v>48</v>
      </c>
      <c r="L3446">
        <v>28.01</v>
      </c>
      <c r="M3446">
        <v>5</v>
      </c>
      <c r="N3446" t="s">
        <v>22</v>
      </c>
      <c r="O3446" t="str">
        <f t="shared" si="53"/>
        <v>No</v>
      </c>
    </row>
    <row r="3447" spans="1:15" x14ac:dyDescent="0.25">
      <c r="A3447" t="s">
        <v>3508</v>
      </c>
      <c r="B3447" s="1">
        <v>45786</v>
      </c>
      <c r="C3447" s="2">
        <v>45786.936666666668</v>
      </c>
      <c r="D3447" t="s">
        <v>15</v>
      </c>
      <c r="E3447" t="s">
        <v>45</v>
      </c>
      <c r="F3447" t="s">
        <v>100</v>
      </c>
      <c r="G3447" t="s">
        <v>18</v>
      </c>
      <c r="H3447" t="s">
        <v>27</v>
      </c>
      <c r="I3447" t="s">
        <v>36</v>
      </c>
      <c r="J3447" t="s">
        <v>21</v>
      </c>
      <c r="K3447">
        <v>48</v>
      </c>
      <c r="L3447">
        <v>22.48</v>
      </c>
      <c r="M3447">
        <v>4.4000000000000004</v>
      </c>
      <c r="N3447" t="s">
        <v>22</v>
      </c>
      <c r="O3447" t="str">
        <f t="shared" si="53"/>
        <v>No</v>
      </c>
    </row>
    <row r="3448" spans="1:15" x14ac:dyDescent="0.25">
      <c r="A3448" t="s">
        <v>3509</v>
      </c>
      <c r="B3448" s="1">
        <v>45715</v>
      </c>
      <c r="C3448" s="2">
        <v>45716.025416666664</v>
      </c>
      <c r="D3448" t="s">
        <v>15</v>
      </c>
      <c r="E3448" t="s">
        <v>45</v>
      </c>
      <c r="F3448" t="s">
        <v>112</v>
      </c>
      <c r="G3448" t="s">
        <v>18</v>
      </c>
      <c r="H3448" t="s">
        <v>44</v>
      </c>
      <c r="I3448" t="s">
        <v>36</v>
      </c>
      <c r="J3448" t="s">
        <v>21</v>
      </c>
      <c r="K3448">
        <v>48</v>
      </c>
      <c r="L3448">
        <v>24.61</v>
      </c>
      <c r="M3448">
        <v>3.6</v>
      </c>
      <c r="N3448" t="s">
        <v>22</v>
      </c>
      <c r="O3448" t="str">
        <f t="shared" si="53"/>
        <v>No</v>
      </c>
    </row>
    <row r="3449" spans="1:15" x14ac:dyDescent="0.25">
      <c r="A3449" t="s">
        <v>3510</v>
      </c>
      <c r="B3449" s="1">
        <v>45759</v>
      </c>
      <c r="C3449" s="2">
        <v>45759.613749999997</v>
      </c>
      <c r="D3449" t="s">
        <v>24</v>
      </c>
      <c r="E3449" t="s">
        <v>25</v>
      </c>
      <c r="F3449" t="s">
        <v>53</v>
      </c>
      <c r="G3449" t="s">
        <v>41</v>
      </c>
      <c r="H3449" t="s">
        <v>54</v>
      </c>
      <c r="I3449" t="s">
        <v>36</v>
      </c>
      <c r="J3449" t="s">
        <v>21</v>
      </c>
      <c r="K3449">
        <v>24</v>
      </c>
      <c r="L3449">
        <v>14.73</v>
      </c>
      <c r="M3449">
        <v>4.8</v>
      </c>
      <c r="N3449" t="s">
        <v>22</v>
      </c>
      <c r="O3449" t="str">
        <f t="shared" si="53"/>
        <v>No</v>
      </c>
    </row>
    <row r="3450" spans="1:15" x14ac:dyDescent="0.25">
      <c r="A3450" t="s">
        <v>3511</v>
      </c>
      <c r="B3450" s="1">
        <v>45767</v>
      </c>
      <c r="C3450" s="2">
        <v>45767.33</v>
      </c>
      <c r="D3450" t="s">
        <v>24</v>
      </c>
      <c r="E3450" t="s">
        <v>39</v>
      </c>
      <c r="F3450" t="s">
        <v>40</v>
      </c>
      <c r="G3450" t="s">
        <v>51</v>
      </c>
      <c r="H3450" t="s">
        <v>65</v>
      </c>
      <c r="I3450" t="s">
        <v>45</v>
      </c>
      <c r="J3450" t="s">
        <v>21</v>
      </c>
      <c r="K3450">
        <v>24</v>
      </c>
      <c r="L3450">
        <v>7.92</v>
      </c>
      <c r="M3450">
        <v>4.9000000000000004</v>
      </c>
      <c r="N3450" t="s">
        <v>22</v>
      </c>
      <c r="O3450" t="str">
        <f t="shared" si="53"/>
        <v>No</v>
      </c>
    </row>
    <row r="3451" spans="1:15" x14ac:dyDescent="0.25">
      <c r="A3451" t="s">
        <v>3512</v>
      </c>
      <c r="B3451" s="1">
        <v>45747</v>
      </c>
      <c r="C3451" s="2">
        <v>45749.262071759258</v>
      </c>
      <c r="D3451" t="s">
        <v>24</v>
      </c>
      <c r="E3451" t="s">
        <v>32</v>
      </c>
      <c r="F3451" t="s">
        <v>33</v>
      </c>
      <c r="G3451" t="s">
        <v>34</v>
      </c>
      <c r="H3451" t="s">
        <v>65</v>
      </c>
      <c r="I3451" t="s">
        <v>45</v>
      </c>
      <c r="J3451" t="s">
        <v>21</v>
      </c>
      <c r="K3451">
        <v>24</v>
      </c>
      <c r="L3451">
        <v>54.29</v>
      </c>
      <c r="M3451">
        <v>1</v>
      </c>
      <c r="N3451" t="s">
        <v>22</v>
      </c>
      <c r="O3451" t="str">
        <f t="shared" si="53"/>
        <v>Yes</v>
      </c>
    </row>
    <row r="3452" spans="1:15" x14ac:dyDescent="0.25">
      <c r="A3452" t="s">
        <v>3513</v>
      </c>
      <c r="B3452" s="1">
        <v>45743</v>
      </c>
      <c r="C3452" s="2">
        <v>45743.54583333333</v>
      </c>
      <c r="D3452" t="s">
        <v>24</v>
      </c>
      <c r="E3452" t="s">
        <v>39</v>
      </c>
      <c r="F3452" t="s">
        <v>119</v>
      </c>
      <c r="G3452" t="s">
        <v>56</v>
      </c>
      <c r="H3452" t="s">
        <v>27</v>
      </c>
      <c r="I3452" t="s">
        <v>45</v>
      </c>
      <c r="J3452" t="s">
        <v>21</v>
      </c>
      <c r="K3452">
        <v>24</v>
      </c>
      <c r="L3452">
        <v>13.1</v>
      </c>
      <c r="M3452">
        <v>4.3</v>
      </c>
      <c r="N3452" t="s">
        <v>22</v>
      </c>
      <c r="O3452" t="str">
        <f t="shared" si="53"/>
        <v>No</v>
      </c>
    </row>
    <row r="3453" spans="1:15" x14ac:dyDescent="0.25">
      <c r="A3453" t="s">
        <v>3514</v>
      </c>
      <c r="B3453" s="1">
        <v>45667</v>
      </c>
      <c r="C3453" s="2">
        <v>45667.159166666665</v>
      </c>
      <c r="D3453" t="s">
        <v>24</v>
      </c>
      <c r="E3453" t="s">
        <v>45</v>
      </c>
      <c r="F3453" t="s">
        <v>100</v>
      </c>
      <c r="G3453" t="s">
        <v>56</v>
      </c>
      <c r="H3453" t="s">
        <v>54</v>
      </c>
      <c r="I3453" t="s">
        <v>36</v>
      </c>
      <c r="J3453" t="s">
        <v>85</v>
      </c>
      <c r="K3453">
        <v>24</v>
      </c>
      <c r="L3453">
        <v>3.82</v>
      </c>
      <c r="M3453">
        <v>5</v>
      </c>
      <c r="N3453" t="s">
        <v>61</v>
      </c>
      <c r="O3453" t="str">
        <f t="shared" si="53"/>
        <v>No</v>
      </c>
    </row>
    <row r="3454" spans="1:15" x14ac:dyDescent="0.25">
      <c r="A3454" t="s">
        <v>3515</v>
      </c>
      <c r="B3454" s="1">
        <v>45739</v>
      </c>
      <c r="C3454" s="2">
        <v>45739.479166666664</v>
      </c>
      <c r="D3454" t="s">
        <v>24</v>
      </c>
      <c r="E3454" t="s">
        <v>39</v>
      </c>
      <c r="F3454" t="s">
        <v>78</v>
      </c>
      <c r="G3454" t="s">
        <v>51</v>
      </c>
      <c r="H3454" t="s">
        <v>44</v>
      </c>
      <c r="I3454" t="s">
        <v>36</v>
      </c>
      <c r="J3454" t="s">
        <v>21</v>
      </c>
      <c r="K3454">
        <v>24</v>
      </c>
      <c r="L3454">
        <v>11.5</v>
      </c>
      <c r="M3454">
        <v>4.5999999999999996</v>
      </c>
      <c r="N3454" t="s">
        <v>22</v>
      </c>
      <c r="O3454" t="str">
        <f t="shared" si="53"/>
        <v>No</v>
      </c>
    </row>
    <row r="3455" spans="1:15" x14ac:dyDescent="0.25">
      <c r="A3455" t="s">
        <v>3516</v>
      </c>
      <c r="B3455" s="1">
        <v>45721</v>
      </c>
      <c r="C3455" s="2">
        <v>45722.658333333333</v>
      </c>
      <c r="D3455" t="s">
        <v>15</v>
      </c>
      <c r="E3455" t="s">
        <v>25</v>
      </c>
      <c r="F3455" t="s">
        <v>48</v>
      </c>
      <c r="G3455" t="s">
        <v>34</v>
      </c>
      <c r="H3455" t="s">
        <v>44</v>
      </c>
      <c r="I3455" t="s">
        <v>20</v>
      </c>
      <c r="J3455" t="s">
        <v>85</v>
      </c>
      <c r="K3455">
        <v>48</v>
      </c>
      <c r="L3455">
        <v>39.799999999999997</v>
      </c>
      <c r="M3455">
        <v>3.9</v>
      </c>
      <c r="N3455" t="s">
        <v>22</v>
      </c>
      <c r="O3455" t="str">
        <f t="shared" si="53"/>
        <v>No</v>
      </c>
    </row>
    <row r="3456" spans="1:15" x14ac:dyDescent="0.25">
      <c r="A3456" t="s">
        <v>3517</v>
      </c>
      <c r="B3456" s="1">
        <v>45806</v>
      </c>
      <c r="C3456" s="2">
        <v>45806.917083333334</v>
      </c>
      <c r="D3456" t="s">
        <v>24</v>
      </c>
      <c r="E3456" t="s">
        <v>45</v>
      </c>
      <c r="F3456" t="s">
        <v>104</v>
      </c>
      <c r="G3456" t="s">
        <v>34</v>
      </c>
      <c r="H3456" t="s">
        <v>27</v>
      </c>
      <c r="I3456" t="s">
        <v>36</v>
      </c>
      <c r="J3456" t="s">
        <v>85</v>
      </c>
      <c r="K3456">
        <v>24</v>
      </c>
      <c r="L3456">
        <v>22.01</v>
      </c>
      <c r="M3456">
        <v>4.4000000000000004</v>
      </c>
      <c r="N3456" t="s">
        <v>22</v>
      </c>
      <c r="O3456" t="str">
        <f t="shared" si="53"/>
        <v>No</v>
      </c>
    </row>
    <row r="3457" spans="1:15" x14ac:dyDescent="0.25">
      <c r="A3457" t="s">
        <v>3518</v>
      </c>
      <c r="B3457" s="1">
        <v>45814</v>
      </c>
      <c r="C3457" s="2">
        <v>45814.744166666664</v>
      </c>
      <c r="D3457" t="s">
        <v>24</v>
      </c>
      <c r="E3457" t="s">
        <v>45</v>
      </c>
      <c r="F3457" t="s">
        <v>50</v>
      </c>
      <c r="G3457" t="s">
        <v>41</v>
      </c>
      <c r="H3457" t="s">
        <v>27</v>
      </c>
      <c r="I3457" t="s">
        <v>36</v>
      </c>
      <c r="J3457" t="s">
        <v>21</v>
      </c>
      <c r="K3457">
        <v>24</v>
      </c>
      <c r="L3457">
        <v>17.86</v>
      </c>
      <c r="M3457">
        <v>4.5</v>
      </c>
      <c r="N3457" t="s">
        <v>22</v>
      </c>
      <c r="O3457" t="str">
        <f t="shared" si="53"/>
        <v>No</v>
      </c>
    </row>
    <row r="3458" spans="1:15" x14ac:dyDescent="0.25">
      <c r="A3458" t="s">
        <v>3519</v>
      </c>
      <c r="B3458" s="1">
        <v>45793</v>
      </c>
      <c r="C3458" s="2">
        <v>45793.572916666664</v>
      </c>
      <c r="D3458" t="s">
        <v>24</v>
      </c>
      <c r="E3458" t="s">
        <v>45</v>
      </c>
      <c r="F3458" t="s">
        <v>100</v>
      </c>
      <c r="G3458" t="s">
        <v>56</v>
      </c>
      <c r="H3458" t="s">
        <v>54</v>
      </c>
      <c r="I3458" t="s">
        <v>45</v>
      </c>
      <c r="J3458" t="s">
        <v>21</v>
      </c>
      <c r="K3458">
        <v>24</v>
      </c>
      <c r="L3458">
        <v>13.75</v>
      </c>
      <c r="M3458">
        <v>4.3</v>
      </c>
      <c r="N3458" t="s">
        <v>22</v>
      </c>
      <c r="O3458" t="str">
        <f t="shared" si="53"/>
        <v>No</v>
      </c>
    </row>
    <row r="3459" spans="1:15" x14ac:dyDescent="0.25">
      <c r="A3459" t="s">
        <v>3520</v>
      </c>
      <c r="B3459" s="1">
        <v>45663</v>
      </c>
      <c r="C3459" s="2">
        <v>45663.446250000001</v>
      </c>
      <c r="D3459" t="s">
        <v>15</v>
      </c>
      <c r="E3459" t="s">
        <v>16</v>
      </c>
      <c r="F3459" t="s">
        <v>17</v>
      </c>
      <c r="G3459" t="s">
        <v>34</v>
      </c>
      <c r="H3459" t="s">
        <v>35</v>
      </c>
      <c r="I3459" t="s">
        <v>20</v>
      </c>
      <c r="J3459" t="s">
        <v>21</v>
      </c>
      <c r="K3459">
        <v>48</v>
      </c>
      <c r="L3459">
        <v>10.71</v>
      </c>
      <c r="M3459">
        <v>4.5999999999999996</v>
      </c>
      <c r="N3459" t="s">
        <v>22</v>
      </c>
      <c r="O3459" t="str">
        <f t="shared" ref="O3459:O3522" si="54">IF(L3459&gt;K3459,"Yes","No")</f>
        <v>No</v>
      </c>
    </row>
    <row r="3460" spans="1:15" x14ac:dyDescent="0.25">
      <c r="A3460" t="s">
        <v>3521</v>
      </c>
      <c r="B3460" s="1">
        <v>45810</v>
      </c>
      <c r="C3460" s="2">
        <v>45810.661249999997</v>
      </c>
      <c r="D3460" t="s">
        <v>24</v>
      </c>
      <c r="E3460" t="s">
        <v>16</v>
      </c>
      <c r="F3460" t="s">
        <v>43</v>
      </c>
      <c r="G3460" t="s">
        <v>51</v>
      </c>
      <c r="H3460" t="s">
        <v>54</v>
      </c>
      <c r="I3460" t="s">
        <v>36</v>
      </c>
      <c r="J3460" t="s">
        <v>21</v>
      </c>
      <c r="K3460">
        <v>24</v>
      </c>
      <c r="L3460">
        <v>15.87</v>
      </c>
      <c r="M3460">
        <v>4.3</v>
      </c>
      <c r="N3460" t="s">
        <v>22</v>
      </c>
      <c r="O3460" t="str">
        <f t="shared" si="54"/>
        <v>No</v>
      </c>
    </row>
    <row r="3461" spans="1:15" x14ac:dyDescent="0.25">
      <c r="A3461" t="s">
        <v>3522</v>
      </c>
      <c r="B3461" s="1">
        <v>45729</v>
      </c>
      <c r="C3461" s="2">
        <v>45729.470405092594</v>
      </c>
      <c r="D3461" t="s">
        <v>24</v>
      </c>
      <c r="E3461" t="s">
        <v>45</v>
      </c>
      <c r="F3461" t="s">
        <v>50</v>
      </c>
      <c r="G3461" t="s">
        <v>34</v>
      </c>
      <c r="H3461" t="s">
        <v>44</v>
      </c>
      <c r="I3461" t="s">
        <v>28</v>
      </c>
      <c r="J3461" t="s">
        <v>29</v>
      </c>
      <c r="K3461">
        <v>24</v>
      </c>
      <c r="L3461">
        <v>11.29</v>
      </c>
      <c r="M3461">
        <v>4</v>
      </c>
      <c r="N3461" t="s">
        <v>22</v>
      </c>
      <c r="O3461" t="str">
        <f t="shared" si="54"/>
        <v>No</v>
      </c>
    </row>
    <row r="3462" spans="1:15" x14ac:dyDescent="0.25">
      <c r="A3462" t="s">
        <v>3523</v>
      </c>
      <c r="B3462" s="1">
        <v>45733</v>
      </c>
      <c r="C3462" s="2">
        <v>45733.562083333331</v>
      </c>
      <c r="D3462" t="s">
        <v>15</v>
      </c>
      <c r="E3462" t="s">
        <v>32</v>
      </c>
      <c r="F3462" t="s">
        <v>75</v>
      </c>
      <c r="G3462" t="s">
        <v>34</v>
      </c>
      <c r="H3462" t="s">
        <v>19</v>
      </c>
      <c r="I3462" t="s">
        <v>36</v>
      </c>
      <c r="J3462" t="s">
        <v>85</v>
      </c>
      <c r="K3462">
        <v>48</v>
      </c>
      <c r="L3462">
        <v>13.49</v>
      </c>
      <c r="M3462">
        <v>4</v>
      </c>
      <c r="N3462" t="s">
        <v>22</v>
      </c>
      <c r="O3462" t="str">
        <f t="shared" si="54"/>
        <v>No</v>
      </c>
    </row>
    <row r="3463" spans="1:15" x14ac:dyDescent="0.25">
      <c r="A3463" t="s">
        <v>3524</v>
      </c>
      <c r="B3463" s="1">
        <v>45829</v>
      </c>
      <c r="C3463" s="2">
        <v>45830.091249999998</v>
      </c>
      <c r="D3463" t="s">
        <v>15</v>
      </c>
      <c r="E3463" t="s">
        <v>32</v>
      </c>
      <c r="F3463" t="s">
        <v>75</v>
      </c>
      <c r="G3463" t="s">
        <v>41</v>
      </c>
      <c r="H3463" t="s">
        <v>35</v>
      </c>
      <c r="I3463" t="s">
        <v>28</v>
      </c>
      <c r="J3463" t="s">
        <v>21</v>
      </c>
      <c r="K3463">
        <v>48</v>
      </c>
      <c r="L3463">
        <v>26.19</v>
      </c>
      <c r="M3463">
        <v>3.6</v>
      </c>
      <c r="N3463" t="s">
        <v>22</v>
      </c>
      <c r="O3463" t="str">
        <f t="shared" si="54"/>
        <v>No</v>
      </c>
    </row>
    <row r="3464" spans="1:15" x14ac:dyDescent="0.25">
      <c r="A3464" t="s">
        <v>3525</v>
      </c>
      <c r="B3464" s="1">
        <v>45814</v>
      </c>
      <c r="C3464" s="2">
        <v>45814.95416666667</v>
      </c>
      <c r="D3464" t="s">
        <v>24</v>
      </c>
      <c r="E3464" t="s">
        <v>45</v>
      </c>
      <c r="F3464" t="s">
        <v>104</v>
      </c>
      <c r="G3464" t="s">
        <v>51</v>
      </c>
      <c r="H3464" t="s">
        <v>44</v>
      </c>
      <c r="I3464" t="s">
        <v>36</v>
      </c>
      <c r="J3464" t="s">
        <v>21</v>
      </c>
      <c r="K3464">
        <v>24</v>
      </c>
      <c r="L3464">
        <v>22.9</v>
      </c>
      <c r="M3464">
        <v>3.8</v>
      </c>
      <c r="N3464" t="s">
        <v>22</v>
      </c>
      <c r="O3464" t="str">
        <f t="shared" si="54"/>
        <v>No</v>
      </c>
    </row>
    <row r="3465" spans="1:15" x14ac:dyDescent="0.25">
      <c r="A3465" t="s">
        <v>3526</v>
      </c>
      <c r="B3465" s="1">
        <v>45667</v>
      </c>
      <c r="C3465" s="2">
        <v>45667.114583333336</v>
      </c>
      <c r="D3465" t="s">
        <v>24</v>
      </c>
      <c r="E3465" t="s">
        <v>16</v>
      </c>
      <c r="F3465" t="s">
        <v>43</v>
      </c>
      <c r="G3465" t="s">
        <v>56</v>
      </c>
      <c r="H3465" t="s">
        <v>35</v>
      </c>
      <c r="I3465" t="s">
        <v>20</v>
      </c>
      <c r="J3465" t="s">
        <v>46</v>
      </c>
      <c r="K3465">
        <v>24</v>
      </c>
      <c r="L3465">
        <v>2.75</v>
      </c>
      <c r="M3465">
        <v>4.3</v>
      </c>
      <c r="N3465" t="s">
        <v>61</v>
      </c>
      <c r="O3465" t="str">
        <f t="shared" si="54"/>
        <v>No</v>
      </c>
    </row>
    <row r="3466" spans="1:15" x14ac:dyDescent="0.25">
      <c r="A3466" t="s">
        <v>3527</v>
      </c>
      <c r="B3466" s="1">
        <v>45723</v>
      </c>
      <c r="C3466" s="2">
        <v>45723.222083333334</v>
      </c>
      <c r="D3466" t="s">
        <v>24</v>
      </c>
      <c r="E3466" t="s">
        <v>16</v>
      </c>
      <c r="F3466" t="s">
        <v>60</v>
      </c>
      <c r="G3466" t="s">
        <v>18</v>
      </c>
      <c r="H3466" t="s">
        <v>19</v>
      </c>
      <c r="I3466" t="s">
        <v>36</v>
      </c>
      <c r="J3466" t="s">
        <v>21</v>
      </c>
      <c r="K3466">
        <v>24</v>
      </c>
      <c r="L3466">
        <v>5.33</v>
      </c>
      <c r="M3466">
        <v>4.5999999999999996</v>
      </c>
      <c r="N3466" t="s">
        <v>22</v>
      </c>
      <c r="O3466" t="str">
        <f t="shared" si="54"/>
        <v>No</v>
      </c>
    </row>
    <row r="3467" spans="1:15" x14ac:dyDescent="0.25">
      <c r="A3467" t="s">
        <v>3528</v>
      </c>
      <c r="B3467" s="1">
        <v>45793</v>
      </c>
      <c r="C3467" s="2">
        <v>45794.728333333333</v>
      </c>
      <c r="D3467" t="s">
        <v>15</v>
      </c>
      <c r="E3467" t="s">
        <v>32</v>
      </c>
      <c r="F3467" t="s">
        <v>75</v>
      </c>
      <c r="G3467" t="s">
        <v>51</v>
      </c>
      <c r="H3467" t="s">
        <v>54</v>
      </c>
      <c r="I3467" t="s">
        <v>20</v>
      </c>
      <c r="J3467" t="s">
        <v>46</v>
      </c>
      <c r="K3467">
        <v>48</v>
      </c>
      <c r="L3467">
        <v>41.48</v>
      </c>
      <c r="M3467">
        <v>4.8</v>
      </c>
      <c r="N3467" t="s">
        <v>22</v>
      </c>
      <c r="O3467" t="str">
        <f t="shared" si="54"/>
        <v>No</v>
      </c>
    </row>
    <row r="3468" spans="1:15" x14ac:dyDescent="0.25">
      <c r="A3468" t="s">
        <v>3529</v>
      </c>
      <c r="B3468" s="1">
        <v>45755</v>
      </c>
      <c r="C3468" s="2">
        <v>45755.059166666666</v>
      </c>
      <c r="D3468" t="s">
        <v>38</v>
      </c>
      <c r="E3468" t="s">
        <v>16</v>
      </c>
      <c r="F3468" t="s">
        <v>58</v>
      </c>
      <c r="G3468" t="s">
        <v>41</v>
      </c>
      <c r="H3468" t="s">
        <v>35</v>
      </c>
      <c r="I3468" t="s">
        <v>45</v>
      </c>
      <c r="J3468" t="s">
        <v>21</v>
      </c>
      <c r="K3468">
        <v>8</v>
      </c>
      <c r="L3468">
        <v>1.42</v>
      </c>
      <c r="M3468">
        <v>4.7</v>
      </c>
      <c r="N3468" t="s">
        <v>22</v>
      </c>
      <c r="O3468" t="str">
        <f t="shared" si="54"/>
        <v>No</v>
      </c>
    </row>
    <row r="3469" spans="1:15" x14ac:dyDescent="0.25">
      <c r="A3469" t="s">
        <v>3530</v>
      </c>
      <c r="B3469" s="1">
        <v>45704</v>
      </c>
      <c r="C3469" s="2">
        <v>45706.280416666668</v>
      </c>
      <c r="D3469" t="s">
        <v>15</v>
      </c>
      <c r="E3469" t="s">
        <v>45</v>
      </c>
      <c r="F3469" t="s">
        <v>112</v>
      </c>
      <c r="G3469" t="s">
        <v>56</v>
      </c>
      <c r="H3469" t="s">
        <v>19</v>
      </c>
      <c r="I3469" t="s">
        <v>20</v>
      </c>
      <c r="J3469" t="s">
        <v>21</v>
      </c>
      <c r="K3469">
        <v>48</v>
      </c>
      <c r="L3469">
        <v>54.73</v>
      </c>
      <c r="M3469">
        <v>3.7</v>
      </c>
      <c r="N3469" t="s">
        <v>22</v>
      </c>
      <c r="O3469" t="str">
        <f t="shared" si="54"/>
        <v>Yes</v>
      </c>
    </row>
    <row r="3470" spans="1:15" x14ac:dyDescent="0.25">
      <c r="A3470" t="s">
        <v>3531</v>
      </c>
      <c r="B3470" s="1">
        <v>45752</v>
      </c>
      <c r="C3470" s="2">
        <v>45752.422500000001</v>
      </c>
      <c r="D3470" t="s">
        <v>24</v>
      </c>
      <c r="E3470" t="s">
        <v>16</v>
      </c>
      <c r="F3470" t="s">
        <v>60</v>
      </c>
      <c r="G3470" t="s">
        <v>56</v>
      </c>
      <c r="H3470" t="s">
        <v>19</v>
      </c>
      <c r="I3470" t="s">
        <v>20</v>
      </c>
      <c r="J3470" t="s">
        <v>21</v>
      </c>
      <c r="K3470">
        <v>24</v>
      </c>
      <c r="L3470">
        <v>10.14</v>
      </c>
      <c r="M3470">
        <v>4.3</v>
      </c>
      <c r="N3470" t="s">
        <v>22</v>
      </c>
      <c r="O3470" t="str">
        <f t="shared" si="54"/>
        <v>No</v>
      </c>
    </row>
    <row r="3471" spans="1:15" x14ac:dyDescent="0.25">
      <c r="A3471" t="s">
        <v>3532</v>
      </c>
      <c r="B3471" s="1">
        <v>45814</v>
      </c>
      <c r="C3471" s="2">
        <v>45814.245416666665</v>
      </c>
      <c r="D3471" t="s">
        <v>38</v>
      </c>
      <c r="E3471" t="s">
        <v>39</v>
      </c>
      <c r="F3471" t="s">
        <v>40</v>
      </c>
      <c r="G3471" t="s">
        <v>18</v>
      </c>
      <c r="H3471" t="s">
        <v>19</v>
      </c>
      <c r="I3471" t="s">
        <v>45</v>
      </c>
      <c r="J3471" t="s">
        <v>21</v>
      </c>
      <c r="K3471">
        <v>8</v>
      </c>
      <c r="L3471">
        <v>5.89</v>
      </c>
      <c r="M3471">
        <v>5</v>
      </c>
      <c r="N3471" t="s">
        <v>22</v>
      </c>
      <c r="O3471" t="str">
        <f t="shared" si="54"/>
        <v>No</v>
      </c>
    </row>
    <row r="3472" spans="1:15" x14ac:dyDescent="0.25">
      <c r="A3472" t="s">
        <v>3533</v>
      </c>
      <c r="B3472" s="1">
        <v>45698</v>
      </c>
      <c r="C3472" s="2">
        <v>45698.838750000003</v>
      </c>
      <c r="D3472" t="s">
        <v>24</v>
      </c>
      <c r="E3472" t="s">
        <v>16</v>
      </c>
      <c r="F3472" t="s">
        <v>60</v>
      </c>
      <c r="G3472" t="s">
        <v>51</v>
      </c>
      <c r="H3472" t="s">
        <v>65</v>
      </c>
      <c r="I3472" t="s">
        <v>36</v>
      </c>
      <c r="J3472" t="s">
        <v>21</v>
      </c>
      <c r="K3472">
        <v>24</v>
      </c>
      <c r="L3472">
        <v>20.13</v>
      </c>
      <c r="M3472">
        <v>5</v>
      </c>
      <c r="N3472" t="s">
        <v>61</v>
      </c>
      <c r="O3472" t="str">
        <f t="shared" si="54"/>
        <v>No</v>
      </c>
    </row>
    <row r="3473" spans="1:15" x14ac:dyDescent="0.25">
      <c r="A3473" t="s">
        <v>3534</v>
      </c>
      <c r="B3473" s="1">
        <v>45793</v>
      </c>
      <c r="C3473" s="2">
        <v>45793.985833333332</v>
      </c>
      <c r="D3473" t="s">
        <v>15</v>
      </c>
      <c r="E3473" t="s">
        <v>45</v>
      </c>
      <c r="F3473" t="s">
        <v>50</v>
      </c>
      <c r="G3473" t="s">
        <v>34</v>
      </c>
      <c r="H3473" t="s">
        <v>44</v>
      </c>
      <c r="I3473" t="s">
        <v>36</v>
      </c>
      <c r="J3473" t="s">
        <v>21</v>
      </c>
      <c r="K3473">
        <v>48</v>
      </c>
      <c r="L3473">
        <v>23.66</v>
      </c>
      <c r="M3473">
        <v>4.0999999999999996</v>
      </c>
      <c r="N3473" t="s">
        <v>22</v>
      </c>
      <c r="O3473" t="str">
        <f t="shared" si="54"/>
        <v>No</v>
      </c>
    </row>
    <row r="3474" spans="1:15" x14ac:dyDescent="0.25">
      <c r="A3474" t="s">
        <v>3535</v>
      </c>
      <c r="B3474" s="1">
        <v>45790</v>
      </c>
      <c r="C3474" s="2">
        <v>45791.204583333332</v>
      </c>
      <c r="D3474" t="s">
        <v>24</v>
      </c>
      <c r="E3474" t="s">
        <v>45</v>
      </c>
      <c r="F3474" t="s">
        <v>104</v>
      </c>
      <c r="G3474" t="s">
        <v>34</v>
      </c>
      <c r="H3474" t="s">
        <v>54</v>
      </c>
      <c r="I3474" t="s">
        <v>28</v>
      </c>
      <c r="J3474" t="s">
        <v>21</v>
      </c>
      <c r="K3474">
        <v>24</v>
      </c>
      <c r="L3474">
        <v>28.91</v>
      </c>
      <c r="M3474">
        <v>4</v>
      </c>
      <c r="N3474" t="s">
        <v>22</v>
      </c>
      <c r="O3474" t="str">
        <f t="shared" si="54"/>
        <v>Yes</v>
      </c>
    </row>
    <row r="3475" spans="1:15" x14ac:dyDescent="0.25">
      <c r="A3475" t="s">
        <v>3536</v>
      </c>
      <c r="B3475" s="1">
        <v>45818</v>
      </c>
      <c r="C3475" s="2">
        <v>45818.093333333331</v>
      </c>
      <c r="D3475" t="s">
        <v>31</v>
      </c>
      <c r="E3475" t="s">
        <v>39</v>
      </c>
      <c r="F3475" t="s">
        <v>78</v>
      </c>
      <c r="G3475" t="s">
        <v>51</v>
      </c>
      <c r="H3475" t="s">
        <v>35</v>
      </c>
      <c r="I3475" t="s">
        <v>28</v>
      </c>
      <c r="J3475" t="s">
        <v>46</v>
      </c>
      <c r="K3475">
        <v>4</v>
      </c>
      <c r="L3475">
        <v>2.2400000000000002</v>
      </c>
      <c r="M3475">
        <v>5</v>
      </c>
      <c r="N3475" t="s">
        <v>22</v>
      </c>
      <c r="O3475" t="str">
        <f t="shared" si="54"/>
        <v>No</v>
      </c>
    </row>
    <row r="3476" spans="1:15" x14ac:dyDescent="0.25">
      <c r="A3476" t="s">
        <v>3537</v>
      </c>
      <c r="B3476" s="1">
        <v>45711</v>
      </c>
      <c r="C3476" s="2">
        <v>45711.100416666668</v>
      </c>
      <c r="D3476" t="s">
        <v>31</v>
      </c>
      <c r="E3476" t="s">
        <v>16</v>
      </c>
      <c r="F3476" t="s">
        <v>58</v>
      </c>
      <c r="G3476" t="s">
        <v>18</v>
      </c>
      <c r="H3476" t="s">
        <v>54</v>
      </c>
      <c r="I3476" t="s">
        <v>36</v>
      </c>
      <c r="J3476" t="s">
        <v>21</v>
      </c>
      <c r="K3476">
        <v>4</v>
      </c>
      <c r="L3476">
        <v>2.41</v>
      </c>
      <c r="M3476">
        <v>3.5</v>
      </c>
      <c r="N3476" t="s">
        <v>22</v>
      </c>
      <c r="O3476" t="str">
        <f t="shared" si="54"/>
        <v>No</v>
      </c>
    </row>
    <row r="3477" spans="1:15" x14ac:dyDescent="0.25">
      <c r="A3477" t="s">
        <v>3538</v>
      </c>
      <c r="B3477" s="1">
        <v>45697</v>
      </c>
      <c r="C3477" s="2">
        <v>45697.295416666668</v>
      </c>
      <c r="D3477" t="s">
        <v>15</v>
      </c>
      <c r="E3477" t="s">
        <v>32</v>
      </c>
      <c r="F3477" t="s">
        <v>64</v>
      </c>
      <c r="G3477" t="s">
        <v>34</v>
      </c>
      <c r="H3477" t="s">
        <v>65</v>
      </c>
      <c r="I3477" t="s">
        <v>36</v>
      </c>
      <c r="J3477" t="s">
        <v>29</v>
      </c>
      <c r="K3477">
        <v>48</v>
      </c>
      <c r="L3477">
        <v>7.09</v>
      </c>
      <c r="M3477">
        <v>5</v>
      </c>
      <c r="N3477" t="s">
        <v>22</v>
      </c>
      <c r="O3477" t="str">
        <f t="shared" si="54"/>
        <v>No</v>
      </c>
    </row>
    <row r="3478" spans="1:15" x14ac:dyDescent="0.25">
      <c r="A3478" t="s">
        <v>3539</v>
      </c>
      <c r="B3478" s="1">
        <v>45757</v>
      </c>
      <c r="C3478" s="2">
        <v>45757.533750000002</v>
      </c>
      <c r="D3478" t="s">
        <v>38</v>
      </c>
      <c r="E3478" t="s">
        <v>39</v>
      </c>
      <c r="F3478" t="s">
        <v>87</v>
      </c>
      <c r="G3478" t="s">
        <v>34</v>
      </c>
      <c r="H3478" t="s">
        <v>19</v>
      </c>
      <c r="I3478" t="s">
        <v>36</v>
      </c>
      <c r="J3478" t="s">
        <v>21</v>
      </c>
      <c r="K3478">
        <v>8</v>
      </c>
      <c r="L3478">
        <v>12.81</v>
      </c>
      <c r="M3478">
        <v>1.9</v>
      </c>
      <c r="N3478" t="s">
        <v>22</v>
      </c>
      <c r="O3478" t="str">
        <f t="shared" si="54"/>
        <v>Yes</v>
      </c>
    </row>
    <row r="3479" spans="1:15" x14ac:dyDescent="0.25">
      <c r="A3479" t="s">
        <v>3540</v>
      </c>
      <c r="B3479" s="1">
        <v>45754</v>
      </c>
      <c r="C3479" s="2">
        <v>45754.955833333333</v>
      </c>
      <c r="D3479" t="s">
        <v>24</v>
      </c>
      <c r="E3479" t="s">
        <v>32</v>
      </c>
      <c r="F3479" t="s">
        <v>64</v>
      </c>
      <c r="G3479" t="s">
        <v>34</v>
      </c>
      <c r="H3479" t="s">
        <v>27</v>
      </c>
      <c r="I3479" t="s">
        <v>36</v>
      </c>
      <c r="J3479" t="s">
        <v>46</v>
      </c>
      <c r="K3479">
        <v>24</v>
      </c>
      <c r="L3479">
        <v>22.94</v>
      </c>
      <c r="M3479">
        <v>3.9</v>
      </c>
      <c r="N3479" t="s">
        <v>22</v>
      </c>
      <c r="O3479" t="str">
        <f t="shared" si="54"/>
        <v>No</v>
      </c>
    </row>
    <row r="3480" spans="1:15" x14ac:dyDescent="0.25">
      <c r="A3480" t="s">
        <v>3541</v>
      </c>
      <c r="B3480" s="1">
        <v>45732</v>
      </c>
      <c r="C3480" s="2">
        <v>45732.404583333337</v>
      </c>
      <c r="D3480" t="s">
        <v>15</v>
      </c>
      <c r="E3480" t="s">
        <v>16</v>
      </c>
      <c r="F3480" t="s">
        <v>17</v>
      </c>
      <c r="G3480" t="s">
        <v>34</v>
      </c>
      <c r="H3480" t="s">
        <v>35</v>
      </c>
      <c r="I3480" t="s">
        <v>36</v>
      </c>
      <c r="J3480" t="s">
        <v>21</v>
      </c>
      <c r="K3480">
        <v>48</v>
      </c>
      <c r="L3480">
        <v>9.7100000000000009</v>
      </c>
      <c r="M3480">
        <v>4.7</v>
      </c>
      <c r="N3480" t="s">
        <v>22</v>
      </c>
      <c r="O3480" t="str">
        <f t="shared" si="54"/>
        <v>No</v>
      </c>
    </row>
    <row r="3481" spans="1:15" x14ac:dyDescent="0.25">
      <c r="A3481" t="s">
        <v>3542</v>
      </c>
      <c r="B3481" s="1">
        <v>45799</v>
      </c>
      <c r="C3481" s="2">
        <v>45799.149583333332</v>
      </c>
      <c r="D3481" t="s">
        <v>24</v>
      </c>
      <c r="E3481" t="s">
        <v>16</v>
      </c>
      <c r="F3481" t="s">
        <v>43</v>
      </c>
      <c r="G3481" t="s">
        <v>34</v>
      </c>
      <c r="H3481" t="s">
        <v>54</v>
      </c>
      <c r="I3481" t="s">
        <v>20</v>
      </c>
      <c r="J3481" t="s">
        <v>46</v>
      </c>
      <c r="K3481">
        <v>24</v>
      </c>
      <c r="L3481">
        <v>3.59</v>
      </c>
      <c r="M3481">
        <v>3.7</v>
      </c>
      <c r="N3481" t="s">
        <v>61</v>
      </c>
      <c r="O3481" t="str">
        <f t="shared" si="54"/>
        <v>No</v>
      </c>
    </row>
    <row r="3482" spans="1:15" x14ac:dyDescent="0.25">
      <c r="A3482" t="s">
        <v>3543</v>
      </c>
      <c r="B3482" s="1">
        <v>45802</v>
      </c>
      <c r="C3482" s="2">
        <v>45802.370833333334</v>
      </c>
      <c r="D3482" t="s">
        <v>24</v>
      </c>
      <c r="E3482" t="s">
        <v>39</v>
      </c>
      <c r="F3482" t="s">
        <v>87</v>
      </c>
      <c r="G3482" t="s">
        <v>51</v>
      </c>
      <c r="H3482" t="s">
        <v>19</v>
      </c>
      <c r="I3482" t="s">
        <v>36</v>
      </c>
      <c r="J3482" t="s">
        <v>21</v>
      </c>
      <c r="K3482">
        <v>24</v>
      </c>
      <c r="L3482">
        <v>8.9</v>
      </c>
      <c r="M3482">
        <v>5</v>
      </c>
      <c r="N3482" t="s">
        <v>22</v>
      </c>
      <c r="O3482" t="str">
        <f t="shared" si="54"/>
        <v>No</v>
      </c>
    </row>
    <row r="3483" spans="1:15" x14ac:dyDescent="0.25">
      <c r="A3483" t="s">
        <v>3544</v>
      </c>
      <c r="B3483" s="1">
        <v>45702</v>
      </c>
      <c r="C3483" s="2">
        <v>45702.411666666667</v>
      </c>
      <c r="D3483" t="s">
        <v>24</v>
      </c>
      <c r="E3483" t="s">
        <v>32</v>
      </c>
      <c r="F3483" t="s">
        <v>80</v>
      </c>
      <c r="G3483" t="s">
        <v>51</v>
      </c>
      <c r="H3483" t="s">
        <v>35</v>
      </c>
      <c r="I3483" t="s">
        <v>20</v>
      </c>
      <c r="J3483" t="s">
        <v>21</v>
      </c>
      <c r="K3483">
        <v>24</v>
      </c>
      <c r="L3483">
        <v>9.8800000000000008</v>
      </c>
      <c r="M3483">
        <v>4.5999999999999996</v>
      </c>
      <c r="N3483" t="s">
        <v>22</v>
      </c>
      <c r="O3483" t="str">
        <f t="shared" si="54"/>
        <v>No</v>
      </c>
    </row>
    <row r="3484" spans="1:15" x14ac:dyDescent="0.25">
      <c r="A3484" t="s">
        <v>3545</v>
      </c>
      <c r="B3484" s="1">
        <v>45801</v>
      </c>
      <c r="C3484" s="2">
        <v>45801.174166666664</v>
      </c>
      <c r="D3484" t="s">
        <v>38</v>
      </c>
      <c r="E3484" t="s">
        <v>32</v>
      </c>
      <c r="F3484" t="s">
        <v>80</v>
      </c>
      <c r="G3484" t="s">
        <v>51</v>
      </c>
      <c r="H3484" t="s">
        <v>54</v>
      </c>
      <c r="I3484" t="s">
        <v>28</v>
      </c>
      <c r="J3484" t="s">
        <v>85</v>
      </c>
      <c r="K3484">
        <v>8</v>
      </c>
      <c r="L3484">
        <v>4.18</v>
      </c>
      <c r="M3484">
        <v>3.8</v>
      </c>
      <c r="N3484" t="s">
        <v>22</v>
      </c>
      <c r="O3484" t="str">
        <f t="shared" si="54"/>
        <v>No</v>
      </c>
    </row>
    <row r="3485" spans="1:15" x14ac:dyDescent="0.25">
      <c r="A3485" t="s">
        <v>3546</v>
      </c>
      <c r="B3485" s="1">
        <v>45699</v>
      </c>
      <c r="C3485" s="2">
        <v>45700.154583333337</v>
      </c>
      <c r="D3485" t="s">
        <v>24</v>
      </c>
      <c r="E3485" t="s">
        <v>32</v>
      </c>
      <c r="F3485" t="s">
        <v>80</v>
      </c>
      <c r="G3485" t="s">
        <v>51</v>
      </c>
      <c r="H3485" t="s">
        <v>19</v>
      </c>
      <c r="I3485" t="s">
        <v>36</v>
      </c>
      <c r="J3485" t="s">
        <v>21</v>
      </c>
      <c r="K3485">
        <v>24</v>
      </c>
      <c r="L3485">
        <v>27.71</v>
      </c>
      <c r="M3485">
        <v>3.8</v>
      </c>
      <c r="N3485" t="s">
        <v>61</v>
      </c>
      <c r="O3485" t="str">
        <f t="shared" si="54"/>
        <v>Yes</v>
      </c>
    </row>
    <row r="3486" spans="1:15" x14ac:dyDescent="0.25">
      <c r="A3486" t="s">
        <v>3547</v>
      </c>
      <c r="B3486" s="1">
        <v>45731</v>
      </c>
      <c r="C3486" s="2">
        <v>45732.197083333333</v>
      </c>
      <c r="D3486" t="s">
        <v>24</v>
      </c>
      <c r="E3486" t="s">
        <v>16</v>
      </c>
      <c r="F3486" t="s">
        <v>58</v>
      </c>
      <c r="G3486" t="s">
        <v>18</v>
      </c>
      <c r="H3486" t="s">
        <v>44</v>
      </c>
      <c r="I3486" t="s">
        <v>45</v>
      </c>
      <c r="J3486" t="s">
        <v>46</v>
      </c>
      <c r="K3486">
        <v>24</v>
      </c>
      <c r="L3486">
        <v>28.73</v>
      </c>
      <c r="M3486">
        <v>4.2</v>
      </c>
      <c r="N3486" t="s">
        <v>61</v>
      </c>
      <c r="O3486" t="str">
        <f t="shared" si="54"/>
        <v>Yes</v>
      </c>
    </row>
    <row r="3487" spans="1:15" x14ac:dyDescent="0.25">
      <c r="A3487" t="s">
        <v>3548</v>
      </c>
      <c r="B3487" s="1">
        <v>45662</v>
      </c>
      <c r="C3487" s="2">
        <v>45662.939166666663</v>
      </c>
      <c r="D3487" t="s">
        <v>24</v>
      </c>
      <c r="E3487" t="s">
        <v>32</v>
      </c>
      <c r="F3487" t="s">
        <v>75</v>
      </c>
      <c r="G3487" t="s">
        <v>34</v>
      </c>
      <c r="H3487" t="s">
        <v>35</v>
      </c>
      <c r="I3487" t="s">
        <v>45</v>
      </c>
      <c r="J3487" t="s">
        <v>46</v>
      </c>
      <c r="K3487">
        <v>24</v>
      </c>
      <c r="L3487">
        <v>22.54</v>
      </c>
      <c r="M3487">
        <v>2.7</v>
      </c>
      <c r="N3487" t="s">
        <v>22</v>
      </c>
      <c r="O3487" t="str">
        <f t="shared" si="54"/>
        <v>No</v>
      </c>
    </row>
    <row r="3488" spans="1:15" x14ac:dyDescent="0.25">
      <c r="A3488" t="s">
        <v>3549</v>
      </c>
      <c r="B3488" s="1">
        <v>45719</v>
      </c>
      <c r="C3488" s="2">
        <v>45719.136666666665</v>
      </c>
      <c r="D3488" t="s">
        <v>15</v>
      </c>
      <c r="E3488" t="s">
        <v>32</v>
      </c>
      <c r="F3488" t="s">
        <v>75</v>
      </c>
      <c r="G3488" t="s">
        <v>51</v>
      </c>
      <c r="H3488" t="s">
        <v>54</v>
      </c>
      <c r="I3488" t="s">
        <v>36</v>
      </c>
      <c r="J3488" t="s">
        <v>21</v>
      </c>
      <c r="K3488">
        <v>48</v>
      </c>
      <c r="L3488">
        <v>3.28</v>
      </c>
      <c r="M3488">
        <v>2.9</v>
      </c>
      <c r="N3488" t="s">
        <v>22</v>
      </c>
      <c r="O3488" t="str">
        <f t="shared" si="54"/>
        <v>No</v>
      </c>
    </row>
    <row r="3489" spans="1:15" x14ac:dyDescent="0.25">
      <c r="A3489" t="s">
        <v>3550</v>
      </c>
      <c r="B3489" s="1">
        <v>45831</v>
      </c>
      <c r="C3489" s="2">
        <v>45832.455000000002</v>
      </c>
      <c r="D3489" t="s">
        <v>24</v>
      </c>
      <c r="E3489" t="s">
        <v>45</v>
      </c>
      <c r="F3489" t="s">
        <v>112</v>
      </c>
      <c r="G3489" t="s">
        <v>51</v>
      </c>
      <c r="H3489" t="s">
        <v>35</v>
      </c>
      <c r="I3489" t="s">
        <v>20</v>
      </c>
      <c r="J3489" t="s">
        <v>21</v>
      </c>
      <c r="K3489">
        <v>24</v>
      </c>
      <c r="L3489">
        <v>34.92</v>
      </c>
      <c r="M3489">
        <v>3.2</v>
      </c>
      <c r="N3489" t="s">
        <v>22</v>
      </c>
      <c r="O3489" t="str">
        <f t="shared" si="54"/>
        <v>Yes</v>
      </c>
    </row>
    <row r="3490" spans="1:15" x14ac:dyDescent="0.25">
      <c r="A3490" t="s">
        <v>3551</v>
      </c>
      <c r="B3490" s="1">
        <v>45738</v>
      </c>
      <c r="C3490" s="2">
        <v>45738.171666666669</v>
      </c>
      <c r="D3490" t="s">
        <v>31</v>
      </c>
      <c r="E3490" t="s">
        <v>32</v>
      </c>
      <c r="F3490" t="s">
        <v>64</v>
      </c>
      <c r="G3490" t="s">
        <v>51</v>
      </c>
      <c r="H3490" t="s">
        <v>65</v>
      </c>
      <c r="I3490" t="s">
        <v>45</v>
      </c>
      <c r="J3490" t="s">
        <v>46</v>
      </c>
      <c r="K3490">
        <v>4</v>
      </c>
      <c r="L3490">
        <v>4.12</v>
      </c>
      <c r="M3490">
        <v>3.3</v>
      </c>
      <c r="N3490" t="s">
        <v>22</v>
      </c>
      <c r="O3490" t="str">
        <f t="shared" si="54"/>
        <v>Yes</v>
      </c>
    </row>
    <row r="3491" spans="1:15" x14ac:dyDescent="0.25">
      <c r="A3491" t="s">
        <v>3552</v>
      </c>
      <c r="B3491" s="1">
        <v>45786</v>
      </c>
      <c r="C3491" s="2">
        <v>45786.784166666665</v>
      </c>
      <c r="D3491" t="s">
        <v>24</v>
      </c>
      <c r="E3491" t="s">
        <v>45</v>
      </c>
      <c r="F3491" t="s">
        <v>50</v>
      </c>
      <c r="G3491" t="s">
        <v>41</v>
      </c>
      <c r="H3491" t="s">
        <v>54</v>
      </c>
      <c r="I3491" t="s">
        <v>36</v>
      </c>
      <c r="J3491" t="s">
        <v>29</v>
      </c>
      <c r="K3491">
        <v>24</v>
      </c>
      <c r="L3491">
        <v>18.82</v>
      </c>
      <c r="M3491">
        <v>4.9000000000000004</v>
      </c>
      <c r="N3491" t="s">
        <v>22</v>
      </c>
      <c r="O3491" t="str">
        <f t="shared" si="54"/>
        <v>No</v>
      </c>
    </row>
    <row r="3492" spans="1:15" x14ac:dyDescent="0.25">
      <c r="A3492" t="s">
        <v>3553</v>
      </c>
      <c r="B3492" s="1">
        <v>45677</v>
      </c>
      <c r="C3492" s="2">
        <v>45677.855000000003</v>
      </c>
      <c r="D3492" t="s">
        <v>15</v>
      </c>
      <c r="E3492" t="s">
        <v>16</v>
      </c>
      <c r="F3492" t="s">
        <v>60</v>
      </c>
      <c r="G3492" t="s">
        <v>34</v>
      </c>
      <c r="H3492" t="s">
        <v>65</v>
      </c>
      <c r="I3492" t="s">
        <v>20</v>
      </c>
      <c r="J3492" t="s">
        <v>21</v>
      </c>
      <c r="K3492">
        <v>48</v>
      </c>
      <c r="L3492">
        <v>20.52</v>
      </c>
      <c r="M3492">
        <v>4.2</v>
      </c>
      <c r="N3492" t="s">
        <v>22</v>
      </c>
      <c r="O3492" t="str">
        <f t="shared" si="54"/>
        <v>No</v>
      </c>
    </row>
    <row r="3493" spans="1:15" x14ac:dyDescent="0.25">
      <c r="A3493" t="s">
        <v>3554</v>
      </c>
      <c r="B3493" s="1">
        <v>45773</v>
      </c>
      <c r="C3493" s="2">
        <v>45773.737916666665</v>
      </c>
      <c r="D3493" t="s">
        <v>24</v>
      </c>
      <c r="E3493" t="s">
        <v>16</v>
      </c>
      <c r="F3493" t="s">
        <v>58</v>
      </c>
      <c r="G3493" t="s">
        <v>56</v>
      </c>
      <c r="H3493" t="s">
        <v>44</v>
      </c>
      <c r="I3493" t="s">
        <v>36</v>
      </c>
      <c r="J3493" t="s">
        <v>46</v>
      </c>
      <c r="K3493">
        <v>24</v>
      </c>
      <c r="L3493">
        <v>17.71</v>
      </c>
      <c r="M3493">
        <v>4.3</v>
      </c>
      <c r="N3493" t="s">
        <v>22</v>
      </c>
      <c r="O3493" t="str">
        <f t="shared" si="54"/>
        <v>No</v>
      </c>
    </row>
    <row r="3494" spans="1:15" x14ac:dyDescent="0.25">
      <c r="A3494" t="s">
        <v>3555</v>
      </c>
      <c r="B3494" s="1">
        <v>45725</v>
      </c>
      <c r="C3494" s="2">
        <v>45725.020833333336</v>
      </c>
      <c r="D3494" t="s">
        <v>31</v>
      </c>
      <c r="E3494" t="s">
        <v>16</v>
      </c>
      <c r="F3494" t="s">
        <v>58</v>
      </c>
      <c r="G3494" t="s">
        <v>34</v>
      </c>
      <c r="H3494" t="s">
        <v>54</v>
      </c>
      <c r="I3494" t="s">
        <v>36</v>
      </c>
      <c r="J3494" t="s">
        <v>46</v>
      </c>
      <c r="K3494">
        <v>4</v>
      </c>
      <c r="L3494">
        <v>0.5</v>
      </c>
      <c r="M3494">
        <v>4.7</v>
      </c>
      <c r="N3494" t="s">
        <v>22</v>
      </c>
      <c r="O3494" t="str">
        <f t="shared" si="54"/>
        <v>No</v>
      </c>
    </row>
    <row r="3495" spans="1:15" x14ac:dyDescent="0.25">
      <c r="A3495" t="s">
        <v>3556</v>
      </c>
      <c r="B3495" s="1">
        <v>45792</v>
      </c>
      <c r="C3495" s="2">
        <v>45792.238333333335</v>
      </c>
      <c r="D3495" t="s">
        <v>38</v>
      </c>
      <c r="E3495" t="s">
        <v>32</v>
      </c>
      <c r="F3495" t="s">
        <v>64</v>
      </c>
      <c r="G3495" t="s">
        <v>41</v>
      </c>
      <c r="H3495" t="s">
        <v>44</v>
      </c>
      <c r="I3495" t="s">
        <v>28</v>
      </c>
      <c r="J3495" t="s">
        <v>21</v>
      </c>
      <c r="K3495">
        <v>8</v>
      </c>
      <c r="L3495">
        <v>5.72</v>
      </c>
      <c r="M3495">
        <v>3.1</v>
      </c>
      <c r="N3495" t="s">
        <v>22</v>
      </c>
      <c r="O3495" t="str">
        <f t="shared" si="54"/>
        <v>No</v>
      </c>
    </row>
    <row r="3496" spans="1:15" x14ac:dyDescent="0.25">
      <c r="A3496" t="s">
        <v>3557</v>
      </c>
      <c r="B3496" s="1">
        <v>45825</v>
      </c>
      <c r="C3496" s="2">
        <v>45825.995000000003</v>
      </c>
      <c r="D3496" t="s">
        <v>24</v>
      </c>
      <c r="E3496" t="s">
        <v>25</v>
      </c>
      <c r="F3496" t="s">
        <v>48</v>
      </c>
      <c r="G3496" t="s">
        <v>18</v>
      </c>
      <c r="H3496" t="s">
        <v>44</v>
      </c>
      <c r="I3496" t="s">
        <v>36</v>
      </c>
      <c r="J3496" t="s">
        <v>46</v>
      </c>
      <c r="K3496">
        <v>24</v>
      </c>
      <c r="L3496">
        <v>23.88</v>
      </c>
      <c r="M3496">
        <v>3.8</v>
      </c>
      <c r="N3496" t="s">
        <v>22</v>
      </c>
      <c r="O3496" t="str">
        <f t="shared" si="54"/>
        <v>No</v>
      </c>
    </row>
    <row r="3497" spans="1:15" x14ac:dyDescent="0.25">
      <c r="A3497" t="s">
        <v>3558</v>
      </c>
      <c r="B3497" s="1">
        <v>45754</v>
      </c>
      <c r="C3497" s="2">
        <v>45754.642916666664</v>
      </c>
      <c r="D3497" t="s">
        <v>24</v>
      </c>
      <c r="E3497" t="s">
        <v>25</v>
      </c>
      <c r="F3497" t="s">
        <v>70</v>
      </c>
      <c r="G3497" t="s">
        <v>34</v>
      </c>
      <c r="H3497" t="s">
        <v>54</v>
      </c>
      <c r="I3497" t="s">
        <v>36</v>
      </c>
      <c r="J3497" t="s">
        <v>21</v>
      </c>
      <c r="K3497">
        <v>24</v>
      </c>
      <c r="L3497">
        <v>15.43</v>
      </c>
      <c r="M3497">
        <v>3.4</v>
      </c>
      <c r="N3497" t="s">
        <v>22</v>
      </c>
      <c r="O3497" t="str">
        <f t="shared" si="54"/>
        <v>No</v>
      </c>
    </row>
    <row r="3498" spans="1:15" x14ac:dyDescent="0.25">
      <c r="A3498" t="s">
        <v>3559</v>
      </c>
      <c r="B3498" s="1">
        <v>45676</v>
      </c>
      <c r="C3498" s="2">
        <v>45676.423333333332</v>
      </c>
      <c r="D3498" t="s">
        <v>24</v>
      </c>
      <c r="E3498" t="s">
        <v>39</v>
      </c>
      <c r="F3498" t="s">
        <v>87</v>
      </c>
      <c r="G3498" t="s">
        <v>51</v>
      </c>
      <c r="H3498" t="s">
        <v>19</v>
      </c>
      <c r="I3498" t="s">
        <v>36</v>
      </c>
      <c r="J3498" t="s">
        <v>21</v>
      </c>
      <c r="K3498">
        <v>24</v>
      </c>
      <c r="L3498">
        <v>10.16</v>
      </c>
      <c r="M3498">
        <v>3.6</v>
      </c>
      <c r="N3498" t="s">
        <v>22</v>
      </c>
      <c r="O3498" t="str">
        <f t="shared" si="54"/>
        <v>No</v>
      </c>
    </row>
    <row r="3499" spans="1:15" x14ac:dyDescent="0.25">
      <c r="A3499" t="s">
        <v>3560</v>
      </c>
      <c r="B3499" s="1">
        <v>45744</v>
      </c>
      <c r="C3499" s="2">
        <v>45744.409166666665</v>
      </c>
      <c r="D3499" t="s">
        <v>38</v>
      </c>
      <c r="E3499" t="s">
        <v>25</v>
      </c>
      <c r="F3499" t="s">
        <v>48</v>
      </c>
      <c r="G3499" t="s">
        <v>51</v>
      </c>
      <c r="H3499" t="s">
        <v>35</v>
      </c>
      <c r="I3499" t="s">
        <v>36</v>
      </c>
      <c r="J3499" t="s">
        <v>85</v>
      </c>
      <c r="K3499">
        <v>8</v>
      </c>
      <c r="L3499">
        <v>9.82</v>
      </c>
      <c r="M3499">
        <v>2.8</v>
      </c>
      <c r="N3499" t="s">
        <v>22</v>
      </c>
      <c r="O3499" t="str">
        <f t="shared" si="54"/>
        <v>Yes</v>
      </c>
    </row>
    <row r="3500" spans="1:15" x14ac:dyDescent="0.25">
      <c r="A3500" t="s">
        <v>3561</v>
      </c>
      <c r="B3500" s="1">
        <v>45680</v>
      </c>
      <c r="C3500" s="2">
        <v>45680.691666666666</v>
      </c>
      <c r="D3500" t="s">
        <v>38</v>
      </c>
      <c r="E3500" t="s">
        <v>16</v>
      </c>
      <c r="F3500" t="s">
        <v>43</v>
      </c>
      <c r="G3500" t="s">
        <v>56</v>
      </c>
      <c r="H3500" t="s">
        <v>44</v>
      </c>
      <c r="I3500" t="s">
        <v>36</v>
      </c>
      <c r="J3500" t="s">
        <v>46</v>
      </c>
      <c r="K3500">
        <v>8</v>
      </c>
      <c r="L3500">
        <v>16.600000000000001</v>
      </c>
      <c r="M3500">
        <v>1.7</v>
      </c>
      <c r="N3500" t="s">
        <v>22</v>
      </c>
      <c r="O3500" t="str">
        <f t="shared" si="54"/>
        <v>Yes</v>
      </c>
    </row>
    <row r="3501" spans="1:15" x14ac:dyDescent="0.25">
      <c r="A3501" t="s">
        <v>3562</v>
      </c>
      <c r="B3501" s="1">
        <v>45739</v>
      </c>
      <c r="C3501" s="2">
        <v>45739.258333333331</v>
      </c>
      <c r="D3501" t="s">
        <v>38</v>
      </c>
      <c r="E3501" t="s">
        <v>45</v>
      </c>
      <c r="F3501" t="s">
        <v>50</v>
      </c>
      <c r="G3501" t="s">
        <v>56</v>
      </c>
      <c r="H3501" t="s">
        <v>44</v>
      </c>
      <c r="I3501" t="s">
        <v>45</v>
      </c>
      <c r="J3501" t="s">
        <v>21</v>
      </c>
      <c r="K3501">
        <v>8</v>
      </c>
      <c r="L3501">
        <v>6.2</v>
      </c>
      <c r="M3501">
        <v>3.9</v>
      </c>
      <c r="N3501" t="s">
        <v>22</v>
      </c>
      <c r="O3501" t="str">
        <f t="shared" si="54"/>
        <v>No</v>
      </c>
    </row>
    <row r="3502" spans="1:15" x14ac:dyDescent="0.25">
      <c r="A3502" t="s">
        <v>3563</v>
      </c>
      <c r="B3502" s="1">
        <v>45669</v>
      </c>
      <c r="C3502" s="2">
        <v>45669.981249999997</v>
      </c>
      <c r="D3502" t="s">
        <v>24</v>
      </c>
      <c r="E3502" t="s">
        <v>25</v>
      </c>
      <c r="F3502" t="s">
        <v>48</v>
      </c>
      <c r="G3502" t="s">
        <v>56</v>
      </c>
      <c r="H3502" t="s">
        <v>27</v>
      </c>
      <c r="I3502" t="s">
        <v>36</v>
      </c>
      <c r="J3502" t="s">
        <v>46</v>
      </c>
      <c r="K3502">
        <v>24</v>
      </c>
      <c r="L3502">
        <v>23.55</v>
      </c>
      <c r="M3502">
        <v>3.6</v>
      </c>
      <c r="N3502" t="s">
        <v>22</v>
      </c>
      <c r="O3502" t="str">
        <f t="shared" si="54"/>
        <v>No</v>
      </c>
    </row>
    <row r="3503" spans="1:15" x14ac:dyDescent="0.25">
      <c r="A3503" t="s">
        <v>3564</v>
      </c>
      <c r="B3503" s="1">
        <v>45773</v>
      </c>
      <c r="C3503" s="2">
        <v>45774.00708333333</v>
      </c>
      <c r="D3503" t="s">
        <v>15</v>
      </c>
      <c r="E3503" t="s">
        <v>32</v>
      </c>
      <c r="F3503" t="s">
        <v>64</v>
      </c>
      <c r="G3503" t="s">
        <v>41</v>
      </c>
      <c r="H3503" t="s">
        <v>27</v>
      </c>
      <c r="I3503" t="s">
        <v>45</v>
      </c>
      <c r="J3503" t="s">
        <v>21</v>
      </c>
      <c r="K3503">
        <v>48</v>
      </c>
      <c r="L3503">
        <v>24.17</v>
      </c>
      <c r="M3503">
        <v>4.5999999999999996</v>
      </c>
      <c r="N3503" t="s">
        <v>22</v>
      </c>
      <c r="O3503" t="str">
        <f t="shared" si="54"/>
        <v>No</v>
      </c>
    </row>
    <row r="3504" spans="1:15" x14ac:dyDescent="0.25">
      <c r="A3504" t="s">
        <v>3565</v>
      </c>
      <c r="B3504" s="1">
        <v>45714</v>
      </c>
      <c r="C3504" s="2">
        <v>45714.364999999998</v>
      </c>
      <c r="D3504" t="s">
        <v>24</v>
      </c>
      <c r="E3504" t="s">
        <v>25</v>
      </c>
      <c r="F3504" t="s">
        <v>48</v>
      </c>
      <c r="G3504" t="s">
        <v>56</v>
      </c>
      <c r="H3504" t="s">
        <v>44</v>
      </c>
      <c r="I3504" t="s">
        <v>36</v>
      </c>
      <c r="J3504" t="s">
        <v>21</v>
      </c>
      <c r="K3504">
        <v>24</v>
      </c>
      <c r="L3504">
        <v>8.76</v>
      </c>
      <c r="M3504">
        <v>3.5</v>
      </c>
      <c r="N3504" t="s">
        <v>22</v>
      </c>
      <c r="O3504" t="str">
        <f t="shared" si="54"/>
        <v>No</v>
      </c>
    </row>
    <row r="3505" spans="1:15" x14ac:dyDescent="0.25">
      <c r="A3505" t="s">
        <v>3566</v>
      </c>
      <c r="B3505" s="1">
        <v>45694</v>
      </c>
      <c r="C3505" s="2">
        <v>45696.074166666665</v>
      </c>
      <c r="D3505" t="s">
        <v>15</v>
      </c>
      <c r="E3505" t="s">
        <v>45</v>
      </c>
      <c r="F3505" t="s">
        <v>112</v>
      </c>
      <c r="G3505" t="s">
        <v>56</v>
      </c>
      <c r="H3505" t="s">
        <v>65</v>
      </c>
      <c r="I3505" t="s">
        <v>36</v>
      </c>
      <c r="J3505" t="s">
        <v>21</v>
      </c>
      <c r="K3505">
        <v>48</v>
      </c>
      <c r="L3505">
        <v>49.78</v>
      </c>
      <c r="M3505">
        <v>3.6</v>
      </c>
      <c r="N3505" t="s">
        <v>22</v>
      </c>
      <c r="O3505" t="str">
        <f t="shared" si="54"/>
        <v>Yes</v>
      </c>
    </row>
    <row r="3506" spans="1:15" x14ac:dyDescent="0.25">
      <c r="A3506" t="s">
        <v>3567</v>
      </c>
      <c r="B3506" s="1">
        <v>45661</v>
      </c>
      <c r="C3506" s="2">
        <v>45664.512916666667</v>
      </c>
      <c r="D3506" t="s">
        <v>15</v>
      </c>
      <c r="E3506" t="s">
        <v>25</v>
      </c>
      <c r="F3506" t="s">
        <v>53</v>
      </c>
      <c r="G3506" t="s">
        <v>18</v>
      </c>
      <c r="H3506" t="s">
        <v>44</v>
      </c>
      <c r="I3506" t="s">
        <v>28</v>
      </c>
      <c r="J3506" t="s">
        <v>21</v>
      </c>
      <c r="K3506">
        <v>48</v>
      </c>
      <c r="L3506">
        <v>84.31</v>
      </c>
      <c r="M3506">
        <v>2.6</v>
      </c>
      <c r="N3506" t="s">
        <v>22</v>
      </c>
      <c r="O3506" t="str">
        <f t="shared" si="54"/>
        <v>Yes</v>
      </c>
    </row>
    <row r="3507" spans="1:15" x14ac:dyDescent="0.25">
      <c r="A3507" t="s">
        <v>3568</v>
      </c>
      <c r="B3507" s="1">
        <v>45818</v>
      </c>
      <c r="C3507" s="2">
        <v>45818.294999999998</v>
      </c>
      <c r="D3507" t="s">
        <v>24</v>
      </c>
      <c r="E3507" t="s">
        <v>32</v>
      </c>
      <c r="F3507" t="s">
        <v>64</v>
      </c>
      <c r="G3507" t="s">
        <v>18</v>
      </c>
      <c r="H3507" t="s">
        <v>54</v>
      </c>
      <c r="I3507" t="s">
        <v>20</v>
      </c>
      <c r="J3507" t="s">
        <v>21</v>
      </c>
      <c r="K3507">
        <v>24</v>
      </c>
      <c r="L3507">
        <v>7.08</v>
      </c>
      <c r="M3507">
        <v>4.8</v>
      </c>
      <c r="N3507" t="s">
        <v>22</v>
      </c>
      <c r="O3507" t="str">
        <f t="shared" si="54"/>
        <v>No</v>
      </c>
    </row>
    <row r="3508" spans="1:15" x14ac:dyDescent="0.25">
      <c r="A3508" t="s">
        <v>3569</v>
      </c>
      <c r="B3508" s="1">
        <v>45809</v>
      </c>
      <c r="C3508" s="2">
        <v>45809.208333333336</v>
      </c>
      <c r="D3508" t="s">
        <v>24</v>
      </c>
      <c r="E3508" t="s">
        <v>25</v>
      </c>
      <c r="F3508" t="s">
        <v>26</v>
      </c>
      <c r="G3508" t="s">
        <v>51</v>
      </c>
      <c r="H3508" t="s">
        <v>54</v>
      </c>
      <c r="I3508" t="s">
        <v>20</v>
      </c>
      <c r="J3508" t="s">
        <v>21</v>
      </c>
      <c r="K3508">
        <v>24</v>
      </c>
      <c r="L3508">
        <v>5</v>
      </c>
      <c r="M3508">
        <v>4.9000000000000004</v>
      </c>
      <c r="N3508" t="s">
        <v>22</v>
      </c>
      <c r="O3508" t="str">
        <f t="shared" si="54"/>
        <v>No</v>
      </c>
    </row>
    <row r="3509" spans="1:15" x14ac:dyDescent="0.25">
      <c r="A3509" t="s">
        <v>3570</v>
      </c>
      <c r="B3509" s="1">
        <v>45804</v>
      </c>
      <c r="C3509" s="2">
        <v>45804.112916666665</v>
      </c>
      <c r="D3509" t="s">
        <v>38</v>
      </c>
      <c r="E3509" t="s">
        <v>16</v>
      </c>
      <c r="F3509" t="s">
        <v>43</v>
      </c>
      <c r="G3509" t="s">
        <v>51</v>
      </c>
      <c r="H3509" t="s">
        <v>27</v>
      </c>
      <c r="I3509" t="s">
        <v>36</v>
      </c>
      <c r="J3509" t="s">
        <v>46</v>
      </c>
      <c r="K3509">
        <v>8</v>
      </c>
      <c r="L3509">
        <v>2.71</v>
      </c>
      <c r="M3509">
        <v>4.7</v>
      </c>
      <c r="N3509" t="s">
        <v>22</v>
      </c>
      <c r="O3509" t="str">
        <f t="shared" si="54"/>
        <v>No</v>
      </c>
    </row>
    <row r="3510" spans="1:15" x14ac:dyDescent="0.25">
      <c r="A3510" t="s">
        <v>3571</v>
      </c>
      <c r="B3510" s="1">
        <v>45668</v>
      </c>
      <c r="C3510" s="2">
        <v>45668.09375</v>
      </c>
      <c r="D3510" t="s">
        <v>38</v>
      </c>
      <c r="E3510" t="s">
        <v>39</v>
      </c>
      <c r="F3510" t="s">
        <v>40</v>
      </c>
      <c r="G3510" t="s">
        <v>56</v>
      </c>
      <c r="H3510" t="s">
        <v>54</v>
      </c>
      <c r="I3510" t="s">
        <v>45</v>
      </c>
      <c r="J3510" t="s">
        <v>29</v>
      </c>
      <c r="K3510">
        <v>8</v>
      </c>
      <c r="L3510">
        <v>2.25</v>
      </c>
      <c r="M3510">
        <v>4</v>
      </c>
      <c r="N3510" t="s">
        <v>22</v>
      </c>
      <c r="O3510" t="str">
        <f t="shared" si="54"/>
        <v>No</v>
      </c>
    </row>
    <row r="3511" spans="1:15" x14ac:dyDescent="0.25">
      <c r="A3511" t="s">
        <v>3572</v>
      </c>
      <c r="B3511" s="1">
        <v>45721</v>
      </c>
      <c r="C3511" s="2">
        <v>45721.43</v>
      </c>
      <c r="D3511" t="s">
        <v>38</v>
      </c>
      <c r="E3511" t="s">
        <v>45</v>
      </c>
      <c r="F3511" t="s">
        <v>100</v>
      </c>
      <c r="G3511" t="s">
        <v>51</v>
      </c>
      <c r="H3511" t="s">
        <v>65</v>
      </c>
      <c r="I3511" t="s">
        <v>20</v>
      </c>
      <c r="J3511" t="s">
        <v>21</v>
      </c>
      <c r="K3511">
        <v>8</v>
      </c>
      <c r="L3511">
        <v>10.32</v>
      </c>
      <c r="M3511">
        <v>3.5</v>
      </c>
      <c r="N3511" t="s">
        <v>22</v>
      </c>
      <c r="O3511" t="str">
        <f t="shared" si="54"/>
        <v>Yes</v>
      </c>
    </row>
    <row r="3512" spans="1:15" x14ac:dyDescent="0.25">
      <c r="A3512" t="s">
        <v>3573</v>
      </c>
      <c r="B3512" s="1">
        <v>45833</v>
      </c>
      <c r="C3512" s="2">
        <v>45833.397083333337</v>
      </c>
      <c r="D3512" t="s">
        <v>38</v>
      </c>
      <c r="E3512" t="s">
        <v>16</v>
      </c>
      <c r="F3512" t="s">
        <v>17</v>
      </c>
      <c r="G3512" t="s">
        <v>18</v>
      </c>
      <c r="H3512" t="s">
        <v>19</v>
      </c>
      <c r="I3512" t="s">
        <v>20</v>
      </c>
      <c r="J3512" t="s">
        <v>21</v>
      </c>
      <c r="K3512">
        <v>8</v>
      </c>
      <c r="L3512">
        <v>9.5299999999999994</v>
      </c>
      <c r="M3512">
        <v>3.2</v>
      </c>
      <c r="N3512" t="s">
        <v>22</v>
      </c>
      <c r="O3512" t="str">
        <f t="shared" si="54"/>
        <v>Yes</v>
      </c>
    </row>
    <row r="3513" spans="1:15" x14ac:dyDescent="0.25">
      <c r="A3513" t="s">
        <v>3574</v>
      </c>
      <c r="B3513" s="1">
        <v>45762</v>
      </c>
      <c r="C3513" s="2">
        <v>45762.326666666668</v>
      </c>
      <c r="D3513" t="s">
        <v>24</v>
      </c>
      <c r="E3513" t="s">
        <v>25</v>
      </c>
      <c r="F3513" t="s">
        <v>53</v>
      </c>
      <c r="G3513" t="s">
        <v>56</v>
      </c>
      <c r="H3513" t="s">
        <v>44</v>
      </c>
      <c r="I3513" t="s">
        <v>20</v>
      </c>
      <c r="J3513" t="s">
        <v>85</v>
      </c>
      <c r="K3513">
        <v>24</v>
      </c>
      <c r="L3513">
        <v>7.84</v>
      </c>
      <c r="M3513">
        <v>5</v>
      </c>
      <c r="N3513" t="s">
        <v>22</v>
      </c>
      <c r="O3513" t="str">
        <f t="shared" si="54"/>
        <v>No</v>
      </c>
    </row>
    <row r="3514" spans="1:15" x14ac:dyDescent="0.25">
      <c r="A3514" t="s">
        <v>3575</v>
      </c>
      <c r="B3514" s="1">
        <v>45681</v>
      </c>
      <c r="C3514" s="2">
        <v>45682.232488425929</v>
      </c>
      <c r="D3514" t="s">
        <v>15</v>
      </c>
      <c r="E3514" t="s">
        <v>16</v>
      </c>
      <c r="F3514" t="s">
        <v>17</v>
      </c>
      <c r="G3514" t="s">
        <v>56</v>
      </c>
      <c r="H3514" t="s">
        <v>54</v>
      </c>
      <c r="I3514" t="s">
        <v>45</v>
      </c>
      <c r="J3514" t="s">
        <v>21</v>
      </c>
      <c r="K3514">
        <v>48</v>
      </c>
      <c r="L3514">
        <v>29.58</v>
      </c>
      <c r="M3514">
        <v>4.3</v>
      </c>
      <c r="N3514" t="s">
        <v>22</v>
      </c>
      <c r="O3514" t="str">
        <f t="shared" si="54"/>
        <v>No</v>
      </c>
    </row>
    <row r="3515" spans="1:15" x14ac:dyDescent="0.25">
      <c r="A3515" t="s">
        <v>3576</v>
      </c>
      <c r="B3515" s="1">
        <v>45683</v>
      </c>
      <c r="C3515" s="2">
        <v>45683.212916666664</v>
      </c>
      <c r="D3515" t="s">
        <v>24</v>
      </c>
      <c r="E3515" t="s">
        <v>39</v>
      </c>
      <c r="F3515" t="s">
        <v>40</v>
      </c>
      <c r="G3515" t="s">
        <v>18</v>
      </c>
      <c r="H3515" t="s">
        <v>65</v>
      </c>
      <c r="I3515" t="s">
        <v>36</v>
      </c>
      <c r="J3515" t="s">
        <v>21</v>
      </c>
      <c r="K3515">
        <v>24</v>
      </c>
      <c r="L3515">
        <v>5.1100000000000003</v>
      </c>
      <c r="M3515">
        <v>4.8</v>
      </c>
      <c r="N3515" t="s">
        <v>22</v>
      </c>
      <c r="O3515" t="str">
        <f t="shared" si="54"/>
        <v>No</v>
      </c>
    </row>
    <row r="3516" spans="1:15" x14ac:dyDescent="0.25">
      <c r="A3516" t="s">
        <v>3577</v>
      </c>
      <c r="B3516" s="1">
        <v>45705</v>
      </c>
      <c r="C3516" s="2">
        <v>45705.974583333336</v>
      </c>
      <c r="D3516" t="s">
        <v>15</v>
      </c>
      <c r="E3516" t="s">
        <v>45</v>
      </c>
      <c r="F3516" t="s">
        <v>100</v>
      </c>
      <c r="G3516" t="s">
        <v>41</v>
      </c>
      <c r="H3516" t="s">
        <v>27</v>
      </c>
      <c r="I3516" t="s">
        <v>36</v>
      </c>
      <c r="J3516" t="s">
        <v>21</v>
      </c>
      <c r="K3516">
        <v>48</v>
      </c>
      <c r="L3516">
        <v>23.39</v>
      </c>
      <c r="M3516">
        <v>3.6</v>
      </c>
      <c r="N3516" t="s">
        <v>22</v>
      </c>
      <c r="O3516" t="str">
        <f t="shared" si="54"/>
        <v>No</v>
      </c>
    </row>
    <row r="3517" spans="1:15" x14ac:dyDescent="0.25">
      <c r="A3517" t="s">
        <v>3578</v>
      </c>
      <c r="B3517" s="1">
        <v>45833</v>
      </c>
      <c r="C3517" s="2">
        <v>45833.406666666669</v>
      </c>
      <c r="D3517" t="s">
        <v>15</v>
      </c>
      <c r="E3517" t="s">
        <v>16</v>
      </c>
      <c r="F3517" t="s">
        <v>60</v>
      </c>
      <c r="G3517" t="s">
        <v>56</v>
      </c>
      <c r="H3517" t="s">
        <v>54</v>
      </c>
      <c r="I3517" t="s">
        <v>36</v>
      </c>
      <c r="J3517" t="s">
        <v>85</v>
      </c>
      <c r="K3517">
        <v>48</v>
      </c>
      <c r="L3517">
        <v>9.76</v>
      </c>
      <c r="M3517">
        <v>4.4000000000000004</v>
      </c>
      <c r="N3517" t="s">
        <v>22</v>
      </c>
      <c r="O3517" t="str">
        <f t="shared" si="54"/>
        <v>No</v>
      </c>
    </row>
    <row r="3518" spans="1:15" x14ac:dyDescent="0.25">
      <c r="A3518" t="s">
        <v>3579</v>
      </c>
      <c r="B3518" s="1">
        <v>45688</v>
      </c>
      <c r="C3518" s="2">
        <v>45688.855833333335</v>
      </c>
      <c r="D3518" t="s">
        <v>15</v>
      </c>
      <c r="E3518" t="s">
        <v>16</v>
      </c>
      <c r="F3518" t="s">
        <v>58</v>
      </c>
      <c r="G3518" t="s">
        <v>34</v>
      </c>
      <c r="H3518" t="s">
        <v>54</v>
      </c>
      <c r="I3518" t="s">
        <v>36</v>
      </c>
      <c r="J3518" t="s">
        <v>21</v>
      </c>
      <c r="K3518">
        <v>48</v>
      </c>
      <c r="L3518">
        <v>20.54</v>
      </c>
      <c r="M3518">
        <v>4.7</v>
      </c>
      <c r="N3518" t="s">
        <v>22</v>
      </c>
      <c r="O3518" t="str">
        <f t="shared" si="54"/>
        <v>No</v>
      </c>
    </row>
    <row r="3519" spans="1:15" x14ac:dyDescent="0.25">
      <c r="A3519" t="s">
        <v>3580</v>
      </c>
      <c r="B3519" s="1">
        <v>45821</v>
      </c>
      <c r="C3519" s="2">
        <v>45821.06958333333</v>
      </c>
      <c r="D3519" t="s">
        <v>38</v>
      </c>
      <c r="E3519" t="s">
        <v>39</v>
      </c>
      <c r="F3519" t="s">
        <v>87</v>
      </c>
      <c r="G3519" t="s">
        <v>56</v>
      </c>
      <c r="H3519" t="s">
        <v>19</v>
      </c>
      <c r="I3519" t="s">
        <v>36</v>
      </c>
      <c r="J3519" t="s">
        <v>85</v>
      </c>
      <c r="K3519">
        <v>8</v>
      </c>
      <c r="L3519">
        <v>1.67</v>
      </c>
      <c r="M3519">
        <v>4.7</v>
      </c>
      <c r="N3519" t="s">
        <v>22</v>
      </c>
      <c r="O3519" t="str">
        <f t="shared" si="54"/>
        <v>No</v>
      </c>
    </row>
    <row r="3520" spans="1:15" x14ac:dyDescent="0.25">
      <c r="A3520" t="s">
        <v>3581</v>
      </c>
      <c r="B3520" s="1">
        <v>45780</v>
      </c>
      <c r="C3520" s="2">
        <v>45780.407083333332</v>
      </c>
      <c r="D3520" t="s">
        <v>38</v>
      </c>
      <c r="E3520" t="s">
        <v>32</v>
      </c>
      <c r="F3520" t="s">
        <v>64</v>
      </c>
      <c r="G3520" t="s">
        <v>34</v>
      </c>
      <c r="H3520" t="s">
        <v>54</v>
      </c>
      <c r="I3520" t="s">
        <v>36</v>
      </c>
      <c r="J3520" t="s">
        <v>85</v>
      </c>
      <c r="K3520">
        <v>8</v>
      </c>
      <c r="L3520">
        <v>9.77</v>
      </c>
      <c r="M3520">
        <v>3.5</v>
      </c>
      <c r="N3520" t="s">
        <v>22</v>
      </c>
      <c r="O3520" t="str">
        <f t="shared" si="54"/>
        <v>Yes</v>
      </c>
    </row>
    <row r="3521" spans="1:15" x14ac:dyDescent="0.25">
      <c r="A3521" t="s">
        <v>3582</v>
      </c>
      <c r="B3521" s="1">
        <v>45824</v>
      </c>
      <c r="C3521" s="2">
        <v>45824.210833333331</v>
      </c>
      <c r="D3521" t="s">
        <v>38</v>
      </c>
      <c r="E3521" t="s">
        <v>16</v>
      </c>
      <c r="F3521" t="s">
        <v>17</v>
      </c>
      <c r="G3521" t="s">
        <v>34</v>
      </c>
      <c r="H3521" t="s">
        <v>65</v>
      </c>
      <c r="I3521" t="s">
        <v>45</v>
      </c>
      <c r="J3521" t="s">
        <v>85</v>
      </c>
      <c r="K3521">
        <v>8</v>
      </c>
      <c r="L3521">
        <v>5.0599999999999996</v>
      </c>
      <c r="M3521">
        <v>3.1</v>
      </c>
      <c r="N3521" t="s">
        <v>22</v>
      </c>
      <c r="O3521" t="str">
        <f t="shared" si="54"/>
        <v>No</v>
      </c>
    </row>
    <row r="3522" spans="1:15" x14ac:dyDescent="0.25">
      <c r="A3522" t="s">
        <v>3583</v>
      </c>
      <c r="B3522" s="1">
        <v>45807</v>
      </c>
      <c r="C3522" s="2">
        <v>45807.1175</v>
      </c>
      <c r="D3522" t="s">
        <v>31</v>
      </c>
      <c r="E3522" t="s">
        <v>39</v>
      </c>
      <c r="F3522" t="s">
        <v>78</v>
      </c>
      <c r="G3522" t="s">
        <v>51</v>
      </c>
      <c r="H3522" t="s">
        <v>54</v>
      </c>
      <c r="I3522" t="s">
        <v>45</v>
      </c>
      <c r="J3522" t="s">
        <v>46</v>
      </c>
      <c r="K3522">
        <v>4</v>
      </c>
      <c r="L3522">
        <v>2.82</v>
      </c>
      <c r="M3522">
        <v>3.6</v>
      </c>
      <c r="N3522" t="s">
        <v>22</v>
      </c>
      <c r="O3522" t="str">
        <f t="shared" si="54"/>
        <v>No</v>
      </c>
    </row>
    <row r="3523" spans="1:15" x14ac:dyDescent="0.25">
      <c r="A3523" t="s">
        <v>3584</v>
      </c>
      <c r="B3523" s="1">
        <v>45718</v>
      </c>
      <c r="C3523" s="2">
        <v>45718.097500000003</v>
      </c>
      <c r="D3523" t="s">
        <v>38</v>
      </c>
      <c r="E3523" t="s">
        <v>45</v>
      </c>
      <c r="F3523" t="s">
        <v>104</v>
      </c>
      <c r="G3523" t="s">
        <v>34</v>
      </c>
      <c r="H3523" t="s">
        <v>54</v>
      </c>
      <c r="I3523" t="s">
        <v>45</v>
      </c>
      <c r="J3523" t="s">
        <v>46</v>
      </c>
      <c r="K3523">
        <v>8</v>
      </c>
      <c r="L3523">
        <v>2.34</v>
      </c>
      <c r="M3523">
        <v>4.5</v>
      </c>
      <c r="N3523" t="s">
        <v>22</v>
      </c>
      <c r="O3523" t="str">
        <f t="shared" ref="O3523:O3586" si="55">IF(L3523&gt;K3523,"Yes","No")</f>
        <v>No</v>
      </c>
    </row>
    <row r="3524" spans="1:15" x14ac:dyDescent="0.25">
      <c r="A3524" t="s">
        <v>3585</v>
      </c>
      <c r="B3524" s="1">
        <v>45807</v>
      </c>
      <c r="C3524" s="2">
        <v>45807.767916666664</v>
      </c>
      <c r="D3524" t="s">
        <v>15</v>
      </c>
      <c r="E3524" t="s">
        <v>45</v>
      </c>
      <c r="F3524" t="s">
        <v>50</v>
      </c>
      <c r="G3524" t="s">
        <v>56</v>
      </c>
      <c r="H3524" t="s">
        <v>19</v>
      </c>
      <c r="I3524" t="s">
        <v>36</v>
      </c>
      <c r="J3524" t="s">
        <v>85</v>
      </c>
      <c r="K3524">
        <v>48</v>
      </c>
      <c r="L3524">
        <v>18.43</v>
      </c>
      <c r="M3524">
        <v>5</v>
      </c>
      <c r="N3524" t="s">
        <v>22</v>
      </c>
      <c r="O3524" t="str">
        <f t="shared" si="55"/>
        <v>No</v>
      </c>
    </row>
    <row r="3525" spans="1:15" x14ac:dyDescent="0.25">
      <c r="A3525" t="s">
        <v>3586</v>
      </c>
      <c r="B3525" s="1">
        <v>45688</v>
      </c>
      <c r="C3525" s="2">
        <v>45688.198333333334</v>
      </c>
      <c r="D3525" t="s">
        <v>38</v>
      </c>
      <c r="E3525" t="s">
        <v>25</v>
      </c>
      <c r="F3525" t="s">
        <v>26</v>
      </c>
      <c r="G3525" t="s">
        <v>51</v>
      </c>
      <c r="H3525" t="s">
        <v>54</v>
      </c>
      <c r="I3525" t="s">
        <v>45</v>
      </c>
      <c r="J3525" t="s">
        <v>21</v>
      </c>
      <c r="K3525">
        <v>8</v>
      </c>
      <c r="L3525">
        <v>4.76</v>
      </c>
      <c r="M3525">
        <v>3.1</v>
      </c>
      <c r="N3525" t="s">
        <v>22</v>
      </c>
      <c r="O3525" t="str">
        <f t="shared" si="55"/>
        <v>No</v>
      </c>
    </row>
    <row r="3526" spans="1:15" x14ac:dyDescent="0.25">
      <c r="A3526" t="s">
        <v>3587</v>
      </c>
      <c r="B3526" s="1">
        <v>45710</v>
      </c>
      <c r="C3526" s="2">
        <v>45710.583333333336</v>
      </c>
      <c r="D3526" t="s">
        <v>38</v>
      </c>
      <c r="E3526" t="s">
        <v>32</v>
      </c>
      <c r="F3526" t="s">
        <v>33</v>
      </c>
      <c r="G3526" t="s">
        <v>41</v>
      </c>
      <c r="H3526" t="s">
        <v>19</v>
      </c>
      <c r="I3526" t="s">
        <v>28</v>
      </c>
      <c r="J3526" t="s">
        <v>46</v>
      </c>
      <c r="K3526">
        <v>8</v>
      </c>
      <c r="L3526">
        <v>14</v>
      </c>
      <c r="M3526">
        <v>2.2000000000000002</v>
      </c>
      <c r="N3526" t="s">
        <v>22</v>
      </c>
      <c r="O3526" t="str">
        <f t="shared" si="55"/>
        <v>Yes</v>
      </c>
    </row>
    <row r="3527" spans="1:15" x14ac:dyDescent="0.25">
      <c r="A3527" t="s">
        <v>3588</v>
      </c>
      <c r="B3527" s="1">
        <v>45696</v>
      </c>
      <c r="C3527" s="2">
        <v>45696.180833333332</v>
      </c>
      <c r="D3527" t="s">
        <v>38</v>
      </c>
      <c r="E3527" t="s">
        <v>16</v>
      </c>
      <c r="F3527" t="s">
        <v>43</v>
      </c>
      <c r="G3527" t="s">
        <v>18</v>
      </c>
      <c r="H3527" t="s">
        <v>54</v>
      </c>
      <c r="I3527" t="s">
        <v>36</v>
      </c>
      <c r="J3527" t="s">
        <v>21</v>
      </c>
      <c r="K3527">
        <v>8</v>
      </c>
      <c r="L3527">
        <v>4.34</v>
      </c>
      <c r="M3527">
        <v>3.1</v>
      </c>
      <c r="N3527" t="s">
        <v>61</v>
      </c>
      <c r="O3527" t="str">
        <f t="shared" si="55"/>
        <v>No</v>
      </c>
    </row>
    <row r="3528" spans="1:15" x14ac:dyDescent="0.25">
      <c r="A3528" t="s">
        <v>3589</v>
      </c>
      <c r="B3528" s="1">
        <v>45682</v>
      </c>
      <c r="C3528" s="2">
        <v>45684.752500000002</v>
      </c>
      <c r="D3528" t="s">
        <v>15</v>
      </c>
      <c r="E3528" t="s">
        <v>32</v>
      </c>
      <c r="F3528" t="s">
        <v>64</v>
      </c>
      <c r="G3528" t="s">
        <v>56</v>
      </c>
      <c r="H3528" t="s">
        <v>54</v>
      </c>
      <c r="I3528" t="s">
        <v>20</v>
      </c>
      <c r="J3528" t="s">
        <v>21</v>
      </c>
      <c r="K3528">
        <v>48</v>
      </c>
      <c r="L3528">
        <v>66.06</v>
      </c>
      <c r="M3528">
        <v>3.6</v>
      </c>
      <c r="N3528" t="s">
        <v>22</v>
      </c>
      <c r="O3528" t="str">
        <f t="shared" si="55"/>
        <v>Yes</v>
      </c>
    </row>
    <row r="3529" spans="1:15" x14ac:dyDescent="0.25">
      <c r="A3529" t="s">
        <v>3590</v>
      </c>
      <c r="B3529" s="1">
        <v>45674</v>
      </c>
      <c r="C3529" s="2">
        <v>45674.817916666667</v>
      </c>
      <c r="D3529" t="s">
        <v>15</v>
      </c>
      <c r="E3529" t="s">
        <v>25</v>
      </c>
      <c r="F3529" t="s">
        <v>48</v>
      </c>
      <c r="G3529" t="s">
        <v>41</v>
      </c>
      <c r="H3529" t="s">
        <v>65</v>
      </c>
      <c r="I3529" t="s">
        <v>36</v>
      </c>
      <c r="J3529" t="s">
        <v>21</v>
      </c>
      <c r="K3529">
        <v>48</v>
      </c>
      <c r="L3529">
        <v>19.63</v>
      </c>
      <c r="M3529">
        <v>5</v>
      </c>
      <c r="N3529" t="s">
        <v>22</v>
      </c>
      <c r="O3529" t="str">
        <f t="shared" si="55"/>
        <v>No</v>
      </c>
    </row>
    <row r="3530" spans="1:15" x14ac:dyDescent="0.25">
      <c r="A3530" t="s">
        <v>3591</v>
      </c>
      <c r="B3530" s="1">
        <v>45691</v>
      </c>
      <c r="C3530" s="2">
        <v>45691.187916666669</v>
      </c>
      <c r="D3530" t="s">
        <v>38</v>
      </c>
      <c r="E3530" t="s">
        <v>16</v>
      </c>
      <c r="F3530" t="s">
        <v>60</v>
      </c>
      <c r="G3530" t="s">
        <v>51</v>
      </c>
      <c r="H3530" t="s">
        <v>65</v>
      </c>
      <c r="I3530" t="s">
        <v>45</v>
      </c>
      <c r="J3530" t="s">
        <v>85</v>
      </c>
      <c r="K3530">
        <v>8</v>
      </c>
      <c r="L3530">
        <v>4.51</v>
      </c>
      <c r="M3530">
        <v>4.5999999999999996</v>
      </c>
      <c r="N3530" t="s">
        <v>22</v>
      </c>
      <c r="O3530" t="str">
        <f t="shared" si="55"/>
        <v>No</v>
      </c>
    </row>
    <row r="3531" spans="1:15" x14ac:dyDescent="0.25">
      <c r="A3531" t="s">
        <v>3592</v>
      </c>
      <c r="B3531" s="1">
        <v>45679</v>
      </c>
      <c r="C3531" s="2">
        <v>45681.324166666665</v>
      </c>
      <c r="D3531" t="s">
        <v>15</v>
      </c>
      <c r="E3531" t="s">
        <v>45</v>
      </c>
      <c r="F3531" t="s">
        <v>104</v>
      </c>
      <c r="G3531" t="s">
        <v>34</v>
      </c>
      <c r="H3531" t="s">
        <v>44</v>
      </c>
      <c r="I3531" t="s">
        <v>45</v>
      </c>
      <c r="J3531" t="s">
        <v>21</v>
      </c>
      <c r="K3531">
        <v>48</v>
      </c>
      <c r="L3531">
        <v>55.78</v>
      </c>
      <c r="M3531">
        <v>4</v>
      </c>
      <c r="N3531" t="s">
        <v>22</v>
      </c>
      <c r="O3531" t="str">
        <f t="shared" si="55"/>
        <v>Yes</v>
      </c>
    </row>
    <row r="3532" spans="1:15" x14ac:dyDescent="0.25">
      <c r="A3532" t="s">
        <v>3593</v>
      </c>
      <c r="B3532" s="1">
        <v>45726</v>
      </c>
      <c r="C3532" s="2">
        <v>45726.905416666668</v>
      </c>
      <c r="D3532" t="s">
        <v>24</v>
      </c>
      <c r="E3532" t="s">
        <v>39</v>
      </c>
      <c r="F3532" t="s">
        <v>78</v>
      </c>
      <c r="G3532" t="s">
        <v>41</v>
      </c>
      <c r="H3532" t="s">
        <v>54</v>
      </c>
      <c r="I3532" t="s">
        <v>45</v>
      </c>
      <c r="J3532" t="s">
        <v>21</v>
      </c>
      <c r="K3532">
        <v>24</v>
      </c>
      <c r="L3532">
        <v>21.73</v>
      </c>
      <c r="M3532">
        <v>3.2</v>
      </c>
      <c r="N3532" t="s">
        <v>61</v>
      </c>
      <c r="O3532" t="str">
        <f t="shared" si="55"/>
        <v>No</v>
      </c>
    </row>
    <row r="3533" spans="1:15" x14ac:dyDescent="0.25">
      <c r="A3533" t="s">
        <v>3594</v>
      </c>
      <c r="B3533" s="1">
        <v>45670</v>
      </c>
      <c r="C3533" s="2">
        <v>45670.277083333334</v>
      </c>
      <c r="D3533" t="s">
        <v>24</v>
      </c>
      <c r="E3533" t="s">
        <v>32</v>
      </c>
      <c r="F3533" t="s">
        <v>64</v>
      </c>
      <c r="G3533" t="s">
        <v>34</v>
      </c>
      <c r="H3533" t="s">
        <v>19</v>
      </c>
      <c r="I3533" t="s">
        <v>20</v>
      </c>
      <c r="J3533" t="s">
        <v>46</v>
      </c>
      <c r="K3533">
        <v>24</v>
      </c>
      <c r="L3533">
        <v>6.65</v>
      </c>
      <c r="M3533">
        <v>4.9000000000000004</v>
      </c>
      <c r="N3533" t="s">
        <v>22</v>
      </c>
      <c r="O3533" t="str">
        <f t="shared" si="55"/>
        <v>No</v>
      </c>
    </row>
    <row r="3534" spans="1:15" x14ac:dyDescent="0.25">
      <c r="A3534" t="s">
        <v>3595</v>
      </c>
      <c r="B3534" s="1">
        <v>45669</v>
      </c>
      <c r="C3534" s="2">
        <v>45670.434999999998</v>
      </c>
      <c r="D3534" t="s">
        <v>15</v>
      </c>
      <c r="E3534" t="s">
        <v>45</v>
      </c>
      <c r="F3534" t="s">
        <v>100</v>
      </c>
      <c r="G3534" t="s">
        <v>41</v>
      </c>
      <c r="H3534" t="s">
        <v>44</v>
      </c>
      <c r="I3534" t="s">
        <v>36</v>
      </c>
      <c r="J3534" t="s">
        <v>46</v>
      </c>
      <c r="K3534">
        <v>48</v>
      </c>
      <c r="L3534">
        <v>34.44</v>
      </c>
      <c r="M3534">
        <v>3.6</v>
      </c>
      <c r="N3534" t="s">
        <v>61</v>
      </c>
      <c r="O3534" t="str">
        <f t="shared" si="55"/>
        <v>No</v>
      </c>
    </row>
    <row r="3535" spans="1:15" x14ac:dyDescent="0.25">
      <c r="A3535" t="s">
        <v>3596</v>
      </c>
      <c r="B3535" s="1">
        <v>45837</v>
      </c>
      <c r="C3535" s="2">
        <v>45838.501250000001</v>
      </c>
      <c r="D3535" t="s">
        <v>15</v>
      </c>
      <c r="E3535" t="s">
        <v>16</v>
      </c>
      <c r="F3535" t="s">
        <v>17</v>
      </c>
      <c r="G3535" t="s">
        <v>41</v>
      </c>
      <c r="H3535" t="s">
        <v>19</v>
      </c>
      <c r="I3535" t="s">
        <v>20</v>
      </c>
      <c r="J3535" t="s">
        <v>21</v>
      </c>
      <c r="K3535">
        <v>48</v>
      </c>
      <c r="L3535">
        <v>36.03</v>
      </c>
      <c r="M3535">
        <v>4.0999999999999996</v>
      </c>
      <c r="N3535" t="s">
        <v>22</v>
      </c>
      <c r="O3535" t="str">
        <f t="shared" si="55"/>
        <v>No</v>
      </c>
    </row>
    <row r="3536" spans="1:15" x14ac:dyDescent="0.25">
      <c r="A3536" t="s">
        <v>3597</v>
      </c>
      <c r="B3536" s="1">
        <v>45673</v>
      </c>
      <c r="C3536" s="2">
        <v>45673.14</v>
      </c>
      <c r="D3536" t="s">
        <v>31</v>
      </c>
      <c r="E3536" t="s">
        <v>25</v>
      </c>
      <c r="F3536" t="s">
        <v>48</v>
      </c>
      <c r="G3536" t="s">
        <v>51</v>
      </c>
      <c r="H3536" t="s">
        <v>19</v>
      </c>
      <c r="I3536" t="s">
        <v>20</v>
      </c>
      <c r="J3536" t="s">
        <v>21</v>
      </c>
      <c r="K3536">
        <v>4</v>
      </c>
      <c r="L3536">
        <v>3.36</v>
      </c>
      <c r="M3536">
        <v>4.3</v>
      </c>
      <c r="N3536" t="s">
        <v>22</v>
      </c>
      <c r="O3536" t="str">
        <f t="shared" si="55"/>
        <v>No</v>
      </c>
    </row>
    <row r="3537" spans="1:15" x14ac:dyDescent="0.25">
      <c r="A3537" t="s">
        <v>3598</v>
      </c>
      <c r="B3537" s="1">
        <v>45671</v>
      </c>
      <c r="C3537" s="2">
        <v>45671.099166666667</v>
      </c>
      <c r="D3537" t="s">
        <v>38</v>
      </c>
      <c r="E3537" t="s">
        <v>45</v>
      </c>
      <c r="F3537" t="s">
        <v>100</v>
      </c>
      <c r="G3537" t="s">
        <v>51</v>
      </c>
      <c r="H3537" t="s">
        <v>27</v>
      </c>
      <c r="I3537" t="s">
        <v>20</v>
      </c>
      <c r="J3537" t="s">
        <v>46</v>
      </c>
      <c r="K3537">
        <v>8</v>
      </c>
      <c r="L3537">
        <v>2.38</v>
      </c>
      <c r="M3537">
        <v>4.5</v>
      </c>
      <c r="N3537" t="s">
        <v>22</v>
      </c>
      <c r="O3537" t="str">
        <f t="shared" si="55"/>
        <v>No</v>
      </c>
    </row>
    <row r="3538" spans="1:15" x14ac:dyDescent="0.25">
      <c r="A3538" t="s">
        <v>3599</v>
      </c>
      <c r="B3538" s="1">
        <v>45663</v>
      </c>
      <c r="C3538" s="2">
        <v>45663.058749999997</v>
      </c>
      <c r="D3538" t="s">
        <v>38</v>
      </c>
      <c r="E3538" t="s">
        <v>16</v>
      </c>
      <c r="F3538" t="s">
        <v>60</v>
      </c>
      <c r="G3538" t="s">
        <v>34</v>
      </c>
      <c r="H3538" t="s">
        <v>65</v>
      </c>
      <c r="I3538" t="s">
        <v>36</v>
      </c>
      <c r="J3538" t="s">
        <v>29</v>
      </c>
      <c r="K3538">
        <v>8</v>
      </c>
      <c r="L3538">
        <v>1.41</v>
      </c>
      <c r="M3538">
        <v>5</v>
      </c>
      <c r="N3538" t="s">
        <v>22</v>
      </c>
      <c r="O3538" t="str">
        <f t="shared" si="55"/>
        <v>No</v>
      </c>
    </row>
    <row r="3539" spans="1:15" x14ac:dyDescent="0.25">
      <c r="A3539" t="s">
        <v>3600</v>
      </c>
      <c r="B3539" s="1">
        <v>45681</v>
      </c>
      <c r="C3539" s="2">
        <v>45683.862916666665</v>
      </c>
      <c r="D3539" t="s">
        <v>15</v>
      </c>
      <c r="E3539" t="s">
        <v>39</v>
      </c>
      <c r="F3539" t="s">
        <v>119</v>
      </c>
      <c r="G3539" t="s">
        <v>56</v>
      </c>
      <c r="H3539" t="s">
        <v>54</v>
      </c>
      <c r="I3539" t="s">
        <v>36</v>
      </c>
      <c r="J3539" t="s">
        <v>85</v>
      </c>
      <c r="K3539">
        <v>48</v>
      </c>
      <c r="L3539">
        <v>68.709999999999994</v>
      </c>
      <c r="M3539">
        <v>3.2</v>
      </c>
      <c r="N3539" t="s">
        <v>22</v>
      </c>
      <c r="O3539" t="str">
        <f t="shared" si="55"/>
        <v>Yes</v>
      </c>
    </row>
    <row r="3540" spans="1:15" x14ac:dyDescent="0.25">
      <c r="A3540" t="s">
        <v>3601</v>
      </c>
      <c r="B3540" s="1">
        <v>45753</v>
      </c>
      <c r="C3540" s="2">
        <v>45757.196666666663</v>
      </c>
      <c r="D3540" t="s">
        <v>15</v>
      </c>
      <c r="E3540" t="s">
        <v>16</v>
      </c>
      <c r="F3540" t="s">
        <v>43</v>
      </c>
      <c r="G3540" t="s">
        <v>56</v>
      </c>
      <c r="H3540" t="s">
        <v>19</v>
      </c>
      <c r="I3540" t="s">
        <v>20</v>
      </c>
      <c r="J3540" t="s">
        <v>21</v>
      </c>
      <c r="K3540">
        <v>48</v>
      </c>
      <c r="L3540">
        <v>100.72</v>
      </c>
      <c r="M3540">
        <v>2.7</v>
      </c>
      <c r="N3540" t="s">
        <v>22</v>
      </c>
      <c r="O3540" t="str">
        <f t="shared" si="55"/>
        <v>Yes</v>
      </c>
    </row>
    <row r="3541" spans="1:15" x14ac:dyDescent="0.25">
      <c r="A3541" t="s">
        <v>3602</v>
      </c>
      <c r="B3541" s="1">
        <v>45807</v>
      </c>
      <c r="C3541" s="2">
        <v>45807.826666666668</v>
      </c>
      <c r="D3541" t="s">
        <v>24</v>
      </c>
      <c r="E3541" t="s">
        <v>25</v>
      </c>
      <c r="F3541" t="s">
        <v>26</v>
      </c>
      <c r="G3541" t="s">
        <v>41</v>
      </c>
      <c r="H3541" t="s">
        <v>44</v>
      </c>
      <c r="I3541" t="s">
        <v>20</v>
      </c>
      <c r="J3541" t="s">
        <v>21</v>
      </c>
      <c r="K3541">
        <v>24</v>
      </c>
      <c r="L3541">
        <v>19.84</v>
      </c>
      <c r="M3541">
        <v>5</v>
      </c>
      <c r="N3541" t="s">
        <v>22</v>
      </c>
      <c r="O3541" t="str">
        <f t="shared" si="55"/>
        <v>No</v>
      </c>
    </row>
    <row r="3542" spans="1:15" x14ac:dyDescent="0.25">
      <c r="A3542" t="s">
        <v>3603</v>
      </c>
      <c r="B3542" s="1">
        <v>45791</v>
      </c>
      <c r="C3542" s="2">
        <v>45791.39166666667</v>
      </c>
      <c r="D3542" t="s">
        <v>24</v>
      </c>
      <c r="E3542" t="s">
        <v>45</v>
      </c>
      <c r="F3542" t="s">
        <v>104</v>
      </c>
      <c r="G3542" t="s">
        <v>51</v>
      </c>
      <c r="H3542" t="s">
        <v>27</v>
      </c>
      <c r="I3542" t="s">
        <v>28</v>
      </c>
      <c r="J3542" t="s">
        <v>46</v>
      </c>
      <c r="K3542">
        <v>24</v>
      </c>
      <c r="L3542">
        <v>9.4</v>
      </c>
      <c r="M3542">
        <v>4.9000000000000004</v>
      </c>
      <c r="N3542" t="s">
        <v>22</v>
      </c>
      <c r="O3542" t="str">
        <f t="shared" si="55"/>
        <v>No</v>
      </c>
    </row>
    <row r="3543" spans="1:15" x14ac:dyDescent="0.25">
      <c r="A3543" t="s">
        <v>3604</v>
      </c>
      <c r="B3543" s="1">
        <v>45763</v>
      </c>
      <c r="C3543" s="2">
        <v>45765.572500000002</v>
      </c>
      <c r="D3543" t="s">
        <v>15</v>
      </c>
      <c r="E3543" t="s">
        <v>39</v>
      </c>
      <c r="F3543" t="s">
        <v>78</v>
      </c>
      <c r="G3543" t="s">
        <v>34</v>
      </c>
      <c r="H3543" t="s">
        <v>44</v>
      </c>
      <c r="I3543" t="s">
        <v>36</v>
      </c>
      <c r="J3543" t="s">
        <v>21</v>
      </c>
      <c r="K3543">
        <v>48</v>
      </c>
      <c r="L3543">
        <v>61.74</v>
      </c>
      <c r="M3543">
        <v>3</v>
      </c>
      <c r="N3543" t="s">
        <v>22</v>
      </c>
      <c r="O3543" t="str">
        <f t="shared" si="55"/>
        <v>Yes</v>
      </c>
    </row>
    <row r="3544" spans="1:15" x14ac:dyDescent="0.25">
      <c r="A3544" t="s">
        <v>3605</v>
      </c>
      <c r="B3544" s="1">
        <v>45673</v>
      </c>
      <c r="C3544" s="2">
        <v>45673.083333333336</v>
      </c>
      <c r="D3544" t="s">
        <v>38</v>
      </c>
      <c r="E3544" t="s">
        <v>25</v>
      </c>
      <c r="F3544" t="s">
        <v>53</v>
      </c>
      <c r="G3544" t="s">
        <v>56</v>
      </c>
      <c r="H3544" t="s">
        <v>54</v>
      </c>
      <c r="I3544" t="s">
        <v>20</v>
      </c>
      <c r="J3544" t="s">
        <v>46</v>
      </c>
      <c r="K3544">
        <v>8</v>
      </c>
      <c r="L3544">
        <v>2</v>
      </c>
      <c r="M3544">
        <v>4.4000000000000004</v>
      </c>
      <c r="N3544" t="s">
        <v>22</v>
      </c>
      <c r="O3544" t="str">
        <f t="shared" si="55"/>
        <v>No</v>
      </c>
    </row>
    <row r="3545" spans="1:15" x14ac:dyDescent="0.25">
      <c r="A3545" t="s">
        <v>3606</v>
      </c>
      <c r="B3545" s="1">
        <v>45798</v>
      </c>
      <c r="C3545" s="2">
        <v>45798.044583333336</v>
      </c>
      <c r="D3545" t="s">
        <v>31</v>
      </c>
      <c r="E3545" t="s">
        <v>39</v>
      </c>
      <c r="F3545" t="s">
        <v>78</v>
      </c>
      <c r="G3545" t="s">
        <v>34</v>
      </c>
      <c r="H3545" t="s">
        <v>44</v>
      </c>
      <c r="I3545" t="s">
        <v>20</v>
      </c>
      <c r="J3545" t="s">
        <v>46</v>
      </c>
      <c r="K3545">
        <v>4</v>
      </c>
      <c r="L3545">
        <v>1.07</v>
      </c>
      <c r="M3545">
        <v>5</v>
      </c>
      <c r="N3545" t="s">
        <v>22</v>
      </c>
      <c r="O3545" t="str">
        <f t="shared" si="55"/>
        <v>No</v>
      </c>
    </row>
    <row r="3546" spans="1:15" x14ac:dyDescent="0.25">
      <c r="A3546" t="s">
        <v>3607</v>
      </c>
      <c r="B3546" s="1">
        <v>45664</v>
      </c>
      <c r="C3546" s="2">
        <v>45665.499166666668</v>
      </c>
      <c r="D3546" t="s">
        <v>24</v>
      </c>
      <c r="E3546" t="s">
        <v>16</v>
      </c>
      <c r="F3546" t="s">
        <v>58</v>
      </c>
      <c r="G3546" t="s">
        <v>18</v>
      </c>
      <c r="H3546" t="s">
        <v>65</v>
      </c>
      <c r="I3546" t="s">
        <v>20</v>
      </c>
      <c r="J3546" t="s">
        <v>21</v>
      </c>
      <c r="K3546">
        <v>24</v>
      </c>
      <c r="L3546">
        <v>35.979999999999997</v>
      </c>
      <c r="M3546">
        <v>3.9</v>
      </c>
      <c r="N3546" t="s">
        <v>22</v>
      </c>
      <c r="O3546" t="str">
        <f t="shared" si="55"/>
        <v>Yes</v>
      </c>
    </row>
    <row r="3547" spans="1:15" x14ac:dyDescent="0.25">
      <c r="A3547" t="s">
        <v>3608</v>
      </c>
      <c r="B3547" s="1">
        <v>45772</v>
      </c>
      <c r="C3547" s="2">
        <v>45773.977083333331</v>
      </c>
      <c r="D3547" t="s">
        <v>24</v>
      </c>
      <c r="E3547" t="s">
        <v>25</v>
      </c>
      <c r="F3547" t="s">
        <v>53</v>
      </c>
      <c r="G3547" t="s">
        <v>34</v>
      </c>
      <c r="H3547" t="s">
        <v>35</v>
      </c>
      <c r="I3547" t="s">
        <v>45</v>
      </c>
      <c r="J3547" t="s">
        <v>29</v>
      </c>
      <c r="K3547">
        <v>24</v>
      </c>
      <c r="L3547">
        <v>47.45</v>
      </c>
      <c r="M3547">
        <v>2.6</v>
      </c>
      <c r="N3547" t="s">
        <v>22</v>
      </c>
      <c r="O3547" t="str">
        <f t="shared" si="55"/>
        <v>Yes</v>
      </c>
    </row>
    <row r="3548" spans="1:15" x14ac:dyDescent="0.25">
      <c r="A3548" t="s">
        <v>3609</v>
      </c>
      <c r="B3548" s="1">
        <v>45732</v>
      </c>
      <c r="C3548" s="2">
        <v>45732.354583333334</v>
      </c>
      <c r="D3548" t="s">
        <v>24</v>
      </c>
      <c r="E3548" t="s">
        <v>45</v>
      </c>
      <c r="F3548" t="s">
        <v>112</v>
      </c>
      <c r="G3548" t="s">
        <v>56</v>
      </c>
      <c r="H3548" t="s">
        <v>35</v>
      </c>
      <c r="I3548" t="s">
        <v>36</v>
      </c>
      <c r="J3548" t="s">
        <v>21</v>
      </c>
      <c r="K3548">
        <v>24</v>
      </c>
      <c r="L3548">
        <v>8.51</v>
      </c>
      <c r="M3548">
        <v>3.6</v>
      </c>
      <c r="N3548" t="s">
        <v>22</v>
      </c>
      <c r="O3548" t="str">
        <f t="shared" si="55"/>
        <v>No</v>
      </c>
    </row>
    <row r="3549" spans="1:15" x14ac:dyDescent="0.25">
      <c r="A3549" t="s">
        <v>3610</v>
      </c>
      <c r="B3549" s="1">
        <v>45817</v>
      </c>
      <c r="C3549" s="2">
        <v>45817.580833333333</v>
      </c>
      <c r="D3549" t="s">
        <v>15</v>
      </c>
      <c r="E3549" t="s">
        <v>39</v>
      </c>
      <c r="F3549" t="s">
        <v>78</v>
      </c>
      <c r="G3549" t="s">
        <v>41</v>
      </c>
      <c r="H3549" t="s">
        <v>65</v>
      </c>
      <c r="I3549" t="s">
        <v>45</v>
      </c>
      <c r="J3549" t="s">
        <v>85</v>
      </c>
      <c r="K3549">
        <v>48</v>
      </c>
      <c r="L3549">
        <v>13.94</v>
      </c>
      <c r="M3549">
        <v>4</v>
      </c>
      <c r="N3549" t="s">
        <v>22</v>
      </c>
      <c r="O3549" t="str">
        <f t="shared" si="55"/>
        <v>No</v>
      </c>
    </row>
    <row r="3550" spans="1:15" x14ac:dyDescent="0.25">
      <c r="A3550" t="s">
        <v>3611</v>
      </c>
      <c r="B3550" s="1">
        <v>45713</v>
      </c>
      <c r="C3550" s="2">
        <v>45714.102083333331</v>
      </c>
      <c r="D3550" t="s">
        <v>15</v>
      </c>
      <c r="E3550" t="s">
        <v>39</v>
      </c>
      <c r="F3550" t="s">
        <v>40</v>
      </c>
      <c r="G3550" t="s">
        <v>18</v>
      </c>
      <c r="H3550" t="s">
        <v>54</v>
      </c>
      <c r="I3550" t="s">
        <v>45</v>
      </c>
      <c r="J3550" t="s">
        <v>21</v>
      </c>
      <c r="K3550">
        <v>48</v>
      </c>
      <c r="L3550">
        <v>26.45</v>
      </c>
      <c r="M3550">
        <v>4.5</v>
      </c>
      <c r="N3550" t="s">
        <v>22</v>
      </c>
      <c r="O3550" t="str">
        <f t="shared" si="55"/>
        <v>No</v>
      </c>
    </row>
    <row r="3551" spans="1:15" x14ac:dyDescent="0.25">
      <c r="A3551" t="s">
        <v>3612</v>
      </c>
      <c r="B3551" s="1">
        <v>45773</v>
      </c>
      <c r="C3551" s="2">
        <v>45773.227916666663</v>
      </c>
      <c r="D3551" t="s">
        <v>24</v>
      </c>
      <c r="E3551" t="s">
        <v>32</v>
      </c>
      <c r="F3551" t="s">
        <v>33</v>
      </c>
      <c r="G3551" t="s">
        <v>56</v>
      </c>
      <c r="H3551" t="s">
        <v>65</v>
      </c>
      <c r="I3551" t="s">
        <v>36</v>
      </c>
      <c r="J3551" t="s">
        <v>29</v>
      </c>
      <c r="K3551">
        <v>24</v>
      </c>
      <c r="L3551">
        <v>5.47</v>
      </c>
      <c r="M3551">
        <v>5</v>
      </c>
      <c r="N3551" t="s">
        <v>22</v>
      </c>
      <c r="O3551" t="str">
        <f t="shared" si="55"/>
        <v>No</v>
      </c>
    </row>
    <row r="3552" spans="1:15" x14ac:dyDescent="0.25">
      <c r="A3552" t="s">
        <v>3613</v>
      </c>
      <c r="B3552" s="1">
        <v>45737</v>
      </c>
      <c r="C3552" s="2">
        <v>45737.15</v>
      </c>
      <c r="D3552" t="s">
        <v>24</v>
      </c>
      <c r="E3552" t="s">
        <v>32</v>
      </c>
      <c r="F3552" t="s">
        <v>75</v>
      </c>
      <c r="G3552" t="s">
        <v>41</v>
      </c>
      <c r="H3552" t="s">
        <v>54</v>
      </c>
      <c r="I3552" t="s">
        <v>36</v>
      </c>
      <c r="J3552" t="s">
        <v>21</v>
      </c>
      <c r="K3552">
        <v>24</v>
      </c>
      <c r="L3552">
        <v>3.6</v>
      </c>
      <c r="M3552">
        <v>5</v>
      </c>
      <c r="N3552" t="s">
        <v>22</v>
      </c>
      <c r="O3552" t="str">
        <f t="shared" si="55"/>
        <v>No</v>
      </c>
    </row>
    <row r="3553" spans="1:15" x14ac:dyDescent="0.25">
      <c r="A3553" t="s">
        <v>3614</v>
      </c>
      <c r="B3553" s="1">
        <v>45752</v>
      </c>
      <c r="C3553" s="2">
        <v>45752.155833333331</v>
      </c>
      <c r="D3553" t="s">
        <v>24</v>
      </c>
      <c r="E3553" t="s">
        <v>39</v>
      </c>
      <c r="F3553" t="s">
        <v>119</v>
      </c>
      <c r="G3553" t="s">
        <v>34</v>
      </c>
      <c r="H3553" t="s">
        <v>44</v>
      </c>
      <c r="I3553" t="s">
        <v>20</v>
      </c>
      <c r="J3553" t="s">
        <v>21</v>
      </c>
      <c r="K3553">
        <v>24</v>
      </c>
      <c r="L3553">
        <v>3.74</v>
      </c>
      <c r="M3553">
        <v>3.5</v>
      </c>
      <c r="N3553" t="s">
        <v>22</v>
      </c>
      <c r="O3553" t="str">
        <f t="shared" si="55"/>
        <v>No</v>
      </c>
    </row>
    <row r="3554" spans="1:15" x14ac:dyDescent="0.25">
      <c r="A3554" t="s">
        <v>3615</v>
      </c>
      <c r="B3554" s="1">
        <v>45827</v>
      </c>
      <c r="C3554" s="2">
        <v>45827.234166666669</v>
      </c>
      <c r="D3554" t="s">
        <v>38</v>
      </c>
      <c r="E3554" t="s">
        <v>25</v>
      </c>
      <c r="F3554" t="s">
        <v>53</v>
      </c>
      <c r="G3554" t="s">
        <v>18</v>
      </c>
      <c r="H3554" t="s">
        <v>35</v>
      </c>
      <c r="I3554" t="s">
        <v>36</v>
      </c>
      <c r="J3554" t="s">
        <v>21</v>
      </c>
      <c r="K3554">
        <v>8</v>
      </c>
      <c r="L3554">
        <v>5.62</v>
      </c>
      <c r="M3554">
        <v>4.7</v>
      </c>
      <c r="N3554" t="s">
        <v>22</v>
      </c>
      <c r="O3554" t="str">
        <f t="shared" si="55"/>
        <v>No</v>
      </c>
    </row>
    <row r="3555" spans="1:15" x14ac:dyDescent="0.25">
      <c r="A3555" t="s">
        <v>3616</v>
      </c>
      <c r="B3555" s="1">
        <v>45787</v>
      </c>
      <c r="C3555" s="2">
        <v>45788.050833333335</v>
      </c>
      <c r="D3555" t="s">
        <v>15</v>
      </c>
      <c r="E3555" t="s">
        <v>39</v>
      </c>
      <c r="F3555" t="s">
        <v>119</v>
      </c>
      <c r="G3555" t="s">
        <v>51</v>
      </c>
      <c r="H3555" t="s">
        <v>44</v>
      </c>
      <c r="I3555" t="s">
        <v>36</v>
      </c>
      <c r="J3555" t="s">
        <v>46</v>
      </c>
      <c r="K3555">
        <v>48</v>
      </c>
      <c r="L3555">
        <v>25.22</v>
      </c>
      <c r="M3555">
        <v>5</v>
      </c>
      <c r="N3555" t="s">
        <v>22</v>
      </c>
      <c r="O3555" t="str">
        <f t="shared" si="55"/>
        <v>No</v>
      </c>
    </row>
    <row r="3556" spans="1:15" x14ac:dyDescent="0.25">
      <c r="A3556" t="s">
        <v>3617</v>
      </c>
      <c r="B3556" s="1">
        <v>45733</v>
      </c>
      <c r="C3556" s="2">
        <v>45735.307500000003</v>
      </c>
      <c r="D3556" t="s">
        <v>15</v>
      </c>
      <c r="E3556" t="s">
        <v>39</v>
      </c>
      <c r="F3556" t="s">
        <v>119</v>
      </c>
      <c r="G3556" t="s">
        <v>34</v>
      </c>
      <c r="H3556" t="s">
        <v>54</v>
      </c>
      <c r="I3556" t="s">
        <v>45</v>
      </c>
      <c r="J3556" t="s">
        <v>85</v>
      </c>
      <c r="K3556">
        <v>48</v>
      </c>
      <c r="L3556">
        <v>55.38</v>
      </c>
      <c r="M3556">
        <v>2.1</v>
      </c>
      <c r="N3556" t="s">
        <v>22</v>
      </c>
      <c r="O3556" t="str">
        <f t="shared" si="55"/>
        <v>Yes</v>
      </c>
    </row>
    <row r="3557" spans="1:15" x14ac:dyDescent="0.25">
      <c r="A3557" t="s">
        <v>3618</v>
      </c>
      <c r="B3557" s="1">
        <v>45738</v>
      </c>
      <c r="C3557" s="2">
        <v>45741.004999999997</v>
      </c>
      <c r="D3557" t="s">
        <v>15</v>
      </c>
      <c r="E3557" t="s">
        <v>25</v>
      </c>
      <c r="F3557" t="s">
        <v>48</v>
      </c>
      <c r="G3557" t="s">
        <v>56</v>
      </c>
      <c r="H3557" t="s">
        <v>27</v>
      </c>
      <c r="I3557" t="s">
        <v>28</v>
      </c>
      <c r="J3557" t="s">
        <v>46</v>
      </c>
      <c r="K3557">
        <v>48</v>
      </c>
      <c r="L3557">
        <v>72.12</v>
      </c>
      <c r="M3557">
        <v>3.2</v>
      </c>
      <c r="N3557" t="s">
        <v>22</v>
      </c>
      <c r="O3557" t="str">
        <f t="shared" si="55"/>
        <v>Yes</v>
      </c>
    </row>
    <row r="3558" spans="1:15" x14ac:dyDescent="0.25">
      <c r="A3558" t="s">
        <v>3619</v>
      </c>
      <c r="B3558" s="1">
        <v>45785</v>
      </c>
      <c r="C3558" s="2">
        <v>45786.603333333333</v>
      </c>
      <c r="D3558" t="s">
        <v>15</v>
      </c>
      <c r="E3558" t="s">
        <v>32</v>
      </c>
      <c r="F3558" t="s">
        <v>75</v>
      </c>
      <c r="G3558" t="s">
        <v>51</v>
      </c>
      <c r="H3558" t="s">
        <v>65</v>
      </c>
      <c r="I3558" t="s">
        <v>45</v>
      </c>
      <c r="J3558" t="s">
        <v>46</v>
      </c>
      <c r="K3558">
        <v>48</v>
      </c>
      <c r="L3558">
        <v>38.479999999999997</v>
      </c>
      <c r="M3558">
        <v>4.5</v>
      </c>
      <c r="N3558" t="s">
        <v>22</v>
      </c>
      <c r="O3558" t="str">
        <f t="shared" si="55"/>
        <v>No</v>
      </c>
    </row>
    <row r="3559" spans="1:15" x14ac:dyDescent="0.25">
      <c r="A3559" t="s">
        <v>3620</v>
      </c>
      <c r="B3559" s="1">
        <v>45720</v>
      </c>
      <c r="C3559" s="2">
        <v>45720.227916666663</v>
      </c>
      <c r="D3559" t="s">
        <v>24</v>
      </c>
      <c r="E3559" t="s">
        <v>32</v>
      </c>
      <c r="F3559" t="s">
        <v>64</v>
      </c>
      <c r="G3559" t="s">
        <v>56</v>
      </c>
      <c r="H3559" t="s">
        <v>54</v>
      </c>
      <c r="I3559" t="s">
        <v>36</v>
      </c>
      <c r="J3559" t="s">
        <v>21</v>
      </c>
      <c r="K3559">
        <v>24</v>
      </c>
      <c r="L3559">
        <v>5.47</v>
      </c>
      <c r="M3559">
        <v>3.8</v>
      </c>
      <c r="N3559" t="s">
        <v>22</v>
      </c>
      <c r="O3559" t="str">
        <f t="shared" si="55"/>
        <v>No</v>
      </c>
    </row>
    <row r="3560" spans="1:15" x14ac:dyDescent="0.25">
      <c r="A3560" t="s">
        <v>3621</v>
      </c>
      <c r="B3560" s="1">
        <v>45688</v>
      </c>
      <c r="C3560" s="2">
        <v>45688.025000000001</v>
      </c>
      <c r="D3560" t="s">
        <v>38</v>
      </c>
      <c r="E3560" t="s">
        <v>45</v>
      </c>
      <c r="F3560" t="s">
        <v>104</v>
      </c>
      <c r="G3560" t="s">
        <v>51</v>
      </c>
      <c r="H3560" t="s">
        <v>44</v>
      </c>
      <c r="I3560" t="s">
        <v>36</v>
      </c>
      <c r="J3560" t="s">
        <v>85</v>
      </c>
      <c r="K3560">
        <v>8</v>
      </c>
      <c r="L3560">
        <v>0.6</v>
      </c>
      <c r="M3560">
        <v>4.5999999999999996</v>
      </c>
      <c r="N3560" t="s">
        <v>22</v>
      </c>
      <c r="O3560" t="str">
        <f t="shared" si="55"/>
        <v>No</v>
      </c>
    </row>
    <row r="3561" spans="1:15" x14ac:dyDescent="0.25">
      <c r="A3561" t="s">
        <v>3622</v>
      </c>
      <c r="B3561" s="1">
        <v>45742</v>
      </c>
      <c r="C3561" s="2">
        <v>45742.138749999998</v>
      </c>
      <c r="D3561" t="s">
        <v>38</v>
      </c>
      <c r="E3561" t="s">
        <v>32</v>
      </c>
      <c r="F3561" t="s">
        <v>33</v>
      </c>
      <c r="G3561" t="s">
        <v>41</v>
      </c>
      <c r="H3561" t="s">
        <v>54</v>
      </c>
      <c r="I3561" t="s">
        <v>36</v>
      </c>
      <c r="J3561" t="s">
        <v>21</v>
      </c>
      <c r="K3561">
        <v>8</v>
      </c>
      <c r="L3561">
        <v>3.33</v>
      </c>
      <c r="M3561">
        <v>4.9000000000000004</v>
      </c>
      <c r="N3561" t="s">
        <v>22</v>
      </c>
      <c r="O3561" t="str">
        <f t="shared" si="55"/>
        <v>No</v>
      </c>
    </row>
    <row r="3562" spans="1:15" x14ac:dyDescent="0.25">
      <c r="A3562" t="s">
        <v>3623</v>
      </c>
      <c r="B3562" s="1">
        <v>45670</v>
      </c>
      <c r="C3562" s="2">
        <v>45670.372916666667</v>
      </c>
      <c r="D3562" t="s">
        <v>24</v>
      </c>
      <c r="E3562" t="s">
        <v>39</v>
      </c>
      <c r="F3562" t="s">
        <v>78</v>
      </c>
      <c r="G3562" t="s">
        <v>18</v>
      </c>
      <c r="H3562" t="s">
        <v>54</v>
      </c>
      <c r="I3562" t="s">
        <v>36</v>
      </c>
      <c r="J3562" t="s">
        <v>46</v>
      </c>
      <c r="K3562">
        <v>24</v>
      </c>
      <c r="L3562">
        <v>8.9499999999999993</v>
      </c>
      <c r="M3562">
        <v>4.2</v>
      </c>
      <c r="N3562" t="s">
        <v>22</v>
      </c>
      <c r="O3562" t="str">
        <f t="shared" si="55"/>
        <v>No</v>
      </c>
    </row>
    <row r="3563" spans="1:15" x14ac:dyDescent="0.25">
      <c r="A3563" t="s">
        <v>3624</v>
      </c>
      <c r="B3563" s="1">
        <v>45688</v>
      </c>
      <c r="C3563" s="2">
        <v>45688.239166666666</v>
      </c>
      <c r="D3563" t="s">
        <v>24</v>
      </c>
      <c r="E3563" t="s">
        <v>16</v>
      </c>
      <c r="F3563" t="s">
        <v>60</v>
      </c>
      <c r="G3563" t="s">
        <v>51</v>
      </c>
      <c r="H3563" t="s">
        <v>27</v>
      </c>
      <c r="I3563" t="s">
        <v>20</v>
      </c>
      <c r="J3563" t="s">
        <v>21</v>
      </c>
      <c r="K3563">
        <v>24</v>
      </c>
      <c r="L3563">
        <v>5.74</v>
      </c>
      <c r="M3563">
        <v>4.5</v>
      </c>
      <c r="N3563" t="s">
        <v>22</v>
      </c>
      <c r="O3563" t="str">
        <f t="shared" si="55"/>
        <v>No</v>
      </c>
    </row>
    <row r="3564" spans="1:15" x14ac:dyDescent="0.25">
      <c r="A3564" t="s">
        <v>3625</v>
      </c>
      <c r="B3564" s="1">
        <v>45734</v>
      </c>
      <c r="C3564" s="2">
        <v>45735.57</v>
      </c>
      <c r="D3564" t="s">
        <v>15</v>
      </c>
      <c r="E3564" t="s">
        <v>32</v>
      </c>
      <c r="F3564" t="s">
        <v>80</v>
      </c>
      <c r="G3564" t="s">
        <v>41</v>
      </c>
      <c r="H3564" t="s">
        <v>27</v>
      </c>
      <c r="I3564" t="s">
        <v>36</v>
      </c>
      <c r="J3564" t="s">
        <v>46</v>
      </c>
      <c r="K3564">
        <v>48</v>
      </c>
      <c r="L3564">
        <v>37.68</v>
      </c>
      <c r="M3564">
        <v>4.2</v>
      </c>
      <c r="N3564" t="s">
        <v>22</v>
      </c>
      <c r="O3564" t="str">
        <f t="shared" si="55"/>
        <v>No</v>
      </c>
    </row>
    <row r="3565" spans="1:15" x14ac:dyDescent="0.25">
      <c r="A3565" t="s">
        <v>3626</v>
      </c>
      <c r="B3565" s="1">
        <v>45802</v>
      </c>
      <c r="C3565" s="2">
        <v>45802.827916666669</v>
      </c>
      <c r="D3565" t="s">
        <v>24</v>
      </c>
      <c r="E3565" t="s">
        <v>39</v>
      </c>
      <c r="F3565" t="s">
        <v>40</v>
      </c>
      <c r="G3565" t="s">
        <v>34</v>
      </c>
      <c r="H3565" t="s">
        <v>27</v>
      </c>
      <c r="I3565" t="s">
        <v>36</v>
      </c>
      <c r="J3565" t="s">
        <v>21</v>
      </c>
      <c r="K3565">
        <v>24</v>
      </c>
      <c r="L3565">
        <v>19.87</v>
      </c>
      <c r="M3565">
        <v>3.2</v>
      </c>
      <c r="N3565" t="s">
        <v>22</v>
      </c>
      <c r="O3565" t="str">
        <f t="shared" si="55"/>
        <v>No</v>
      </c>
    </row>
    <row r="3566" spans="1:15" x14ac:dyDescent="0.25">
      <c r="A3566" t="s">
        <v>3627</v>
      </c>
      <c r="B3566" s="1">
        <v>45799</v>
      </c>
      <c r="C3566" s="2">
        <v>45799.684583333335</v>
      </c>
      <c r="D3566" t="s">
        <v>24</v>
      </c>
      <c r="E3566" t="s">
        <v>32</v>
      </c>
      <c r="F3566" t="s">
        <v>64</v>
      </c>
      <c r="G3566" t="s">
        <v>51</v>
      </c>
      <c r="H3566" t="s">
        <v>19</v>
      </c>
      <c r="I3566" t="s">
        <v>20</v>
      </c>
      <c r="J3566" t="s">
        <v>21</v>
      </c>
      <c r="K3566">
        <v>24</v>
      </c>
      <c r="L3566">
        <v>16.43</v>
      </c>
      <c r="M3566">
        <v>3.5</v>
      </c>
      <c r="N3566" t="s">
        <v>22</v>
      </c>
      <c r="O3566" t="str">
        <f t="shared" si="55"/>
        <v>No</v>
      </c>
    </row>
    <row r="3567" spans="1:15" x14ac:dyDescent="0.25">
      <c r="A3567" t="s">
        <v>3628</v>
      </c>
      <c r="B3567" s="1">
        <v>45705</v>
      </c>
      <c r="C3567" s="2">
        <v>45705.681666666664</v>
      </c>
      <c r="D3567" t="s">
        <v>38</v>
      </c>
      <c r="E3567" t="s">
        <v>39</v>
      </c>
      <c r="F3567" t="s">
        <v>119</v>
      </c>
      <c r="G3567" t="s">
        <v>41</v>
      </c>
      <c r="H3567" t="s">
        <v>35</v>
      </c>
      <c r="I3567" t="s">
        <v>36</v>
      </c>
      <c r="J3567" t="s">
        <v>21</v>
      </c>
      <c r="K3567">
        <v>8</v>
      </c>
      <c r="L3567">
        <v>16.36</v>
      </c>
      <c r="M3567">
        <v>2.9</v>
      </c>
      <c r="N3567" t="s">
        <v>22</v>
      </c>
      <c r="O3567" t="str">
        <f t="shared" si="55"/>
        <v>Yes</v>
      </c>
    </row>
    <row r="3568" spans="1:15" x14ac:dyDescent="0.25">
      <c r="A3568" t="s">
        <v>3629</v>
      </c>
      <c r="B3568" s="1">
        <v>45734</v>
      </c>
      <c r="C3568" s="2">
        <v>45734.162083333336</v>
      </c>
      <c r="D3568" t="s">
        <v>24</v>
      </c>
      <c r="E3568" t="s">
        <v>45</v>
      </c>
      <c r="F3568" t="s">
        <v>112</v>
      </c>
      <c r="G3568" t="s">
        <v>41</v>
      </c>
      <c r="H3568" t="s">
        <v>44</v>
      </c>
      <c r="I3568" t="s">
        <v>36</v>
      </c>
      <c r="J3568" t="s">
        <v>21</v>
      </c>
      <c r="K3568">
        <v>24</v>
      </c>
      <c r="L3568">
        <v>3.89</v>
      </c>
      <c r="M3568">
        <v>5</v>
      </c>
      <c r="N3568" t="s">
        <v>22</v>
      </c>
      <c r="O3568" t="str">
        <f t="shared" si="55"/>
        <v>No</v>
      </c>
    </row>
    <row r="3569" spans="1:15" x14ac:dyDescent="0.25">
      <c r="A3569" t="s">
        <v>3630</v>
      </c>
      <c r="B3569" s="1">
        <v>45685</v>
      </c>
      <c r="C3569" s="2">
        <v>45685.873749999999</v>
      </c>
      <c r="D3569" t="s">
        <v>15</v>
      </c>
      <c r="E3569" t="s">
        <v>39</v>
      </c>
      <c r="F3569" t="s">
        <v>119</v>
      </c>
      <c r="G3569" t="s">
        <v>41</v>
      </c>
      <c r="H3569" t="s">
        <v>65</v>
      </c>
      <c r="I3569" t="s">
        <v>45</v>
      </c>
      <c r="J3569" t="s">
        <v>21</v>
      </c>
      <c r="K3569">
        <v>48</v>
      </c>
      <c r="L3569">
        <v>20.97</v>
      </c>
      <c r="M3569">
        <v>4.7</v>
      </c>
      <c r="N3569" t="s">
        <v>22</v>
      </c>
      <c r="O3569" t="str">
        <f t="shared" si="55"/>
        <v>No</v>
      </c>
    </row>
    <row r="3570" spans="1:15" x14ac:dyDescent="0.25">
      <c r="A3570" t="s">
        <v>3631</v>
      </c>
      <c r="B3570" s="1">
        <v>45794</v>
      </c>
      <c r="C3570" s="2">
        <v>45795.08625</v>
      </c>
      <c r="D3570" t="s">
        <v>15</v>
      </c>
      <c r="E3570" t="s">
        <v>39</v>
      </c>
      <c r="F3570" t="s">
        <v>78</v>
      </c>
      <c r="G3570" t="s">
        <v>51</v>
      </c>
      <c r="H3570" t="s">
        <v>44</v>
      </c>
      <c r="I3570" t="s">
        <v>36</v>
      </c>
      <c r="J3570" t="s">
        <v>29</v>
      </c>
      <c r="K3570">
        <v>48</v>
      </c>
      <c r="L3570">
        <v>26.07</v>
      </c>
      <c r="M3570">
        <v>5</v>
      </c>
      <c r="N3570" t="s">
        <v>61</v>
      </c>
      <c r="O3570" t="str">
        <f t="shared" si="55"/>
        <v>No</v>
      </c>
    </row>
    <row r="3571" spans="1:15" x14ac:dyDescent="0.25">
      <c r="A3571" t="s">
        <v>3632</v>
      </c>
      <c r="B3571" s="1">
        <v>45702</v>
      </c>
      <c r="C3571" s="2">
        <v>45702.784166666665</v>
      </c>
      <c r="D3571" t="s">
        <v>15</v>
      </c>
      <c r="E3571" t="s">
        <v>39</v>
      </c>
      <c r="F3571" t="s">
        <v>119</v>
      </c>
      <c r="G3571" t="s">
        <v>56</v>
      </c>
      <c r="H3571" t="s">
        <v>65</v>
      </c>
      <c r="I3571" t="s">
        <v>36</v>
      </c>
      <c r="J3571" t="s">
        <v>46</v>
      </c>
      <c r="K3571">
        <v>48</v>
      </c>
      <c r="L3571">
        <v>18.82</v>
      </c>
      <c r="M3571">
        <v>4.8</v>
      </c>
      <c r="N3571" t="s">
        <v>22</v>
      </c>
      <c r="O3571" t="str">
        <f t="shared" si="55"/>
        <v>No</v>
      </c>
    </row>
    <row r="3572" spans="1:15" x14ac:dyDescent="0.25">
      <c r="A3572" t="s">
        <v>3633</v>
      </c>
      <c r="B3572" s="1">
        <v>45802</v>
      </c>
      <c r="C3572" s="2">
        <v>45802.117083333331</v>
      </c>
      <c r="D3572" t="s">
        <v>38</v>
      </c>
      <c r="E3572" t="s">
        <v>45</v>
      </c>
      <c r="F3572" t="s">
        <v>100</v>
      </c>
      <c r="G3572" t="s">
        <v>56</v>
      </c>
      <c r="H3572" t="s">
        <v>35</v>
      </c>
      <c r="I3572" t="s">
        <v>28</v>
      </c>
      <c r="J3572" t="s">
        <v>85</v>
      </c>
      <c r="K3572">
        <v>8</v>
      </c>
      <c r="L3572">
        <v>2.81</v>
      </c>
      <c r="M3572">
        <v>5</v>
      </c>
      <c r="N3572" t="s">
        <v>22</v>
      </c>
      <c r="O3572" t="str">
        <f t="shared" si="55"/>
        <v>No</v>
      </c>
    </row>
    <row r="3573" spans="1:15" x14ac:dyDescent="0.25">
      <c r="A3573" t="s">
        <v>3634</v>
      </c>
      <c r="B3573" s="1">
        <v>45810</v>
      </c>
      <c r="C3573" s="2">
        <v>45811.853750000002</v>
      </c>
      <c r="D3573" t="s">
        <v>15</v>
      </c>
      <c r="E3573" t="s">
        <v>32</v>
      </c>
      <c r="F3573" t="s">
        <v>80</v>
      </c>
      <c r="G3573" t="s">
        <v>56</v>
      </c>
      <c r="H3573" t="s">
        <v>19</v>
      </c>
      <c r="I3573" t="s">
        <v>20</v>
      </c>
      <c r="J3573" t="s">
        <v>21</v>
      </c>
      <c r="K3573">
        <v>48</v>
      </c>
      <c r="L3573">
        <v>44.49</v>
      </c>
      <c r="M3573">
        <v>3.9</v>
      </c>
      <c r="N3573" t="s">
        <v>22</v>
      </c>
      <c r="O3573" t="str">
        <f t="shared" si="55"/>
        <v>No</v>
      </c>
    </row>
    <row r="3574" spans="1:15" x14ac:dyDescent="0.25">
      <c r="A3574" t="s">
        <v>3635</v>
      </c>
      <c r="B3574" s="1">
        <v>45782</v>
      </c>
      <c r="C3574" s="2">
        <v>45782.60125</v>
      </c>
      <c r="D3574" t="s">
        <v>15</v>
      </c>
      <c r="E3574" t="s">
        <v>25</v>
      </c>
      <c r="F3574" t="s">
        <v>70</v>
      </c>
      <c r="G3574" t="s">
        <v>56</v>
      </c>
      <c r="H3574" t="s">
        <v>27</v>
      </c>
      <c r="I3574" t="s">
        <v>20</v>
      </c>
      <c r="J3574" t="s">
        <v>46</v>
      </c>
      <c r="K3574">
        <v>48</v>
      </c>
      <c r="L3574">
        <v>14.43</v>
      </c>
      <c r="M3574">
        <v>4.8</v>
      </c>
      <c r="N3574" t="s">
        <v>22</v>
      </c>
      <c r="O3574" t="str">
        <f t="shared" si="55"/>
        <v>No</v>
      </c>
    </row>
    <row r="3575" spans="1:15" x14ac:dyDescent="0.25">
      <c r="A3575" t="s">
        <v>3636</v>
      </c>
      <c r="B3575" s="1">
        <v>45717</v>
      </c>
      <c r="C3575" s="2">
        <v>45717.508750000001</v>
      </c>
      <c r="D3575" t="s">
        <v>15</v>
      </c>
      <c r="E3575" t="s">
        <v>39</v>
      </c>
      <c r="F3575" t="s">
        <v>119</v>
      </c>
      <c r="G3575" t="s">
        <v>18</v>
      </c>
      <c r="H3575" t="s">
        <v>35</v>
      </c>
      <c r="I3575" t="s">
        <v>45</v>
      </c>
      <c r="J3575" t="s">
        <v>21</v>
      </c>
      <c r="K3575">
        <v>48</v>
      </c>
      <c r="L3575">
        <v>12.21</v>
      </c>
      <c r="M3575">
        <v>5</v>
      </c>
      <c r="N3575" t="s">
        <v>22</v>
      </c>
      <c r="O3575" t="str">
        <f t="shared" si="55"/>
        <v>No</v>
      </c>
    </row>
    <row r="3576" spans="1:15" x14ac:dyDescent="0.25">
      <c r="A3576" t="s">
        <v>3637</v>
      </c>
      <c r="B3576" s="1">
        <v>45830</v>
      </c>
      <c r="C3576" s="2">
        <v>45830.274583333332</v>
      </c>
      <c r="D3576" t="s">
        <v>38</v>
      </c>
      <c r="E3576" t="s">
        <v>45</v>
      </c>
      <c r="F3576" t="s">
        <v>50</v>
      </c>
      <c r="G3576" t="s">
        <v>41</v>
      </c>
      <c r="H3576" t="s">
        <v>27</v>
      </c>
      <c r="I3576" t="s">
        <v>36</v>
      </c>
      <c r="J3576" t="s">
        <v>29</v>
      </c>
      <c r="K3576">
        <v>8</v>
      </c>
      <c r="L3576">
        <v>6.59</v>
      </c>
      <c r="M3576">
        <v>3.6</v>
      </c>
      <c r="N3576" t="s">
        <v>22</v>
      </c>
      <c r="O3576" t="str">
        <f t="shared" si="55"/>
        <v>No</v>
      </c>
    </row>
    <row r="3577" spans="1:15" x14ac:dyDescent="0.25">
      <c r="A3577" t="s">
        <v>3638</v>
      </c>
      <c r="B3577" s="1">
        <v>45782</v>
      </c>
      <c r="C3577" s="2">
        <v>45782.807500000003</v>
      </c>
      <c r="D3577" t="s">
        <v>24</v>
      </c>
      <c r="E3577" t="s">
        <v>39</v>
      </c>
      <c r="F3577" t="s">
        <v>40</v>
      </c>
      <c r="G3577" t="s">
        <v>41</v>
      </c>
      <c r="H3577" t="s">
        <v>27</v>
      </c>
      <c r="I3577" t="s">
        <v>20</v>
      </c>
      <c r="J3577" t="s">
        <v>21</v>
      </c>
      <c r="K3577">
        <v>24</v>
      </c>
      <c r="L3577">
        <v>19.38</v>
      </c>
      <c r="M3577">
        <v>3.5</v>
      </c>
      <c r="N3577" t="s">
        <v>22</v>
      </c>
      <c r="O3577" t="str">
        <f t="shared" si="55"/>
        <v>No</v>
      </c>
    </row>
    <row r="3578" spans="1:15" x14ac:dyDescent="0.25">
      <c r="A3578" t="s">
        <v>3639</v>
      </c>
      <c r="B3578" s="1">
        <v>45774</v>
      </c>
      <c r="C3578" s="2">
        <v>45774.138333333336</v>
      </c>
      <c r="D3578" t="s">
        <v>24</v>
      </c>
      <c r="E3578" t="s">
        <v>32</v>
      </c>
      <c r="F3578" t="s">
        <v>33</v>
      </c>
      <c r="G3578" t="s">
        <v>51</v>
      </c>
      <c r="H3578" t="s">
        <v>35</v>
      </c>
      <c r="I3578" t="s">
        <v>45</v>
      </c>
      <c r="J3578" t="s">
        <v>21</v>
      </c>
      <c r="K3578">
        <v>24</v>
      </c>
      <c r="L3578">
        <v>3.32</v>
      </c>
      <c r="M3578">
        <v>4.2</v>
      </c>
      <c r="N3578" t="s">
        <v>22</v>
      </c>
      <c r="O3578" t="str">
        <f t="shared" si="55"/>
        <v>No</v>
      </c>
    </row>
    <row r="3579" spans="1:15" x14ac:dyDescent="0.25">
      <c r="A3579" t="s">
        <v>3640</v>
      </c>
      <c r="B3579" s="1">
        <v>45813</v>
      </c>
      <c r="C3579" s="2">
        <v>45814.166666666664</v>
      </c>
      <c r="D3579" t="s">
        <v>24</v>
      </c>
      <c r="E3579" t="s">
        <v>16</v>
      </c>
      <c r="F3579" t="s">
        <v>60</v>
      </c>
      <c r="G3579" t="s">
        <v>51</v>
      </c>
      <c r="H3579" t="s">
        <v>65</v>
      </c>
      <c r="I3579" t="s">
        <v>36</v>
      </c>
      <c r="J3579" t="s">
        <v>21</v>
      </c>
      <c r="K3579">
        <v>24</v>
      </c>
      <c r="L3579">
        <v>28</v>
      </c>
      <c r="M3579">
        <v>3.2</v>
      </c>
      <c r="N3579" t="s">
        <v>22</v>
      </c>
      <c r="O3579" t="str">
        <f t="shared" si="55"/>
        <v>Yes</v>
      </c>
    </row>
    <row r="3580" spans="1:15" x14ac:dyDescent="0.25">
      <c r="A3580" t="s">
        <v>3641</v>
      </c>
      <c r="B3580" s="1">
        <v>45817</v>
      </c>
      <c r="C3580" s="2">
        <v>45820.64166666667</v>
      </c>
      <c r="D3580" t="s">
        <v>15</v>
      </c>
      <c r="E3580" t="s">
        <v>32</v>
      </c>
      <c r="F3580" t="s">
        <v>80</v>
      </c>
      <c r="G3580" t="s">
        <v>18</v>
      </c>
      <c r="H3580" t="s">
        <v>65</v>
      </c>
      <c r="I3580" t="s">
        <v>36</v>
      </c>
      <c r="J3580" t="s">
        <v>21</v>
      </c>
      <c r="K3580">
        <v>48</v>
      </c>
      <c r="L3580">
        <v>87.4</v>
      </c>
      <c r="M3580">
        <v>4.2</v>
      </c>
      <c r="N3580" t="s">
        <v>22</v>
      </c>
      <c r="O3580" t="str">
        <f t="shared" si="55"/>
        <v>Yes</v>
      </c>
    </row>
    <row r="3581" spans="1:15" x14ac:dyDescent="0.25">
      <c r="A3581" t="s">
        <v>3642</v>
      </c>
      <c r="B3581" s="1">
        <v>45672</v>
      </c>
      <c r="C3581" s="2">
        <v>45672.032916666663</v>
      </c>
      <c r="D3581" t="s">
        <v>38</v>
      </c>
      <c r="E3581" t="s">
        <v>25</v>
      </c>
      <c r="F3581" t="s">
        <v>70</v>
      </c>
      <c r="G3581" t="s">
        <v>18</v>
      </c>
      <c r="H3581" t="s">
        <v>44</v>
      </c>
      <c r="I3581" t="s">
        <v>45</v>
      </c>
      <c r="J3581" t="s">
        <v>29</v>
      </c>
      <c r="K3581">
        <v>8</v>
      </c>
      <c r="L3581">
        <v>0.79</v>
      </c>
      <c r="M3581">
        <v>5</v>
      </c>
      <c r="N3581" t="s">
        <v>22</v>
      </c>
      <c r="O3581" t="str">
        <f t="shared" si="55"/>
        <v>No</v>
      </c>
    </row>
    <row r="3582" spans="1:15" x14ac:dyDescent="0.25">
      <c r="A3582" t="s">
        <v>3643</v>
      </c>
      <c r="B3582" s="1">
        <v>45817</v>
      </c>
      <c r="C3582" s="2">
        <v>45818.866249999999</v>
      </c>
      <c r="D3582" t="s">
        <v>15</v>
      </c>
      <c r="E3582" t="s">
        <v>16</v>
      </c>
      <c r="F3582" t="s">
        <v>60</v>
      </c>
      <c r="G3582" t="s">
        <v>56</v>
      </c>
      <c r="H3582" t="s">
        <v>65</v>
      </c>
      <c r="I3582" t="s">
        <v>36</v>
      </c>
      <c r="J3582" t="s">
        <v>21</v>
      </c>
      <c r="K3582">
        <v>48</v>
      </c>
      <c r="L3582">
        <v>44.79</v>
      </c>
      <c r="M3582">
        <v>3.7</v>
      </c>
      <c r="N3582" t="s">
        <v>22</v>
      </c>
      <c r="O3582" t="str">
        <f t="shared" si="55"/>
        <v>No</v>
      </c>
    </row>
    <row r="3583" spans="1:15" x14ac:dyDescent="0.25">
      <c r="A3583" t="s">
        <v>3644</v>
      </c>
      <c r="B3583" s="1">
        <v>45796</v>
      </c>
      <c r="C3583" s="2">
        <v>45797.313750000001</v>
      </c>
      <c r="D3583" t="s">
        <v>15</v>
      </c>
      <c r="E3583" t="s">
        <v>16</v>
      </c>
      <c r="F3583" t="s">
        <v>17</v>
      </c>
      <c r="G3583" t="s">
        <v>51</v>
      </c>
      <c r="H3583" t="s">
        <v>44</v>
      </c>
      <c r="I3583" t="s">
        <v>36</v>
      </c>
      <c r="J3583" t="s">
        <v>46</v>
      </c>
      <c r="K3583">
        <v>48</v>
      </c>
      <c r="L3583">
        <v>31.53</v>
      </c>
      <c r="M3583">
        <v>3.9</v>
      </c>
      <c r="N3583" t="s">
        <v>22</v>
      </c>
      <c r="O3583" t="str">
        <f t="shared" si="55"/>
        <v>No</v>
      </c>
    </row>
    <row r="3584" spans="1:15" x14ac:dyDescent="0.25">
      <c r="A3584" t="s">
        <v>3645</v>
      </c>
      <c r="B3584" s="1">
        <v>45695</v>
      </c>
      <c r="C3584" s="2">
        <v>45695.60833333333</v>
      </c>
      <c r="D3584" t="s">
        <v>24</v>
      </c>
      <c r="E3584" t="s">
        <v>32</v>
      </c>
      <c r="F3584" t="s">
        <v>33</v>
      </c>
      <c r="G3584" t="s">
        <v>56</v>
      </c>
      <c r="H3584" t="s">
        <v>35</v>
      </c>
      <c r="I3584" t="s">
        <v>36</v>
      </c>
      <c r="J3584" t="s">
        <v>21</v>
      </c>
      <c r="K3584">
        <v>24</v>
      </c>
      <c r="L3584">
        <v>14.6</v>
      </c>
      <c r="M3584">
        <v>2.9</v>
      </c>
      <c r="N3584" t="s">
        <v>22</v>
      </c>
      <c r="O3584" t="str">
        <f t="shared" si="55"/>
        <v>No</v>
      </c>
    </row>
    <row r="3585" spans="1:15" x14ac:dyDescent="0.25">
      <c r="A3585" t="s">
        <v>3646</v>
      </c>
      <c r="B3585" s="1">
        <v>45713</v>
      </c>
      <c r="C3585" s="2">
        <v>45715.431666666664</v>
      </c>
      <c r="D3585" t="s">
        <v>15</v>
      </c>
      <c r="E3585" t="s">
        <v>16</v>
      </c>
      <c r="F3585" t="s">
        <v>60</v>
      </c>
      <c r="G3585" t="s">
        <v>56</v>
      </c>
      <c r="H3585" t="s">
        <v>19</v>
      </c>
      <c r="I3585" t="s">
        <v>45</v>
      </c>
      <c r="J3585" t="s">
        <v>21</v>
      </c>
      <c r="K3585">
        <v>48</v>
      </c>
      <c r="L3585">
        <v>58.36</v>
      </c>
      <c r="M3585">
        <v>2.9</v>
      </c>
      <c r="N3585" t="s">
        <v>22</v>
      </c>
      <c r="O3585" t="str">
        <f t="shared" si="55"/>
        <v>Yes</v>
      </c>
    </row>
    <row r="3586" spans="1:15" x14ac:dyDescent="0.25">
      <c r="A3586" t="s">
        <v>3647</v>
      </c>
      <c r="B3586" s="1">
        <v>45794</v>
      </c>
      <c r="C3586" s="2">
        <v>45795.294999999998</v>
      </c>
      <c r="D3586" t="s">
        <v>15</v>
      </c>
      <c r="E3586" t="s">
        <v>39</v>
      </c>
      <c r="F3586" t="s">
        <v>87</v>
      </c>
      <c r="G3586" t="s">
        <v>41</v>
      </c>
      <c r="H3586" t="s">
        <v>27</v>
      </c>
      <c r="I3586" t="s">
        <v>36</v>
      </c>
      <c r="J3586" t="s">
        <v>85</v>
      </c>
      <c r="K3586">
        <v>48</v>
      </c>
      <c r="L3586">
        <v>31.08</v>
      </c>
      <c r="M3586">
        <v>3.7</v>
      </c>
      <c r="N3586" t="s">
        <v>22</v>
      </c>
      <c r="O3586" t="str">
        <f t="shared" si="55"/>
        <v>No</v>
      </c>
    </row>
    <row r="3587" spans="1:15" x14ac:dyDescent="0.25">
      <c r="A3587" t="s">
        <v>3648</v>
      </c>
      <c r="B3587" s="1">
        <v>45697</v>
      </c>
      <c r="C3587" s="2">
        <v>45697.209583333337</v>
      </c>
      <c r="D3587" t="s">
        <v>38</v>
      </c>
      <c r="E3587" t="s">
        <v>45</v>
      </c>
      <c r="F3587" t="s">
        <v>104</v>
      </c>
      <c r="G3587" t="s">
        <v>56</v>
      </c>
      <c r="H3587" t="s">
        <v>54</v>
      </c>
      <c r="I3587" t="s">
        <v>45</v>
      </c>
      <c r="J3587" t="s">
        <v>46</v>
      </c>
      <c r="K3587">
        <v>8</v>
      </c>
      <c r="L3587">
        <v>5.03</v>
      </c>
      <c r="M3587">
        <v>4</v>
      </c>
      <c r="N3587" t="s">
        <v>22</v>
      </c>
      <c r="O3587" t="str">
        <f t="shared" ref="O3587:O3650" si="56">IF(L3587&gt;K3587,"Yes","No")</f>
        <v>No</v>
      </c>
    </row>
    <row r="3588" spans="1:15" x14ac:dyDescent="0.25">
      <c r="A3588" t="s">
        <v>3649</v>
      </c>
      <c r="B3588" s="1">
        <v>45739</v>
      </c>
      <c r="C3588" s="2">
        <v>45739.374166666668</v>
      </c>
      <c r="D3588" t="s">
        <v>24</v>
      </c>
      <c r="E3588" t="s">
        <v>25</v>
      </c>
      <c r="F3588" t="s">
        <v>70</v>
      </c>
      <c r="G3588" t="s">
        <v>51</v>
      </c>
      <c r="H3588" t="s">
        <v>65</v>
      </c>
      <c r="I3588" t="s">
        <v>36</v>
      </c>
      <c r="J3588" t="s">
        <v>85</v>
      </c>
      <c r="K3588">
        <v>24</v>
      </c>
      <c r="L3588">
        <v>8.98</v>
      </c>
      <c r="M3588">
        <v>4.2</v>
      </c>
      <c r="N3588" t="s">
        <v>22</v>
      </c>
      <c r="O3588" t="str">
        <f t="shared" si="56"/>
        <v>No</v>
      </c>
    </row>
    <row r="3589" spans="1:15" x14ac:dyDescent="0.25">
      <c r="A3589" t="s">
        <v>3650</v>
      </c>
      <c r="B3589" s="1">
        <v>45782</v>
      </c>
      <c r="C3589" s="2">
        <v>45784.512916666667</v>
      </c>
      <c r="D3589" t="s">
        <v>15</v>
      </c>
      <c r="E3589" t="s">
        <v>16</v>
      </c>
      <c r="F3589" t="s">
        <v>17</v>
      </c>
      <c r="G3589" t="s">
        <v>56</v>
      </c>
      <c r="H3589" t="s">
        <v>44</v>
      </c>
      <c r="I3589" t="s">
        <v>45</v>
      </c>
      <c r="J3589" t="s">
        <v>21</v>
      </c>
      <c r="K3589">
        <v>48</v>
      </c>
      <c r="L3589">
        <v>60.31</v>
      </c>
      <c r="M3589">
        <v>3.6</v>
      </c>
      <c r="N3589" t="s">
        <v>22</v>
      </c>
      <c r="O3589" t="str">
        <f t="shared" si="56"/>
        <v>Yes</v>
      </c>
    </row>
    <row r="3590" spans="1:15" x14ac:dyDescent="0.25">
      <c r="A3590" t="s">
        <v>3651</v>
      </c>
      <c r="B3590" s="1">
        <v>45775</v>
      </c>
      <c r="C3590" s="2">
        <v>45775.132916666669</v>
      </c>
      <c r="D3590" t="s">
        <v>24</v>
      </c>
      <c r="E3590" t="s">
        <v>25</v>
      </c>
      <c r="F3590" t="s">
        <v>70</v>
      </c>
      <c r="G3590" t="s">
        <v>34</v>
      </c>
      <c r="H3590" t="s">
        <v>54</v>
      </c>
      <c r="I3590" t="s">
        <v>36</v>
      </c>
      <c r="J3590" t="s">
        <v>46</v>
      </c>
      <c r="K3590">
        <v>24</v>
      </c>
      <c r="L3590">
        <v>3.19</v>
      </c>
      <c r="M3590">
        <v>5</v>
      </c>
      <c r="N3590" t="s">
        <v>22</v>
      </c>
      <c r="O3590" t="str">
        <f t="shared" si="56"/>
        <v>No</v>
      </c>
    </row>
    <row r="3591" spans="1:15" x14ac:dyDescent="0.25">
      <c r="A3591" t="s">
        <v>3652</v>
      </c>
      <c r="B3591" s="1">
        <v>45822</v>
      </c>
      <c r="C3591" s="2">
        <v>45822.351666666669</v>
      </c>
      <c r="D3591" t="s">
        <v>38</v>
      </c>
      <c r="E3591" t="s">
        <v>16</v>
      </c>
      <c r="F3591" t="s">
        <v>60</v>
      </c>
      <c r="G3591" t="s">
        <v>51</v>
      </c>
      <c r="H3591" t="s">
        <v>44</v>
      </c>
      <c r="I3591" t="s">
        <v>36</v>
      </c>
      <c r="J3591" t="s">
        <v>46</v>
      </c>
      <c r="K3591">
        <v>8</v>
      </c>
      <c r="L3591">
        <v>8.44</v>
      </c>
      <c r="M3591">
        <v>3.3</v>
      </c>
      <c r="N3591" t="s">
        <v>22</v>
      </c>
      <c r="O3591" t="str">
        <f t="shared" si="56"/>
        <v>Yes</v>
      </c>
    </row>
    <row r="3592" spans="1:15" x14ac:dyDescent="0.25">
      <c r="A3592" t="s">
        <v>3653</v>
      </c>
      <c r="B3592" s="1">
        <v>45678</v>
      </c>
      <c r="C3592" s="2">
        <v>45678.576249999998</v>
      </c>
      <c r="D3592" t="s">
        <v>15</v>
      </c>
      <c r="E3592" t="s">
        <v>16</v>
      </c>
      <c r="F3592" t="s">
        <v>43</v>
      </c>
      <c r="G3592" t="s">
        <v>34</v>
      </c>
      <c r="H3592" t="s">
        <v>19</v>
      </c>
      <c r="I3592" t="s">
        <v>45</v>
      </c>
      <c r="J3592" t="s">
        <v>46</v>
      </c>
      <c r="K3592">
        <v>48</v>
      </c>
      <c r="L3592">
        <v>13.83</v>
      </c>
      <c r="M3592">
        <v>5</v>
      </c>
      <c r="N3592" t="s">
        <v>61</v>
      </c>
      <c r="O3592" t="str">
        <f t="shared" si="56"/>
        <v>No</v>
      </c>
    </row>
    <row r="3593" spans="1:15" x14ac:dyDescent="0.25">
      <c r="A3593" t="s">
        <v>3654</v>
      </c>
      <c r="B3593" s="1">
        <v>45711</v>
      </c>
      <c r="C3593" s="2">
        <v>45712.053738425922</v>
      </c>
      <c r="D3593" t="s">
        <v>15</v>
      </c>
      <c r="E3593" t="s">
        <v>32</v>
      </c>
      <c r="F3593" t="s">
        <v>75</v>
      </c>
      <c r="G3593" t="s">
        <v>56</v>
      </c>
      <c r="H3593" t="s">
        <v>65</v>
      </c>
      <c r="I3593" t="s">
        <v>45</v>
      </c>
      <c r="J3593" t="s">
        <v>21</v>
      </c>
      <c r="K3593">
        <v>48</v>
      </c>
      <c r="L3593">
        <v>25.29</v>
      </c>
      <c r="M3593">
        <v>4.5999999999999996</v>
      </c>
      <c r="N3593" t="s">
        <v>61</v>
      </c>
      <c r="O3593" t="str">
        <f t="shared" si="56"/>
        <v>No</v>
      </c>
    </row>
    <row r="3594" spans="1:15" x14ac:dyDescent="0.25">
      <c r="A3594" t="s">
        <v>3655</v>
      </c>
      <c r="B3594" s="1">
        <v>45836</v>
      </c>
      <c r="C3594" s="2">
        <v>45836.230833333335</v>
      </c>
      <c r="D3594" t="s">
        <v>24</v>
      </c>
      <c r="E3594" t="s">
        <v>16</v>
      </c>
      <c r="F3594" t="s">
        <v>60</v>
      </c>
      <c r="G3594" t="s">
        <v>56</v>
      </c>
      <c r="H3594" t="s">
        <v>35</v>
      </c>
      <c r="I3594" t="s">
        <v>36</v>
      </c>
      <c r="J3594" t="s">
        <v>21</v>
      </c>
      <c r="K3594">
        <v>24</v>
      </c>
      <c r="L3594">
        <v>5.54</v>
      </c>
      <c r="M3594">
        <v>5</v>
      </c>
      <c r="N3594" t="s">
        <v>22</v>
      </c>
      <c r="O3594" t="str">
        <f t="shared" si="56"/>
        <v>No</v>
      </c>
    </row>
    <row r="3595" spans="1:15" x14ac:dyDescent="0.25">
      <c r="A3595" t="s">
        <v>3656</v>
      </c>
      <c r="B3595" s="1">
        <v>45760</v>
      </c>
      <c r="C3595" s="2">
        <v>45760.409583333334</v>
      </c>
      <c r="D3595" t="s">
        <v>24</v>
      </c>
      <c r="E3595" t="s">
        <v>39</v>
      </c>
      <c r="F3595" t="s">
        <v>40</v>
      </c>
      <c r="G3595" t="s">
        <v>56</v>
      </c>
      <c r="H3595" t="s">
        <v>65</v>
      </c>
      <c r="I3595" t="s">
        <v>45</v>
      </c>
      <c r="J3595" t="s">
        <v>21</v>
      </c>
      <c r="K3595">
        <v>24</v>
      </c>
      <c r="L3595">
        <v>9.83</v>
      </c>
      <c r="M3595">
        <v>4.2</v>
      </c>
      <c r="N3595" t="s">
        <v>22</v>
      </c>
      <c r="O3595" t="str">
        <f t="shared" si="56"/>
        <v>No</v>
      </c>
    </row>
    <row r="3596" spans="1:15" x14ac:dyDescent="0.25">
      <c r="A3596" t="s">
        <v>3657</v>
      </c>
      <c r="B3596" s="1">
        <v>45703</v>
      </c>
      <c r="C3596" s="2">
        <v>45703.044166666667</v>
      </c>
      <c r="D3596" t="s">
        <v>31</v>
      </c>
      <c r="E3596" t="s">
        <v>32</v>
      </c>
      <c r="F3596" t="s">
        <v>80</v>
      </c>
      <c r="G3596" t="s">
        <v>18</v>
      </c>
      <c r="H3596" t="s">
        <v>44</v>
      </c>
      <c r="I3596" t="s">
        <v>20</v>
      </c>
      <c r="J3596" t="s">
        <v>46</v>
      </c>
      <c r="K3596">
        <v>4</v>
      </c>
      <c r="L3596">
        <v>1.06</v>
      </c>
      <c r="M3596">
        <v>5</v>
      </c>
      <c r="N3596" t="s">
        <v>22</v>
      </c>
      <c r="O3596" t="str">
        <f t="shared" si="56"/>
        <v>No</v>
      </c>
    </row>
    <row r="3597" spans="1:15" x14ac:dyDescent="0.25">
      <c r="A3597" t="s">
        <v>3658</v>
      </c>
      <c r="B3597" s="1">
        <v>45710</v>
      </c>
      <c r="C3597" s="2">
        <v>45710.442083333335</v>
      </c>
      <c r="D3597" t="s">
        <v>24</v>
      </c>
      <c r="E3597" t="s">
        <v>25</v>
      </c>
      <c r="F3597" t="s">
        <v>70</v>
      </c>
      <c r="G3597" t="s">
        <v>56</v>
      </c>
      <c r="H3597" t="s">
        <v>54</v>
      </c>
      <c r="I3597" t="s">
        <v>36</v>
      </c>
      <c r="J3597" t="s">
        <v>46</v>
      </c>
      <c r="K3597">
        <v>24</v>
      </c>
      <c r="L3597">
        <v>10.61</v>
      </c>
      <c r="M3597">
        <v>4.8</v>
      </c>
      <c r="N3597" t="s">
        <v>22</v>
      </c>
      <c r="O3597" t="str">
        <f t="shared" si="56"/>
        <v>No</v>
      </c>
    </row>
    <row r="3598" spans="1:15" x14ac:dyDescent="0.25">
      <c r="A3598" t="s">
        <v>3659</v>
      </c>
      <c r="B3598" s="1">
        <v>45719</v>
      </c>
      <c r="C3598" s="2">
        <v>45721.213333333333</v>
      </c>
      <c r="D3598" t="s">
        <v>15</v>
      </c>
      <c r="E3598" t="s">
        <v>32</v>
      </c>
      <c r="F3598" t="s">
        <v>75</v>
      </c>
      <c r="G3598" t="s">
        <v>41</v>
      </c>
      <c r="H3598" t="s">
        <v>65</v>
      </c>
      <c r="I3598" t="s">
        <v>45</v>
      </c>
      <c r="J3598" t="s">
        <v>46</v>
      </c>
      <c r="K3598">
        <v>48</v>
      </c>
      <c r="L3598">
        <v>53.12</v>
      </c>
      <c r="M3598">
        <v>4.5999999999999996</v>
      </c>
      <c r="N3598" t="s">
        <v>22</v>
      </c>
      <c r="O3598" t="str">
        <f t="shared" si="56"/>
        <v>Yes</v>
      </c>
    </row>
    <row r="3599" spans="1:15" x14ac:dyDescent="0.25">
      <c r="A3599" t="s">
        <v>3660</v>
      </c>
      <c r="B3599" s="1">
        <v>45758</v>
      </c>
      <c r="C3599" s="2">
        <v>45758.366249999999</v>
      </c>
      <c r="D3599" t="s">
        <v>24</v>
      </c>
      <c r="E3599" t="s">
        <v>16</v>
      </c>
      <c r="F3599" t="s">
        <v>43</v>
      </c>
      <c r="G3599" t="s">
        <v>56</v>
      </c>
      <c r="H3599" t="s">
        <v>27</v>
      </c>
      <c r="I3599" t="s">
        <v>36</v>
      </c>
      <c r="J3599" t="s">
        <v>21</v>
      </c>
      <c r="K3599">
        <v>24</v>
      </c>
      <c r="L3599">
        <v>8.7899999999999991</v>
      </c>
      <c r="M3599">
        <v>5</v>
      </c>
      <c r="N3599" t="s">
        <v>22</v>
      </c>
      <c r="O3599" t="str">
        <f t="shared" si="56"/>
        <v>No</v>
      </c>
    </row>
    <row r="3600" spans="1:15" x14ac:dyDescent="0.25">
      <c r="A3600" t="s">
        <v>3661</v>
      </c>
      <c r="B3600" s="1">
        <v>45709</v>
      </c>
      <c r="C3600" s="2">
        <v>45709.779166666667</v>
      </c>
      <c r="D3600" t="s">
        <v>24</v>
      </c>
      <c r="E3600" t="s">
        <v>32</v>
      </c>
      <c r="F3600" t="s">
        <v>80</v>
      </c>
      <c r="G3600" t="s">
        <v>41</v>
      </c>
      <c r="H3600" t="s">
        <v>65</v>
      </c>
      <c r="I3600" t="s">
        <v>20</v>
      </c>
      <c r="J3600" t="s">
        <v>46</v>
      </c>
      <c r="K3600">
        <v>24</v>
      </c>
      <c r="L3600">
        <v>18.7</v>
      </c>
      <c r="M3600">
        <v>4.5999999999999996</v>
      </c>
      <c r="N3600" t="s">
        <v>22</v>
      </c>
      <c r="O3600" t="str">
        <f t="shared" si="56"/>
        <v>No</v>
      </c>
    </row>
    <row r="3601" spans="1:15" x14ac:dyDescent="0.25">
      <c r="A3601" t="s">
        <v>3662</v>
      </c>
      <c r="B3601" s="1">
        <v>45770</v>
      </c>
      <c r="C3601" s="2">
        <v>45770.667500000003</v>
      </c>
      <c r="D3601" t="s">
        <v>15</v>
      </c>
      <c r="E3601" t="s">
        <v>39</v>
      </c>
      <c r="F3601" t="s">
        <v>119</v>
      </c>
      <c r="G3601" t="s">
        <v>56</v>
      </c>
      <c r="H3601" t="s">
        <v>19</v>
      </c>
      <c r="I3601" t="s">
        <v>36</v>
      </c>
      <c r="J3601" t="s">
        <v>21</v>
      </c>
      <c r="K3601">
        <v>48</v>
      </c>
      <c r="L3601">
        <v>16.02</v>
      </c>
      <c r="M3601">
        <v>4.3</v>
      </c>
      <c r="N3601" t="s">
        <v>22</v>
      </c>
      <c r="O3601" t="str">
        <f t="shared" si="56"/>
        <v>No</v>
      </c>
    </row>
    <row r="3602" spans="1:15" x14ac:dyDescent="0.25">
      <c r="A3602" t="s">
        <v>3663</v>
      </c>
      <c r="B3602" s="1">
        <v>45738</v>
      </c>
      <c r="C3602" s="2">
        <v>45738.265416666669</v>
      </c>
      <c r="D3602" t="s">
        <v>24</v>
      </c>
      <c r="E3602" t="s">
        <v>25</v>
      </c>
      <c r="F3602" t="s">
        <v>70</v>
      </c>
      <c r="G3602" t="s">
        <v>34</v>
      </c>
      <c r="H3602" t="s">
        <v>54</v>
      </c>
      <c r="I3602" t="s">
        <v>28</v>
      </c>
      <c r="J3602" t="s">
        <v>29</v>
      </c>
      <c r="K3602">
        <v>24</v>
      </c>
      <c r="L3602">
        <v>6.37</v>
      </c>
      <c r="M3602">
        <v>5</v>
      </c>
      <c r="N3602" t="s">
        <v>22</v>
      </c>
      <c r="O3602" t="str">
        <f t="shared" si="56"/>
        <v>No</v>
      </c>
    </row>
    <row r="3603" spans="1:15" x14ac:dyDescent="0.25">
      <c r="A3603" t="s">
        <v>3664</v>
      </c>
      <c r="B3603" s="1">
        <v>45768</v>
      </c>
      <c r="C3603" s="2">
        <v>45769.118750000001</v>
      </c>
      <c r="D3603" t="s">
        <v>15</v>
      </c>
      <c r="E3603" t="s">
        <v>32</v>
      </c>
      <c r="F3603" t="s">
        <v>75</v>
      </c>
      <c r="G3603" t="s">
        <v>56</v>
      </c>
      <c r="H3603" t="s">
        <v>35</v>
      </c>
      <c r="I3603" t="s">
        <v>45</v>
      </c>
      <c r="J3603" t="s">
        <v>21</v>
      </c>
      <c r="K3603">
        <v>48</v>
      </c>
      <c r="L3603">
        <v>26.85</v>
      </c>
      <c r="M3603">
        <v>3.5</v>
      </c>
      <c r="N3603" t="s">
        <v>22</v>
      </c>
      <c r="O3603" t="str">
        <f t="shared" si="56"/>
        <v>No</v>
      </c>
    </row>
    <row r="3604" spans="1:15" x14ac:dyDescent="0.25">
      <c r="A3604" t="s">
        <v>3665</v>
      </c>
      <c r="B3604" s="1">
        <v>45686</v>
      </c>
      <c r="C3604" s="2">
        <v>45686.020833333336</v>
      </c>
      <c r="D3604" t="s">
        <v>38</v>
      </c>
      <c r="E3604" t="s">
        <v>16</v>
      </c>
      <c r="F3604" t="s">
        <v>17</v>
      </c>
      <c r="G3604" t="s">
        <v>51</v>
      </c>
      <c r="H3604" t="s">
        <v>54</v>
      </c>
      <c r="I3604" t="s">
        <v>45</v>
      </c>
      <c r="J3604" t="s">
        <v>46</v>
      </c>
      <c r="K3604">
        <v>8</v>
      </c>
      <c r="L3604">
        <v>0.5</v>
      </c>
      <c r="M3604">
        <v>4.5999999999999996</v>
      </c>
      <c r="N3604" t="s">
        <v>22</v>
      </c>
      <c r="O3604" t="str">
        <f t="shared" si="56"/>
        <v>No</v>
      </c>
    </row>
    <row r="3605" spans="1:15" x14ac:dyDescent="0.25">
      <c r="A3605" t="s">
        <v>3666</v>
      </c>
      <c r="B3605" s="1">
        <v>45770</v>
      </c>
      <c r="C3605" s="2">
        <v>45770.116249999999</v>
      </c>
      <c r="D3605" t="s">
        <v>38</v>
      </c>
      <c r="E3605" t="s">
        <v>16</v>
      </c>
      <c r="F3605" t="s">
        <v>58</v>
      </c>
      <c r="G3605" t="s">
        <v>56</v>
      </c>
      <c r="H3605" t="s">
        <v>19</v>
      </c>
      <c r="I3605" t="s">
        <v>36</v>
      </c>
      <c r="J3605" t="s">
        <v>21</v>
      </c>
      <c r="K3605">
        <v>8</v>
      </c>
      <c r="L3605">
        <v>2.79</v>
      </c>
      <c r="M3605">
        <v>4.8</v>
      </c>
      <c r="N3605" t="s">
        <v>22</v>
      </c>
      <c r="O3605" t="str">
        <f t="shared" si="56"/>
        <v>No</v>
      </c>
    </row>
    <row r="3606" spans="1:15" x14ac:dyDescent="0.25">
      <c r="A3606" t="s">
        <v>3667</v>
      </c>
      <c r="B3606" s="1">
        <v>45825</v>
      </c>
      <c r="C3606" s="2">
        <v>45826.279583333337</v>
      </c>
      <c r="D3606" t="s">
        <v>24</v>
      </c>
      <c r="E3606" t="s">
        <v>25</v>
      </c>
      <c r="F3606" t="s">
        <v>70</v>
      </c>
      <c r="G3606" t="s">
        <v>34</v>
      </c>
      <c r="H3606" t="s">
        <v>27</v>
      </c>
      <c r="I3606" t="s">
        <v>45</v>
      </c>
      <c r="J3606" t="s">
        <v>21</v>
      </c>
      <c r="K3606">
        <v>24</v>
      </c>
      <c r="L3606">
        <v>30.71</v>
      </c>
      <c r="M3606">
        <v>2.7</v>
      </c>
      <c r="N3606" t="s">
        <v>22</v>
      </c>
      <c r="O3606" t="str">
        <f t="shared" si="56"/>
        <v>Yes</v>
      </c>
    </row>
    <row r="3607" spans="1:15" x14ac:dyDescent="0.25">
      <c r="A3607" t="s">
        <v>3668</v>
      </c>
      <c r="B3607" s="1">
        <v>45682</v>
      </c>
      <c r="C3607" s="2">
        <v>45682.124166666668</v>
      </c>
      <c r="D3607" t="s">
        <v>31</v>
      </c>
      <c r="E3607" t="s">
        <v>32</v>
      </c>
      <c r="F3607" t="s">
        <v>64</v>
      </c>
      <c r="G3607" t="s">
        <v>18</v>
      </c>
      <c r="H3607" t="s">
        <v>19</v>
      </c>
      <c r="I3607" t="s">
        <v>36</v>
      </c>
      <c r="J3607" t="s">
        <v>21</v>
      </c>
      <c r="K3607">
        <v>4</v>
      </c>
      <c r="L3607">
        <v>2.98</v>
      </c>
      <c r="M3607">
        <v>3.5</v>
      </c>
      <c r="N3607" t="s">
        <v>22</v>
      </c>
      <c r="O3607" t="str">
        <f t="shared" si="56"/>
        <v>No</v>
      </c>
    </row>
    <row r="3608" spans="1:15" x14ac:dyDescent="0.25">
      <c r="A3608" t="s">
        <v>3669</v>
      </c>
      <c r="B3608" s="1">
        <v>45717</v>
      </c>
      <c r="C3608" s="2">
        <v>45717.089166666665</v>
      </c>
      <c r="D3608" t="s">
        <v>31</v>
      </c>
      <c r="E3608" t="s">
        <v>25</v>
      </c>
      <c r="F3608" t="s">
        <v>26</v>
      </c>
      <c r="G3608" t="s">
        <v>34</v>
      </c>
      <c r="H3608" t="s">
        <v>19</v>
      </c>
      <c r="I3608" t="s">
        <v>36</v>
      </c>
      <c r="J3608" t="s">
        <v>21</v>
      </c>
      <c r="K3608">
        <v>4</v>
      </c>
      <c r="L3608">
        <v>2.14</v>
      </c>
      <c r="M3608">
        <v>3.8</v>
      </c>
      <c r="N3608" t="s">
        <v>22</v>
      </c>
      <c r="O3608" t="str">
        <f t="shared" si="56"/>
        <v>No</v>
      </c>
    </row>
    <row r="3609" spans="1:15" x14ac:dyDescent="0.25">
      <c r="A3609" t="s">
        <v>3670</v>
      </c>
      <c r="B3609" s="1">
        <v>45783</v>
      </c>
      <c r="C3609" s="2">
        <v>45783.996249999997</v>
      </c>
      <c r="D3609" t="s">
        <v>15</v>
      </c>
      <c r="E3609" t="s">
        <v>39</v>
      </c>
      <c r="F3609" t="s">
        <v>87</v>
      </c>
      <c r="G3609" t="s">
        <v>51</v>
      </c>
      <c r="H3609" t="s">
        <v>19</v>
      </c>
      <c r="I3609" t="s">
        <v>36</v>
      </c>
      <c r="J3609" t="s">
        <v>21</v>
      </c>
      <c r="K3609">
        <v>48</v>
      </c>
      <c r="L3609">
        <v>23.91</v>
      </c>
      <c r="M3609">
        <v>4.5999999999999996</v>
      </c>
      <c r="N3609" t="s">
        <v>22</v>
      </c>
      <c r="O3609" t="str">
        <f t="shared" si="56"/>
        <v>No</v>
      </c>
    </row>
    <row r="3610" spans="1:15" x14ac:dyDescent="0.25">
      <c r="A3610" t="s">
        <v>3671</v>
      </c>
      <c r="B3610" s="1">
        <v>45769</v>
      </c>
      <c r="C3610" s="2">
        <v>45770.106666666667</v>
      </c>
      <c r="D3610" t="s">
        <v>24</v>
      </c>
      <c r="E3610" t="s">
        <v>39</v>
      </c>
      <c r="F3610" t="s">
        <v>87</v>
      </c>
      <c r="G3610" t="s">
        <v>34</v>
      </c>
      <c r="H3610" t="s">
        <v>35</v>
      </c>
      <c r="I3610" t="s">
        <v>45</v>
      </c>
      <c r="J3610" t="s">
        <v>21</v>
      </c>
      <c r="K3610">
        <v>24</v>
      </c>
      <c r="L3610">
        <v>26.56</v>
      </c>
      <c r="M3610">
        <v>3.6</v>
      </c>
      <c r="N3610" t="s">
        <v>22</v>
      </c>
      <c r="O3610" t="str">
        <f t="shared" si="56"/>
        <v>Yes</v>
      </c>
    </row>
    <row r="3611" spans="1:15" x14ac:dyDescent="0.25">
      <c r="A3611" t="s">
        <v>3672</v>
      </c>
      <c r="B3611" s="1">
        <v>45780</v>
      </c>
      <c r="C3611" s="2">
        <v>45780.335416666669</v>
      </c>
      <c r="D3611" t="s">
        <v>24</v>
      </c>
      <c r="E3611" t="s">
        <v>39</v>
      </c>
      <c r="F3611" t="s">
        <v>78</v>
      </c>
      <c r="G3611" t="s">
        <v>41</v>
      </c>
      <c r="H3611" t="s">
        <v>19</v>
      </c>
      <c r="I3611" t="s">
        <v>20</v>
      </c>
      <c r="J3611" t="s">
        <v>21</v>
      </c>
      <c r="K3611">
        <v>24</v>
      </c>
      <c r="L3611">
        <v>8.0500000000000007</v>
      </c>
      <c r="M3611">
        <v>5</v>
      </c>
      <c r="N3611" t="s">
        <v>22</v>
      </c>
      <c r="O3611" t="str">
        <f t="shared" si="56"/>
        <v>No</v>
      </c>
    </row>
    <row r="3612" spans="1:15" x14ac:dyDescent="0.25">
      <c r="A3612" t="s">
        <v>3673</v>
      </c>
      <c r="B3612" s="1">
        <v>45759</v>
      </c>
      <c r="C3612" s="2">
        <v>45759.85</v>
      </c>
      <c r="D3612" t="s">
        <v>15</v>
      </c>
      <c r="E3612" t="s">
        <v>39</v>
      </c>
      <c r="F3612" t="s">
        <v>119</v>
      </c>
      <c r="G3612" t="s">
        <v>34</v>
      </c>
      <c r="H3612" t="s">
        <v>35</v>
      </c>
      <c r="I3612" t="s">
        <v>28</v>
      </c>
      <c r="J3612" t="s">
        <v>29</v>
      </c>
      <c r="K3612">
        <v>48</v>
      </c>
      <c r="L3612">
        <v>20.399999999999999</v>
      </c>
      <c r="M3612">
        <v>5</v>
      </c>
      <c r="N3612" t="s">
        <v>22</v>
      </c>
      <c r="O3612" t="str">
        <f t="shared" si="56"/>
        <v>No</v>
      </c>
    </row>
    <row r="3613" spans="1:15" x14ac:dyDescent="0.25">
      <c r="A3613" t="s">
        <v>3674</v>
      </c>
      <c r="B3613" s="1">
        <v>45781</v>
      </c>
      <c r="C3613" s="2">
        <v>45781.045416666668</v>
      </c>
      <c r="D3613" t="s">
        <v>24</v>
      </c>
      <c r="E3613" t="s">
        <v>16</v>
      </c>
      <c r="F3613" t="s">
        <v>60</v>
      </c>
      <c r="G3613" t="s">
        <v>34</v>
      </c>
      <c r="H3613" t="s">
        <v>65</v>
      </c>
      <c r="I3613" t="s">
        <v>36</v>
      </c>
      <c r="J3613" t="s">
        <v>21</v>
      </c>
      <c r="K3613">
        <v>24</v>
      </c>
      <c r="L3613">
        <v>1.0900000000000001</v>
      </c>
      <c r="M3613">
        <v>5</v>
      </c>
      <c r="N3613" t="s">
        <v>22</v>
      </c>
      <c r="O3613" t="str">
        <f t="shared" si="56"/>
        <v>No</v>
      </c>
    </row>
    <row r="3614" spans="1:15" x14ac:dyDescent="0.25">
      <c r="A3614" t="s">
        <v>3675</v>
      </c>
      <c r="B3614" s="1">
        <v>45768</v>
      </c>
      <c r="C3614" s="2">
        <v>45769.002500000002</v>
      </c>
      <c r="D3614" t="s">
        <v>15</v>
      </c>
      <c r="E3614" t="s">
        <v>32</v>
      </c>
      <c r="F3614" t="s">
        <v>75</v>
      </c>
      <c r="G3614" t="s">
        <v>18</v>
      </c>
      <c r="H3614" t="s">
        <v>44</v>
      </c>
      <c r="I3614" t="s">
        <v>20</v>
      </c>
      <c r="J3614" t="s">
        <v>21</v>
      </c>
      <c r="K3614">
        <v>48</v>
      </c>
      <c r="L3614">
        <v>24.06</v>
      </c>
      <c r="M3614">
        <v>4.0999999999999996</v>
      </c>
      <c r="N3614" t="s">
        <v>22</v>
      </c>
      <c r="O3614" t="str">
        <f t="shared" si="56"/>
        <v>No</v>
      </c>
    </row>
    <row r="3615" spans="1:15" x14ac:dyDescent="0.25">
      <c r="A3615" t="s">
        <v>3676</v>
      </c>
      <c r="B3615" s="1">
        <v>45671</v>
      </c>
      <c r="C3615" s="2">
        <v>45671.129583333335</v>
      </c>
      <c r="D3615" t="s">
        <v>31</v>
      </c>
      <c r="E3615" t="s">
        <v>39</v>
      </c>
      <c r="F3615" t="s">
        <v>87</v>
      </c>
      <c r="G3615" t="s">
        <v>51</v>
      </c>
      <c r="H3615" t="s">
        <v>65</v>
      </c>
      <c r="I3615" t="s">
        <v>20</v>
      </c>
      <c r="J3615" t="s">
        <v>21</v>
      </c>
      <c r="K3615">
        <v>4</v>
      </c>
      <c r="L3615">
        <v>3.11</v>
      </c>
      <c r="M3615">
        <v>4.3</v>
      </c>
      <c r="N3615" t="s">
        <v>22</v>
      </c>
      <c r="O3615" t="str">
        <f t="shared" si="56"/>
        <v>No</v>
      </c>
    </row>
    <row r="3616" spans="1:15" x14ac:dyDescent="0.25">
      <c r="A3616" t="s">
        <v>3677</v>
      </c>
      <c r="B3616" s="1">
        <v>45793</v>
      </c>
      <c r="C3616" s="2">
        <v>45793.359583333331</v>
      </c>
      <c r="D3616" t="s">
        <v>24</v>
      </c>
      <c r="E3616" t="s">
        <v>16</v>
      </c>
      <c r="F3616" t="s">
        <v>43</v>
      </c>
      <c r="G3616" t="s">
        <v>56</v>
      </c>
      <c r="H3616" t="s">
        <v>54</v>
      </c>
      <c r="I3616" t="s">
        <v>20</v>
      </c>
      <c r="J3616" t="s">
        <v>46</v>
      </c>
      <c r="K3616">
        <v>24</v>
      </c>
      <c r="L3616">
        <v>8.6300000000000008</v>
      </c>
      <c r="M3616">
        <v>4</v>
      </c>
      <c r="N3616" t="s">
        <v>22</v>
      </c>
      <c r="O3616" t="str">
        <f t="shared" si="56"/>
        <v>No</v>
      </c>
    </row>
    <row r="3617" spans="1:15" x14ac:dyDescent="0.25">
      <c r="A3617" t="s">
        <v>3678</v>
      </c>
      <c r="B3617" s="1">
        <v>45738</v>
      </c>
      <c r="C3617" s="2">
        <v>45738.233749999999</v>
      </c>
      <c r="D3617" t="s">
        <v>38</v>
      </c>
      <c r="E3617" t="s">
        <v>16</v>
      </c>
      <c r="F3617" t="s">
        <v>17</v>
      </c>
      <c r="G3617" t="s">
        <v>41</v>
      </c>
      <c r="H3617" t="s">
        <v>44</v>
      </c>
      <c r="I3617" t="s">
        <v>20</v>
      </c>
      <c r="J3617" t="s">
        <v>21</v>
      </c>
      <c r="K3617">
        <v>8</v>
      </c>
      <c r="L3617">
        <v>5.61</v>
      </c>
      <c r="M3617">
        <v>4.0999999999999996</v>
      </c>
      <c r="N3617" t="s">
        <v>22</v>
      </c>
      <c r="O3617" t="str">
        <f t="shared" si="56"/>
        <v>No</v>
      </c>
    </row>
    <row r="3618" spans="1:15" x14ac:dyDescent="0.25">
      <c r="A3618" t="s">
        <v>3679</v>
      </c>
      <c r="B3618" s="1">
        <v>45667</v>
      </c>
      <c r="C3618" s="2">
        <v>45667.423333333332</v>
      </c>
      <c r="D3618" t="s">
        <v>24</v>
      </c>
      <c r="E3618" t="s">
        <v>32</v>
      </c>
      <c r="F3618" t="s">
        <v>75</v>
      </c>
      <c r="G3618" t="s">
        <v>56</v>
      </c>
      <c r="H3618" t="s">
        <v>65</v>
      </c>
      <c r="I3618" t="s">
        <v>36</v>
      </c>
      <c r="J3618" t="s">
        <v>46</v>
      </c>
      <c r="K3618">
        <v>24</v>
      </c>
      <c r="L3618">
        <v>10.16</v>
      </c>
      <c r="M3618">
        <v>5</v>
      </c>
      <c r="N3618" t="s">
        <v>22</v>
      </c>
      <c r="O3618" t="str">
        <f t="shared" si="56"/>
        <v>No</v>
      </c>
    </row>
    <row r="3619" spans="1:15" x14ac:dyDescent="0.25">
      <c r="A3619" t="s">
        <v>3680</v>
      </c>
      <c r="B3619" s="1">
        <v>45732</v>
      </c>
      <c r="C3619" s="2">
        <v>45733.449166666665</v>
      </c>
      <c r="D3619" t="s">
        <v>15</v>
      </c>
      <c r="E3619" t="s">
        <v>39</v>
      </c>
      <c r="F3619" t="s">
        <v>87</v>
      </c>
      <c r="G3619" t="s">
        <v>51</v>
      </c>
      <c r="H3619" t="s">
        <v>54</v>
      </c>
      <c r="I3619" t="s">
        <v>20</v>
      </c>
      <c r="J3619" t="s">
        <v>29</v>
      </c>
      <c r="K3619">
        <v>48</v>
      </c>
      <c r="L3619">
        <v>34.78</v>
      </c>
      <c r="M3619">
        <v>4</v>
      </c>
      <c r="N3619" t="s">
        <v>22</v>
      </c>
      <c r="O3619" t="str">
        <f t="shared" si="56"/>
        <v>No</v>
      </c>
    </row>
    <row r="3620" spans="1:15" x14ac:dyDescent="0.25">
      <c r="A3620" t="s">
        <v>3681</v>
      </c>
      <c r="B3620" s="1">
        <v>45736</v>
      </c>
      <c r="C3620" s="2">
        <v>45736.196666666663</v>
      </c>
      <c r="D3620" t="s">
        <v>38</v>
      </c>
      <c r="E3620" t="s">
        <v>39</v>
      </c>
      <c r="F3620" t="s">
        <v>78</v>
      </c>
      <c r="G3620" t="s">
        <v>18</v>
      </c>
      <c r="H3620" t="s">
        <v>65</v>
      </c>
      <c r="I3620" t="s">
        <v>45</v>
      </c>
      <c r="J3620" t="s">
        <v>21</v>
      </c>
      <c r="K3620">
        <v>8</v>
      </c>
      <c r="L3620">
        <v>4.72</v>
      </c>
      <c r="M3620">
        <v>4.5</v>
      </c>
      <c r="N3620" t="s">
        <v>22</v>
      </c>
      <c r="O3620" t="str">
        <f t="shared" si="56"/>
        <v>No</v>
      </c>
    </row>
    <row r="3621" spans="1:15" x14ac:dyDescent="0.25">
      <c r="A3621" t="s">
        <v>3682</v>
      </c>
      <c r="B3621" s="1">
        <v>45673</v>
      </c>
      <c r="C3621" s="2">
        <v>45673.578333333331</v>
      </c>
      <c r="D3621" t="s">
        <v>15</v>
      </c>
      <c r="E3621" t="s">
        <v>16</v>
      </c>
      <c r="F3621" t="s">
        <v>60</v>
      </c>
      <c r="G3621" t="s">
        <v>18</v>
      </c>
      <c r="H3621" t="s">
        <v>35</v>
      </c>
      <c r="I3621" t="s">
        <v>20</v>
      </c>
      <c r="J3621" t="s">
        <v>21</v>
      </c>
      <c r="K3621">
        <v>48</v>
      </c>
      <c r="L3621">
        <v>13.88</v>
      </c>
      <c r="M3621">
        <v>4.5</v>
      </c>
      <c r="N3621" t="s">
        <v>22</v>
      </c>
      <c r="O3621" t="str">
        <f t="shared" si="56"/>
        <v>No</v>
      </c>
    </row>
    <row r="3622" spans="1:15" x14ac:dyDescent="0.25">
      <c r="A3622" t="s">
        <v>3683</v>
      </c>
      <c r="B3622" s="1">
        <v>45838</v>
      </c>
      <c r="C3622" s="2">
        <v>45838.863749999997</v>
      </c>
      <c r="D3622" t="s">
        <v>15</v>
      </c>
      <c r="E3622" t="s">
        <v>45</v>
      </c>
      <c r="F3622" t="s">
        <v>104</v>
      </c>
      <c r="G3622" t="s">
        <v>56</v>
      </c>
      <c r="H3622" t="s">
        <v>19</v>
      </c>
      <c r="I3622" t="s">
        <v>36</v>
      </c>
      <c r="J3622" t="s">
        <v>21</v>
      </c>
      <c r="K3622">
        <v>48</v>
      </c>
      <c r="L3622">
        <v>20.73</v>
      </c>
      <c r="M3622">
        <v>4.2</v>
      </c>
      <c r="N3622" t="s">
        <v>22</v>
      </c>
      <c r="O3622" t="str">
        <f t="shared" si="56"/>
        <v>No</v>
      </c>
    </row>
    <row r="3623" spans="1:15" x14ac:dyDescent="0.25">
      <c r="A3623" t="s">
        <v>3684</v>
      </c>
      <c r="B3623" s="1">
        <v>45698</v>
      </c>
      <c r="C3623" s="2">
        <v>45698.502916666665</v>
      </c>
      <c r="D3623" t="s">
        <v>24</v>
      </c>
      <c r="E3623" t="s">
        <v>16</v>
      </c>
      <c r="F3623" t="s">
        <v>43</v>
      </c>
      <c r="G3623" t="s">
        <v>34</v>
      </c>
      <c r="H3623" t="s">
        <v>44</v>
      </c>
      <c r="I3623" t="s">
        <v>36</v>
      </c>
      <c r="J3623" t="s">
        <v>85</v>
      </c>
      <c r="K3623">
        <v>24</v>
      </c>
      <c r="L3623">
        <v>12.07</v>
      </c>
      <c r="M3623">
        <v>4.7</v>
      </c>
      <c r="N3623" t="s">
        <v>22</v>
      </c>
      <c r="O3623" t="str">
        <f t="shared" si="56"/>
        <v>No</v>
      </c>
    </row>
    <row r="3624" spans="1:15" x14ac:dyDescent="0.25">
      <c r="A3624" t="s">
        <v>3685</v>
      </c>
      <c r="B3624" s="1">
        <v>45717</v>
      </c>
      <c r="C3624" s="2">
        <v>45717.493750000001</v>
      </c>
      <c r="D3624" t="s">
        <v>24</v>
      </c>
      <c r="E3624" t="s">
        <v>16</v>
      </c>
      <c r="F3624" t="s">
        <v>58</v>
      </c>
      <c r="G3624" t="s">
        <v>41</v>
      </c>
      <c r="H3624" t="s">
        <v>54</v>
      </c>
      <c r="I3624" t="s">
        <v>36</v>
      </c>
      <c r="J3624" t="s">
        <v>21</v>
      </c>
      <c r="K3624">
        <v>24</v>
      </c>
      <c r="L3624">
        <v>11.85</v>
      </c>
      <c r="M3624">
        <v>3.6</v>
      </c>
      <c r="N3624" t="s">
        <v>22</v>
      </c>
      <c r="O3624" t="str">
        <f t="shared" si="56"/>
        <v>No</v>
      </c>
    </row>
    <row r="3625" spans="1:15" x14ac:dyDescent="0.25">
      <c r="A3625" t="s">
        <v>3686</v>
      </c>
      <c r="B3625" s="1">
        <v>45737</v>
      </c>
      <c r="C3625" s="2">
        <v>45738.512916666667</v>
      </c>
      <c r="D3625" t="s">
        <v>24</v>
      </c>
      <c r="E3625" t="s">
        <v>32</v>
      </c>
      <c r="F3625" t="s">
        <v>80</v>
      </c>
      <c r="G3625" t="s">
        <v>34</v>
      </c>
      <c r="H3625" t="s">
        <v>35</v>
      </c>
      <c r="I3625" t="s">
        <v>45</v>
      </c>
      <c r="J3625" t="s">
        <v>21</v>
      </c>
      <c r="K3625">
        <v>24</v>
      </c>
      <c r="L3625">
        <v>36.31</v>
      </c>
      <c r="M3625">
        <v>3.1</v>
      </c>
      <c r="N3625" t="s">
        <v>22</v>
      </c>
      <c r="O3625" t="str">
        <f t="shared" si="56"/>
        <v>Yes</v>
      </c>
    </row>
    <row r="3626" spans="1:15" x14ac:dyDescent="0.25">
      <c r="A3626" t="s">
        <v>3687</v>
      </c>
      <c r="B3626" s="1">
        <v>45808</v>
      </c>
      <c r="C3626" s="2">
        <v>45808.965416666666</v>
      </c>
      <c r="D3626" t="s">
        <v>15</v>
      </c>
      <c r="E3626" t="s">
        <v>45</v>
      </c>
      <c r="F3626" t="s">
        <v>112</v>
      </c>
      <c r="G3626" t="s">
        <v>34</v>
      </c>
      <c r="H3626" t="s">
        <v>44</v>
      </c>
      <c r="I3626" t="s">
        <v>36</v>
      </c>
      <c r="J3626" t="s">
        <v>85</v>
      </c>
      <c r="K3626">
        <v>48</v>
      </c>
      <c r="L3626">
        <v>23.17</v>
      </c>
      <c r="M3626">
        <v>3.5</v>
      </c>
      <c r="N3626" t="s">
        <v>22</v>
      </c>
      <c r="O3626" t="str">
        <f t="shared" si="56"/>
        <v>No</v>
      </c>
    </row>
    <row r="3627" spans="1:15" x14ac:dyDescent="0.25">
      <c r="A3627" t="s">
        <v>3688</v>
      </c>
      <c r="B3627" s="1">
        <v>45792</v>
      </c>
      <c r="C3627" s="2">
        <v>45793.296666666669</v>
      </c>
      <c r="D3627" t="s">
        <v>24</v>
      </c>
      <c r="E3627" t="s">
        <v>39</v>
      </c>
      <c r="F3627" t="s">
        <v>78</v>
      </c>
      <c r="G3627" t="s">
        <v>34</v>
      </c>
      <c r="H3627" t="s">
        <v>35</v>
      </c>
      <c r="I3627" t="s">
        <v>20</v>
      </c>
      <c r="J3627" t="s">
        <v>29</v>
      </c>
      <c r="K3627">
        <v>24</v>
      </c>
      <c r="L3627">
        <v>31.12</v>
      </c>
      <c r="M3627">
        <v>4.4000000000000004</v>
      </c>
      <c r="N3627" t="s">
        <v>22</v>
      </c>
      <c r="O3627" t="str">
        <f t="shared" si="56"/>
        <v>Yes</v>
      </c>
    </row>
    <row r="3628" spans="1:15" x14ac:dyDescent="0.25">
      <c r="A3628" t="s">
        <v>3689</v>
      </c>
      <c r="B3628" s="1">
        <v>45797</v>
      </c>
      <c r="C3628" s="2">
        <v>45797.440821759257</v>
      </c>
      <c r="D3628" t="s">
        <v>15</v>
      </c>
      <c r="E3628" t="s">
        <v>39</v>
      </c>
      <c r="F3628" t="s">
        <v>40</v>
      </c>
      <c r="G3628" t="s">
        <v>41</v>
      </c>
      <c r="H3628" t="s">
        <v>54</v>
      </c>
      <c r="I3628" t="s">
        <v>36</v>
      </c>
      <c r="J3628" t="s">
        <v>21</v>
      </c>
      <c r="K3628">
        <v>48</v>
      </c>
      <c r="L3628">
        <v>10.58</v>
      </c>
      <c r="M3628">
        <v>5</v>
      </c>
      <c r="N3628" t="s">
        <v>22</v>
      </c>
      <c r="O3628" t="str">
        <f t="shared" si="56"/>
        <v>No</v>
      </c>
    </row>
    <row r="3629" spans="1:15" x14ac:dyDescent="0.25">
      <c r="A3629" t="s">
        <v>3690</v>
      </c>
      <c r="B3629" s="1">
        <v>45700</v>
      </c>
      <c r="C3629" s="2">
        <v>45701.412499999999</v>
      </c>
      <c r="D3629" t="s">
        <v>15</v>
      </c>
      <c r="E3629" t="s">
        <v>32</v>
      </c>
      <c r="F3629" t="s">
        <v>33</v>
      </c>
      <c r="G3629" t="s">
        <v>56</v>
      </c>
      <c r="H3629" t="s">
        <v>54</v>
      </c>
      <c r="I3629" t="s">
        <v>36</v>
      </c>
      <c r="J3629" t="s">
        <v>21</v>
      </c>
      <c r="K3629">
        <v>48</v>
      </c>
      <c r="L3629">
        <v>33.9</v>
      </c>
      <c r="M3629">
        <v>3.7</v>
      </c>
      <c r="N3629" t="s">
        <v>22</v>
      </c>
      <c r="O3629" t="str">
        <f t="shared" si="56"/>
        <v>No</v>
      </c>
    </row>
    <row r="3630" spans="1:15" x14ac:dyDescent="0.25">
      <c r="A3630" t="s">
        <v>3691</v>
      </c>
      <c r="B3630" s="1">
        <v>45811</v>
      </c>
      <c r="C3630" s="2">
        <v>45811.931250000001</v>
      </c>
      <c r="D3630" t="s">
        <v>24</v>
      </c>
      <c r="E3630" t="s">
        <v>32</v>
      </c>
      <c r="F3630" t="s">
        <v>75</v>
      </c>
      <c r="G3630" t="s">
        <v>18</v>
      </c>
      <c r="H3630" t="s">
        <v>44</v>
      </c>
      <c r="I3630" t="s">
        <v>36</v>
      </c>
      <c r="J3630" t="s">
        <v>21</v>
      </c>
      <c r="K3630">
        <v>24</v>
      </c>
      <c r="L3630">
        <v>22.35</v>
      </c>
      <c r="M3630">
        <v>2.7</v>
      </c>
      <c r="N3630" t="s">
        <v>22</v>
      </c>
      <c r="O3630" t="str">
        <f t="shared" si="56"/>
        <v>No</v>
      </c>
    </row>
    <row r="3631" spans="1:15" x14ac:dyDescent="0.25">
      <c r="A3631" t="s">
        <v>3692</v>
      </c>
      <c r="B3631" s="1">
        <v>45808</v>
      </c>
      <c r="C3631" s="2">
        <v>45808.268333333333</v>
      </c>
      <c r="D3631" t="s">
        <v>15</v>
      </c>
      <c r="E3631" t="s">
        <v>25</v>
      </c>
      <c r="F3631" t="s">
        <v>53</v>
      </c>
      <c r="G3631" t="s">
        <v>34</v>
      </c>
      <c r="H3631" t="s">
        <v>27</v>
      </c>
      <c r="I3631" t="s">
        <v>36</v>
      </c>
      <c r="J3631" t="s">
        <v>46</v>
      </c>
      <c r="K3631">
        <v>48</v>
      </c>
      <c r="L3631">
        <v>6.44</v>
      </c>
      <c r="M3631">
        <v>5</v>
      </c>
      <c r="N3631" t="s">
        <v>22</v>
      </c>
      <c r="O3631" t="str">
        <f t="shared" si="56"/>
        <v>No</v>
      </c>
    </row>
    <row r="3632" spans="1:15" x14ac:dyDescent="0.25">
      <c r="A3632" t="s">
        <v>3693</v>
      </c>
      <c r="B3632" s="1">
        <v>45741</v>
      </c>
      <c r="C3632" s="2">
        <v>45742.584999999999</v>
      </c>
      <c r="D3632" t="s">
        <v>15</v>
      </c>
      <c r="E3632" t="s">
        <v>32</v>
      </c>
      <c r="F3632" t="s">
        <v>33</v>
      </c>
      <c r="G3632" t="s">
        <v>51</v>
      </c>
      <c r="H3632" t="s">
        <v>27</v>
      </c>
      <c r="I3632" t="s">
        <v>36</v>
      </c>
      <c r="J3632" t="s">
        <v>21</v>
      </c>
      <c r="K3632">
        <v>48</v>
      </c>
      <c r="L3632">
        <v>38.04</v>
      </c>
      <c r="M3632">
        <v>4</v>
      </c>
      <c r="N3632" t="s">
        <v>22</v>
      </c>
      <c r="O3632" t="str">
        <f t="shared" si="56"/>
        <v>No</v>
      </c>
    </row>
    <row r="3633" spans="1:15" x14ac:dyDescent="0.25">
      <c r="A3633" t="s">
        <v>3694</v>
      </c>
      <c r="B3633" s="1">
        <v>45756</v>
      </c>
      <c r="C3633" s="2">
        <v>45756.065405092595</v>
      </c>
      <c r="D3633" t="s">
        <v>24</v>
      </c>
      <c r="E3633" t="s">
        <v>39</v>
      </c>
      <c r="F3633" t="s">
        <v>40</v>
      </c>
      <c r="G3633" t="s">
        <v>51</v>
      </c>
      <c r="H3633" t="s">
        <v>44</v>
      </c>
      <c r="I3633" t="s">
        <v>20</v>
      </c>
      <c r="J3633" t="s">
        <v>21</v>
      </c>
      <c r="K3633">
        <v>24</v>
      </c>
      <c r="L3633">
        <v>1.57</v>
      </c>
      <c r="M3633">
        <v>5</v>
      </c>
      <c r="N3633" t="s">
        <v>22</v>
      </c>
      <c r="O3633" t="str">
        <f t="shared" si="56"/>
        <v>No</v>
      </c>
    </row>
    <row r="3634" spans="1:15" x14ac:dyDescent="0.25">
      <c r="A3634" t="s">
        <v>3695</v>
      </c>
      <c r="B3634" s="1">
        <v>45664</v>
      </c>
      <c r="C3634" s="2">
        <v>45664.107916666668</v>
      </c>
      <c r="D3634" t="s">
        <v>38</v>
      </c>
      <c r="E3634" t="s">
        <v>32</v>
      </c>
      <c r="F3634" t="s">
        <v>33</v>
      </c>
      <c r="G3634" t="s">
        <v>41</v>
      </c>
      <c r="H3634" t="s">
        <v>35</v>
      </c>
      <c r="I3634" t="s">
        <v>28</v>
      </c>
      <c r="J3634" t="s">
        <v>29</v>
      </c>
      <c r="K3634">
        <v>8</v>
      </c>
      <c r="L3634">
        <v>2.59</v>
      </c>
      <c r="M3634">
        <v>5</v>
      </c>
      <c r="N3634" t="s">
        <v>22</v>
      </c>
      <c r="O3634" t="str">
        <f t="shared" si="56"/>
        <v>No</v>
      </c>
    </row>
    <row r="3635" spans="1:15" x14ac:dyDescent="0.25">
      <c r="A3635" t="s">
        <v>3696</v>
      </c>
      <c r="B3635" s="1">
        <v>45795</v>
      </c>
      <c r="C3635" s="2">
        <v>45796.102916666663</v>
      </c>
      <c r="D3635" t="s">
        <v>15</v>
      </c>
      <c r="E3635" t="s">
        <v>45</v>
      </c>
      <c r="F3635" t="s">
        <v>104</v>
      </c>
      <c r="G3635" t="s">
        <v>34</v>
      </c>
      <c r="H3635" t="s">
        <v>54</v>
      </c>
      <c r="I3635" t="s">
        <v>36</v>
      </c>
      <c r="J3635" t="s">
        <v>46</v>
      </c>
      <c r="K3635">
        <v>48</v>
      </c>
      <c r="L3635">
        <v>26.47</v>
      </c>
      <c r="M3635">
        <v>4.8</v>
      </c>
      <c r="N3635" t="s">
        <v>61</v>
      </c>
      <c r="O3635" t="str">
        <f t="shared" si="56"/>
        <v>No</v>
      </c>
    </row>
    <row r="3636" spans="1:15" x14ac:dyDescent="0.25">
      <c r="A3636" t="s">
        <v>3697</v>
      </c>
      <c r="B3636" s="1">
        <v>45831</v>
      </c>
      <c r="C3636" s="2">
        <v>45832.531666666669</v>
      </c>
      <c r="D3636" t="s">
        <v>24</v>
      </c>
      <c r="E3636" t="s">
        <v>25</v>
      </c>
      <c r="F3636" t="s">
        <v>70</v>
      </c>
      <c r="G3636" t="s">
        <v>56</v>
      </c>
      <c r="H3636" t="s">
        <v>19</v>
      </c>
      <c r="I3636" t="s">
        <v>36</v>
      </c>
      <c r="J3636" t="s">
        <v>21</v>
      </c>
      <c r="K3636">
        <v>24</v>
      </c>
      <c r="L3636">
        <v>36.76</v>
      </c>
      <c r="M3636">
        <v>2.8</v>
      </c>
      <c r="N3636" t="s">
        <v>22</v>
      </c>
      <c r="O3636" t="str">
        <f t="shared" si="56"/>
        <v>Yes</v>
      </c>
    </row>
    <row r="3637" spans="1:15" x14ac:dyDescent="0.25">
      <c r="A3637" t="s">
        <v>3698</v>
      </c>
      <c r="B3637" s="1">
        <v>45743</v>
      </c>
      <c r="C3637" s="2">
        <v>45744.589583333334</v>
      </c>
      <c r="D3637" t="s">
        <v>15</v>
      </c>
      <c r="E3637" t="s">
        <v>45</v>
      </c>
      <c r="F3637" t="s">
        <v>104</v>
      </c>
      <c r="G3637" t="s">
        <v>41</v>
      </c>
      <c r="H3637" t="s">
        <v>44</v>
      </c>
      <c r="I3637" t="s">
        <v>20</v>
      </c>
      <c r="J3637" t="s">
        <v>29</v>
      </c>
      <c r="K3637">
        <v>48</v>
      </c>
      <c r="L3637">
        <v>38.15</v>
      </c>
      <c r="M3637">
        <v>3.9</v>
      </c>
      <c r="N3637" t="s">
        <v>22</v>
      </c>
      <c r="O3637" t="str">
        <f t="shared" si="56"/>
        <v>No</v>
      </c>
    </row>
    <row r="3638" spans="1:15" x14ac:dyDescent="0.25">
      <c r="A3638" t="s">
        <v>3699</v>
      </c>
      <c r="B3638" s="1">
        <v>45755</v>
      </c>
      <c r="C3638" s="2">
        <v>45755.052499999998</v>
      </c>
      <c r="D3638" t="s">
        <v>31</v>
      </c>
      <c r="E3638" t="s">
        <v>25</v>
      </c>
      <c r="F3638" t="s">
        <v>53</v>
      </c>
      <c r="G3638" t="s">
        <v>34</v>
      </c>
      <c r="H3638" t="s">
        <v>35</v>
      </c>
      <c r="I3638" t="s">
        <v>36</v>
      </c>
      <c r="J3638" t="s">
        <v>46</v>
      </c>
      <c r="K3638">
        <v>4</v>
      </c>
      <c r="L3638">
        <v>1.26</v>
      </c>
      <c r="M3638">
        <v>4.8</v>
      </c>
      <c r="N3638" t="s">
        <v>22</v>
      </c>
      <c r="O3638" t="str">
        <f t="shared" si="56"/>
        <v>No</v>
      </c>
    </row>
    <row r="3639" spans="1:15" x14ac:dyDescent="0.25">
      <c r="A3639" t="s">
        <v>3700</v>
      </c>
      <c r="B3639" s="1">
        <v>45748</v>
      </c>
      <c r="C3639" s="2">
        <v>45750.18</v>
      </c>
      <c r="D3639" t="s">
        <v>15</v>
      </c>
      <c r="E3639" t="s">
        <v>45</v>
      </c>
      <c r="F3639" t="s">
        <v>104</v>
      </c>
      <c r="G3639" t="s">
        <v>34</v>
      </c>
      <c r="H3639" t="s">
        <v>54</v>
      </c>
      <c r="I3639" t="s">
        <v>20</v>
      </c>
      <c r="J3639" t="s">
        <v>85</v>
      </c>
      <c r="K3639">
        <v>48</v>
      </c>
      <c r="L3639">
        <v>52.32</v>
      </c>
      <c r="M3639">
        <v>3.9</v>
      </c>
      <c r="N3639" t="s">
        <v>22</v>
      </c>
      <c r="O3639" t="str">
        <f t="shared" si="56"/>
        <v>Yes</v>
      </c>
    </row>
    <row r="3640" spans="1:15" x14ac:dyDescent="0.25">
      <c r="A3640" t="s">
        <v>3701</v>
      </c>
      <c r="B3640" s="1">
        <v>45672</v>
      </c>
      <c r="C3640" s="2">
        <v>45672.345000000001</v>
      </c>
      <c r="D3640" t="s">
        <v>15</v>
      </c>
      <c r="E3640" t="s">
        <v>39</v>
      </c>
      <c r="F3640" t="s">
        <v>119</v>
      </c>
      <c r="G3640" t="s">
        <v>56</v>
      </c>
      <c r="H3640" t="s">
        <v>54</v>
      </c>
      <c r="I3640" t="s">
        <v>45</v>
      </c>
      <c r="J3640" t="s">
        <v>21</v>
      </c>
      <c r="K3640">
        <v>48</v>
      </c>
      <c r="L3640">
        <v>8.2799999999999994</v>
      </c>
      <c r="M3640">
        <v>4.3</v>
      </c>
      <c r="N3640" t="s">
        <v>22</v>
      </c>
      <c r="O3640" t="str">
        <f t="shared" si="56"/>
        <v>No</v>
      </c>
    </row>
    <row r="3641" spans="1:15" x14ac:dyDescent="0.25">
      <c r="A3641" t="s">
        <v>3702</v>
      </c>
      <c r="B3641" s="1">
        <v>45770</v>
      </c>
      <c r="C3641" s="2">
        <v>45770.087916666664</v>
      </c>
      <c r="D3641" t="s">
        <v>24</v>
      </c>
      <c r="E3641" t="s">
        <v>32</v>
      </c>
      <c r="F3641" t="s">
        <v>64</v>
      </c>
      <c r="G3641" t="s">
        <v>51</v>
      </c>
      <c r="H3641" t="s">
        <v>65</v>
      </c>
      <c r="I3641" t="s">
        <v>20</v>
      </c>
      <c r="J3641" t="s">
        <v>21</v>
      </c>
      <c r="K3641">
        <v>24</v>
      </c>
      <c r="L3641">
        <v>2.11</v>
      </c>
      <c r="M3641">
        <v>4</v>
      </c>
      <c r="N3641" t="s">
        <v>22</v>
      </c>
      <c r="O3641" t="str">
        <f t="shared" si="56"/>
        <v>No</v>
      </c>
    </row>
    <row r="3642" spans="1:15" x14ac:dyDescent="0.25">
      <c r="A3642" t="s">
        <v>3703</v>
      </c>
      <c r="B3642" s="1">
        <v>45788</v>
      </c>
      <c r="C3642" s="2">
        <v>45789.397083333337</v>
      </c>
      <c r="D3642" t="s">
        <v>15</v>
      </c>
      <c r="E3642" t="s">
        <v>39</v>
      </c>
      <c r="F3642" t="s">
        <v>40</v>
      </c>
      <c r="G3642" t="s">
        <v>51</v>
      </c>
      <c r="H3642" t="s">
        <v>35</v>
      </c>
      <c r="I3642" t="s">
        <v>36</v>
      </c>
      <c r="J3642" t="s">
        <v>46</v>
      </c>
      <c r="K3642">
        <v>48</v>
      </c>
      <c r="L3642">
        <v>33.53</v>
      </c>
      <c r="M3642">
        <v>5</v>
      </c>
      <c r="N3642" t="s">
        <v>22</v>
      </c>
      <c r="O3642" t="str">
        <f t="shared" si="56"/>
        <v>No</v>
      </c>
    </row>
    <row r="3643" spans="1:15" x14ac:dyDescent="0.25">
      <c r="A3643" t="s">
        <v>3704</v>
      </c>
      <c r="B3643" s="1">
        <v>45825</v>
      </c>
      <c r="C3643" s="2">
        <v>45825.704583333332</v>
      </c>
      <c r="D3643" t="s">
        <v>15</v>
      </c>
      <c r="E3643" t="s">
        <v>39</v>
      </c>
      <c r="F3643" t="s">
        <v>119</v>
      </c>
      <c r="G3643" t="s">
        <v>18</v>
      </c>
      <c r="H3643" t="s">
        <v>65</v>
      </c>
      <c r="I3643" t="s">
        <v>28</v>
      </c>
      <c r="J3643" t="s">
        <v>21</v>
      </c>
      <c r="K3643">
        <v>48</v>
      </c>
      <c r="L3643">
        <v>16.91</v>
      </c>
      <c r="M3643">
        <v>4.5999999999999996</v>
      </c>
      <c r="N3643" t="s">
        <v>22</v>
      </c>
      <c r="O3643" t="str">
        <f t="shared" si="56"/>
        <v>No</v>
      </c>
    </row>
    <row r="3644" spans="1:15" x14ac:dyDescent="0.25">
      <c r="A3644" t="s">
        <v>3705</v>
      </c>
      <c r="B3644" s="1">
        <v>45826</v>
      </c>
      <c r="C3644" s="2">
        <v>45827.135833333334</v>
      </c>
      <c r="D3644" t="s">
        <v>15</v>
      </c>
      <c r="E3644" t="s">
        <v>16</v>
      </c>
      <c r="F3644" t="s">
        <v>17</v>
      </c>
      <c r="G3644" t="s">
        <v>51</v>
      </c>
      <c r="H3644" t="s">
        <v>35</v>
      </c>
      <c r="I3644" t="s">
        <v>28</v>
      </c>
      <c r="J3644" t="s">
        <v>21</v>
      </c>
      <c r="K3644">
        <v>48</v>
      </c>
      <c r="L3644">
        <v>27.26</v>
      </c>
      <c r="M3644">
        <v>4.5999999999999996</v>
      </c>
      <c r="N3644" t="s">
        <v>22</v>
      </c>
      <c r="O3644" t="str">
        <f t="shared" si="56"/>
        <v>No</v>
      </c>
    </row>
    <row r="3645" spans="1:15" x14ac:dyDescent="0.25">
      <c r="A3645" t="s">
        <v>3706</v>
      </c>
      <c r="B3645" s="1">
        <v>45747</v>
      </c>
      <c r="C3645" s="2">
        <v>45747.169166666667</v>
      </c>
      <c r="D3645" t="s">
        <v>24</v>
      </c>
      <c r="E3645" t="s">
        <v>32</v>
      </c>
      <c r="F3645" t="s">
        <v>64</v>
      </c>
      <c r="G3645" t="s">
        <v>34</v>
      </c>
      <c r="H3645" t="s">
        <v>27</v>
      </c>
      <c r="I3645" t="s">
        <v>36</v>
      </c>
      <c r="J3645" t="s">
        <v>46</v>
      </c>
      <c r="K3645">
        <v>24</v>
      </c>
      <c r="L3645">
        <v>4.0599999999999996</v>
      </c>
      <c r="M3645">
        <v>4.2</v>
      </c>
      <c r="N3645" t="s">
        <v>22</v>
      </c>
      <c r="O3645" t="str">
        <f t="shared" si="56"/>
        <v>No</v>
      </c>
    </row>
    <row r="3646" spans="1:15" x14ac:dyDescent="0.25">
      <c r="A3646" t="s">
        <v>3707</v>
      </c>
      <c r="B3646" s="1">
        <v>45831</v>
      </c>
      <c r="C3646" s="2">
        <v>45832.17083333333</v>
      </c>
      <c r="D3646" t="s">
        <v>24</v>
      </c>
      <c r="E3646" t="s">
        <v>32</v>
      </c>
      <c r="F3646" t="s">
        <v>75</v>
      </c>
      <c r="G3646" t="s">
        <v>34</v>
      </c>
      <c r="H3646" t="s">
        <v>27</v>
      </c>
      <c r="I3646" t="s">
        <v>45</v>
      </c>
      <c r="J3646" t="s">
        <v>46</v>
      </c>
      <c r="K3646">
        <v>24</v>
      </c>
      <c r="L3646">
        <v>28.1</v>
      </c>
      <c r="M3646">
        <v>4.5</v>
      </c>
      <c r="N3646" t="s">
        <v>61</v>
      </c>
      <c r="O3646" t="str">
        <f t="shared" si="56"/>
        <v>Yes</v>
      </c>
    </row>
    <row r="3647" spans="1:15" x14ac:dyDescent="0.25">
      <c r="A3647" t="s">
        <v>3708</v>
      </c>
      <c r="B3647" s="1">
        <v>45753</v>
      </c>
      <c r="C3647" s="2">
        <v>45754.093333333331</v>
      </c>
      <c r="D3647" t="s">
        <v>24</v>
      </c>
      <c r="E3647" t="s">
        <v>16</v>
      </c>
      <c r="F3647" t="s">
        <v>17</v>
      </c>
      <c r="G3647" t="s">
        <v>51</v>
      </c>
      <c r="H3647" t="s">
        <v>54</v>
      </c>
      <c r="I3647" t="s">
        <v>36</v>
      </c>
      <c r="J3647" t="s">
        <v>21</v>
      </c>
      <c r="K3647">
        <v>24</v>
      </c>
      <c r="L3647">
        <v>26.24</v>
      </c>
      <c r="M3647">
        <v>4.4000000000000004</v>
      </c>
      <c r="N3647" t="s">
        <v>22</v>
      </c>
      <c r="O3647" t="str">
        <f t="shared" si="56"/>
        <v>Yes</v>
      </c>
    </row>
    <row r="3648" spans="1:15" x14ac:dyDescent="0.25">
      <c r="A3648" t="s">
        <v>3709</v>
      </c>
      <c r="B3648" s="1">
        <v>45774</v>
      </c>
      <c r="C3648" s="2">
        <v>45774.043749999997</v>
      </c>
      <c r="D3648" t="s">
        <v>38</v>
      </c>
      <c r="E3648" t="s">
        <v>32</v>
      </c>
      <c r="F3648" t="s">
        <v>33</v>
      </c>
      <c r="G3648" t="s">
        <v>18</v>
      </c>
      <c r="H3648" t="s">
        <v>44</v>
      </c>
      <c r="I3648" t="s">
        <v>36</v>
      </c>
      <c r="J3648" t="s">
        <v>21</v>
      </c>
      <c r="K3648">
        <v>8</v>
      </c>
      <c r="L3648">
        <v>1.05</v>
      </c>
      <c r="M3648">
        <v>4.9000000000000004</v>
      </c>
      <c r="N3648" t="s">
        <v>22</v>
      </c>
      <c r="O3648" t="str">
        <f t="shared" si="56"/>
        <v>No</v>
      </c>
    </row>
    <row r="3649" spans="1:15" x14ac:dyDescent="0.25">
      <c r="A3649" t="s">
        <v>3710</v>
      </c>
      <c r="B3649" s="1">
        <v>45766</v>
      </c>
      <c r="C3649" s="2">
        <v>45766.214999999997</v>
      </c>
      <c r="D3649" t="s">
        <v>24</v>
      </c>
      <c r="E3649" t="s">
        <v>32</v>
      </c>
      <c r="F3649" t="s">
        <v>33</v>
      </c>
      <c r="G3649" t="s">
        <v>34</v>
      </c>
      <c r="H3649" t="s">
        <v>27</v>
      </c>
      <c r="I3649" t="s">
        <v>28</v>
      </c>
      <c r="J3649" t="s">
        <v>46</v>
      </c>
      <c r="K3649">
        <v>24</v>
      </c>
      <c r="L3649">
        <v>5.16</v>
      </c>
      <c r="M3649">
        <v>4.9000000000000004</v>
      </c>
      <c r="N3649" t="s">
        <v>22</v>
      </c>
      <c r="O3649" t="str">
        <f t="shared" si="56"/>
        <v>No</v>
      </c>
    </row>
    <row r="3650" spans="1:15" x14ac:dyDescent="0.25">
      <c r="A3650" t="s">
        <v>3711</v>
      </c>
      <c r="B3650" s="1">
        <v>45838</v>
      </c>
      <c r="C3650" s="2">
        <v>45838.434999999998</v>
      </c>
      <c r="D3650" t="s">
        <v>38</v>
      </c>
      <c r="E3650" t="s">
        <v>32</v>
      </c>
      <c r="F3650" t="s">
        <v>75</v>
      </c>
      <c r="G3650" t="s">
        <v>34</v>
      </c>
      <c r="H3650" t="s">
        <v>65</v>
      </c>
      <c r="I3650" t="s">
        <v>36</v>
      </c>
      <c r="J3650" t="s">
        <v>46</v>
      </c>
      <c r="K3650">
        <v>8</v>
      </c>
      <c r="L3650">
        <v>10.44</v>
      </c>
      <c r="M3650">
        <v>3.6</v>
      </c>
      <c r="N3650" t="s">
        <v>22</v>
      </c>
      <c r="O3650" t="str">
        <f t="shared" si="56"/>
        <v>Yes</v>
      </c>
    </row>
    <row r="3651" spans="1:15" x14ac:dyDescent="0.25">
      <c r="A3651" t="s">
        <v>3712</v>
      </c>
      <c r="B3651" s="1">
        <v>45791</v>
      </c>
      <c r="C3651" s="2">
        <v>45791.115833333337</v>
      </c>
      <c r="D3651" t="s">
        <v>38</v>
      </c>
      <c r="E3651" t="s">
        <v>16</v>
      </c>
      <c r="F3651" t="s">
        <v>60</v>
      </c>
      <c r="G3651" t="s">
        <v>41</v>
      </c>
      <c r="H3651" t="s">
        <v>19</v>
      </c>
      <c r="I3651" t="s">
        <v>36</v>
      </c>
      <c r="J3651" t="s">
        <v>21</v>
      </c>
      <c r="K3651">
        <v>8</v>
      </c>
      <c r="L3651">
        <v>2.78</v>
      </c>
      <c r="M3651">
        <v>4.5999999999999996</v>
      </c>
      <c r="N3651" t="s">
        <v>22</v>
      </c>
      <c r="O3651" t="str">
        <f t="shared" ref="O3651:O3714" si="57">IF(L3651&gt;K3651,"Yes","No")</f>
        <v>No</v>
      </c>
    </row>
    <row r="3652" spans="1:15" x14ac:dyDescent="0.25">
      <c r="A3652" t="s">
        <v>3713</v>
      </c>
      <c r="B3652" s="1">
        <v>45679</v>
      </c>
      <c r="C3652" s="2">
        <v>45679.059166666666</v>
      </c>
      <c r="D3652" t="s">
        <v>38</v>
      </c>
      <c r="E3652" t="s">
        <v>32</v>
      </c>
      <c r="F3652" t="s">
        <v>64</v>
      </c>
      <c r="G3652" t="s">
        <v>18</v>
      </c>
      <c r="H3652" t="s">
        <v>27</v>
      </c>
      <c r="I3652" t="s">
        <v>36</v>
      </c>
      <c r="J3652" t="s">
        <v>21</v>
      </c>
      <c r="K3652">
        <v>8</v>
      </c>
      <c r="L3652">
        <v>1.42</v>
      </c>
      <c r="M3652">
        <v>5</v>
      </c>
      <c r="N3652" t="s">
        <v>22</v>
      </c>
      <c r="O3652" t="str">
        <f t="shared" si="57"/>
        <v>No</v>
      </c>
    </row>
    <row r="3653" spans="1:15" x14ac:dyDescent="0.25">
      <c r="A3653" t="s">
        <v>3714</v>
      </c>
      <c r="B3653" s="1">
        <v>45671</v>
      </c>
      <c r="C3653" s="2">
        <v>45671.206666666665</v>
      </c>
      <c r="D3653" t="s">
        <v>38</v>
      </c>
      <c r="E3653" t="s">
        <v>32</v>
      </c>
      <c r="F3653" t="s">
        <v>64</v>
      </c>
      <c r="G3653" t="s">
        <v>56</v>
      </c>
      <c r="H3653" t="s">
        <v>44</v>
      </c>
      <c r="I3653" t="s">
        <v>45</v>
      </c>
      <c r="J3653" t="s">
        <v>21</v>
      </c>
      <c r="K3653">
        <v>8</v>
      </c>
      <c r="L3653">
        <v>4.96</v>
      </c>
      <c r="M3653">
        <v>4.5</v>
      </c>
      <c r="N3653" t="s">
        <v>22</v>
      </c>
      <c r="O3653" t="str">
        <f t="shared" si="57"/>
        <v>No</v>
      </c>
    </row>
    <row r="3654" spans="1:15" x14ac:dyDescent="0.25">
      <c r="A3654" t="s">
        <v>3715</v>
      </c>
      <c r="B3654" s="1">
        <v>45732</v>
      </c>
      <c r="C3654" s="2">
        <v>45732.3675</v>
      </c>
      <c r="D3654" t="s">
        <v>24</v>
      </c>
      <c r="E3654" t="s">
        <v>32</v>
      </c>
      <c r="F3654" t="s">
        <v>80</v>
      </c>
      <c r="G3654" t="s">
        <v>56</v>
      </c>
      <c r="H3654" t="s">
        <v>44</v>
      </c>
      <c r="I3654" t="s">
        <v>20</v>
      </c>
      <c r="J3654" t="s">
        <v>46</v>
      </c>
      <c r="K3654">
        <v>24</v>
      </c>
      <c r="L3654">
        <v>8.82</v>
      </c>
      <c r="M3654">
        <v>4.4000000000000004</v>
      </c>
      <c r="N3654" t="s">
        <v>61</v>
      </c>
      <c r="O3654" t="str">
        <f t="shared" si="57"/>
        <v>No</v>
      </c>
    </row>
    <row r="3655" spans="1:15" x14ac:dyDescent="0.25">
      <c r="A3655" t="s">
        <v>3716</v>
      </c>
      <c r="B3655" s="1">
        <v>45751</v>
      </c>
      <c r="C3655" s="2">
        <v>45751.340833333335</v>
      </c>
      <c r="D3655" t="s">
        <v>15</v>
      </c>
      <c r="E3655" t="s">
        <v>25</v>
      </c>
      <c r="F3655" t="s">
        <v>70</v>
      </c>
      <c r="G3655" t="s">
        <v>51</v>
      </c>
      <c r="H3655" t="s">
        <v>19</v>
      </c>
      <c r="I3655" t="s">
        <v>45</v>
      </c>
      <c r="J3655" t="s">
        <v>46</v>
      </c>
      <c r="K3655">
        <v>48</v>
      </c>
      <c r="L3655">
        <v>8.18</v>
      </c>
      <c r="M3655">
        <v>4</v>
      </c>
      <c r="N3655" t="s">
        <v>22</v>
      </c>
      <c r="O3655" t="str">
        <f t="shared" si="57"/>
        <v>No</v>
      </c>
    </row>
    <row r="3656" spans="1:15" x14ac:dyDescent="0.25">
      <c r="A3656" t="s">
        <v>3717</v>
      </c>
      <c r="B3656" s="1">
        <v>45779</v>
      </c>
      <c r="C3656" s="2">
        <v>45780.567083333335</v>
      </c>
      <c r="D3656" t="s">
        <v>24</v>
      </c>
      <c r="E3656" t="s">
        <v>32</v>
      </c>
      <c r="F3656" t="s">
        <v>33</v>
      </c>
      <c r="G3656" t="s">
        <v>56</v>
      </c>
      <c r="H3656" t="s">
        <v>44</v>
      </c>
      <c r="I3656" t="s">
        <v>45</v>
      </c>
      <c r="J3656" t="s">
        <v>46</v>
      </c>
      <c r="K3656">
        <v>24</v>
      </c>
      <c r="L3656">
        <v>37.61</v>
      </c>
      <c r="M3656">
        <v>3.1</v>
      </c>
      <c r="N3656" t="s">
        <v>22</v>
      </c>
      <c r="O3656" t="str">
        <f t="shared" si="57"/>
        <v>Yes</v>
      </c>
    </row>
    <row r="3657" spans="1:15" x14ac:dyDescent="0.25">
      <c r="A3657" t="s">
        <v>3718</v>
      </c>
      <c r="B3657" s="1">
        <v>45745</v>
      </c>
      <c r="C3657" s="2">
        <v>45745.17083333333</v>
      </c>
      <c r="D3657" t="s">
        <v>15</v>
      </c>
      <c r="E3657" t="s">
        <v>32</v>
      </c>
      <c r="F3657" t="s">
        <v>80</v>
      </c>
      <c r="G3657" t="s">
        <v>41</v>
      </c>
      <c r="H3657" t="s">
        <v>44</v>
      </c>
      <c r="I3657" t="s">
        <v>36</v>
      </c>
      <c r="J3657" t="s">
        <v>21</v>
      </c>
      <c r="K3657">
        <v>48</v>
      </c>
      <c r="L3657">
        <v>4.0999999999999996</v>
      </c>
      <c r="M3657">
        <v>5</v>
      </c>
      <c r="N3657" t="s">
        <v>22</v>
      </c>
      <c r="O3657" t="str">
        <f t="shared" si="57"/>
        <v>No</v>
      </c>
    </row>
    <row r="3658" spans="1:15" x14ac:dyDescent="0.25">
      <c r="A3658" t="s">
        <v>3719</v>
      </c>
      <c r="B3658" s="1">
        <v>45751</v>
      </c>
      <c r="C3658" s="2">
        <v>45751.463750000003</v>
      </c>
      <c r="D3658" t="s">
        <v>24</v>
      </c>
      <c r="E3658" t="s">
        <v>45</v>
      </c>
      <c r="F3658" t="s">
        <v>100</v>
      </c>
      <c r="G3658" t="s">
        <v>41</v>
      </c>
      <c r="H3658" t="s">
        <v>65</v>
      </c>
      <c r="I3658" t="s">
        <v>20</v>
      </c>
      <c r="J3658" t="s">
        <v>21</v>
      </c>
      <c r="K3658">
        <v>24</v>
      </c>
      <c r="L3658">
        <v>11.13</v>
      </c>
      <c r="M3658">
        <v>4.9000000000000004</v>
      </c>
      <c r="N3658" t="s">
        <v>22</v>
      </c>
      <c r="O3658" t="str">
        <f t="shared" si="57"/>
        <v>No</v>
      </c>
    </row>
    <row r="3659" spans="1:15" x14ac:dyDescent="0.25">
      <c r="A3659" t="s">
        <v>3720</v>
      </c>
      <c r="B3659" s="1">
        <v>45824</v>
      </c>
      <c r="C3659" s="2">
        <v>45825.894583333335</v>
      </c>
      <c r="D3659" t="s">
        <v>15</v>
      </c>
      <c r="E3659" t="s">
        <v>25</v>
      </c>
      <c r="F3659" t="s">
        <v>53</v>
      </c>
      <c r="G3659" t="s">
        <v>51</v>
      </c>
      <c r="H3659" t="s">
        <v>65</v>
      </c>
      <c r="I3659" t="s">
        <v>36</v>
      </c>
      <c r="J3659" t="s">
        <v>21</v>
      </c>
      <c r="K3659">
        <v>48</v>
      </c>
      <c r="L3659">
        <v>45.47</v>
      </c>
      <c r="M3659">
        <v>4.7</v>
      </c>
      <c r="N3659" t="s">
        <v>22</v>
      </c>
      <c r="O3659" t="str">
        <f t="shared" si="57"/>
        <v>No</v>
      </c>
    </row>
    <row r="3660" spans="1:15" x14ac:dyDescent="0.25">
      <c r="A3660" t="s">
        <v>3721</v>
      </c>
      <c r="B3660" s="1">
        <v>45718</v>
      </c>
      <c r="C3660" s="2">
        <v>45720.453750000001</v>
      </c>
      <c r="D3660" t="s">
        <v>15</v>
      </c>
      <c r="E3660" t="s">
        <v>32</v>
      </c>
      <c r="F3660" t="s">
        <v>75</v>
      </c>
      <c r="G3660" t="s">
        <v>51</v>
      </c>
      <c r="H3660" t="s">
        <v>44</v>
      </c>
      <c r="I3660" t="s">
        <v>45</v>
      </c>
      <c r="J3660" t="s">
        <v>21</v>
      </c>
      <c r="K3660">
        <v>48</v>
      </c>
      <c r="L3660">
        <v>58.89</v>
      </c>
      <c r="M3660">
        <v>4.4000000000000004</v>
      </c>
      <c r="N3660" t="s">
        <v>22</v>
      </c>
      <c r="O3660" t="str">
        <f t="shared" si="57"/>
        <v>Yes</v>
      </c>
    </row>
    <row r="3661" spans="1:15" x14ac:dyDescent="0.25">
      <c r="A3661" t="s">
        <v>3722</v>
      </c>
      <c r="B3661" s="1">
        <v>45747</v>
      </c>
      <c r="C3661" s="2">
        <v>45747.268750000003</v>
      </c>
      <c r="D3661" t="s">
        <v>38</v>
      </c>
      <c r="E3661" t="s">
        <v>32</v>
      </c>
      <c r="F3661" t="s">
        <v>80</v>
      </c>
      <c r="G3661" t="s">
        <v>51</v>
      </c>
      <c r="H3661" t="s">
        <v>19</v>
      </c>
      <c r="I3661" t="s">
        <v>45</v>
      </c>
      <c r="J3661" t="s">
        <v>21</v>
      </c>
      <c r="K3661">
        <v>8</v>
      </c>
      <c r="L3661">
        <v>6.45</v>
      </c>
      <c r="M3661">
        <v>4.5</v>
      </c>
      <c r="N3661" t="s">
        <v>61</v>
      </c>
      <c r="O3661" t="str">
        <f t="shared" si="57"/>
        <v>No</v>
      </c>
    </row>
    <row r="3662" spans="1:15" x14ac:dyDescent="0.25">
      <c r="A3662" t="s">
        <v>3723</v>
      </c>
      <c r="B3662" s="1">
        <v>45758</v>
      </c>
      <c r="C3662" s="2">
        <v>45758.988749999997</v>
      </c>
      <c r="D3662" t="s">
        <v>24</v>
      </c>
      <c r="E3662" t="s">
        <v>32</v>
      </c>
      <c r="F3662" t="s">
        <v>33</v>
      </c>
      <c r="G3662" t="s">
        <v>56</v>
      </c>
      <c r="H3662" t="s">
        <v>44</v>
      </c>
      <c r="I3662" t="s">
        <v>28</v>
      </c>
      <c r="J3662" t="s">
        <v>21</v>
      </c>
      <c r="K3662">
        <v>24</v>
      </c>
      <c r="L3662">
        <v>23.73</v>
      </c>
      <c r="M3662">
        <v>3.9</v>
      </c>
      <c r="N3662" t="s">
        <v>22</v>
      </c>
      <c r="O3662" t="str">
        <f t="shared" si="57"/>
        <v>No</v>
      </c>
    </row>
    <row r="3663" spans="1:15" x14ac:dyDescent="0.25">
      <c r="A3663" t="s">
        <v>3724</v>
      </c>
      <c r="B3663" s="1">
        <v>45742</v>
      </c>
      <c r="C3663" s="2">
        <v>45742.879166666666</v>
      </c>
      <c r="D3663" t="s">
        <v>24</v>
      </c>
      <c r="E3663" t="s">
        <v>16</v>
      </c>
      <c r="F3663" t="s">
        <v>43</v>
      </c>
      <c r="G3663" t="s">
        <v>18</v>
      </c>
      <c r="H3663" t="s">
        <v>35</v>
      </c>
      <c r="I3663" t="s">
        <v>20</v>
      </c>
      <c r="J3663" t="s">
        <v>21</v>
      </c>
      <c r="K3663">
        <v>24</v>
      </c>
      <c r="L3663">
        <v>21.1</v>
      </c>
      <c r="M3663">
        <v>4.2</v>
      </c>
      <c r="N3663" t="s">
        <v>22</v>
      </c>
      <c r="O3663" t="str">
        <f t="shared" si="57"/>
        <v>No</v>
      </c>
    </row>
    <row r="3664" spans="1:15" x14ac:dyDescent="0.25">
      <c r="A3664" t="s">
        <v>3725</v>
      </c>
      <c r="B3664" s="1">
        <v>45833</v>
      </c>
      <c r="C3664" s="2">
        <v>45833.550833333335</v>
      </c>
      <c r="D3664" t="s">
        <v>24</v>
      </c>
      <c r="E3664" t="s">
        <v>32</v>
      </c>
      <c r="F3664" t="s">
        <v>80</v>
      </c>
      <c r="G3664" t="s">
        <v>18</v>
      </c>
      <c r="H3664" t="s">
        <v>19</v>
      </c>
      <c r="I3664" t="s">
        <v>45</v>
      </c>
      <c r="J3664" t="s">
        <v>85</v>
      </c>
      <c r="K3664">
        <v>24</v>
      </c>
      <c r="L3664">
        <v>13.22</v>
      </c>
      <c r="M3664">
        <v>4</v>
      </c>
      <c r="N3664" t="s">
        <v>22</v>
      </c>
      <c r="O3664" t="str">
        <f t="shared" si="57"/>
        <v>No</v>
      </c>
    </row>
    <row r="3665" spans="1:15" x14ac:dyDescent="0.25">
      <c r="A3665" t="s">
        <v>3726</v>
      </c>
      <c r="B3665" s="1">
        <v>45832</v>
      </c>
      <c r="C3665" s="2">
        <v>45832.259166666663</v>
      </c>
      <c r="D3665" t="s">
        <v>24</v>
      </c>
      <c r="E3665" t="s">
        <v>45</v>
      </c>
      <c r="F3665" t="s">
        <v>104</v>
      </c>
      <c r="G3665" t="s">
        <v>51</v>
      </c>
      <c r="H3665" t="s">
        <v>54</v>
      </c>
      <c r="I3665" t="s">
        <v>36</v>
      </c>
      <c r="J3665" t="s">
        <v>21</v>
      </c>
      <c r="K3665">
        <v>24</v>
      </c>
      <c r="L3665">
        <v>6.22</v>
      </c>
      <c r="M3665">
        <v>5</v>
      </c>
      <c r="N3665" t="s">
        <v>61</v>
      </c>
      <c r="O3665" t="str">
        <f t="shared" si="57"/>
        <v>No</v>
      </c>
    </row>
    <row r="3666" spans="1:15" x14ac:dyDescent="0.25">
      <c r="A3666" t="s">
        <v>3727</v>
      </c>
      <c r="B3666" s="1">
        <v>45750</v>
      </c>
      <c r="C3666" s="2">
        <v>45750.128333333334</v>
      </c>
      <c r="D3666" t="s">
        <v>38</v>
      </c>
      <c r="E3666" t="s">
        <v>25</v>
      </c>
      <c r="F3666" t="s">
        <v>53</v>
      </c>
      <c r="G3666" t="s">
        <v>56</v>
      </c>
      <c r="H3666" t="s">
        <v>44</v>
      </c>
      <c r="I3666" t="s">
        <v>36</v>
      </c>
      <c r="J3666" t="s">
        <v>29</v>
      </c>
      <c r="K3666">
        <v>8</v>
      </c>
      <c r="L3666">
        <v>3.08</v>
      </c>
      <c r="M3666">
        <v>5</v>
      </c>
      <c r="N3666" t="s">
        <v>22</v>
      </c>
      <c r="O3666" t="str">
        <f t="shared" si="57"/>
        <v>No</v>
      </c>
    </row>
    <row r="3667" spans="1:15" x14ac:dyDescent="0.25">
      <c r="A3667" t="s">
        <v>3728</v>
      </c>
      <c r="B3667" s="1">
        <v>45739</v>
      </c>
      <c r="C3667" s="2">
        <v>45739.201666666668</v>
      </c>
      <c r="D3667" t="s">
        <v>24</v>
      </c>
      <c r="E3667" t="s">
        <v>16</v>
      </c>
      <c r="F3667" t="s">
        <v>43</v>
      </c>
      <c r="G3667" t="s">
        <v>41</v>
      </c>
      <c r="H3667" t="s">
        <v>35</v>
      </c>
      <c r="I3667" t="s">
        <v>45</v>
      </c>
      <c r="J3667" t="s">
        <v>46</v>
      </c>
      <c r="K3667">
        <v>24</v>
      </c>
      <c r="L3667">
        <v>4.84</v>
      </c>
      <c r="M3667">
        <v>5</v>
      </c>
      <c r="N3667" t="s">
        <v>22</v>
      </c>
      <c r="O3667" t="str">
        <f t="shared" si="57"/>
        <v>No</v>
      </c>
    </row>
    <row r="3668" spans="1:15" x14ac:dyDescent="0.25">
      <c r="A3668" t="s">
        <v>3729</v>
      </c>
      <c r="B3668" s="1">
        <v>45764</v>
      </c>
      <c r="C3668" s="2">
        <v>45764.587083333332</v>
      </c>
      <c r="D3668" t="s">
        <v>24</v>
      </c>
      <c r="E3668" t="s">
        <v>32</v>
      </c>
      <c r="F3668" t="s">
        <v>64</v>
      </c>
      <c r="G3668" t="s">
        <v>18</v>
      </c>
      <c r="H3668" t="s">
        <v>65</v>
      </c>
      <c r="I3668" t="s">
        <v>45</v>
      </c>
      <c r="J3668" t="s">
        <v>46</v>
      </c>
      <c r="K3668">
        <v>24</v>
      </c>
      <c r="L3668">
        <v>14.09</v>
      </c>
      <c r="M3668">
        <v>4.7</v>
      </c>
      <c r="N3668" t="s">
        <v>22</v>
      </c>
      <c r="O3668" t="str">
        <f t="shared" si="57"/>
        <v>No</v>
      </c>
    </row>
    <row r="3669" spans="1:15" x14ac:dyDescent="0.25">
      <c r="A3669" t="s">
        <v>3730</v>
      </c>
      <c r="B3669" s="1">
        <v>45690</v>
      </c>
      <c r="C3669" s="2">
        <v>45690.255416666667</v>
      </c>
      <c r="D3669" t="s">
        <v>24</v>
      </c>
      <c r="E3669" t="s">
        <v>45</v>
      </c>
      <c r="F3669" t="s">
        <v>112</v>
      </c>
      <c r="G3669" t="s">
        <v>34</v>
      </c>
      <c r="H3669" t="s">
        <v>27</v>
      </c>
      <c r="I3669" t="s">
        <v>20</v>
      </c>
      <c r="J3669" t="s">
        <v>21</v>
      </c>
      <c r="K3669">
        <v>24</v>
      </c>
      <c r="L3669">
        <v>6.13</v>
      </c>
      <c r="M3669">
        <v>4.5</v>
      </c>
      <c r="N3669" t="s">
        <v>22</v>
      </c>
      <c r="O3669" t="str">
        <f t="shared" si="57"/>
        <v>No</v>
      </c>
    </row>
    <row r="3670" spans="1:15" x14ac:dyDescent="0.25">
      <c r="A3670" t="s">
        <v>3731</v>
      </c>
      <c r="B3670" s="1">
        <v>45735</v>
      </c>
      <c r="C3670" s="2">
        <v>45735.474583333336</v>
      </c>
      <c r="D3670" t="s">
        <v>24</v>
      </c>
      <c r="E3670" t="s">
        <v>25</v>
      </c>
      <c r="F3670" t="s">
        <v>53</v>
      </c>
      <c r="G3670" t="s">
        <v>56</v>
      </c>
      <c r="H3670" t="s">
        <v>65</v>
      </c>
      <c r="I3670" t="s">
        <v>45</v>
      </c>
      <c r="J3670" t="s">
        <v>21</v>
      </c>
      <c r="K3670">
        <v>24</v>
      </c>
      <c r="L3670">
        <v>11.39</v>
      </c>
      <c r="M3670">
        <v>4.2</v>
      </c>
      <c r="N3670" t="s">
        <v>22</v>
      </c>
      <c r="O3670" t="str">
        <f t="shared" si="57"/>
        <v>No</v>
      </c>
    </row>
    <row r="3671" spans="1:15" x14ac:dyDescent="0.25">
      <c r="A3671" t="s">
        <v>3732</v>
      </c>
      <c r="B3671" s="1">
        <v>45697</v>
      </c>
      <c r="C3671" s="2">
        <v>45697.434999999998</v>
      </c>
      <c r="D3671" t="s">
        <v>24</v>
      </c>
      <c r="E3671" t="s">
        <v>25</v>
      </c>
      <c r="F3671" t="s">
        <v>48</v>
      </c>
      <c r="G3671" t="s">
        <v>34</v>
      </c>
      <c r="H3671" t="s">
        <v>35</v>
      </c>
      <c r="I3671" t="s">
        <v>36</v>
      </c>
      <c r="J3671" t="s">
        <v>46</v>
      </c>
      <c r="K3671">
        <v>24</v>
      </c>
      <c r="L3671">
        <v>10.44</v>
      </c>
      <c r="M3671">
        <v>4.4000000000000004</v>
      </c>
      <c r="N3671" t="s">
        <v>22</v>
      </c>
      <c r="O3671" t="str">
        <f t="shared" si="57"/>
        <v>No</v>
      </c>
    </row>
    <row r="3672" spans="1:15" x14ac:dyDescent="0.25">
      <c r="A3672" t="s">
        <v>3733</v>
      </c>
      <c r="B3672" s="1">
        <v>45684</v>
      </c>
      <c r="C3672" s="2">
        <v>45684.110833333332</v>
      </c>
      <c r="D3672" t="s">
        <v>31</v>
      </c>
      <c r="E3672" t="s">
        <v>32</v>
      </c>
      <c r="F3672" t="s">
        <v>33</v>
      </c>
      <c r="G3672" t="s">
        <v>56</v>
      </c>
      <c r="H3672" t="s">
        <v>54</v>
      </c>
      <c r="I3672" t="s">
        <v>36</v>
      </c>
      <c r="J3672" t="s">
        <v>21</v>
      </c>
      <c r="K3672">
        <v>4</v>
      </c>
      <c r="L3672">
        <v>2.66</v>
      </c>
      <c r="M3672">
        <v>3.7</v>
      </c>
      <c r="N3672" t="s">
        <v>22</v>
      </c>
      <c r="O3672" t="str">
        <f t="shared" si="57"/>
        <v>No</v>
      </c>
    </row>
    <row r="3673" spans="1:15" x14ac:dyDescent="0.25">
      <c r="A3673" t="s">
        <v>3734</v>
      </c>
      <c r="B3673" s="1">
        <v>45675</v>
      </c>
      <c r="C3673" s="2">
        <v>45675.472916666666</v>
      </c>
      <c r="D3673" t="s">
        <v>24</v>
      </c>
      <c r="E3673" t="s">
        <v>16</v>
      </c>
      <c r="F3673" t="s">
        <v>43</v>
      </c>
      <c r="G3673" t="s">
        <v>56</v>
      </c>
      <c r="H3673" t="s">
        <v>44</v>
      </c>
      <c r="I3673" t="s">
        <v>36</v>
      </c>
      <c r="J3673" t="s">
        <v>21</v>
      </c>
      <c r="K3673">
        <v>24</v>
      </c>
      <c r="L3673">
        <v>11.35</v>
      </c>
      <c r="M3673">
        <v>4.5999999999999996</v>
      </c>
      <c r="N3673" t="s">
        <v>22</v>
      </c>
      <c r="O3673" t="str">
        <f t="shared" si="57"/>
        <v>No</v>
      </c>
    </row>
    <row r="3674" spans="1:15" x14ac:dyDescent="0.25">
      <c r="A3674" t="s">
        <v>3735</v>
      </c>
      <c r="B3674" s="1">
        <v>45764</v>
      </c>
      <c r="C3674" s="2">
        <v>45764.5075</v>
      </c>
      <c r="D3674" t="s">
        <v>24</v>
      </c>
      <c r="E3674" t="s">
        <v>25</v>
      </c>
      <c r="F3674" t="s">
        <v>70</v>
      </c>
      <c r="G3674" t="s">
        <v>34</v>
      </c>
      <c r="H3674" t="s">
        <v>27</v>
      </c>
      <c r="I3674" t="s">
        <v>20</v>
      </c>
      <c r="J3674" t="s">
        <v>46</v>
      </c>
      <c r="K3674">
        <v>24</v>
      </c>
      <c r="L3674">
        <v>12.18</v>
      </c>
      <c r="M3674">
        <v>2.6</v>
      </c>
      <c r="N3674" t="s">
        <v>22</v>
      </c>
      <c r="O3674" t="str">
        <f t="shared" si="57"/>
        <v>No</v>
      </c>
    </row>
    <row r="3675" spans="1:15" x14ac:dyDescent="0.25">
      <c r="A3675" t="s">
        <v>3736</v>
      </c>
      <c r="B3675" s="1">
        <v>45658</v>
      </c>
      <c r="C3675" s="2">
        <v>45658.15</v>
      </c>
      <c r="D3675" t="s">
        <v>24</v>
      </c>
      <c r="E3675" t="s">
        <v>45</v>
      </c>
      <c r="F3675" t="s">
        <v>50</v>
      </c>
      <c r="G3675" t="s">
        <v>56</v>
      </c>
      <c r="H3675" t="s">
        <v>35</v>
      </c>
      <c r="I3675" t="s">
        <v>28</v>
      </c>
      <c r="J3675" t="s">
        <v>21</v>
      </c>
      <c r="K3675">
        <v>24</v>
      </c>
      <c r="L3675">
        <v>3.6</v>
      </c>
      <c r="M3675">
        <v>4.5</v>
      </c>
      <c r="N3675" t="s">
        <v>61</v>
      </c>
      <c r="O3675" t="str">
        <f t="shared" si="57"/>
        <v>No</v>
      </c>
    </row>
    <row r="3676" spans="1:15" x14ac:dyDescent="0.25">
      <c r="A3676" t="s">
        <v>3737</v>
      </c>
      <c r="B3676" s="1">
        <v>45774</v>
      </c>
      <c r="C3676" s="2">
        <v>45774.315821759257</v>
      </c>
      <c r="D3676" t="s">
        <v>24</v>
      </c>
      <c r="E3676" t="s">
        <v>16</v>
      </c>
      <c r="F3676" t="s">
        <v>58</v>
      </c>
      <c r="G3676" t="s">
        <v>41</v>
      </c>
      <c r="H3676" t="s">
        <v>19</v>
      </c>
      <c r="I3676" t="s">
        <v>45</v>
      </c>
      <c r="J3676" t="s">
        <v>21</v>
      </c>
      <c r="K3676">
        <v>24</v>
      </c>
      <c r="L3676">
        <v>7.58</v>
      </c>
      <c r="M3676">
        <v>4.7</v>
      </c>
      <c r="N3676" t="s">
        <v>22</v>
      </c>
      <c r="O3676" t="str">
        <f t="shared" si="57"/>
        <v>No</v>
      </c>
    </row>
    <row r="3677" spans="1:15" x14ac:dyDescent="0.25">
      <c r="A3677" t="s">
        <v>3738</v>
      </c>
      <c r="B3677" s="1">
        <v>45736</v>
      </c>
      <c r="C3677" s="2">
        <v>45736.020833333336</v>
      </c>
      <c r="D3677" t="s">
        <v>31</v>
      </c>
      <c r="E3677" t="s">
        <v>16</v>
      </c>
      <c r="F3677" t="s">
        <v>17</v>
      </c>
      <c r="G3677" t="s">
        <v>56</v>
      </c>
      <c r="H3677" t="s">
        <v>19</v>
      </c>
      <c r="I3677" t="s">
        <v>45</v>
      </c>
      <c r="J3677" t="s">
        <v>85</v>
      </c>
      <c r="K3677">
        <v>4</v>
      </c>
      <c r="L3677">
        <v>0.5</v>
      </c>
      <c r="M3677">
        <v>5</v>
      </c>
      <c r="N3677" t="s">
        <v>22</v>
      </c>
      <c r="O3677" t="str">
        <f t="shared" si="57"/>
        <v>No</v>
      </c>
    </row>
    <row r="3678" spans="1:15" x14ac:dyDescent="0.25">
      <c r="A3678" t="s">
        <v>3739</v>
      </c>
      <c r="B3678" s="1">
        <v>45724</v>
      </c>
      <c r="C3678" s="2">
        <v>45724.780833333331</v>
      </c>
      <c r="D3678" t="s">
        <v>24</v>
      </c>
      <c r="E3678" t="s">
        <v>39</v>
      </c>
      <c r="F3678" t="s">
        <v>78</v>
      </c>
      <c r="G3678" t="s">
        <v>51</v>
      </c>
      <c r="H3678" t="s">
        <v>44</v>
      </c>
      <c r="I3678" t="s">
        <v>45</v>
      </c>
      <c r="J3678" t="s">
        <v>21</v>
      </c>
      <c r="K3678">
        <v>24</v>
      </c>
      <c r="L3678">
        <v>18.739999999999998</v>
      </c>
      <c r="M3678">
        <v>4.0999999999999996</v>
      </c>
      <c r="N3678" t="s">
        <v>22</v>
      </c>
      <c r="O3678" t="str">
        <f t="shared" si="57"/>
        <v>No</v>
      </c>
    </row>
    <row r="3679" spans="1:15" x14ac:dyDescent="0.25">
      <c r="A3679" t="s">
        <v>3740</v>
      </c>
      <c r="B3679" s="1">
        <v>45797</v>
      </c>
      <c r="C3679" s="2">
        <v>45797.41375</v>
      </c>
      <c r="D3679" t="s">
        <v>24</v>
      </c>
      <c r="E3679" t="s">
        <v>16</v>
      </c>
      <c r="F3679" t="s">
        <v>60</v>
      </c>
      <c r="G3679" t="s">
        <v>18</v>
      </c>
      <c r="H3679" t="s">
        <v>19</v>
      </c>
      <c r="I3679" t="s">
        <v>36</v>
      </c>
      <c r="J3679" t="s">
        <v>21</v>
      </c>
      <c r="K3679">
        <v>24</v>
      </c>
      <c r="L3679">
        <v>9.93</v>
      </c>
      <c r="M3679">
        <v>4.5</v>
      </c>
      <c r="N3679" t="s">
        <v>22</v>
      </c>
      <c r="O3679" t="str">
        <f t="shared" si="57"/>
        <v>No</v>
      </c>
    </row>
    <row r="3680" spans="1:15" x14ac:dyDescent="0.25">
      <c r="A3680" t="s">
        <v>3741</v>
      </c>
      <c r="B3680" s="1">
        <v>45755</v>
      </c>
      <c r="C3680" s="2">
        <v>45755.368333333332</v>
      </c>
      <c r="D3680" t="s">
        <v>24</v>
      </c>
      <c r="E3680" t="s">
        <v>45</v>
      </c>
      <c r="F3680" t="s">
        <v>100</v>
      </c>
      <c r="G3680" t="s">
        <v>56</v>
      </c>
      <c r="H3680" t="s">
        <v>54</v>
      </c>
      <c r="I3680" t="s">
        <v>36</v>
      </c>
      <c r="J3680" t="s">
        <v>21</v>
      </c>
      <c r="K3680">
        <v>24</v>
      </c>
      <c r="L3680">
        <v>8.84</v>
      </c>
      <c r="M3680">
        <v>4</v>
      </c>
      <c r="N3680" t="s">
        <v>22</v>
      </c>
      <c r="O3680" t="str">
        <f t="shared" si="57"/>
        <v>No</v>
      </c>
    </row>
    <row r="3681" spans="1:15" x14ac:dyDescent="0.25">
      <c r="A3681" t="s">
        <v>3742</v>
      </c>
      <c r="B3681" s="1">
        <v>45790</v>
      </c>
      <c r="C3681" s="2">
        <v>45790.60083333333</v>
      </c>
      <c r="D3681" t="s">
        <v>24</v>
      </c>
      <c r="E3681" t="s">
        <v>16</v>
      </c>
      <c r="F3681" t="s">
        <v>60</v>
      </c>
      <c r="G3681" t="s">
        <v>34</v>
      </c>
      <c r="H3681" t="s">
        <v>35</v>
      </c>
      <c r="I3681" t="s">
        <v>36</v>
      </c>
      <c r="J3681" t="s">
        <v>29</v>
      </c>
      <c r="K3681">
        <v>24</v>
      </c>
      <c r="L3681">
        <v>14.42</v>
      </c>
      <c r="M3681">
        <v>5</v>
      </c>
      <c r="N3681" t="s">
        <v>22</v>
      </c>
      <c r="O3681" t="str">
        <f t="shared" si="57"/>
        <v>No</v>
      </c>
    </row>
    <row r="3682" spans="1:15" x14ac:dyDescent="0.25">
      <c r="A3682" t="s">
        <v>3743</v>
      </c>
      <c r="B3682" s="1">
        <v>45786</v>
      </c>
      <c r="C3682" s="2">
        <v>45787.073333333334</v>
      </c>
      <c r="D3682" t="s">
        <v>15</v>
      </c>
      <c r="E3682" t="s">
        <v>32</v>
      </c>
      <c r="F3682" t="s">
        <v>80</v>
      </c>
      <c r="G3682" t="s">
        <v>56</v>
      </c>
      <c r="H3682" t="s">
        <v>27</v>
      </c>
      <c r="I3682" t="s">
        <v>28</v>
      </c>
      <c r="J3682" t="s">
        <v>85</v>
      </c>
      <c r="K3682">
        <v>48</v>
      </c>
      <c r="L3682">
        <v>25.76</v>
      </c>
      <c r="M3682">
        <v>3.8</v>
      </c>
      <c r="N3682" t="s">
        <v>22</v>
      </c>
      <c r="O3682" t="str">
        <f t="shared" si="57"/>
        <v>No</v>
      </c>
    </row>
    <row r="3683" spans="1:15" x14ac:dyDescent="0.25">
      <c r="A3683" t="s">
        <v>3744</v>
      </c>
      <c r="B3683" s="1">
        <v>45663</v>
      </c>
      <c r="C3683" s="2">
        <v>45663.591249999998</v>
      </c>
      <c r="D3683" t="s">
        <v>24</v>
      </c>
      <c r="E3683" t="s">
        <v>32</v>
      </c>
      <c r="F3683" t="s">
        <v>64</v>
      </c>
      <c r="G3683" t="s">
        <v>18</v>
      </c>
      <c r="H3683" t="s">
        <v>54</v>
      </c>
      <c r="I3683" t="s">
        <v>36</v>
      </c>
      <c r="J3683" t="s">
        <v>21</v>
      </c>
      <c r="K3683">
        <v>24</v>
      </c>
      <c r="L3683">
        <v>14.19</v>
      </c>
      <c r="M3683">
        <v>5</v>
      </c>
      <c r="N3683" t="s">
        <v>22</v>
      </c>
      <c r="O3683" t="str">
        <f t="shared" si="57"/>
        <v>No</v>
      </c>
    </row>
    <row r="3684" spans="1:15" x14ac:dyDescent="0.25">
      <c r="A3684" t="s">
        <v>3745</v>
      </c>
      <c r="B3684" s="1">
        <v>45697</v>
      </c>
      <c r="C3684" s="2">
        <v>45697.222916666666</v>
      </c>
      <c r="D3684" t="s">
        <v>38</v>
      </c>
      <c r="E3684" t="s">
        <v>16</v>
      </c>
      <c r="F3684" t="s">
        <v>58</v>
      </c>
      <c r="G3684" t="s">
        <v>41</v>
      </c>
      <c r="H3684" t="s">
        <v>65</v>
      </c>
      <c r="I3684" t="s">
        <v>45</v>
      </c>
      <c r="J3684" t="s">
        <v>21</v>
      </c>
      <c r="K3684">
        <v>8</v>
      </c>
      <c r="L3684">
        <v>5.35</v>
      </c>
      <c r="M3684">
        <v>3.7</v>
      </c>
      <c r="N3684" t="s">
        <v>22</v>
      </c>
      <c r="O3684" t="str">
        <f t="shared" si="57"/>
        <v>No</v>
      </c>
    </row>
    <row r="3685" spans="1:15" x14ac:dyDescent="0.25">
      <c r="A3685" t="s">
        <v>3746</v>
      </c>
      <c r="B3685" s="1">
        <v>45761</v>
      </c>
      <c r="C3685" s="2">
        <v>45761.464583333334</v>
      </c>
      <c r="D3685" t="s">
        <v>24</v>
      </c>
      <c r="E3685" t="s">
        <v>25</v>
      </c>
      <c r="F3685" t="s">
        <v>70</v>
      </c>
      <c r="G3685" t="s">
        <v>56</v>
      </c>
      <c r="H3685" t="s">
        <v>54</v>
      </c>
      <c r="I3685" t="s">
        <v>36</v>
      </c>
      <c r="J3685" t="s">
        <v>46</v>
      </c>
      <c r="K3685">
        <v>24</v>
      </c>
      <c r="L3685">
        <v>11.15</v>
      </c>
      <c r="M3685">
        <v>5</v>
      </c>
      <c r="N3685" t="s">
        <v>22</v>
      </c>
      <c r="O3685" t="str">
        <f t="shared" si="57"/>
        <v>No</v>
      </c>
    </row>
    <row r="3686" spans="1:15" x14ac:dyDescent="0.25">
      <c r="A3686" t="s">
        <v>3747</v>
      </c>
      <c r="B3686" s="1">
        <v>45834</v>
      </c>
      <c r="C3686" s="2">
        <v>45834.396666666667</v>
      </c>
      <c r="D3686" t="s">
        <v>15</v>
      </c>
      <c r="E3686" t="s">
        <v>32</v>
      </c>
      <c r="F3686" t="s">
        <v>64</v>
      </c>
      <c r="G3686" t="s">
        <v>51</v>
      </c>
      <c r="H3686" t="s">
        <v>65</v>
      </c>
      <c r="I3686" t="s">
        <v>45</v>
      </c>
      <c r="J3686" t="s">
        <v>21</v>
      </c>
      <c r="K3686">
        <v>48</v>
      </c>
      <c r="L3686">
        <v>9.52</v>
      </c>
      <c r="M3686">
        <v>4.7</v>
      </c>
      <c r="N3686" t="s">
        <v>22</v>
      </c>
      <c r="O3686" t="str">
        <f t="shared" si="57"/>
        <v>No</v>
      </c>
    </row>
    <row r="3687" spans="1:15" x14ac:dyDescent="0.25">
      <c r="A3687" t="s">
        <v>3748</v>
      </c>
      <c r="B3687" s="1">
        <v>45685</v>
      </c>
      <c r="C3687" s="2">
        <v>45685.056250000001</v>
      </c>
      <c r="D3687" t="s">
        <v>38</v>
      </c>
      <c r="E3687" t="s">
        <v>39</v>
      </c>
      <c r="F3687" t="s">
        <v>87</v>
      </c>
      <c r="G3687" t="s">
        <v>18</v>
      </c>
      <c r="H3687" t="s">
        <v>27</v>
      </c>
      <c r="I3687" t="s">
        <v>36</v>
      </c>
      <c r="J3687" t="s">
        <v>21</v>
      </c>
      <c r="K3687">
        <v>8</v>
      </c>
      <c r="L3687">
        <v>1.35</v>
      </c>
      <c r="M3687">
        <v>4.4000000000000004</v>
      </c>
      <c r="N3687" t="s">
        <v>22</v>
      </c>
      <c r="O3687" t="str">
        <f t="shared" si="57"/>
        <v>No</v>
      </c>
    </row>
    <row r="3688" spans="1:15" x14ac:dyDescent="0.25">
      <c r="A3688" t="s">
        <v>3749</v>
      </c>
      <c r="B3688" s="1">
        <v>45677</v>
      </c>
      <c r="C3688" s="2">
        <v>45677.294583333336</v>
      </c>
      <c r="D3688" t="s">
        <v>24</v>
      </c>
      <c r="E3688" t="s">
        <v>45</v>
      </c>
      <c r="F3688" t="s">
        <v>112</v>
      </c>
      <c r="G3688" t="s">
        <v>56</v>
      </c>
      <c r="H3688" t="s">
        <v>27</v>
      </c>
      <c r="I3688" t="s">
        <v>28</v>
      </c>
      <c r="J3688" t="s">
        <v>21</v>
      </c>
      <c r="K3688">
        <v>24</v>
      </c>
      <c r="L3688">
        <v>7.07</v>
      </c>
      <c r="M3688">
        <v>5</v>
      </c>
      <c r="N3688" t="s">
        <v>22</v>
      </c>
      <c r="O3688" t="str">
        <f t="shared" si="57"/>
        <v>No</v>
      </c>
    </row>
    <row r="3689" spans="1:15" x14ac:dyDescent="0.25">
      <c r="A3689" t="s">
        <v>3750</v>
      </c>
      <c r="B3689" s="1">
        <v>45828</v>
      </c>
      <c r="C3689" s="2">
        <v>45830.859583333331</v>
      </c>
      <c r="D3689" t="s">
        <v>15</v>
      </c>
      <c r="E3689" t="s">
        <v>16</v>
      </c>
      <c r="F3689" t="s">
        <v>60</v>
      </c>
      <c r="G3689" t="s">
        <v>51</v>
      </c>
      <c r="H3689" t="s">
        <v>19</v>
      </c>
      <c r="I3689" t="s">
        <v>36</v>
      </c>
      <c r="J3689" t="s">
        <v>21</v>
      </c>
      <c r="K3689">
        <v>48</v>
      </c>
      <c r="L3689">
        <v>68.63</v>
      </c>
      <c r="M3689">
        <v>4.0999999999999996</v>
      </c>
      <c r="N3689" t="s">
        <v>22</v>
      </c>
      <c r="O3689" t="str">
        <f t="shared" si="57"/>
        <v>Yes</v>
      </c>
    </row>
    <row r="3690" spans="1:15" x14ac:dyDescent="0.25">
      <c r="A3690" t="s">
        <v>3751</v>
      </c>
      <c r="B3690" s="1">
        <v>45832</v>
      </c>
      <c r="C3690" s="2">
        <v>45832.519166666665</v>
      </c>
      <c r="D3690" t="s">
        <v>24</v>
      </c>
      <c r="E3690" t="s">
        <v>32</v>
      </c>
      <c r="F3690" t="s">
        <v>33</v>
      </c>
      <c r="G3690" t="s">
        <v>34</v>
      </c>
      <c r="H3690" t="s">
        <v>54</v>
      </c>
      <c r="I3690" t="s">
        <v>28</v>
      </c>
      <c r="J3690" t="s">
        <v>46</v>
      </c>
      <c r="K3690">
        <v>24</v>
      </c>
      <c r="L3690">
        <v>12.46</v>
      </c>
      <c r="M3690">
        <v>4.3</v>
      </c>
      <c r="N3690" t="s">
        <v>22</v>
      </c>
      <c r="O3690" t="str">
        <f t="shared" si="57"/>
        <v>No</v>
      </c>
    </row>
    <row r="3691" spans="1:15" x14ac:dyDescent="0.25">
      <c r="A3691" t="s">
        <v>3752</v>
      </c>
      <c r="B3691" s="1">
        <v>45688</v>
      </c>
      <c r="C3691" s="2">
        <v>45688.731666666667</v>
      </c>
      <c r="D3691" t="s">
        <v>24</v>
      </c>
      <c r="E3691" t="s">
        <v>39</v>
      </c>
      <c r="F3691" t="s">
        <v>87</v>
      </c>
      <c r="G3691" t="s">
        <v>34</v>
      </c>
      <c r="H3691" t="s">
        <v>54</v>
      </c>
      <c r="I3691" t="s">
        <v>45</v>
      </c>
      <c r="J3691" t="s">
        <v>21</v>
      </c>
      <c r="K3691">
        <v>24</v>
      </c>
      <c r="L3691">
        <v>17.559999999999999</v>
      </c>
      <c r="M3691">
        <v>4.0999999999999996</v>
      </c>
      <c r="N3691" t="s">
        <v>22</v>
      </c>
      <c r="O3691" t="str">
        <f t="shared" si="57"/>
        <v>No</v>
      </c>
    </row>
    <row r="3692" spans="1:15" x14ac:dyDescent="0.25">
      <c r="A3692" t="s">
        <v>3753</v>
      </c>
      <c r="B3692" s="1">
        <v>45730</v>
      </c>
      <c r="C3692" s="2">
        <v>45730.126666666663</v>
      </c>
      <c r="D3692" t="s">
        <v>38</v>
      </c>
      <c r="E3692" t="s">
        <v>39</v>
      </c>
      <c r="F3692" t="s">
        <v>78</v>
      </c>
      <c r="G3692" t="s">
        <v>18</v>
      </c>
      <c r="H3692" t="s">
        <v>65</v>
      </c>
      <c r="I3692" t="s">
        <v>36</v>
      </c>
      <c r="J3692" t="s">
        <v>21</v>
      </c>
      <c r="K3692">
        <v>8</v>
      </c>
      <c r="L3692">
        <v>3.04</v>
      </c>
      <c r="M3692">
        <v>4.3</v>
      </c>
      <c r="N3692" t="s">
        <v>22</v>
      </c>
      <c r="O3692" t="str">
        <f t="shared" si="57"/>
        <v>No</v>
      </c>
    </row>
    <row r="3693" spans="1:15" x14ac:dyDescent="0.25">
      <c r="A3693" t="s">
        <v>3754</v>
      </c>
      <c r="B3693" s="1">
        <v>45771</v>
      </c>
      <c r="C3693" s="2">
        <v>45771.877916666665</v>
      </c>
      <c r="D3693" t="s">
        <v>15</v>
      </c>
      <c r="E3693" t="s">
        <v>32</v>
      </c>
      <c r="F3693" t="s">
        <v>33</v>
      </c>
      <c r="G3693" t="s">
        <v>41</v>
      </c>
      <c r="H3693" t="s">
        <v>27</v>
      </c>
      <c r="I3693" t="s">
        <v>20</v>
      </c>
      <c r="J3693" t="s">
        <v>21</v>
      </c>
      <c r="K3693">
        <v>48</v>
      </c>
      <c r="L3693">
        <v>21.07</v>
      </c>
      <c r="M3693">
        <v>4.5999999999999996</v>
      </c>
      <c r="N3693" t="s">
        <v>22</v>
      </c>
      <c r="O3693" t="str">
        <f t="shared" si="57"/>
        <v>No</v>
      </c>
    </row>
    <row r="3694" spans="1:15" x14ac:dyDescent="0.25">
      <c r="A3694" t="s">
        <v>3755</v>
      </c>
      <c r="B3694" s="1">
        <v>45693</v>
      </c>
      <c r="C3694" s="2">
        <v>45693.523738425924</v>
      </c>
      <c r="D3694" t="s">
        <v>15</v>
      </c>
      <c r="E3694" t="s">
        <v>16</v>
      </c>
      <c r="F3694" t="s">
        <v>58</v>
      </c>
      <c r="G3694" t="s">
        <v>51</v>
      </c>
      <c r="H3694" t="s">
        <v>27</v>
      </c>
      <c r="I3694" t="s">
        <v>45</v>
      </c>
      <c r="J3694" t="s">
        <v>21</v>
      </c>
      <c r="K3694">
        <v>48</v>
      </c>
      <c r="L3694">
        <v>12.57</v>
      </c>
      <c r="M3694">
        <v>4</v>
      </c>
      <c r="N3694" t="s">
        <v>61</v>
      </c>
      <c r="O3694" t="str">
        <f t="shared" si="57"/>
        <v>No</v>
      </c>
    </row>
    <row r="3695" spans="1:15" x14ac:dyDescent="0.25">
      <c r="A3695" t="s">
        <v>3756</v>
      </c>
      <c r="B3695" s="1">
        <v>45717</v>
      </c>
      <c r="C3695" s="2">
        <v>45717.754583333335</v>
      </c>
      <c r="D3695" t="s">
        <v>24</v>
      </c>
      <c r="E3695" t="s">
        <v>16</v>
      </c>
      <c r="F3695" t="s">
        <v>43</v>
      </c>
      <c r="G3695" t="s">
        <v>18</v>
      </c>
      <c r="H3695" t="s">
        <v>35</v>
      </c>
      <c r="I3695" t="s">
        <v>36</v>
      </c>
      <c r="J3695" t="s">
        <v>85</v>
      </c>
      <c r="K3695">
        <v>24</v>
      </c>
      <c r="L3695">
        <v>18.11</v>
      </c>
      <c r="M3695">
        <v>2.2999999999999998</v>
      </c>
      <c r="N3695" t="s">
        <v>22</v>
      </c>
      <c r="O3695" t="str">
        <f t="shared" si="57"/>
        <v>No</v>
      </c>
    </row>
    <row r="3696" spans="1:15" x14ac:dyDescent="0.25">
      <c r="A3696" t="s">
        <v>3757</v>
      </c>
      <c r="B3696" s="1">
        <v>45729</v>
      </c>
      <c r="C3696" s="2">
        <v>45729.819166666668</v>
      </c>
      <c r="D3696" t="s">
        <v>15</v>
      </c>
      <c r="E3696" t="s">
        <v>16</v>
      </c>
      <c r="F3696" t="s">
        <v>60</v>
      </c>
      <c r="G3696" t="s">
        <v>18</v>
      </c>
      <c r="H3696" t="s">
        <v>65</v>
      </c>
      <c r="I3696" t="s">
        <v>20</v>
      </c>
      <c r="J3696" t="s">
        <v>21</v>
      </c>
      <c r="K3696">
        <v>48</v>
      </c>
      <c r="L3696">
        <v>19.66</v>
      </c>
      <c r="M3696">
        <v>3.3</v>
      </c>
      <c r="N3696" t="s">
        <v>22</v>
      </c>
      <c r="O3696" t="str">
        <f t="shared" si="57"/>
        <v>No</v>
      </c>
    </row>
    <row r="3697" spans="1:15" x14ac:dyDescent="0.25">
      <c r="A3697" t="s">
        <v>3758</v>
      </c>
      <c r="B3697" s="1">
        <v>45774</v>
      </c>
      <c r="C3697" s="2">
        <v>45774.808333333334</v>
      </c>
      <c r="D3697" t="s">
        <v>24</v>
      </c>
      <c r="E3697" t="s">
        <v>16</v>
      </c>
      <c r="F3697" t="s">
        <v>17</v>
      </c>
      <c r="G3697" t="s">
        <v>41</v>
      </c>
      <c r="H3697" t="s">
        <v>44</v>
      </c>
      <c r="I3697" t="s">
        <v>45</v>
      </c>
      <c r="J3697" t="s">
        <v>21</v>
      </c>
      <c r="K3697">
        <v>24</v>
      </c>
      <c r="L3697">
        <v>19.399999999999999</v>
      </c>
      <c r="M3697">
        <v>3.9</v>
      </c>
      <c r="N3697" t="s">
        <v>22</v>
      </c>
      <c r="O3697" t="str">
        <f t="shared" si="57"/>
        <v>No</v>
      </c>
    </row>
    <row r="3698" spans="1:15" x14ac:dyDescent="0.25">
      <c r="A3698" t="s">
        <v>3759</v>
      </c>
      <c r="B3698" s="1">
        <v>45713</v>
      </c>
      <c r="C3698" s="2">
        <v>45713.020833333336</v>
      </c>
      <c r="D3698" t="s">
        <v>38</v>
      </c>
      <c r="E3698" t="s">
        <v>32</v>
      </c>
      <c r="F3698" t="s">
        <v>75</v>
      </c>
      <c r="G3698" t="s">
        <v>51</v>
      </c>
      <c r="H3698" t="s">
        <v>54</v>
      </c>
      <c r="I3698" t="s">
        <v>45</v>
      </c>
      <c r="J3698" t="s">
        <v>21</v>
      </c>
      <c r="K3698">
        <v>8</v>
      </c>
      <c r="L3698">
        <v>0.5</v>
      </c>
      <c r="M3698">
        <v>4.2</v>
      </c>
      <c r="N3698" t="s">
        <v>22</v>
      </c>
      <c r="O3698" t="str">
        <f t="shared" si="57"/>
        <v>No</v>
      </c>
    </row>
    <row r="3699" spans="1:15" x14ac:dyDescent="0.25">
      <c r="A3699" t="s">
        <v>3760</v>
      </c>
      <c r="B3699" s="1">
        <v>45732</v>
      </c>
      <c r="C3699" s="2">
        <v>45733.674166666664</v>
      </c>
      <c r="D3699" t="s">
        <v>15</v>
      </c>
      <c r="E3699" t="s">
        <v>32</v>
      </c>
      <c r="F3699" t="s">
        <v>75</v>
      </c>
      <c r="G3699" t="s">
        <v>41</v>
      </c>
      <c r="H3699" t="s">
        <v>35</v>
      </c>
      <c r="I3699" t="s">
        <v>20</v>
      </c>
      <c r="J3699" t="s">
        <v>29</v>
      </c>
      <c r="K3699">
        <v>48</v>
      </c>
      <c r="L3699">
        <v>40.18</v>
      </c>
      <c r="M3699">
        <v>3.9</v>
      </c>
      <c r="N3699" t="s">
        <v>22</v>
      </c>
      <c r="O3699" t="str">
        <f t="shared" si="57"/>
        <v>No</v>
      </c>
    </row>
    <row r="3700" spans="1:15" x14ac:dyDescent="0.25">
      <c r="A3700" t="s">
        <v>3761</v>
      </c>
      <c r="B3700" s="1">
        <v>45710</v>
      </c>
      <c r="C3700" s="2">
        <v>45710.226666666669</v>
      </c>
      <c r="D3700" t="s">
        <v>24</v>
      </c>
      <c r="E3700" t="s">
        <v>32</v>
      </c>
      <c r="F3700" t="s">
        <v>80</v>
      </c>
      <c r="G3700" t="s">
        <v>18</v>
      </c>
      <c r="H3700" t="s">
        <v>35</v>
      </c>
      <c r="I3700" t="s">
        <v>45</v>
      </c>
      <c r="J3700" t="s">
        <v>46</v>
      </c>
      <c r="K3700">
        <v>24</v>
      </c>
      <c r="L3700">
        <v>5.44</v>
      </c>
      <c r="M3700">
        <v>4.4000000000000004</v>
      </c>
      <c r="N3700" t="s">
        <v>22</v>
      </c>
      <c r="O3700" t="str">
        <f t="shared" si="57"/>
        <v>No</v>
      </c>
    </row>
    <row r="3701" spans="1:15" x14ac:dyDescent="0.25">
      <c r="A3701" t="s">
        <v>3762</v>
      </c>
      <c r="B3701" s="1">
        <v>45795</v>
      </c>
      <c r="C3701" s="2">
        <v>45795.044166666667</v>
      </c>
      <c r="D3701" t="s">
        <v>31</v>
      </c>
      <c r="E3701" t="s">
        <v>32</v>
      </c>
      <c r="F3701" t="s">
        <v>75</v>
      </c>
      <c r="G3701" t="s">
        <v>56</v>
      </c>
      <c r="H3701" t="s">
        <v>35</v>
      </c>
      <c r="I3701" t="s">
        <v>36</v>
      </c>
      <c r="J3701" t="s">
        <v>21</v>
      </c>
      <c r="K3701">
        <v>4</v>
      </c>
      <c r="L3701">
        <v>1.06</v>
      </c>
      <c r="M3701">
        <v>4.2</v>
      </c>
      <c r="N3701" t="s">
        <v>22</v>
      </c>
      <c r="O3701" t="str">
        <f t="shared" si="57"/>
        <v>No</v>
      </c>
    </row>
    <row r="3702" spans="1:15" x14ac:dyDescent="0.25">
      <c r="A3702" t="s">
        <v>3763</v>
      </c>
      <c r="B3702" s="1">
        <v>45685</v>
      </c>
      <c r="C3702" s="2">
        <v>45685.977500000001</v>
      </c>
      <c r="D3702" t="s">
        <v>24</v>
      </c>
      <c r="E3702" t="s">
        <v>25</v>
      </c>
      <c r="F3702" t="s">
        <v>70</v>
      </c>
      <c r="G3702" t="s">
        <v>41</v>
      </c>
      <c r="H3702" t="s">
        <v>27</v>
      </c>
      <c r="I3702" t="s">
        <v>36</v>
      </c>
      <c r="J3702" t="s">
        <v>21</v>
      </c>
      <c r="K3702">
        <v>24</v>
      </c>
      <c r="L3702">
        <v>23.46</v>
      </c>
      <c r="M3702">
        <v>3.4</v>
      </c>
      <c r="N3702" t="s">
        <v>22</v>
      </c>
      <c r="O3702" t="str">
        <f t="shared" si="57"/>
        <v>No</v>
      </c>
    </row>
    <row r="3703" spans="1:15" x14ac:dyDescent="0.25">
      <c r="A3703" t="s">
        <v>3764</v>
      </c>
      <c r="B3703" s="1">
        <v>45699</v>
      </c>
      <c r="C3703" s="2">
        <v>45700.072500000002</v>
      </c>
      <c r="D3703" t="s">
        <v>24</v>
      </c>
      <c r="E3703" t="s">
        <v>32</v>
      </c>
      <c r="F3703" t="s">
        <v>80</v>
      </c>
      <c r="G3703" t="s">
        <v>51</v>
      </c>
      <c r="H3703" t="s">
        <v>65</v>
      </c>
      <c r="I3703" t="s">
        <v>36</v>
      </c>
      <c r="J3703" t="s">
        <v>21</v>
      </c>
      <c r="K3703">
        <v>24</v>
      </c>
      <c r="L3703">
        <v>25.74</v>
      </c>
      <c r="M3703">
        <v>4.3</v>
      </c>
      <c r="N3703" t="s">
        <v>22</v>
      </c>
      <c r="O3703" t="str">
        <f t="shared" si="57"/>
        <v>Yes</v>
      </c>
    </row>
    <row r="3704" spans="1:15" x14ac:dyDescent="0.25">
      <c r="A3704" t="s">
        <v>3765</v>
      </c>
      <c r="B3704" s="1">
        <v>45703</v>
      </c>
      <c r="C3704" s="2">
        <v>45703.552083333336</v>
      </c>
      <c r="D3704" t="s">
        <v>24</v>
      </c>
      <c r="E3704" t="s">
        <v>16</v>
      </c>
      <c r="F3704" t="s">
        <v>43</v>
      </c>
      <c r="G3704" t="s">
        <v>51</v>
      </c>
      <c r="H3704" t="s">
        <v>54</v>
      </c>
      <c r="I3704" t="s">
        <v>45</v>
      </c>
      <c r="J3704" t="s">
        <v>46</v>
      </c>
      <c r="K3704">
        <v>24</v>
      </c>
      <c r="L3704">
        <v>13.25</v>
      </c>
      <c r="M3704">
        <v>4.5</v>
      </c>
      <c r="N3704" t="s">
        <v>22</v>
      </c>
      <c r="O3704" t="str">
        <f t="shared" si="57"/>
        <v>No</v>
      </c>
    </row>
    <row r="3705" spans="1:15" x14ac:dyDescent="0.25">
      <c r="A3705" t="s">
        <v>3766</v>
      </c>
      <c r="B3705" s="1">
        <v>45821</v>
      </c>
      <c r="C3705" s="2">
        <v>45823.045416666668</v>
      </c>
      <c r="D3705" t="s">
        <v>15</v>
      </c>
      <c r="E3705" t="s">
        <v>32</v>
      </c>
      <c r="F3705" t="s">
        <v>75</v>
      </c>
      <c r="G3705" t="s">
        <v>56</v>
      </c>
      <c r="H3705" t="s">
        <v>44</v>
      </c>
      <c r="I3705" t="s">
        <v>36</v>
      </c>
      <c r="J3705" t="s">
        <v>21</v>
      </c>
      <c r="K3705">
        <v>48</v>
      </c>
      <c r="L3705">
        <v>49.09</v>
      </c>
      <c r="M3705">
        <v>4.8</v>
      </c>
      <c r="N3705" t="s">
        <v>22</v>
      </c>
      <c r="O3705" t="str">
        <f t="shared" si="57"/>
        <v>Yes</v>
      </c>
    </row>
    <row r="3706" spans="1:15" x14ac:dyDescent="0.25">
      <c r="A3706" t="s">
        <v>3767</v>
      </c>
      <c r="B3706" s="1">
        <v>45828</v>
      </c>
      <c r="C3706" s="2">
        <v>45828.634583333333</v>
      </c>
      <c r="D3706" t="s">
        <v>15</v>
      </c>
      <c r="E3706" t="s">
        <v>32</v>
      </c>
      <c r="F3706" t="s">
        <v>64</v>
      </c>
      <c r="G3706" t="s">
        <v>41</v>
      </c>
      <c r="H3706" t="s">
        <v>19</v>
      </c>
      <c r="I3706" t="s">
        <v>36</v>
      </c>
      <c r="J3706" t="s">
        <v>21</v>
      </c>
      <c r="K3706">
        <v>48</v>
      </c>
      <c r="L3706">
        <v>15.23</v>
      </c>
      <c r="M3706">
        <v>4.7</v>
      </c>
      <c r="N3706" t="s">
        <v>22</v>
      </c>
      <c r="O3706" t="str">
        <f t="shared" si="57"/>
        <v>No</v>
      </c>
    </row>
    <row r="3707" spans="1:15" x14ac:dyDescent="0.25">
      <c r="A3707" t="s">
        <v>3768</v>
      </c>
      <c r="B3707" s="1">
        <v>45748</v>
      </c>
      <c r="C3707" s="2">
        <v>45748.367083333331</v>
      </c>
      <c r="D3707" t="s">
        <v>24</v>
      </c>
      <c r="E3707" t="s">
        <v>32</v>
      </c>
      <c r="F3707" t="s">
        <v>64</v>
      </c>
      <c r="G3707" t="s">
        <v>41</v>
      </c>
      <c r="H3707" t="s">
        <v>35</v>
      </c>
      <c r="I3707" t="s">
        <v>20</v>
      </c>
      <c r="J3707" t="s">
        <v>46</v>
      </c>
      <c r="K3707">
        <v>24</v>
      </c>
      <c r="L3707">
        <v>8.81</v>
      </c>
      <c r="M3707">
        <v>3.3</v>
      </c>
      <c r="N3707" t="s">
        <v>22</v>
      </c>
      <c r="O3707" t="str">
        <f t="shared" si="57"/>
        <v>No</v>
      </c>
    </row>
    <row r="3708" spans="1:15" x14ac:dyDescent="0.25">
      <c r="A3708" t="s">
        <v>3769</v>
      </c>
      <c r="B3708" s="1">
        <v>45686</v>
      </c>
      <c r="C3708" s="2">
        <v>45687.248749999999</v>
      </c>
      <c r="D3708" t="s">
        <v>24</v>
      </c>
      <c r="E3708" t="s">
        <v>16</v>
      </c>
      <c r="F3708" t="s">
        <v>17</v>
      </c>
      <c r="G3708" t="s">
        <v>41</v>
      </c>
      <c r="H3708" t="s">
        <v>54</v>
      </c>
      <c r="I3708" t="s">
        <v>36</v>
      </c>
      <c r="J3708" t="s">
        <v>21</v>
      </c>
      <c r="K3708">
        <v>24</v>
      </c>
      <c r="L3708">
        <v>29.97</v>
      </c>
      <c r="M3708">
        <v>2.8</v>
      </c>
      <c r="N3708" t="s">
        <v>22</v>
      </c>
      <c r="O3708" t="str">
        <f t="shared" si="57"/>
        <v>Yes</v>
      </c>
    </row>
    <row r="3709" spans="1:15" x14ac:dyDescent="0.25">
      <c r="A3709" t="s">
        <v>3770</v>
      </c>
      <c r="B3709" s="1">
        <v>45794</v>
      </c>
      <c r="C3709" s="2">
        <v>45794.147083333337</v>
      </c>
      <c r="D3709" t="s">
        <v>15</v>
      </c>
      <c r="E3709" t="s">
        <v>16</v>
      </c>
      <c r="F3709" t="s">
        <v>43</v>
      </c>
      <c r="G3709" t="s">
        <v>51</v>
      </c>
      <c r="H3709" t="s">
        <v>65</v>
      </c>
      <c r="I3709" t="s">
        <v>36</v>
      </c>
      <c r="J3709" t="s">
        <v>46</v>
      </c>
      <c r="K3709">
        <v>48</v>
      </c>
      <c r="L3709">
        <v>3.53</v>
      </c>
      <c r="M3709">
        <v>5</v>
      </c>
      <c r="N3709" t="s">
        <v>22</v>
      </c>
      <c r="O3709" t="str">
        <f t="shared" si="57"/>
        <v>No</v>
      </c>
    </row>
    <row r="3710" spans="1:15" x14ac:dyDescent="0.25">
      <c r="A3710" t="s">
        <v>3771</v>
      </c>
      <c r="B3710" s="1">
        <v>45747</v>
      </c>
      <c r="C3710" s="2">
        <v>45748.487083333333</v>
      </c>
      <c r="D3710" t="s">
        <v>15</v>
      </c>
      <c r="E3710" t="s">
        <v>25</v>
      </c>
      <c r="F3710" t="s">
        <v>48</v>
      </c>
      <c r="G3710" t="s">
        <v>51</v>
      </c>
      <c r="H3710" t="s">
        <v>65</v>
      </c>
      <c r="I3710" t="s">
        <v>20</v>
      </c>
      <c r="J3710" t="s">
        <v>21</v>
      </c>
      <c r="K3710">
        <v>48</v>
      </c>
      <c r="L3710">
        <v>35.69</v>
      </c>
      <c r="M3710">
        <v>4.3</v>
      </c>
      <c r="N3710" t="s">
        <v>22</v>
      </c>
      <c r="O3710" t="str">
        <f t="shared" si="57"/>
        <v>No</v>
      </c>
    </row>
    <row r="3711" spans="1:15" x14ac:dyDescent="0.25">
      <c r="A3711" t="s">
        <v>3772</v>
      </c>
      <c r="B3711" s="1">
        <v>45811</v>
      </c>
      <c r="C3711" s="2">
        <v>45811.152916666666</v>
      </c>
      <c r="D3711" t="s">
        <v>38</v>
      </c>
      <c r="E3711" t="s">
        <v>32</v>
      </c>
      <c r="F3711" t="s">
        <v>75</v>
      </c>
      <c r="G3711" t="s">
        <v>51</v>
      </c>
      <c r="H3711" t="s">
        <v>19</v>
      </c>
      <c r="I3711" t="s">
        <v>20</v>
      </c>
      <c r="J3711" t="s">
        <v>46</v>
      </c>
      <c r="K3711">
        <v>8</v>
      </c>
      <c r="L3711">
        <v>3.67</v>
      </c>
      <c r="M3711">
        <v>4.0999999999999996</v>
      </c>
      <c r="N3711" t="s">
        <v>22</v>
      </c>
      <c r="O3711" t="str">
        <f t="shared" si="57"/>
        <v>No</v>
      </c>
    </row>
    <row r="3712" spans="1:15" x14ac:dyDescent="0.25">
      <c r="A3712" t="s">
        <v>3773</v>
      </c>
      <c r="B3712" s="1">
        <v>45723</v>
      </c>
      <c r="C3712" s="2">
        <v>45724.219166666669</v>
      </c>
      <c r="D3712" t="s">
        <v>15</v>
      </c>
      <c r="E3712" t="s">
        <v>16</v>
      </c>
      <c r="F3712" t="s">
        <v>58</v>
      </c>
      <c r="G3712" t="s">
        <v>34</v>
      </c>
      <c r="H3712" t="s">
        <v>44</v>
      </c>
      <c r="I3712" t="s">
        <v>20</v>
      </c>
      <c r="J3712" t="s">
        <v>46</v>
      </c>
      <c r="K3712">
        <v>48</v>
      </c>
      <c r="L3712">
        <v>29.26</v>
      </c>
      <c r="M3712">
        <v>3.8</v>
      </c>
      <c r="N3712" t="s">
        <v>22</v>
      </c>
      <c r="O3712" t="str">
        <f t="shared" si="57"/>
        <v>No</v>
      </c>
    </row>
    <row r="3713" spans="1:15" x14ac:dyDescent="0.25">
      <c r="A3713" t="s">
        <v>3774</v>
      </c>
      <c r="B3713" s="1">
        <v>45838</v>
      </c>
      <c r="C3713" s="2">
        <v>45838.180833333332</v>
      </c>
      <c r="D3713" t="s">
        <v>38</v>
      </c>
      <c r="E3713" t="s">
        <v>25</v>
      </c>
      <c r="F3713" t="s">
        <v>53</v>
      </c>
      <c r="G3713" t="s">
        <v>18</v>
      </c>
      <c r="H3713" t="s">
        <v>44</v>
      </c>
      <c r="I3713" t="s">
        <v>36</v>
      </c>
      <c r="J3713" t="s">
        <v>85</v>
      </c>
      <c r="K3713">
        <v>8</v>
      </c>
      <c r="L3713">
        <v>4.34</v>
      </c>
      <c r="M3713">
        <v>4</v>
      </c>
      <c r="N3713" t="s">
        <v>61</v>
      </c>
      <c r="O3713" t="str">
        <f t="shared" si="57"/>
        <v>No</v>
      </c>
    </row>
    <row r="3714" spans="1:15" x14ac:dyDescent="0.25">
      <c r="A3714" t="s">
        <v>3775</v>
      </c>
      <c r="B3714" s="1">
        <v>45804</v>
      </c>
      <c r="C3714" s="2">
        <v>45804.60083333333</v>
      </c>
      <c r="D3714" t="s">
        <v>24</v>
      </c>
      <c r="E3714" t="s">
        <v>39</v>
      </c>
      <c r="F3714" t="s">
        <v>119</v>
      </c>
      <c r="G3714" t="s">
        <v>41</v>
      </c>
      <c r="H3714" t="s">
        <v>27</v>
      </c>
      <c r="I3714" t="s">
        <v>45</v>
      </c>
      <c r="J3714" t="s">
        <v>46</v>
      </c>
      <c r="K3714">
        <v>24</v>
      </c>
      <c r="L3714">
        <v>14.42</v>
      </c>
      <c r="M3714">
        <v>4.2</v>
      </c>
      <c r="N3714" t="s">
        <v>22</v>
      </c>
      <c r="O3714" t="str">
        <f t="shared" si="57"/>
        <v>No</v>
      </c>
    </row>
    <row r="3715" spans="1:15" x14ac:dyDescent="0.25">
      <c r="A3715" t="s">
        <v>3776</v>
      </c>
      <c r="B3715" s="1">
        <v>45698</v>
      </c>
      <c r="C3715" s="2">
        <v>45698.450416666667</v>
      </c>
      <c r="D3715" t="s">
        <v>24</v>
      </c>
      <c r="E3715" t="s">
        <v>32</v>
      </c>
      <c r="F3715" t="s">
        <v>80</v>
      </c>
      <c r="G3715" t="s">
        <v>18</v>
      </c>
      <c r="H3715" t="s">
        <v>65</v>
      </c>
      <c r="I3715" t="s">
        <v>28</v>
      </c>
      <c r="J3715" t="s">
        <v>21</v>
      </c>
      <c r="K3715">
        <v>24</v>
      </c>
      <c r="L3715">
        <v>10.81</v>
      </c>
      <c r="M3715">
        <v>4.4000000000000004</v>
      </c>
      <c r="N3715" t="s">
        <v>22</v>
      </c>
      <c r="O3715" t="str">
        <f t="shared" ref="O3715:O3778" si="58">IF(L3715&gt;K3715,"Yes","No")</f>
        <v>No</v>
      </c>
    </row>
    <row r="3716" spans="1:15" x14ac:dyDescent="0.25">
      <c r="A3716" t="s">
        <v>3777</v>
      </c>
      <c r="B3716" s="1">
        <v>45789</v>
      </c>
      <c r="C3716" s="2">
        <v>45790.1875</v>
      </c>
      <c r="D3716" t="s">
        <v>15</v>
      </c>
      <c r="E3716" t="s">
        <v>32</v>
      </c>
      <c r="F3716" t="s">
        <v>64</v>
      </c>
      <c r="G3716" t="s">
        <v>51</v>
      </c>
      <c r="H3716" t="s">
        <v>35</v>
      </c>
      <c r="I3716" t="s">
        <v>36</v>
      </c>
      <c r="J3716" t="s">
        <v>46</v>
      </c>
      <c r="K3716">
        <v>48</v>
      </c>
      <c r="L3716">
        <v>28.5</v>
      </c>
      <c r="M3716">
        <v>3.6</v>
      </c>
      <c r="N3716" t="s">
        <v>22</v>
      </c>
      <c r="O3716" t="str">
        <f t="shared" si="58"/>
        <v>No</v>
      </c>
    </row>
    <row r="3717" spans="1:15" x14ac:dyDescent="0.25">
      <c r="A3717" t="s">
        <v>3778</v>
      </c>
      <c r="B3717" s="1">
        <v>45709</v>
      </c>
      <c r="C3717" s="2">
        <v>45710.474583333336</v>
      </c>
      <c r="D3717" t="s">
        <v>15</v>
      </c>
      <c r="E3717" t="s">
        <v>32</v>
      </c>
      <c r="F3717" t="s">
        <v>75</v>
      </c>
      <c r="G3717" t="s">
        <v>51</v>
      </c>
      <c r="H3717" t="s">
        <v>44</v>
      </c>
      <c r="I3717" t="s">
        <v>36</v>
      </c>
      <c r="J3717" t="s">
        <v>46</v>
      </c>
      <c r="K3717">
        <v>48</v>
      </c>
      <c r="L3717">
        <v>35.39</v>
      </c>
      <c r="M3717">
        <v>4.3</v>
      </c>
      <c r="N3717" t="s">
        <v>22</v>
      </c>
      <c r="O3717" t="str">
        <f t="shared" si="58"/>
        <v>No</v>
      </c>
    </row>
    <row r="3718" spans="1:15" x14ac:dyDescent="0.25">
      <c r="A3718" t="s">
        <v>3779</v>
      </c>
      <c r="B3718" s="1">
        <v>45721</v>
      </c>
      <c r="C3718" s="2">
        <v>45721.383750000001</v>
      </c>
      <c r="D3718" t="s">
        <v>24</v>
      </c>
      <c r="E3718" t="s">
        <v>45</v>
      </c>
      <c r="F3718" t="s">
        <v>112</v>
      </c>
      <c r="G3718" t="s">
        <v>56</v>
      </c>
      <c r="H3718" t="s">
        <v>35</v>
      </c>
      <c r="I3718" t="s">
        <v>36</v>
      </c>
      <c r="J3718" t="s">
        <v>21</v>
      </c>
      <c r="K3718">
        <v>24</v>
      </c>
      <c r="L3718">
        <v>9.2100000000000009</v>
      </c>
      <c r="M3718">
        <v>4.7</v>
      </c>
      <c r="N3718" t="s">
        <v>22</v>
      </c>
      <c r="O3718" t="str">
        <f t="shared" si="58"/>
        <v>No</v>
      </c>
    </row>
    <row r="3719" spans="1:15" x14ac:dyDescent="0.25">
      <c r="A3719" t="s">
        <v>3780</v>
      </c>
      <c r="B3719" s="1">
        <v>45703</v>
      </c>
      <c r="C3719" s="2">
        <v>45703.460833333331</v>
      </c>
      <c r="D3719" t="s">
        <v>24</v>
      </c>
      <c r="E3719" t="s">
        <v>39</v>
      </c>
      <c r="F3719" t="s">
        <v>40</v>
      </c>
      <c r="G3719" t="s">
        <v>41</v>
      </c>
      <c r="H3719" t="s">
        <v>35</v>
      </c>
      <c r="I3719" t="s">
        <v>20</v>
      </c>
      <c r="J3719" t="s">
        <v>21</v>
      </c>
      <c r="K3719">
        <v>24</v>
      </c>
      <c r="L3719">
        <v>11.06</v>
      </c>
      <c r="M3719">
        <v>4.4000000000000004</v>
      </c>
      <c r="N3719" t="s">
        <v>22</v>
      </c>
      <c r="O3719" t="str">
        <f t="shared" si="58"/>
        <v>No</v>
      </c>
    </row>
    <row r="3720" spans="1:15" x14ac:dyDescent="0.25">
      <c r="A3720" t="s">
        <v>3781</v>
      </c>
      <c r="B3720" s="1">
        <v>45781</v>
      </c>
      <c r="C3720" s="2">
        <v>45782.154999999999</v>
      </c>
      <c r="D3720" t="s">
        <v>15</v>
      </c>
      <c r="E3720" t="s">
        <v>16</v>
      </c>
      <c r="F3720" t="s">
        <v>60</v>
      </c>
      <c r="G3720" t="s">
        <v>51</v>
      </c>
      <c r="H3720" t="s">
        <v>65</v>
      </c>
      <c r="I3720" t="s">
        <v>36</v>
      </c>
      <c r="J3720" t="s">
        <v>21</v>
      </c>
      <c r="K3720">
        <v>48</v>
      </c>
      <c r="L3720">
        <v>27.72</v>
      </c>
      <c r="M3720">
        <v>3.9</v>
      </c>
      <c r="N3720" t="s">
        <v>22</v>
      </c>
      <c r="O3720" t="str">
        <f t="shared" si="58"/>
        <v>No</v>
      </c>
    </row>
    <row r="3721" spans="1:15" x14ac:dyDescent="0.25">
      <c r="A3721" t="s">
        <v>3782</v>
      </c>
      <c r="B3721" s="1">
        <v>45705</v>
      </c>
      <c r="C3721" s="2">
        <v>45706.028749999998</v>
      </c>
      <c r="D3721" t="s">
        <v>24</v>
      </c>
      <c r="E3721" t="s">
        <v>25</v>
      </c>
      <c r="F3721" t="s">
        <v>70</v>
      </c>
      <c r="G3721" t="s">
        <v>34</v>
      </c>
      <c r="H3721" t="s">
        <v>54</v>
      </c>
      <c r="I3721" t="s">
        <v>45</v>
      </c>
      <c r="J3721" t="s">
        <v>46</v>
      </c>
      <c r="K3721">
        <v>24</v>
      </c>
      <c r="L3721">
        <v>24.69</v>
      </c>
      <c r="M3721">
        <v>4.2</v>
      </c>
      <c r="N3721" t="s">
        <v>22</v>
      </c>
      <c r="O3721" t="str">
        <f t="shared" si="58"/>
        <v>Yes</v>
      </c>
    </row>
    <row r="3722" spans="1:15" x14ac:dyDescent="0.25">
      <c r="A3722" t="s">
        <v>3783</v>
      </c>
      <c r="B3722" s="1">
        <v>45773</v>
      </c>
      <c r="C3722" s="2">
        <v>45773.114583333336</v>
      </c>
      <c r="D3722" t="s">
        <v>24</v>
      </c>
      <c r="E3722" t="s">
        <v>39</v>
      </c>
      <c r="F3722" t="s">
        <v>119</v>
      </c>
      <c r="G3722" t="s">
        <v>18</v>
      </c>
      <c r="H3722" t="s">
        <v>35</v>
      </c>
      <c r="I3722" t="s">
        <v>45</v>
      </c>
      <c r="J3722" t="s">
        <v>21</v>
      </c>
      <c r="K3722">
        <v>24</v>
      </c>
      <c r="L3722">
        <v>2.75</v>
      </c>
      <c r="M3722">
        <v>5</v>
      </c>
      <c r="N3722" t="s">
        <v>22</v>
      </c>
      <c r="O3722" t="str">
        <f t="shared" si="58"/>
        <v>No</v>
      </c>
    </row>
    <row r="3723" spans="1:15" x14ac:dyDescent="0.25">
      <c r="A3723" t="s">
        <v>3784</v>
      </c>
      <c r="B3723" s="1">
        <v>45763</v>
      </c>
      <c r="C3723" s="2">
        <v>45763.427499999998</v>
      </c>
      <c r="D3723" t="s">
        <v>15</v>
      </c>
      <c r="E3723" t="s">
        <v>16</v>
      </c>
      <c r="F3723" t="s">
        <v>43</v>
      </c>
      <c r="G3723" t="s">
        <v>34</v>
      </c>
      <c r="H3723" t="s">
        <v>19</v>
      </c>
      <c r="I3723" t="s">
        <v>28</v>
      </c>
      <c r="J3723" t="s">
        <v>21</v>
      </c>
      <c r="K3723">
        <v>48</v>
      </c>
      <c r="L3723">
        <v>10.26</v>
      </c>
      <c r="M3723">
        <v>4.5</v>
      </c>
      <c r="N3723" t="s">
        <v>22</v>
      </c>
      <c r="O3723" t="str">
        <f t="shared" si="58"/>
        <v>No</v>
      </c>
    </row>
    <row r="3724" spans="1:15" x14ac:dyDescent="0.25">
      <c r="A3724" t="s">
        <v>3785</v>
      </c>
      <c r="B3724" s="1">
        <v>45793</v>
      </c>
      <c r="C3724" s="2">
        <v>45794.597083333334</v>
      </c>
      <c r="D3724" t="s">
        <v>24</v>
      </c>
      <c r="E3724" t="s">
        <v>32</v>
      </c>
      <c r="F3724" t="s">
        <v>75</v>
      </c>
      <c r="G3724" t="s">
        <v>51</v>
      </c>
      <c r="H3724" t="s">
        <v>35</v>
      </c>
      <c r="I3724" t="s">
        <v>36</v>
      </c>
      <c r="J3724" t="s">
        <v>21</v>
      </c>
      <c r="K3724">
        <v>24</v>
      </c>
      <c r="L3724">
        <v>38.33</v>
      </c>
      <c r="M3724">
        <v>2.7</v>
      </c>
      <c r="N3724" t="s">
        <v>22</v>
      </c>
      <c r="O3724" t="str">
        <f t="shared" si="58"/>
        <v>Yes</v>
      </c>
    </row>
    <row r="3725" spans="1:15" x14ac:dyDescent="0.25">
      <c r="A3725" t="s">
        <v>3786</v>
      </c>
      <c r="B3725" s="1">
        <v>45837</v>
      </c>
      <c r="C3725" s="2">
        <v>45838.357488425929</v>
      </c>
      <c r="D3725" t="s">
        <v>15</v>
      </c>
      <c r="E3725" t="s">
        <v>16</v>
      </c>
      <c r="F3725" t="s">
        <v>43</v>
      </c>
      <c r="G3725" t="s">
        <v>34</v>
      </c>
      <c r="H3725" t="s">
        <v>19</v>
      </c>
      <c r="I3725" t="s">
        <v>45</v>
      </c>
      <c r="J3725" t="s">
        <v>85</v>
      </c>
      <c r="K3725">
        <v>48</v>
      </c>
      <c r="L3725">
        <v>32.58</v>
      </c>
      <c r="M3725">
        <v>4.5</v>
      </c>
      <c r="N3725" t="s">
        <v>22</v>
      </c>
      <c r="O3725" t="str">
        <f t="shared" si="58"/>
        <v>No</v>
      </c>
    </row>
    <row r="3726" spans="1:15" x14ac:dyDescent="0.25">
      <c r="A3726" t="s">
        <v>3787</v>
      </c>
      <c r="B3726" s="1">
        <v>45659</v>
      </c>
      <c r="C3726" s="2">
        <v>45659.661666666667</v>
      </c>
      <c r="D3726" t="s">
        <v>24</v>
      </c>
      <c r="E3726" t="s">
        <v>32</v>
      </c>
      <c r="F3726" t="s">
        <v>80</v>
      </c>
      <c r="G3726" t="s">
        <v>51</v>
      </c>
      <c r="H3726" t="s">
        <v>44</v>
      </c>
      <c r="I3726" t="s">
        <v>28</v>
      </c>
      <c r="J3726" t="s">
        <v>21</v>
      </c>
      <c r="K3726">
        <v>24</v>
      </c>
      <c r="L3726">
        <v>15.88</v>
      </c>
      <c r="M3726">
        <v>3.4</v>
      </c>
      <c r="N3726" t="s">
        <v>22</v>
      </c>
      <c r="O3726" t="str">
        <f t="shared" si="58"/>
        <v>No</v>
      </c>
    </row>
    <row r="3727" spans="1:15" x14ac:dyDescent="0.25">
      <c r="A3727" t="s">
        <v>3788</v>
      </c>
      <c r="B3727" s="1">
        <v>45837</v>
      </c>
      <c r="C3727" s="2">
        <v>45841.311666666668</v>
      </c>
      <c r="D3727" t="s">
        <v>15</v>
      </c>
      <c r="E3727" t="s">
        <v>32</v>
      </c>
      <c r="F3727" t="s">
        <v>75</v>
      </c>
      <c r="G3727" t="s">
        <v>41</v>
      </c>
      <c r="H3727" t="s">
        <v>54</v>
      </c>
      <c r="I3727" t="s">
        <v>36</v>
      </c>
      <c r="J3727" t="s">
        <v>21</v>
      </c>
      <c r="K3727">
        <v>48</v>
      </c>
      <c r="L3727">
        <v>103.48</v>
      </c>
      <c r="M3727">
        <v>1.6</v>
      </c>
      <c r="N3727" t="s">
        <v>22</v>
      </c>
      <c r="O3727" t="str">
        <f t="shared" si="58"/>
        <v>Yes</v>
      </c>
    </row>
    <row r="3728" spans="1:15" x14ac:dyDescent="0.25">
      <c r="A3728" t="s">
        <v>3789</v>
      </c>
      <c r="B3728" s="1">
        <v>45677</v>
      </c>
      <c r="C3728" s="2">
        <v>45677.653749999998</v>
      </c>
      <c r="D3728" t="s">
        <v>24</v>
      </c>
      <c r="E3728" t="s">
        <v>39</v>
      </c>
      <c r="F3728" t="s">
        <v>87</v>
      </c>
      <c r="G3728" t="s">
        <v>51</v>
      </c>
      <c r="H3728" t="s">
        <v>35</v>
      </c>
      <c r="I3728" t="s">
        <v>45</v>
      </c>
      <c r="J3728" t="s">
        <v>85</v>
      </c>
      <c r="K3728">
        <v>24</v>
      </c>
      <c r="L3728">
        <v>15.69</v>
      </c>
      <c r="M3728">
        <v>3.8</v>
      </c>
      <c r="N3728" t="s">
        <v>22</v>
      </c>
      <c r="O3728" t="str">
        <f t="shared" si="58"/>
        <v>No</v>
      </c>
    </row>
    <row r="3729" spans="1:15" x14ac:dyDescent="0.25">
      <c r="A3729" t="s">
        <v>3790</v>
      </c>
      <c r="B3729" s="1">
        <v>45753</v>
      </c>
      <c r="C3729" s="2">
        <v>45753.346666666665</v>
      </c>
      <c r="D3729" t="s">
        <v>24</v>
      </c>
      <c r="E3729" t="s">
        <v>16</v>
      </c>
      <c r="F3729" t="s">
        <v>58</v>
      </c>
      <c r="G3729" t="s">
        <v>41</v>
      </c>
      <c r="H3729" t="s">
        <v>65</v>
      </c>
      <c r="I3729" t="s">
        <v>36</v>
      </c>
      <c r="J3729" t="s">
        <v>85</v>
      </c>
      <c r="K3729">
        <v>24</v>
      </c>
      <c r="L3729">
        <v>8.32</v>
      </c>
      <c r="M3729">
        <v>4.8</v>
      </c>
      <c r="N3729" t="s">
        <v>61</v>
      </c>
      <c r="O3729" t="str">
        <f t="shared" si="58"/>
        <v>No</v>
      </c>
    </row>
    <row r="3730" spans="1:15" x14ac:dyDescent="0.25">
      <c r="A3730" t="s">
        <v>3791</v>
      </c>
      <c r="B3730" s="1">
        <v>45719</v>
      </c>
      <c r="C3730" s="2">
        <v>45719.040833333333</v>
      </c>
      <c r="D3730" t="s">
        <v>24</v>
      </c>
      <c r="E3730" t="s">
        <v>16</v>
      </c>
      <c r="F3730" t="s">
        <v>60</v>
      </c>
      <c r="G3730" t="s">
        <v>18</v>
      </c>
      <c r="H3730" t="s">
        <v>65</v>
      </c>
      <c r="I3730" t="s">
        <v>36</v>
      </c>
      <c r="J3730" t="s">
        <v>21</v>
      </c>
      <c r="K3730">
        <v>24</v>
      </c>
      <c r="L3730">
        <v>0.98</v>
      </c>
      <c r="M3730">
        <v>4.4000000000000004</v>
      </c>
      <c r="N3730" t="s">
        <v>22</v>
      </c>
      <c r="O3730" t="str">
        <f t="shared" si="58"/>
        <v>No</v>
      </c>
    </row>
    <row r="3731" spans="1:15" x14ac:dyDescent="0.25">
      <c r="A3731" t="s">
        <v>3792</v>
      </c>
      <c r="B3731" s="1">
        <v>45773</v>
      </c>
      <c r="C3731" s="2">
        <v>45773.441250000003</v>
      </c>
      <c r="D3731" t="s">
        <v>24</v>
      </c>
      <c r="E3731" t="s">
        <v>25</v>
      </c>
      <c r="F3731" t="s">
        <v>70</v>
      </c>
      <c r="G3731" t="s">
        <v>34</v>
      </c>
      <c r="H3731" t="s">
        <v>44</v>
      </c>
      <c r="I3731" t="s">
        <v>36</v>
      </c>
      <c r="J3731" t="s">
        <v>21</v>
      </c>
      <c r="K3731">
        <v>24</v>
      </c>
      <c r="L3731">
        <v>10.59</v>
      </c>
      <c r="M3731">
        <v>4.5</v>
      </c>
      <c r="N3731" t="s">
        <v>22</v>
      </c>
      <c r="O3731" t="str">
        <f t="shared" si="58"/>
        <v>No</v>
      </c>
    </row>
    <row r="3732" spans="1:15" x14ac:dyDescent="0.25">
      <c r="A3732" t="s">
        <v>3793</v>
      </c>
      <c r="B3732" s="1">
        <v>45788</v>
      </c>
      <c r="C3732" s="2">
        <v>45788.175416666665</v>
      </c>
      <c r="D3732" t="s">
        <v>38</v>
      </c>
      <c r="E3732" t="s">
        <v>32</v>
      </c>
      <c r="F3732" t="s">
        <v>64</v>
      </c>
      <c r="G3732" t="s">
        <v>34</v>
      </c>
      <c r="H3732" t="s">
        <v>19</v>
      </c>
      <c r="I3732" t="s">
        <v>36</v>
      </c>
      <c r="J3732" t="s">
        <v>21</v>
      </c>
      <c r="K3732">
        <v>8</v>
      </c>
      <c r="L3732">
        <v>4.21</v>
      </c>
      <c r="M3732">
        <v>3.1</v>
      </c>
      <c r="N3732" t="s">
        <v>22</v>
      </c>
      <c r="O3732" t="str">
        <f t="shared" si="58"/>
        <v>No</v>
      </c>
    </row>
    <row r="3733" spans="1:15" x14ac:dyDescent="0.25">
      <c r="A3733" t="s">
        <v>3794</v>
      </c>
      <c r="B3733" s="1">
        <v>45813</v>
      </c>
      <c r="C3733" s="2">
        <v>45813.921249999999</v>
      </c>
      <c r="D3733" t="s">
        <v>24</v>
      </c>
      <c r="E3733" t="s">
        <v>45</v>
      </c>
      <c r="F3733" t="s">
        <v>100</v>
      </c>
      <c r="G3733" t="s">
        <v>56</v>
      </c>
      <c r="H3733" t="s">
        <v>19</v>
      </c>
      <c r="I3733" t="s">
        <v>36</v>
      </c>
      <c r="J3733" t="s">
        <v>21</v>
      </c>
      <c r="K3733">
        <v>24</v>
      </c>
      <c r="L3733">
        <v>22.11</v>
      </c>
      <c r="M3733">
        <v>4.3</v>
      </c>
      <c r="N3733" t="s">
        <v>22</v>
      </c>
      <c r="O3733" t="str">
        <f t="shared" si="58"/>
        <v>No</v>
      </c>
    </row>
    <row r="3734" spans="1:15" x14ac:dyDescent="0.25">
      <c r="A3734" t="s">
        <v>3795</v>
      </c>
      <c r="B3734" s="1">
        <v>45730</v>
      </c>
      <c r="C3734" s="2">
        <v>45730.318749999999</v>
      </c>
      <c r="D3734" t="s">
        <v>38</v>
      </c>
      <c r="E3734" t="s">
        <v>32</v>
      </c>
      <c r="F3734" t="s">
        <v>80</v>
      </c>
      <c r="G3734" t="s">
        <v>18</v>
      </c>
      <c r="H3734" t="s">
        <v>44</v>
      </c>
      <c r="I3734" t="s">
        <v>20</v>
      </c>
      <c r="J3734" t="s">
        <v>21</v>
      </c>
      <c r="K3734">
        <v>8</v>
      </c>
      <c r="L3734">
        <v>7.65</v>
      </c>
      <c r="M3734">
        <v>4.8</v>
      </c>
      <c r="N3734" t="s">
        <v>22</v>
      </c>
      <c r="O3734" t="str">
        <f t="shared" si="58"/>
        <v>No</v>
      </c>
    </row>
    <row r="3735" spans="1:15" x14ac:dyDescent="0.25">
      <c r="A3735" t="s">
        <v>3796</v>
      </c>
      <c r="B3735" s="1">
        <v>45826</v>
      </c>
      <c r="C3735" s="2">
        <v>45827.517500000002</v>
      </c>
      <c r="D3735" t="s">
        <v>15</v>
      </c>
      <c r="E3735" t="s">
        <v>25</v>
      </c>
      <c r="F3735" t="s">
        <v>53</v>
      </c>
      <c r="G3735" t="s">
        <v>18</v>
      </c>
      <c r="H3735" t="s">
        <v>65</v>
      </c>
      <c r="I3735" t="s">
        <v>45</v>
      </c>
      <c r="J3735" t="s">
        <v>21</v>
      </c>
      <c r="K3735">
        <v>48</v>
      </c>
      <c r="L3735">
        <v>36.42</v>
      </c>
      <c r="M3735">
        <v>3.5</v>
      </c>
      <c r="N3735" t="s">
        <v>22</v>
      </c>
      <c r="O3735" t="str">
        <f t="shared" si="58"/>
        <v>No</v>
      </c>
    </row>
    <row r="3736" spans="1:15" x14ac:dyDescent="0.25">
      <c r="A3736" t="s">
        <v>3797</v>
      </c>
      <c r="B3736" s="1">
        <v>45716</v>
      </c>
      <c r="C3736" s="2">
        <v>45717.056250000001</v>
      </c>
      <c r="D3736" t="s">
        <v>24</v>
      </c>
      <c r="E3736" t="s">
        <v>25</v>
      </c>
      <c r="F3736" t="s">
        <v>48</v>
      </c>
      <c r="G3736" t="s">
        <v>18</v>
      </c>
      <c r="H3736" t="s">
        <v>27</v>
      </c>
      <c r="I3736" t="s">
        <v>36</v>
      </c>
      <c r="J3736" t="s">
        <v>46</v>
      </c>
      <c r="K3736">
        <v>24</v>
      </c>
      <c r="L3736">
        <v>25.35</v>
      </c>
      <c r="M3736">
        <v>4</v>
      </c>
      <c r="N3736" t="s">
        <v>22</v>
      </c>
      <c r="O3736" t="str">
        <f t="shared" si="58"/>
        <v>Yes</v>
      </c>
    </row>
    <row r="3737" spans="1:15" x14ac:dyDescent="0.25">
      <c r="A3737" t="s">
        <v>3798</v>
      </c>
      <c r="B3737" s="1">
        <v>45694</v>
      </c>
      <c r="C3737" s="2">
        <v>45695.192499999997</v>
      </c>
      <c r="D3737" t="s">
        <v>15</v>
      </c>
      <c r="E3737" t="s">
        <v>16</v>
      </c>
      <c r="F3737" t="s">
        <v>17</v>
      </c>
      <c r="G3737" t="s">
        <v>56</v>
      </c>
      <c r="H3737" t="s">
        <v>19</v>
      </c>
      <c r="I3737" t="s">
        <v>45</v>
      </c>
      <c r="J3737" t="s">
        <v>46</v>
      </c>
      <c r="K3737">
        <v>48</v>
      </c>
      <c r="L3737">
        <v>28.62</v>
      </c>
      <c r="M3737">
        <v>4.0999999999999996</v>
      </c>
      <c r="N3737" t="s">
        <v>22</v>
      </c>
      <c r="O3737" t="str">
        <f t="shared" si="58"/>
        <v>No</v>
      </c>
    </row>
    <row r="3738" spans="1:15" x14ac:dyDescent="0.25">
      <c r="A3738" t="s">
        <v>3799</v>
      </c>
      <c r="B3738" s="1">
        <v>45726</v>
      </c>
      <c r="C3738" s="2">
        <v>45726.119583333333</v>
      </c>
      <c r="D3738" t="s">
        <v>24</v>
      </c>
      <c r="E3738" t="s">
        <v>39</v>
      </c>
      <c r="F3738" t="s">
        <v>78</v>
      </c>
      <c r="G3738" t="s">
        <v>56</v>
      </c>
      <c r="H3738" t="s">
        <v>35</v>
      </c>
      <c r="I3738" t="s">
        <v>28</v>
      </c>
      <c r="J3738" t="s">
        <v>29</v>
      </c>
      <c r="K3738">
        <v>24</v>
      </c>
      <c r="L3738">
        <v>2.87</v>
      </c>
      <c r="M3738">
        <v>4.9000000000000004</v>
      </c>
      <c r="N3738" t="s">
        <v>61</v>
      </c>
      <c r="O3738" t="str">
        <f t="shared" si="58"/>
        <v>No</v>
      </c>
    </row>
    <row r="3739" spans="1:15" x14ac:dyDescent="0.25">
      <c r="A3739" t="s">
        <v>3800</v>
      </c>
      <c r="B3739" s="1">
        <v>45753</v>
      </c>
      <c r="C3739" s="2">
        <v>45753.416250000002</v>
      </c>
      <c r="D3739" t="s">
        <v>24</v>
      </c>
      <c r="E3739" t="s">
        <v>25</v>
      </c>
      <c r="F3739" t="s">
        <v>53</v>
      </c>
      <c r="G3739" t="s">
        <v>41</v>
      </c>
      <c r="H3739" t="s">
        <v>19</v>
      </c>
      <c r="I3739" t="s">
        <v>36</v>
      </c>
      <c r="J3739" t="s">
        <v>46</v>
      </c>
      <c r="K3739">
        <v>24</v>
      </c>
      <c r="L3739">
        <v>9.99</v>
      </c>
      <c r="M3739">
        <v>4.3</v>
      </c>
      <c r="N3739" t="s">
        <v>22</v>
      </c>
      <c r="O3739" t="str">
        <f t="shared" si="58"/>
        <v>No</v>
      </c>
    </row>
    <row r="3740" spans="1:15" x14ac:dyDescent="0.25">
      <c r="A3740" t="s">
        <v>3801</v>
      </c>
      <c r="B3740" s="1">
        <v>45778</v>
      </c>
      <c r="C3740" s="2">
        <v>45778.13958333333</v>
      </c>
      <c r="D3740" t="s">
        <v>38</v>
      </c>
      <c r="E3740" t="s">
        <v>25</v>
      </c>
      <c r="F3740" t="s">
        <v>26</v>
      </c>
      <c r="G3740" t="s">
        <v>51</v>
      </c>
      <c r="H3740" t="s">
        <v>35</v>
      </c>
      <c r="I3740" t="s">
        <v>36</v>
      </c>
      <c r="J3740" t="s">
        <v>21</v>
      </c>
      <c r="K3740">
        <v>8</v>
      </c>
      <c r="L3740">
        <v>3.35</v>
      </c>
      <c r="M3740">
        <v>4.3</v>
      </c>
      <c r="N3740" t="s">
        <v>22</v>
      </c>
      <c r="O3740" t="str">
        <f t="shared" si="58"/>
        <v>No</v>
      </c>
    </row>
    <row r="3741" spans="1:15" x14ac:dyDescent="0.25">
      <c r="A3741" t="s">
        <v>3802</v>
      </c>
      <c r="B3741" s="1">
        <v>45808</v>
      </c>
      <c r="C3741" s="2">
        <v>45808.556666666664</v>
      </c>
      <c r="D3741" t="s">
        <v>24</v>
      </c>
      <c r="E3741" t="s">
        <v>32</v>
      </c>
      <c r="F3741" t="s">
        <v>75</v>
      </c>
      <c r="G3741" t="s">
        <v>51</v>
      </c>
      <c r="H3741" t="s">
        <v>54</v>
      </c>
      <c r="I3741" t="s">
        <v>36</v>
      </c>
      <c r="J3741" t="s">
        <v>21</v>
      </c>
      <c r="K3741">
        <v>24</v>
      </c>
      <c r="L3741">
        <v>13.36</v>
      </c>
      <c r="M3741">
        <v>3.8</v>
      </c>
      <c r="N3741" t="s">
        <v>61</v>
      </c>
      <c r="O3741" t="str">
        <f t="shared" si="58"/>
        <v>No</v>
      </c>
    </row>
    <row r="3742" spans="1:15" x14ac:dyDescent="0.25">
      <c r="A3742" t="s">
        <v>3803</v>
      </c>
      <c r="B3742" s="1">
        <v>45698</v>
      </c>
      <c r="C3742" s="2">
        <v>45699.082499999997</v>
      </c>
      <c r="D3742" t="s">
        <v>24</v>
      </c>
      <c r="E3742" t="s">
        <v>25</v>
      </c>
      <c r="F3742" t="s">
        <v>53</v>
      </c>
      <c r="G3742" t="s">
        <v>51</v>
      </c>
      <c r="H3742" t="s">
        <v>65</v>
      </c>
      <c r="I3742" t="s">
        <v>20</v>
      </c>
      <c r="J3742" t="s">
        <v>46</v>
      </c>
      <c r="K3742">
        <v>24</v>
      </c>
      <c r="L3742">
        <v>25.98</v>
      </c>
      <c r="M3742">
        <v>3</v>
      </c>
      <c r="N3742" t="s">
        <v>61</v>
      </c>
      <c r="O3742" t="str">
        <f t="shared" si="58"/>
        <v>Yes</v>
      </c>
    </row>
    <row r="3743" spans="1:15" x14ac:dyDescent="0.25">
      <c r="A3743" t="s">
        <v>3804</v>
      </c>
      <c r="B3743" s="1">
        <v>45712</v>
      </c>
      <c r="C3743" s="2">
        <v>45712.98541666667</v>
      </c>
      <c r="D3743" t="s">
        <v>15</v>
      </c>
      <c r="E3743" t="s">
        <v>32</v>
      </c>
      <c r="F3743" t="s">
        <v>64</v>
      </c>
      <c r="G3743" t="s">
        <v>34</v>
      </c>
      <c r="H3743" t="s">
        <v>54</v>
      </c>
      <c r="I3743" t="s">
        <v>20</v>
      </c>
      <c r="J3743" t="s">
        <v>46</v>
      </c>
      <c r="K3743">
        <v>48</v>
      </c>
      <c r="L3743">
        <v>23.65</v>
      </c>
      <c r="M3743">
        <v>5</v>
      </c>
      <c r="N3743" t="s">
        <v>22</v>
      </c>
      <c r="O3743" t="str">
        <f t="shared" si="58"/>
        <v>No</v>
      </c>
    </row>
    <row r="3744" spans="1:15" x14ac:dyDescent="0.25">
      <c r="A3744" t="s">
        <v>3805</v>
      </c>
      <c r="B3744" s="1">
        <v>45827</v>
      </c>
      <c r="C3744" s="2">
        <v>45828.003750000003</v>
      </c>
      <c r="D3744" t="s">
        <v>15</v>
      </c>
      <c r="E3744" t="s">
        <v>16</v>
      </c>
      <c r="F3744" t="s">
        <v>17</v>
      </c>
      <c r="G3744" t="s">
        <v>51</v>
      </c>
      <c r="H3744" t="s">
        <v>27</v>
      </c>
      <c r="I3744" t="s">
        <v>45</v>
      </c>
      <c r="J3744" t="s">
        <v>21</v>
      </c>
      <c r="K3744">
        <v>48</v>
      </c>
      <c r="L3744">
        <v>24.09</v>
      </c>
      <c r="M3744">
        <v>3.3</v>
      </c>
      <c r="N3744" t="s">
        <v>22</v>
      </c>
      <c r="O3744" t="str">
        <f t="shared" si="58"/>
        <v>No</v>
      </c>
    </row>
    <row r="3745" spans="1:15" x14ac:dyDescent="0.25">
      <c r="A3745" t="s">
        <v>3806</v>
      </c>
      <c r="B3745" s="1">
        <v>45737</v>
      </c>
      <c r="C3745" s="2">
        <v>45737.780416666668</v>
      </c>
      <c r="D3745" t="s">
        <v>38</v>
      </c>
      <c r="E3745" t="s">
        <v>16</v>
      </c>
      <c r="F3745" t="s">
        <v>60</v>
      </c>
      <c r="G3745" t="s">
        <v>51</v>
      </c>
      <c r="H3745" t="s">
        <v>19</v>
      </c>
      <c r="I3745" t="s">
        <v>36</v>
      </c>
      <c r="J3745" t="s">
        <v>21</v>
      </c>
      <c r="K3745">
        <v>8</v>
      </c>
      <c r="L3745">
        <v>18.73</v>
      </c>
      <c r="M3745">
        <v>2.2000000000000002</v>
      </c>
      <c r="N3745" t="s">
        <v>22</v>
      </c>
      <c r="O3745" t="str">
        <f t="shared" si="58"/>
        <v>Yes</v>
      </c>
    </row>
    <row r="3746" spans="1:15" x14ac:dyDescent="0.25">
      <c r="A3746" t="s">
        <v>3807</v>
      </c>
      <c r="B3746" s="1">
        <v>45701</v>
      </c>
      <c r="C3746" s="2">
        <v>45701.458749999998</v>
      </c>
      <c r="D3746" t="s">
        <v>15</v>
      </c>
      <c r="E3746" t="s">
        <v>25</v>
      </c>
      <c r="F3746" t="s">
        <v>53</v>
      </c>
      <c r="G3746" t="s">
        <v>18</v>
      </c>
      <c r="H3746" t="s">
        <v>27</v>
      </c>
      <c r="I3746" t="s">
        <v>45</v>
      </c>
      <c r="J3746" t="s">
        <v>46</v>
      </c>
      <c r="K3746">
        <v>48</v>
      </c>
      <c r="L3746">
        <v>11.01</v>
      </c>
      <c r="M3746">
        <v>4.7</v>
      </c>
      <c r="N3746" t="s">
        <v>22</v>
      </c>
      <c r="O3746" t="str">
        <f t="shared" si="58"/>
        <v>No</v>
      </c>
    </row>
    <row r="3747" spans="1:15" x14ac:dyDescent="0.25">
      <c r="A3747" t="s">
        <v>3808</v>
      </c>
      <c r="B3747" s="1">
        <v>45836</v>
      </c>
      <c r="C3747" s="2">
        <v>45837.274583333332</v>
      </c>
      <c r="D3747" t="s">
        <v>15</v>
      </c>
      <c r="E3747" t="s">
        <v>39</v>
      </c>
      <c r="F3747" t="s">
        <v>78</v>
      </c>
      <c r="G3747" t="s">
        <v>56</v>
      </c>
      <c r="H3747" t="s">
        <v>35</v>
      </c>
      <c r="I3747" t="s">
        <v>45</v>
      </c>
      <c r="J3747" t="s">
        <v>21</v>
      </c>
      <c r="K3747">
        <v>48</v>
      </c>
      <c r="L3747">
        <v>30.59</v>
      </c>
      <c r="M3747">
        <v>4.2</v>
      </c>
      <c r="N3747" t="s">
        <v>22</v>
      </c>
      <c r="O3747" t="str">
        <f t="shared" si="58"/>
        <v>No</v>
      </c>
    </row>
    <row r="3748" spans="1:15" x14ac:dyDescent="0.25">
      <c r="A3748" t="s">
        <v>3809</v>
      </c>
      <c r="B3748" s="1">
        <v>45739</v>
      </c>
      <c r="C3748" s="2">
        <v>45739.107488425929</v>
      </c>
      <c r="D3748" t="s">
        <v>38</v>
      </c>
      <c r="E3748" t="s">
        <v>32</v>
      </c>
      <c r="F3748" t="s">
        <v>64</v>
      </c>
      <c r="G3748" t="s">
        <v>56</v>
      </c>
      <c r="H3748" t="s">
        <v>65</v>
      </c>
      <c r="I3748" t="s">
        <v>36</v>
      </c>
      <c r="J3748" t="s">
        <v>46</v>
      </c>
      <c r="K3748">
        <v>8</v>
      </c>
      <c r="L3748">
        <v>2.58</v>
      </c>
      <c r="M3748">
        <v>5</v>
      </c>
      <c r="N3748" t="s">
        <v>22</v>
      </c>
      <c r="O3748" t="str">
        <f t="shared" si="58"/>
        <v>No</v>
      </c>
    </row>
    <row r="3749" spans="1:15" x14ac:dyDescent="0.25">
      <c r="A3749" t="s">
        <v>3810</v>
      </c>
      <c r="B3749" s="1">
        <v>45836</v>
      </c>
      <c r="C3749" s="2">
        <v>45836.114166666666</v>
      </c>
      <c r="D3749" t="s">
        <v>31</v>
      </c>
      <c r="E3749" t="s">
        <v>16</v>
      </c>
      <c r="F3749" t="s">
        <v>43</v>
      </c>
      <c r="G3749" t="s">
        <v>34</v>
      </c>
      <c r="H3749" t="s">
        <v>35</v>
      </c>
      <c r="I3749" t="s">
        <v>36</v>
      </c>
      <c r="J3749" t="s">
        <v>21</v>
      </c>
      <c r="K3749">
        <v>4</v>
      </c>
      <c r="L3749">
        <v>2.74</v>
      </c>
      <c r="M3749">
        <v>3.9</v>
      </c>
      <c r="N3749" t="s">
        <v>22</v>
      </c>
      <c r="O3749" t="str">
        <f t="shared" si="58"/>
        <v>No</v>
      </c>
    </row>
    <row r="3750" spans="1:15" x14ac:dyDescent="0.25">
      <c r="A3750" t="s">
        <v>3811</v>
      </c>
      <c r="B3750" s="1">
        <v>45824</v>
      </c>
      <c r="C3750" s="2">
        <v>45825.17291666667</v>
      </c>
      <c r="D3750" t="s">
        <v>24</v>
      </c>
      <c r="E3750" t="s">
        <v>32</v>
      </c>
      <c r="F3750" t="s">
        <v>80</v>
      </c>
      <c r="G3750" t="s">
        <v>56</v>
      </c>
      <c r="H3750" t="s">
        <v>27</v>
      </c>
      <c r="I3750" t="s">
        <v>36</v>
      </c>
      <c r="J3750" t="s">
        <v>21</v>
      </c>
      <c r="K3750">
        <v>24</v>
      </c>
      <c r="L3750">
        <v>28.15</v>
      </c>
      <c r="M3750">
        <v>4</v>
      </c>
      <c r="N3750" t="s">
        <v>22</v>
      </c>
      <c r="O3750" t="str">
        <f t="shared" si="58"/>
        <v>Yes</v>
      </c>
    </row>
    <row r="3751" spans="1:15" x14ac:dyDescent="0.25">
      <c r="A3751" t="s">
        <v>3812</v>
      </c>
      <c r="B3751" s="1">
        <v>45822</v>
      </c>
      <c r="C3751" s="2">
        <v>45822.849166666667</v>
      </c>
      <c r="D3751" t="s">
        <v>24</v>
      </c>
      <c r="E3751" t="s">
        <v>16</v>
      </c>
      <c r="F3751" t="s">
        <v>43</v>
      </c>
      <c r="G3751" t="s">
        <v>51</v>
      </c>
      <c r="H3751" t="s">
        <v>27</v>
      </c>
      <c r="I3751" t="s">
        <v>45</v>
      </c>
      <c r="J3751" t="s">
        <v>21</v>
      </c>
      <c r="K3751">
        <v>24</v>
      </c>
      <c r="L3751">
        <v>20.38</v>
      </c>
      <c r="M3751">
        <v>5</v>
      </c>
      <c r="N3751" t="s">
        <v>22</v>
      </c>
      <c r="O3751" t="str">
        <f t="shared" si="58"/>
        <v>No</v>
      </c>
    </row>
    <row r="3752" spans="1:15" x14ac:dyDescent="0.25">
      <c r="A3752" t="s">
        <v>3813</v>
      </c>
      <c r="B3752" s="1">
        <v>45763</v>
      </c>
      <c r="C3752" s="2">
        <v>45763.209166666667</v>
      </c>
      <c r="D3752" t="s">
        <v>38</v>
      </c>
      <c r="E3752" t="s">
        <v>39</v>
      </c>
      <c r="F3752" t="s">
        <v>119</v>
      </c>
      <c r="G3752" t="s">
        <v>56</v>
      </c>
      <c r="H3752" t="s">
        <v>35</v>
      </c>
      <c r="I3752" t="s">
        <v>28</v>
      </c>
      <c r="J3752" t="s">
        <v>21</v>
      </c>
      <c r="K3752">
        <v>8</v>
      </c>
      <c r="L3752">
        <v>5.0199999999999996</v>
      </c>
      <c r="M3752">
        <v>4.0999999999999996</v>
      </c>
      <c r="N3752" t="s">
        <v>22</v>
      </c>
      <c r="O3752" t="str">
        <f t="shared" si="58"/>
        <v>No</v>
      </c>
    </row>
    <row r="3753" spans="1:15" x14ac:dyDescent="0.25">
      <c r="A3753" t="s">
        <v>3814</v>
      </c>
      <c r="B3753" s="1">
        <v>45802</v>
      </c>
      <c r="C3753" s="2">
        <v>45803.017500000002</v>
      </c>
      <c r="D3753" t="s">
        <v>15</v>
      </c>
      <c r="E3753" t="s">
        <v>25</v>
      </c>
      <c r="F3753" t="s">
        <v>70</v>
      </c>
      <c r="G3753" t="s">
        <v>41</v>
      </c>
      <c r="H3753" t="s">
        <v>27</v>
      </c>
      <c r="I3753" t="s">
        <v>36</v>
      </c>
      <c r="J3753" t="s">
        <v>46</v>
      </c>
      <c r="K3753">
        <v>48</v>
      </c>
      <c r="L3753">
        <v>24.42</v>
      </c>
      <c r="M3753">
        <v>3.1</v>
      </c>
      <c r="N3753" t="s">
        <v>22</v>
      </c>
      <c r="O3753" t="str">
        <f t="shared" si="58"/>
        <v>No</v>
      </c>
    </row>
    <row r="3754" spans="1:15" x14ac:dyDescent="0.25">
      <c r="A3754" t="s">
        <v>3815</v>
      </c>
      <c r="B3754" s="1">
        <v>45831</v>
      </c>
      <c r="C3754" s="2">
        <v>45832.057083333333</v>
      </c>
      <c r="D3754" t="s">
        <v>24</v>
      </c>
      <c r="E3754" t="s">
        <v>32</v>
      </c>
      <c r="F3754" t="s">
        <v>75</v>
      </c>
      <c r="G3754" t="s">
        <v>34</v>
      </c>
      <c r="H3754" t="s">
        <v>44</v>
      </c>
      <c r="I3754" t="s">
        <v>28</v>
      </c>
      <c r="J3754" t="s">
        <v>21</v>
      </c>
      <c r="K3754">
        <v>24</v>
      </c>
      <c r="L3754">
        <v>25.37</v>
      </c>
      <c r="M3754">
        <v>3.6</v>
      </c>
      <c r="N3754" t="s">
        <v>22</v>
      </c>
      <c r="O3754" t="str">
        <f t="shared" si="58"/>
        <v>Yes</v>
      </c>
    </row>
    <row r="3755" spans="1:15" x14ac:dyDescent="0.25">
      <c r="A3755" t="s">
        <v>3816</v>
      </c>
      <c r="B3755" s="1">
        <v>45706</v>
      </c>
      <c r="C3755" s="2">
        <v>45706.886250000003</v>
      </c>
      <c r="D3755" t="s">
        <v>24</v>
      </c>
      <c r="E3755" t="s">
        <v>32</v>
      </c>
      <c r="F3755" t="s">
        <v>33</v>
      </c>
      <c r="G3755" t="s">
        <v>51</v>
      </c>
      <c r="H3755" t="s">
        <v>27</v>
      </c>
      <c r="I3755" t="s">
        <v>45</v>
      </c>
      <c r="J3755" t="s">
        <v>21</v>
      </c>
      <c r="K3755">
        <v>24</v>
      </c>
      <c r="L3755">
        <v>21.27</v>
      </c>
      <c r="M3755">
        <v>3.8</v>
      </c>
      <c r="N3755" t="s">
        <v>22</v>
      </c>
      <c r="O3755" t="str">
        <f t="shared" si="58"/>
        <v>No</v>
      </c>
    </row>
    <row r="3756" spans="1:15" x14ac:dyDescent="0.25">
      <c r="A3756" t="s">
        <v>3817</v>
      </c>
      <c r="B3756" s="1">
        <v>45664</v>
      </c>
      <c r="C3756" s="2">
        <v>45664.171249999999</v>
      </c>
      <c r="D3756" t="s">
        <v>38</v>
      </c>
      <c r="E3756" t="s">
        <v>39</v>
      </c>
      <c r="F3756" t="s">
        <v>40</v>
      </c>
      <c r="G3756" t="s">
        <v>18</v>
      </c>
      <c r="H3756" t="s">
        <v>19</v>
      </c>
      <c r="I3756" t="s">
        <v>45</v>
      </c>
      <c r="J3756" t="s">
        <v>21</v>
      </c>
      <c r="K3756">
        <v>8</v>
      </c>
      <c r="L3756">
        <v>4.1100000000000003</v>
      </c>
      <c r="M3756">
        <v>4.5999999999999996</v>
      </c>
      <c r="N3756" t="s">
        <v>22</v>
      </c>
      <c r="O3756" t="str">
        <f t="shared" si="58"/>
        <v>No</v>
      </c>
    </row>
    <row r="3757" spans="1:15" x14ac:dyDescent="0.25">
      <c r="A3757" t="s">
        <v>3818</v>
      </c>
      <c r="B3757" s="1">
        <v>45716</v>
      </c>
      <c r="C3757" s="2">
        <v>45716.724166666667</v>
      </c>
      <c r="D3757" t="s">
        <v>38</v>
      </c>
      <c r="E3757" t="s">
        <v>32</v>
      </c>
      <c r="F3757" t="s">
        <v>64</v>
      </c>
      <c r="G3757" t="s">
        <v>41</v>
      </c>
      <c r="H3757" t="s">
        <v>19</v>
      </c>
      <c r="I3757" t="s">
        <v>20</v>
      </c>
      <c r="J3757" t="s">
        <v>21</v>
      </c>
      <c r="K3757">
        <v>8</v>
      </c>
      <c r="L3757">
        <v>17.38</v>
      </c>
      <c r="M3757">
        <v>1.1000000000000001</v>
      </c>
      <c r="N3757" t="s">
        <v>22</v>
      </c>
      <c r="O3757" t="str">
        <f t="shared" si="58"/>
        <v>Yes</v>
      </c>
    </row>
    <row r="3758" spans="1:15" x14ac:dyDescent="0.25">
      <c r="A3758" t="s">
        <v>3819</v>
      </c>
      <c r="B3758" s="1">
        <v>45773</v>
      </c>
      <c r="C3758" s="2">
        <v>45773.285000000003</v>
      </c>
      <c r="D3758" t="s">
        <v>24</v>
      </c>
      <c r="E3758" t="s">
        <v>32</v>
      </c>
      <c r="F3758" t="s">
        <v>80</v>
      </c>
      <c r="G3758" t="s">
        <v>34</v>
      </c>
      <c r="H3758" t="s">
        <v>54</v>
      </c>
      <c r="I3758" t="s">
        <v>45</v>
      </c>
      <c r="J3758" t="s">
        <v>21</v>
      </c>
      <c r="K3758">
        <v>24</v>
      </c>
      <c r="L3758">
        <v>6.84</v>
      </c>
      <c r="M3758">
        <v>4.9000000000000004</v>
      </c>
      <c r="N3758" t="s">
        <v>22</v>
      </c>
      <c r="O3758" t="str">
        <f t="shared" si="58"/>
        <v>No</v>
      </c>
    </row>
    <row r="3759" spans="1:15" x14ac:dyDescent="0.25">
      <c r="A3759" t="s">
        <v>3820</v>
      </c>
      <c r="B3759" s="1">
        <v>45757</v>
      </c>
      <c r="C3759" s="2">
        <v>45761.126250000001</v>
      </c>
      <c r="D3759" t="s">
        <v>15</v>
      </c>
      <c r="E3759" t="s">
        <v>39</v>
      </c>
      <c r="F3759" t="s">
        <v>78</v>
      </c>
      <c r="G3759" t="s">
        <v>18</v>
      </c>
      <c r="H3759" t="s">
        <v>54</v>
      </c>
      <c r="I3759" t="s">
        <v>36</v>
      </c>
      <c r="J3759" t="s">
        <v>21</v>
      </c>
      <c r="K3759">
        <v>48</v>
      </c>
      <c r="L3759">
        <v>99.03</v>
      </c>
      <c r="M3759">
        <v>2.2999999999999998</v>
      </c>
      <c r="N3759" t="s">
        <v>22</v>
      </c>
      <c r="O3759" t="str">
        <f t="shared" si="58"/>
        <v>Yes</v>
      </c>
    </row>
    <row r="3760" spans="1:15" x14ac:dyDescent="0.25">
      <c r="A3760" t="s">
        <v>3821</v>
      </c>
      <c r="B3760" s="1">
        <v>45672</v>
      </c>
      <c r="C3760" s="2">
        <v>45673.085833333331</v>
      </c>
      <c r="D3760" t="s">
        <v>24</v>
      </c>
      <c r="E3760" t="s">
        <v>16</v>
      </c>
      <c r="F3760" t="s">
        <v>43</v>
      </c>
      <c r="G3760" t="s">
        <v>41</v>
      </c>
      <c r="H3760" t="s">
        <v>65</v>
      </c>
      <c r="I3760" t="s">
        <v>36</v>
      </c>
      <c r="J3760" t="s">
        <v>21</v>
      </c>
      <c r="K3760">
        <v>24</v>
      </c>
      <c r="L3760">
        <v>26.06</v>
      </c>
      <c r="M3760">
        <v>4.2</v>
      </c>
      <c r="N3760" t="s">
        <v>61</v>
      </c>
      <c r="O3760" t="str">
        <f t="shared" si="58"/>
        <v>Yes</v>
      </c>
    </row>
    <row r="3761" spans="1:15" x14ac:dyDescent="0.25">
      <c r="A3761" t="s">
        <v>3822</v>
      </c>
      <c r="B3761" s="1">
        <v>45759</v>
      </c>
      <c r="C3761" s="2">
        <v>45759.342916666668</v>
      </c>
      <c r="D3761" t="s">
        <v>15</v>
      </c>
      <c r="E3761" t="s">
        <v>32</v>
      </c>
      <c r="F3761" t="s">
        <v>33</v>
      </c>
      <c r="G3761" t="s">
        <v>51</v>
      </c>
      <c r="H3761" t="s">
        <v>35</v>
      </c>
      <c r="I3761" t="s">
        <v>20</v>
      </c>
      <c r="J3761" t="s">
        <v>46</v>
      </c>
      <c r="K3761">
        <v>48</v>
      </c>
      <c r="L3761">
        <v>8.23</v>
      </c>
      <c r="M3761">
        <v>4.5</v>
      </c>
      <c r="N3761" t="s">
        <v>22</v>
      </c>
      <c r="O3761" t="str">
        <f t="shared" si="58"/>
        <v>No</v>
      </c>
    </row>
    <row r="3762" spans="1:15" x14ac:dyDescent="0.25">
      <c r="A3762" t="s">
        <v>3823</v>
      </c>
      <c r="B3762" s="1">
        <v>45689</v>
      </c>
      <c r="C3762" s="2">
        <v>45689.103333333333</v>
      </c>
      <c r="D3762" t="s">
        <v>38</v>
      </c>
      <c r="E3762" t="s">
        <v>16</v>
      </c>
      <c r="F3762" t="s">
        <v>17</v>
      </c>
      <c r="G3762" t="s">
        <v>41</v>
      </c>
      <c r="H3762" t="s">
        <v>54</v>
      </c>
      <c r="I3762" t="s">
        <v>45</v>
      </c>
      <c r="J3762" t="s">
        <v>29</v>
      </c>
      <c r="K3762">
        <v>8</v>
      </c>
      <c r="L3762">
        <v>2.48</v>
      </c>
      <c r="M3762">
        <v>5</v>
      </c>
      <c r="N3762" t="s">
        <v>22</v>
      </c>
      <c r="O3762" t="str">
        <f t="shared" si="58"/>
        <v>No</v>
      </c>
    </row>
    <row r="3763" spans="1:15" x14ac:dyDescent="0.25">
      <c r="A3763" t="s">
        <v>3824</v>
      </c>
      <c r="B3763" s="1">
        <v>45749</v>
      </c>
      <c r="C3763" s="2">
        <v>45750.263749999998</v>
      </c>
      <c r="D3763" t="s">
        <v>15</v>
      </c>
      <c r="E3763" t="s">
        <v>25</v>
      </c>
      <c r="F3763" t="s">
        <v>26</v>
      </c>
      <c r="G3763" t="s">
        <v>18</v>
      </c>
      <c r="H3763" t="s">
        <v>44</v>
      </c>
      <c r="I3763" t="s">
        <v>36</v>
      </c>
      <c r="J3763" t="s">
        <v>21</v>
      </c>
      <c r="K3763">
        <v>48</v>
      </c>
      <c r="L3763">
        <v>30.33</v>
      </c>
      <c r="M3763">
        <v>3.3</v>
      </c>
      <c r="N3763" t="s">
        <v>22</v>
      </c>
      <c r="O3763" t="str">
        <f t="shared" si="58"/>
        <v>No</v>
      </c>
    </row>
    <row r="3764" spans="1:15" x14ac:dyDescent="0.25">
      <c r="A3764" t="s">
        <v>3825</v>
      </c>
      <c r="B3764" s="1">
        <v>45762</v>
      </c>
      <c r="C3764" s="2">
        <v>45762.265416666669</v>
      </c>
      <c r="D3764" t="s">
        <v>15</v>
      </c>
      <c r="E3764" t="s">
        <v>16</v>
      </c>
      <c r="F3764" t="s">
        <v>17</v>
      </c>
      <c r="G3764" t="s">
        <v>34</v>
      </c>
      <c r="H3764" t="s">
        <v>19</v>
      </c>
      <c r="I3764" t="s">
        <v>45</v>
      </c>
      <c r="J3764" t="s">
        <v>29</v>
      </c>
      <c r="K3764">
        <v>48</v>
      </c>
      <c r="L3764">
        <v>6.37</v>
      </c>
      <c r="M3764">
        <v>4.9000000000000004</v>
      </c>
      <c r="N3764" t="s">
        <v>22</v>
      </c>
      <c r="O3764" t="str">
        <f t="shared" si="58"/>
        <v>No</v>
      </c>
    </row>
    <row r="3765" spans="1:15" x14ac:dyDescent="0.25">
      <c r="A3765" t="s">
        <v>3826</v>
      </c>
      <c r="B3765" s="1">
        <v>45773</v>
      </c>
      <c r="C3765" s="2">
        <v>45773.902499999997</v>
      </c>
      <c r="D3765" t="s">
        <v>24</v>
      </c>
      <c r="E3765" t="s">
        <v>39</v>
      </c>
      <c r="F3765" t="s">
        <v>87</v>
      </c>
      <c r="G3765" t="s">
        <v>41</v>
      </c>
      <c r="H3765" t="s">
        <v>19</v>
      </c>
      <c r="I3765" t="s">
        <v>36</v>
      </c>
      <c r="J3765" t="s">
        <v>85</v>
      </c>
      <c r="K3765">
        <v>24</v>
      </c>
      <c r="L3765">
        <v>21.66</v>
      </c>
      <c r="M3765">
        <v>3.3</v>
      </c>
      <c r="N3765" t="s">
        <v>22</v>
      </c>
      <c r="O3765" t="str">
        <f t="shared" si="58"/>
        <v>No</v>
      </c>
    </row>
    <row r="3766" spans="1:15" x14ac:dyDescent="0.25">
      <c r="A3766" t="s">
        <v>3827</v>
      </c>
      <c r="B3766" s="1">
        <v>45732</v>
      </c>
      <c r="C3766" s="2">
        <v>45732.495416666665</v>
      </c>
      <c r="D3766" t="s">
        <v>24</v>
      </c>
      <c r="E3766" t="s">
        <v>32</v>
      </c>
      <c r="F3766" t="s">
        <v>75</v>
      </c>
      <c r="G3766" t="s">
        <v>51</v>
      </c>
      <c r="H3766" t="s">
        <v>44</v>
      </c>
      <c r="I3766" t="s">
        <v>36</v>
      </c>
      <c r="J3766" t="s">
        <v>46</v>
      </c>
      <c r="K3766">
        <v>24</v>
      </c>
      <c r="L3766">
        <v>11.89</v>
      </c>
      <c r="M3766">
        <v>4.0999999999999996</v>
      </c>
      <c r="N3766" t="s">
        <v>22</v>
      </c>
      <c r="O3766" t="str">
        <f t="shared" si="58"/>
        <v>No</v>
      </c>
    </row>
    <row r="3767" spans="1:15" x14ac:dyDescent="0.25">
      <c r="A3767" t="s">
        <v>3828</v>
      </c>
      <c r="B3767" s="1">
        <v>45731</v>
      </c>
      <c r="C3767" s="2">
        <v>45731.31</v>
      </c>
      <c r="D3767" t="s">
        <v>38</v>
      </c>
      <c r="E3767" t="s">
        <v>32</v>
      </c>
      <c r="F3767" t="s">
        <v>64</v>
      </c>
      <c r="G3767" t="s">
        <v>51</v>
      </c>
      <c r="H3767" t="s">
        <v>27</v>
      </c>
      <c r="I3767" t="s">
        <v>20</v>
      </c>
      <c r="J3767" t="s">
        <v>46</v>
      </c>
      <c r="K3767">
        <v>8</v>
      </c>
      <c r="L3767">
        <v>7.44</v>
      </c>
      <c r="M3767">
        <v>5</v>
      </c>
      <c r="N3767" t="s">
        <v>22</v>
      </c>
      <c r="O3767" t="str">
        <f t="shared" si="58"/>
        <v>No</v>
      </c>
    </row>
    <row r="3768" spans="1:15" x14ac:dyDescent="0.25">
      <c r="A3768" t="s">
        <v>3829</v>
      </c>
      <c r="B3768" s="1">
        <v>45780</v>
      </c>
      <c r="C3768" s="2">
        <v>45781.696250000001</v>
      </c>
      <c r="D3768" t="s">
        <v>15</v>
      </c>
      <c r="E3768" t="s">
        <v>16</v>
      </c>
      <c r="F3768" t="s">
        <v>58</v>
      </c>
      <c r="G3768" t="s">
        <v>18</v>
      </c>
      <c r="H3768" t="s">
        <v>35</v>
      </c>
      <c r="I3768" t="s">
        <v>36</v>
      </c>
      <c r="J3768" t="s">
        <v>21</v>
      </c>
      <c r="K3768">
        <v>48</v>
      </c>
      <c r="L3768">
        <v>40.71</v>
      </c>
      <c r="M3768">
        <v>3.4</v>
      </c>
      <c r="N3768" t="s">
        <v>22</v>
      </c>
      <c r="O3768" t="str">
        <f t="shared" si="58"/>
        <v>No</v>
      </c>
    </row>
    <row r="3769" spans="1:15" x14ac:dyDescent="0.25">
      <c r="A3769" t="s">
        <v>3830</v>
      </c>
      <c r="B3769" s="1">
        <v>45793</v>
      </c>
      <c r="C3769" s="2">
        <v>45793.144583333335</v>
      </c>
      <c r="D3769" t="s">
        <v>38</v>
      </c>
      <c r="E3769" t="s">
        <v>16</v>
      </c>
      <c r="F3769" t="s">
        <v>43</v>
      </c>
      <c r="G3769" t="s">
        <v>18</v>
      </c>
      <c r="H3769" t="s">
        <v>35</v>
      </c>
      <c r="I3769" t="s">
        <v>36</v>
      </c>
      <c r="J3769" t="s">
        <v>21</v>
      </c>
      <c r="K3769">
        <v>8</v>
      </c>
      <c r="L3769">
        <v>3.47</v>
      </c>
      <c r="M3769">
        <v>4.2</v>
      </c>
      <c r="N3769" t="s">
        <v>22</v>
      </c>
      <c r="O3769" t="str">
        <f t="shared" si="58"/>
        <v>No</v>
      </c>
    </row>
    <row r="3770" spans="1:15" x14ac:dyDescent="0.25">
      <c r="A3770" t="s">
        <v>3831</v>
      </c>
      <c r="B3770" s="1">
        <v>45804</v>
      </c>
      <c r="C3770" s="2">
        <v>45804.634583333333</v>
      </c>
      <c r="D3770" t="s">
        <v>15</v>
      </c>
      <c r="E3770" t="s">
        <v>32</v>
      </c>
      <c r="F3770" t="s">
        <v>75</v>
      </c>
      <c r="G3770" t="s">
        <v>56</v>
      </c>
      <c r="H3770" t="s">
        <v>65</v>
      </c>
      <c r="I3770" t="s">
        <v>36</v>
      </c>
      <c r="J3770" t="s">
        <v>85</v>
      </c>
      <c r="K3770">
        <v>48</v>
      </c>
      <c r="L3770">
        <v>15.23</v>
      </c>
      <c r="M3770">
        <v>3.9</v>
      </c>
      <c r="N3770" t="s">
        <v>22</v>
      </c>
      <c r="O3770" t="str">
        <f t="shared" si="58"/>
        <v>No</v>
      </c>
    </row>
    <row r="3771" spans="1:15" x14ac:dyDescent="0.25">
      <c r="A3771" t="s">
        <v>3832</v>
      </c>
      <c r="B3771" s="1">
        <v>45718</v>
      </c>
      <c r="C3771" s="2">
        <v>45718.123333333337</v>
      </c>
      <c r="D3771" t="s">
        <v>15</v>
      </c>
      <c r="E3771" t="s">
        <v>32</v>
      </c>
      <c r="F3771" t="s">
        <v>80</v>
      </c>
      <c r="G3771" t="s">
        <v>56</v>
      </c>
      <c r="H3771" t="s">
        <v>44</v>
      </c>
      <c r="I3771" t="s">
        <v>28</v>
      </c>
      <c r="J3771" t="s">
        <v>85</v>
      </c>
      <c r="K3771">
        <v>48</v>
      </c>
      <c r="L3771">
        <v>2.96</v>
      </c>
      <c r="M3771">
        <v>4.7</v>
      </c>
      <c r="N3771" t="s">
        <v>22</v>
      </c>
      <c r="O3771" t="str">
        <f t="shared" si="58"/>
        <v>No</v>
      </c>
    </row>
    <row r="3772" spans="1:15" x14ac:dyDescent="0.25">
      <c r="A3772" t="s">
        <v>3833</v>
      </c>
      <c r="B3772" s="1">
        <v>45734</v>
      </c>
      <c r="C3772" s="2">
        <v>45736.125</v>
      </c>
      <c r="D3772" t="s">
        <v>24</v>
      </c>
      <c r="E3772" t="s">
        <v>39</v>
      </c>
      <c r="F3772" t="s">
        <v>87</v>
      </c>
      <c r="G3772" t="s">
        <v>34</v>
      </c>
      <c r="H3772" t="s">
        <v>19</v>
      </c>
      <c r="I3772" t="s">
        <v>36</v>
      </c>
      <c r="J3772" t="s">
        <v>21</v>
      </c>
      <c r="K3772">
        <v>24</v>
      </c>
      <c r="L3772">
        <v>51</v>
      </c>
      <c r="M3772">
        <v>2.4</v>
      </c>
      <c r="N3772" t="s">
        <v>22</v>
      </c>
      <c r="O3772" t="str">
        <f t="shared" si="58"/>
        <v>Yes</v>
      </c>
    </row>
    <row r="3773" spans="1:15" x14ac:dyDescent="0.25">
      <c r="A3773" t="s">
        <v>3834</v>
      </c>
      <c r="B3773" s="1">
        <v>45717</v>
      </c>
      <c r="C3773" s="2">
        <v>45718.617083333331</v>
      </c>
      <c r="D3773" t="s">
        <v>15</v>
      </c>
      <c r="E3773" t="s">
        <v>39</v>
      </c>
      <c r="F3773" t="s">
        <v>119</v>
      </c>
      <c r="G3773" t="s">
        <v>18</v>
      </c>
      <c r="H3773" t="s">
        <v>19</v>
      </c>
      <c r="I3773" t="s">
        <v>36</v>
      </c>
      <c r="J3773" t="s">
        <v>21</v>
      </c>
      <c r="K3773">
        <v>48</v>
      </c>
      <c r="L3773">
        <v>38.81</v>
      </c>
      <c r="M3773">
        <v>3.6</v>
      </c>
      <c r="N3773" t="s">
        <v>22</v>
      </c>
      <c r="O3773" t="str">
        <f t="shared" si="58"/>
        <v>No</v>
      </c>
    </row>
    <row r="3774" spans="1:15" x14ac:dyDescent="0.25">
      <c r="A3774" t="s">
        <v>3835</v>
      </c>
      <c r="B3774" s="1">
        <v>45753</v>
      </c>
      <c r="C3774" s="2">
        <v>45753.192499999997</v>
      </c>
      <c r="D3774" t="s">
        <v>24</v>
      </c>
      <c r="E3774" t="s">
        <v>45</v>
      </c>
      <c r="F3774" t="s">
        <v>100</v>
      </c>
      <c r="G3774" t="s">
        <v>56</v>
      </c>
      <c r="H3774" t="s">
        <v>35</v>
      </c>
      <c r="I3774" t="s">
        <v>36</v>
      </c>
      <c r="J3774" t="s">
        <v>21</v>
      </c>
      <c r="K3774">
        <v>24</v>
      </c>
      <c r="L3774">
        <v>4.62</v>
      </c>
      <c r="M3774">
        <v>5</v>
      </c>
      <c r="N3774" t="s">
        <v>22</v>
      </c>
      <c r="O3774" t="str">
        <f t="shared" si="58"/>
        <v>No</v>
      </c>
    </row>
    <row r="3775" spans="1:15" x14ac:dyDescent="0.25">
      <c r="A3775" t="s">
        <v>3836</v>
      </c>
      <c r="B3775" s="1">
        <v>45681</v>
      </c>
      <c r="C3775" s="2">
        <v>45681.988333333335</v>
      </c>
      <c r="D3775" t="s">
        <v>15</v>
      </c>
      <c r="E3775" t="s">
        <v>32</v>
      </c>
      <c r="F3775" t="s">
        <v>64</v>
      </c>
      <c r="G3775" t="s">
        <v>51</v>
      </c>
      <c r="H3775" t="s">
        <v>54</v>
      </c>
      <c r="I3775" t="s">
        <v>36</v>
      </c>
      <c r="J3775" t="s">
        <v>21</v>
      </c>
      <c r="K3775">
        <v>48</v>
      </c>
      <c r="L3775">
        <v>23.72</v>
      </c>
      <c r="M3775">
        <v>5</v>
      </c>
      <c r="N3775" t="s">
        <v>22</v>
      </c>
      <c r="O3775" t="str">
        <f t="shared" si="58"/>
        <v>No</v>
      </c>
    </row>
    <row r="3776" spans="1:15" x14ac:dyDescent="0.25">
      <c r="A3776" t="s">
        <v>3837</v>
      </c>
      <c r="B3776" s="1">
        <v>45735</v>
      </c>
      <c r="C3776" s="2">
        <v>45737.099166666667</v>
      </c>
      <c r="D3776" t="s">
        <v>15</v>
      </c>
      <c r="E3776" t="s">
        <v>32</v>
      </c>
      <c r="F3776" t="s">
        <v>33</v>
      </c>
      <c r="G3776" t="s">
        <v>41</v>
      </c>
      <c r="H3776" t="s">
        <v>35</v>
      </c>
      <c r="I3776" t="s">
        <v>36</v>
      </c>
      <c r="J3776" t="s">
        <v>29</v>
      </c>
      <c r="K3776">
        <v>48</v>
      </c>
      <c r="L3776">
        <v>50.38</v>
      </c>
      <c r="M3776">
        <v>3.1</v>
      </c>
      <c r="N3776" t="s">
        <v>61</v>
      </c>
      <c r="O3776" t="str">
        <f t="shared" si="58"/>
        <v>Yes</v>
      </c>
    </row>
    <row r="3777" spans="1:15" x14ac:dyDescent="0.25">
      <c r="A3777" t="s">
        <v>3838</v>
      </c>
      <c r="B3777" s="1">
        <v>45692</v>
      </c>
      <c r="C3777" s="2">
        <v>45692.182500000003</v>
      </c>
      <c r="D3777" t="s">
        <v>38</v>
      </c>
      <c r="E3777" t="s">
        <v>39</v>
      </c>
      <c r="F3777" t="s">
        <v>87</v>
      </c>
      <c r="G3777" t="s">
        <v>34</v>
      </c>
      <c r="H3777" t="s">
        <v>27</v>
      </c>
      <c r="I3777" t="s">
        <v>36</v>
      </c>
      <c r="J3777" t="s">
        <v>21</v>
      </c>
      <c r="K3777">
        <v>8</v>
      </c>
      <c r="L3777">
        <v>4.38</v>
      </c>
      <c r="M3777">
        <v>4.9000000000000004</v>
      </c>
      <c r="N3777" t="s">
        <v>61</v>
      </c>
      <c r="O3777" t="str">
        <f t="shared" si="58"/>
        <v>No</v>
      </c>
    </row>
    <row r="3778" spans="1:15" x14ac:dyDescent="0.25">
      <c r="A3778" t="s">
        <v>3839</v>
      </c>
      <c r="B3778" s="1">
        <v>45754</v>
      </c>
      <c r="C3778" s="2">
        <v>45754.298750000002</v>
      </c>
      <c r="D3778" t="s">
        <v>15</v>
      </c>
      <c r="E3778" t="s">
        <v>32</v>
      </c>
      <c r="F3778" t="s">
        <v>75</v>
      </c>
      <c r="G3778" t="s">
        <v>34</v>
      </c>
      <c r="H3778" t="s">
        <v>35</v>
      </c>
      <c r="I3778" t="s">
        <v>36</v>
      </c>
      <c r="J3778" t="s">
        <v>46</v>
      </c>
      <c r="K3778">
        <v>48</v>
      </c>
      <c r="L3778">
        <v>7.17</v>
      </c>
      <c r="M3778">
        <v>4.5</v>
      </c>
      <c r="N3778" t="s">
        <v>22</v>
      </c>
      <c r="O3778" t="str">
        <f t="shared" si="58"/>
        <v>No</v>
      </c>
    </row>
    <row r="3779" spans="1:15" x14ac:dyDescent="0.25">
      <c r="A3779" t="s">
        <v>3840</v>
      </c>
      <c r="B3779" s="1">
        <v>45811</v>
      </c>
      <c r="C3779" s="2">
        <v>45811.88208333333</v>
      </c>
      <c r="D3779" t="s">
        <v>24</v>
      </c>
      <c r="E3779" t="s">
        <v>32</v>
      </c>
      <c r="F3779" t="s">
        <v>33</v>
      </c>
      <c r="G3779" t="s">
        <v>41</v>
      </c>
      <c r="H3779" t="s">
        <v>65</v>
      </c>
      <c r="I3779" t="s">
        <v>45</v>
      </c>
      <c r="J3779" t="s">
        <v>46</v>
      </c>
      <c r="K3779">
        <v>24</v>
      </c>
      <c r="L3779">
        <v>21.17</v>
      </c>
      <c r="M3779">
        <v>3.1</v>
      </c>
      <c r="N3779" t="s">
        <v>22</v>
      </c>
      <c r="O3779" t="str">
        <f t="shared" ref="O3779:O3842" si="59">IF(L3779&gt;K3779,"Yes","No")</f>
        <v>No</v>
      </c>
    </row>
    <row r="3780" spans="1:15" x14ac:dyDescent="0.25">
      <c r="A3780" t="s">
        <v>3841</v>
      </c>
      <c r="B3780" s="1">
        <v>45836</v>
      </c>
      <c r="C3780" s="2">
        <v>45836.05</v>
      </c>
      <c r="D3780" t="s">
        <v>38</v>
      </c>
      <c r="E3780" t="s">
        <v>39</v>
      </c>
      <c r="F3780" t="s">
        <v>78</v>
      </c>
      <c r="G3780" t="s">
        <v>18</v>
      </c>
      <c r="H3780" t="s">
        <v>44</v>
      </c>
      <c r="I3780" t="s">
        <v>36</v>
      </c>
      <c r="J3780" t="s">
        <v>21</v>
      </c>
      <c r="K3780">
        <v>8</v>
      </c>
      <c r="L3780">
        <v>1.2</v>
      </c>
      <c r="M3780">
        <v>4.4000000000000004</v>
      </c>
      <c r="N3780" t="s">
        <v>22</v>
      </c>
      <c r="O3780" t="str">
        <f t="shared" si="59"/>
        <v>No</v>
      </c>
    </row>
    <row r="3781" spans="1:15" x14ac:dyDescent="0.25">
      <c r="A3781" t="s">
        <v>3842</v>
      </c>
      <c r="B3781" s="1">
        <v>45738</v>
      </c>
      <c r="C3781" s="2">
        <v>45739.942083333335</v>
      </c>
      <c r="D3781" t="s">
        <v>15</v>
      </c>
      <c r="E3781" t="s">
        <v>39</v>
      </c>
      <c r="F3781" t="s">
        <v>40</v>
      </c>
      <c r="G3781" t="s">
        <v>51</v>
      </c>
      <c r="H3781" t="s">
        <v>65</v>
      </c>
      <c r="I3781" t="s">
        <v>36</v>
      </c>
      <c r="J3781" t="s">
        <v>46</v>
      </c>
      <c r="K3781">
        <v>48</v>
      </c>
      <c r="L3781">
        <v>46.61</v>
      </c>
      <c r="M3781">
        <v>3</v>
      </c>
      <c r="N3781" t="s">
        <v>22</v>
      </c>
      <c r="O3781" t="str">
        <f t="shared" si="59"/>
        <v>No</v>
      </c>
    </row>
    <row r="3782" spans="1:15" x14ac:dyDescent="0.25">
      <c r="A3782" t="s">
        <v>3843</v>
      </c>
      <c r="B3782" s="1">
        <v>45668</v>
      </c>
      <c r="C3782" s="2">
        <v>45668.23333333333</v>
      </c>
      <c r="D3782" t="s">
        <v>38</v>
      </c>
      <c r="E3782" t="s">
        <v>32</v>
      </c>
      <c r="F3782" t="s">
        <v>64</v>
      </c>
      <c r="G3782" t="s">
        <v>34</v>
      </c>
      <c r="H3782" t="s">
        <v>65</v>
      </c>
      <c r="I3782" t="s">
        <v>20</v>
      </c>
      <c r="J3782" t="s">
        <v>21</v>
      </c>
      <c r="K3782">
        <v>8</v>
      </c>
      <c r="L3782">
        <v>5.6</v>
      </c>
      <c r="M3782">
        <v>4.8</v>
      </c>
      <c r="N3782" t="s">
        <v>22</v>
      </c>
      <c r="O3782" t="str">
        <f t="shared" si="59"/>
        <v>No</v>
      </c>
    </row>
    <row r="3783" spans="1:15" x14ac:dyDescent="0.25">
      <c r="A3783" t="s">
        <v>3844</v>
      </c>
      <c r="B3783" s="1">
        <v>45699</v>
      </c>
      <c r="C3783" s="2">
        <v>45700.014166666668</v>
      </c>
      <c r="D3783" t="s">
        <v>15</v>
      </c>
      <c r="E3783" t="s">
        <v>16</v>
      </c>
      <c r="F3783" t="s">
        <v>58</v>
      </c>
      <c r="G3783" t="s">
        <v>41</v>
      </c>
      <c r="H3783" t="s">
        <v>65</v>
      </c>
      <c r="I3783" t="s">
        <v>36</v>
      </c>
      <c r="J3783" t="s">
        <v>21</v>
      </c>
      <c r="K3783">
        <v>48</v>
      </c>
      <c r="L3783">
        <v>24.34</v>
      </c>
      <c r="M3783">
        <v>3.8</v>
      </c>
      <c r="N3783" t="s">
        <v>22</v>
      </c>
      <c r="O3783" t="str">
        <f t="shared" si="59"/>
        <v>No</v>
      </c>
    </row>
    <row r="3784" spans="1:15" x14ac:dyDescent="0.25">
      <c r="A3784" t="s">
        <v>3845</v>
      </c>
      <c r="B3784" s="1">
        <v>45676</v>
      </c>
      <c r="C3784" s="2">
        <v>45676.490416666667</v>
      </c>
      <c r="D3784" t="s">
        <v>24</v>
      </c>
      <c r="E3784" t="s">
        <v>16</v>
      </c>
      <c r="F3784" t="s">
        <v>58</v>
      </c>
      <c r="G3784" t="s">
        <v>34</v>
      </c>
      <c r="H3784" t="s">
        <v>27</v>
      </c>
      <c r="I3784" t="s">
        <v>36</v>
      </c>
      <c r="J3784" t="s">
        <v>21</v>
      </c>
      <c r="K3784">
        <v>24</v>
      </c>
      <c r="L3784">
        <v>11.77</v>
      </c>
      <c r="M3784">
        <v>5</v>
      </c>
      <c r="N3784" t="s">
        <v>22</v>
      </c>
      <c r="O3784" t="str">
        <f t="shared" si="59"/>
        <v>No</v>
      </c>
    </row>
    <row r="3785" spans="1:15" x14ac:dyDescent="0.25">
      <c r="A3785" t="s">
        <v>3846</v>
      </c>
      <c r="B3785" s="1">
        <v>45795</v>
      </c>
      <c r="C3785" s="2">
        <v>45795.834583333337</v>
      </c>
      <c r="D3785" t="s">
        <v>15</v>
      </c>
      <c r="E3785" t="s">
        <v>32</v>
      </c>
      <c r="F3785" t="s">
        <v>33</v>
      </c>
      <c r="G3785" t="s">
        <v>18</v>
      </c>
      <c r="H3785" t="s">
        <v>44</v>
      </c>
      <c r="I3785" t="s">
        <v>28</v>
      </c>
      <c r="J3785" t="s">
        <v>21</v>
      </c>
      <c r="K3785">
        <v>48</v>
      </c>
      <c r="L3785">
        <v>20.03</v>
      </c>
      <c r="M3785">
        <v>4.5999999999999996</v>
      </c>
      <c r="N3785" t="s">
        <v>22</v>
      </c>
      <c r="O3785" t="str">
        <f t="shared" si="59"/>
        <v>No</v>
      </c>
    </row>
    <row r="3786" spans="1:15" x14ac:dyDescent="0.25">
      <c r="A3786" t="s">
        <v>3847</v>
      </c>
      <c r="B3786" s="1">
        <v>45836</v>
      </c>
      <c r="C3786" s="2">
        <v>45836.268750000003</v>
      </c>
      <c r="D3786" t="s">
        <v>38</v>
      </c>
      <c r="E3786" t="s">
        <v>25</v>
      </c>
      <c r="F3786" t="s">
        <v>26</v>
      </c>
      <c r="G3786" t="s">
        <v>18</v>
      </c>
      <c r="H3786" t="s">
        <v>27</v>
      </c>
      <c r="I3786" t="s">
        <v>45</v>
      </c>
      <c r="J3786" t="s">
        <v>46</v>
      </c>
      <c r="K3786">
        <v>8</v>
      </c>
      <c r="L3786">
        <v>6.45</v>
      </c>
      <c r="M3786">
        <v>3.8</v>
      </c>
      <c r="N3786" t="s">
        <v>22</v>
      </c>
      <c r="O3786" t="str">
        <f t="shared" si="59"/>
        <v>No</v>
      </c>
    </row>
    <row r="3787" spans="1:15" x14ac:dyDescent="0.25">
      <c r="A3787" t="s">
        <v>3848</v>
      </c>
      <c r="B3787" s="1">
        <v>45758</v>
      </c>
      <c r="C3787" s="2">
        <v>45758.183333333334</v>
      </c>
      <c r="D3787" t="s">
        <v>24</v>
      </c>
      <c r="E3787" t="s">
        <v>39</v>
      </c>
      <c r="F3787" t="s">
        <v>87</v>
      </c>
      <c r="G3787" t="s">
        <v>18</v>
      </c>
      <c r="H3787" t="s">
        <v>27</v>
      </c>
      <c r="I3787" t="s">
        <v>45</v>
      </c>
      <c r="J3787" t="s">
        <v>21</v>
      </c>
      <c r="K3787">
        <v>24</v>
      </c>
      <c r="L3787">
        <v>4.4000000000000004</v>
      </c>
      <c r="M3787">
        <v>4.5</v>
      </c>
      <c r="N3787" t="s">
        <v>22</v>
      </c>
      <c r="O3787" t="str">
        <f t="shared" si="59"/>
        <v>No</v>
      </c>
    </row>
    <row r="3788" spans="1:15" x14ac:dyDescent="0.25">
      <c r="A3788" t="s">
        <v>3849</v>
      </c>
      <c r="B3788" s="1">
        <v>45690</v>
      </c>
      <c r="C3788" s="2">
        <v>45690.33666666667</v>
      </c>
      <c r="D3788" t="s">
        <v>24</v>
      </c>
      <c r="E3788" t="s">
        <v>45</v>
      </c>
      <c r="F3788" t="s">
        <v>104</v>
      </c>
      <c r="G3788" t="s">
        <v>51</v>
      </c>
      <c r="H3788" t="s">
        <v>65</v>
      </c>
      <c r="I3788" t="s">
        <v>45</v>
      </c>
      <c r="J3788" t="s">
        <v>46</v>
      </c>
      <c r="K3788">
        <v>24</v>
      </c>
      <c r="L3788">
        <v>8.08</v>
      </c>
      <c r="M3788">
        <v>5</v>
      </c>
      <c r="N3788" t="s">
        <v>61</v>
      </c>
      <c r="O3788" t="str">
        <f t="shared" si="59"/>
        <v>No</v>
      </c>
    </row>
    <row r="3789" spans="1:15" x14ac:dyDescent="0.25">
      <c r="A3789" t="s">
        <v>3850</v>
      </c>
      <c r="B3789" s="1">
        <v>45661</v>
      </c>
      <c r="C3789" s="2">
        <v>45661.223333333335</v>
      </c>
      <c r="D3789" t="s">
        <v>31</v>
      </c>
      <c r="E3789" t="s">
        <v>45</v>
      </c>
      <c r="F3789" t="s">
        <v>100</v>
      </c>
      <c r="G3789" t="s">
        <v>18</v>
      </c>
      <c r="H3789" t="s">
        <v>27</v>
      </c>
      <c r="I3789" t="s">
        <v>28</v>
      </c>
      <c r="J3789" t="s">
        <v>21</v>
      </c>
      <c r="K3789">
        <v>4</v>
      </c>
      <c r="L3789">
        <v>5.36</v>
      </c>
      <c r="M3789">
        <v>3.4</v>
      </c>
      <c r="N3789" t="s">
        <v>22</v>
      </c>
      <c r="O3789" t="str">
        <f t="shared" si="59"/>
        <v>Yes</v>
      </c>
    </row>
    <row r="3790" spans="1:15" x14ac:dyDescent="0.25">
      <c r="A3790" t="s">
        <v>3851</v>
      </c>
      <c r="B3790" s="1">
        <v>45834</v>
      </c>
      <c r="C3790" s="2">
        <v>45835.972916666666</v>
      </c>
      <c r="D3790" t="s">
        <v>24</v>
      </c>
      <c r="E3790" t="s">
        <v>39</v>
      </c>
      <c r="F3790" t="s">
        <v>119</v>
      </c>
      <c r="G3790" t="s">
        <v>56</v>
      </c>
      <c r="H3790" t="s">
        <v>35</v>
      </c>
      <c r="I3790" t="s">
        <v>36</v>
      </c>
      <c r="J3790" t="s">
        <v>85</v>
      </c>
      <c r="K3790">
        <v>24</v>
      </c>
      <c r="L3790">
        <v>47.35</v>
      </c>
      <c r="M3790">
        <v>2.2999999999999998</v>
      </c>
      <c r="N3790" t="s">
        <v>22</v>
      </c>
      <c r="O3790" t="str">
        <f t="shared" si="59"/>
        <v>Yes</v>
      </c>
    </row>
    <row r="3791" spans="1:15" x14ac:dyDescent="0.25">
      <c r="A3791" t="s">
        <v>3852</v>
      </c>
      <c r="B3791" s="1">
        <v>45715</v>
      </c>
      <c r="C3791" s="2">
        <v>45715.152083333334</v>
      </c>
      <c r="D3791" t="s">
        <v>38</v>
      </c>
      <c r="E3791" t="s">
        <v>32</v>
      </c>
      <c r="F3791" t="s">
        <v>64</v>
      </c>
      <c r="G3791" t="s">
        <v>41</v>
      </c>
      <c r="H3791" t="s">
        <v>27</v>
      </c>
      <c r="I3791" t="s">
        <v>36</v>
      </c>
      <c r="J3791" t="s">
        <v>46</v>
      </c>
      <c r="K3791">
        <v>8</v>
      </c>
      <c r="L3791">
        <v>3.65</v>
      </c>
      <c r="M3791">
        <v>5</v>
      </c>
      <c r="N3791" t="s">
        <v>22</v>
      </c>
      <c r="O3791" t="str">
        <f t="shared" si="59"/>
        <v>No</v>
      </c>
    </row>
    <row r="3792" spans="1:15" x14ac:dyDescent="0.25">
      <c r="A3792" t="s">
        <v>3853</v>
      </c>
      <c r="B3792" s="1">
        <v>45678</v>
      </c>
      <c r="C3792" s="2">
        <v>45678.580416666664</v>
      </c>
      <c r="D3792" t="s">
        <v>24</v>
      </c>
      <c r="E3792" t="s">
        <v>25</v>
      </c>
      <c r="F3792" t="s">
        <v>53</v>
      </c>
      <c r="G3792" t="s">
        <v>41</v>
      </c>
      <c r="H3792" t="s">
        <v>44</v>
      </c>
      <c r="I3792" t="s">
        <v>20</v>
      </c>
      <c r="J3792" t="s">
        <v>46</v>
      </c>
      <c r="K3792">
        <v>24</v>
      </c>
      <c r="L3792">
        <v>13.93</v>
      </c>
      <c r="M3792">
        <v>4.7</v>
      </c>
      <c r="N3792" t="s">
        <v>22</v>
      </c>
      <c r="O3792" t="str">
        <f t="shared" si="59"/>
        <v>No</v>
      </c>
    </row>
    <row r="3793" spans="1:15" x14ac:dyDescent="0.25">
      <c r="A3793" t="s">
        <v>3854</v>
      </c>
      <c r="B3793" s="1">
        <v>45690</v>
      </c>
      <c r="C3793" s="2">
        <v>45690.071666666663</v>
      </c>
      <c r="D3793" t="s">
        <v>38</v>
      </c>
      <c r="E3793" t="s">
        <v>39</v>
      </c>
      <c r="F3793" t="s">
        <v>40</v>
      </c>
      <c r="G3793" t="s">
        <v>51</v>
      </c>
      <c r="H3793" t="s">
        <v>35</v>
      </c>
      <c r="I3793" t="s">
        <v>36</v>
      </c>
      <c r="J3793" t="s">
        <v>21</v>
      </c>
      <c r="K3793">
        <v>8</v>
      </c>
      <c r="L3793">
        <v>1.72</v>
      </c>
      <c r="M3793">
        <v>4.0999999999999996</v>
      </c>
      <c r="N3793" t="s">
        <v>22</v>
      </c>
      <c r="O3793" t="str">
        <f t="shared" si="59"/>
        <v>No</v>
      </c>
    </row>
    <row r="3794" spans="1:15" x14ac:dyDescent="0.25">
      <c r="A3794" t="s">
        <v>3855</v>
      </c>
      <c r="B3794" s="1">
        <v>45704</v>
      </c>
      <c r="C3794" s="2">
        <v>45704.093333333331</v>
      </c>
      <c r="D3794" t="s">
        <v>38</v>
      </c>
      <c r="E3794" t="s">
        <v>32</v>
      </c>
      <c r="F3794" t="s">
        <v>64</v>
      </c>
      <c r="G3794" t="s">
        <v>18</v>
      </c>
      <c r="H3794" t="s">
        <v>54</v>
      </c>
      <c r="I3794" t="s">
        <v>45</v>
      </c>
      <c r="J3794" t="s">
        <v>21</v>
      </c>
      <c r="K3794">
        <v>8</v>
      </c>
      <c r="L3794">
        <v>2.2400000000000002</v>
      </c>
      <c r="M3794">
        <v>4.7</v>
      </c>
      <c r="N3794" t="s">
        <v>22</v>
      </c>
      <c r="O3794" t="str">
        <f t="shared" si="59"/>
        <v>No</v>
      </c>
    </row>
    <row r="3795" spans="1:15" x14ac:dyDescent="0.25">
      <c r="A3795" t="s">
        <v>3856</v>
      </c>
      <c r="B3795" s="1">
        <v>45776</v>
      </c>
      <c r="C3795" s="2">
        <v>45776.020833333336</v>
      </c>
      <c r="D3795" t="s">
        <v>31</v>
      </c>
      <c r="E3795" t="s">
        <v>16</v>
      </c>
      <c r="F3795" t="s">
        <v>58</v>
      </c>
      <c r="G3795" t="s">
        <v>51</v>
      </c>
      <c r="H3795" t="s">
        <v>27</v>
      </c>
      <c r="I3795" t="s">
        <v>36</v>
      </c>
      <c r="J3795" t="s">
        <v>46</v>
      </c>
      <c r="K3795">
        <v>4</v>
      </c>
      <c r="L3795">
        <v>0.5</v>
      </c>
      <c r="M3795">
        <v>3.7</v>
      </c>
      <c r="N3795" t="s">
        <v>22</v>
      </c>
      <c r="O3795" t="str">
        <f t="shared" si="59"/>
        <v>No</v>
      </c>
    </row>
    <row r="3796" spans="1:15" x14ac:dyDescent="0.25">
      <c r="A3796" t="s">
        <v>3857</v>
      </c>
      <c r="B3796" s="1">
        <v>45819</v>
      </c>
      <c r="C3796" s="2">
        <v>45819.234166666669</v>
      </c>
      <c r="D3796" t="s">
        <v>15</v>
      </c>
      <c r="E3796" t="s">
        <v>16</v>
      </c>
      <c r="F3796" t="s">
        <v>58</v>
      </c>
      <c r="G3796" t="s">
        <v>51</v>
      </c>
      <c r="H3796" t="s">
        <v>44</v>
      </c>
      <c r="I3796" t="s">
        <v>36</v>
      </c>
      <c r="J3796" t="s">
        <v>46</v>
      </c>
      <c r="K3796">
        <v>48</v>
      </c>
      <c r="L3796">
        <v>5.62</v>
      </c>
      <c r="M3796">
        <v>4.8</v>
      </c>
      <c r="N3796" t="s">
        <v>22</v>
      </c>
      <c r="O3796" t="str">
        <f t="shared" si="59"/>
        <v>No</v>
      </c>
    </row>
    <row r="3797" spans="1:15" x14ac:dyDescent="0.25">
      <c r="A3797" t="s">
        <v>3858</v>
      </c>
      <c r="B3797" s="1">
        <v>45707</v>
      </c>
      <c r="C3797" s="2">
        <v>45707.125416666669</v>
      </c>
      <c r="D3797" t="s">
        <v>38</v>
      </c>
      <c r="E3797" t="s">
        <v>25</v>
      </c>
      <c r="F3797" t="s">
        <v>48</v>
      </c>
      <c r="G3797" t="s">
        <v>34</v>
      </c>
      <c r="H3797" t="s">
        <v>44</v>
      </c>
      <c r="I3797" t="s">
        <v>45</v>
      </c>
      <c r="J3797" t="s">
        <v>46</v>
      </c>
      <c r="K3797">
        <v>8</v>
      </c>
      <c r="L3797">
        <v>3.01</v>
      </c>
      <c r="M3797">
        <v>4.8</v>
      </c>
      <c r="N3797" t="s">
        <v>22</v>
      </c>
      <c r="O3797" t="str">
        <f t="shared" si="59"/>
        <v>No</v>
      </c>
    </row>
    <row r="3798" spans="1:15" x14ac:dyDescent="0.25">
      <c r="A3798" t="s">
        <v>3859</v>
      </c>
      <c r="B3798" s="1">
        <v>45782</v>
      </c>
      <c r="C3798" s="2">
        <v>45782.333749999998</v>
      </c>
      <c r="D3798" t="s">
        <v>38</v>
      </c>
      <c r="E3798" t="s">
        <v>25</v>
      </c>
      <c r="F3798" t="s">
        <v>53</v>
      </c>
      <c r="G3798" t="s">
        <v>41</v>
      </c>
      <c r="H3798" t="s">
        <v>44</v>
      </c>
      <c r="I3798" t="s">
        <v>45</v>
      </c>
      <c r="J3798" t="s">
        <v>21</v>
      </c>
      <c r="K3798">
        <v>8</v>
      </c>
      <c r="L3798">
        <v>8.01</v>
      </c>
      <c r="M3798">
        <v>4.0999999999999996</v>
      </c>
      <c r="N3798" t="s">
        <v>22</v>
      </c>
      <c r="O3798" t="str">
        <f t="shared" si="59"/>
        <v>Yes</v>
      </c>
    </row>
    <row r="3799" spans="1:15" x14ac:dyDescent="0.25">
      <c r="A3799" t="s">
        <v>3860</v>
      </c>
      <c r="B3799" s="1">
        <v>45669</v>
      </c>
      <c r="C3799" s="2">
        <v>45669.508333333331</v>
      </c>
      <c r="D3799" t="s">
        <v>24</v>
      </c>
      <c r="E3799" t="s">
        <v>25</v>
      </c>
      <c r="F3799" t="s">
        <v>48</v>
      </c>
      <c r="G3799" t="s">
        <v>34</v>
      </c>
      <c r="H3799" t="s">
        <v>19</v>
      </c>
      <c r="I3799" t="s">
        <v>45</v>
      </c>
      <c r="J3799" t="s">
        <v>21</v>
      </c>
      <c r="K3799">
        <v>24</v>
      </c>
      <c r="L3799">
        <v>12.2</v>
      </c>
      <c r="M3799">
        <v>3.7</v>
      </c>
      <c r="N3799" t="s">
        <v>22</v>
      </c>
      <c r="O3799" t="str">
        <f t="shared" si="59"/>
        <v>No</v>
      </c>
    </row>
    <row r="3800" spans="1:15" x14ac:dyDescent="0.25">
      <c r="A3800" t="s">
        <v>3861</v>
      </c>
      <c r="B3800" s="1">
        <v>45659</v>
      </c>
      <c r="C3800" s="2">
        <v>45661.594166666669</v>
      </c>
      <c r="D3800" t="s">
        <v>15</v>
      </c>
      <c r="E3800" t="s">
        <v>25</v>
      </c>
      <c r="F3800" t="s">
        <v>70</v>
      </c>
      <c r="G3800" t="s">
        <v>34</v>
      </c>
      <c r="H3800" t="s">
        <v>65</v>
      </c>
      <c r="I3800" t="s">
        <v>36</v>
      </c>
      <c r="J3800" t="s">
        <v>21</v>
      </c>
      <c r="K3800">
        <v>48</v>
      </c>
      <c r="L3800">
        <v>62.26</v>
      </c>
      <c r="M3800">
        <v>3</v>
      </c>
      <c r="N3800" t="s">
        <v>22</v>
      </c>
      <c r="O3800" t="str">
        <f t="shared" si="59"/>
        <v>Yes</v>
      </c>
    </row>
    <row r="3801" spans="1:15" x14ac:dyDescent="0.25">
      <c r="A3801" t="s">
        <v>3862</v>
      </c>
      <c r="B3801" s="1">
        <v>45667</v>
      </c>
      <c r="C3801" s="2">
        <v>45667.056666666664</v>
      </c>
      <c r="D3801" t="s">
        <v>31</v>
      </c>
      <c r="E3801" t="s">
        <v>16</v>
      </c>
      <c r="F3801" t="s">
        <v>58</v>
      </c>
      <c r="G3801" t="s">
        <v>56</v>
      </c>
      <c r="H3801" t="s">
        <v>27</v>
      </c>
      <c r="I3801" t="s">
        <v>36</v>
      </c>
      <c r="J3801" t="s">
        <v>21</v>
      </c>
      <c r="K3801">
        <v>4</v>
      </c>
      <c r="L3801">
        <v>1.36</v>
      </c>
      <c r="M3801">
        <v>4.8</v>
      </c>
      <c r="N3801" t="s">
        <v>22</v>
      </c>
      <c r="O3801" t="str">
        <f t="shared" si="59"/>
        <v>No</v>
      </c>
    </row>
    <row r="3802" spans="1:15" x14ac:dyDescent="0.25">
      <c r="A3802" t="s">
        <v>3863</v>
      </c>
      <c r="B3802" s="1">
        <v>45825</v>
      </c>
      <c r="C3802" s="2">
        <v>45827.274155092593</v>
      </c>
      <c r="D3802" t="s">
        <v>15</v>
      </c>
      <c r="E3802" t="s">
        <v>16</v>
      </c>
      <c r="F3802" t="s">
        <v>60</v>
      </c>
      <c r="G3802" t="s">
        <v>41</v>
      </c>
      <c r="H3802" t="s">
        <v>35</v>
      </c>
      <c r="I3802" t="s">
        <v>20</v>
      </c>
      <c r="J3802" t="s">
        <v>46</v>
      </c>
      <c r="K3802">
        <v>48</v>
      </c>
      <c r="L3802">
        <v>54.58</v>
      </c>
      <c r="M3802">
        <v>4.4000000000000004</v>
      </c>
      <c r="N3802" t="s">
        <v>22</v>
      </c>
      <c r="O3802" t="str">
        <f t="shared" si="59"/>
        <v>Yes</v>
      </c>
    </row>
    <row r="3803" spans="1:15" x14ac:dyDescent="0.25">
      <c r="A3803" t="s">
        <v>3864</v>
      </c>
      <c r="B3803" s="1">
        <v>45763</v>
      </c>
      <c r="C3803" s="2">
        <v>45765.388333333336</v>
      </c>
      <c r="D3803" t="s">
        <v>24</v>
      </c>
      <c r="E3803" t="s">
        <v>45</v>
      </c>
      <c r="F3803" t="s">
        <v>112</v>
      </c>
      <c r="G3803" t="s">
        <v>41</v>
      </c>
      <c r="H3803" t="s">
        <v>54</v>
      </c>
      <c r="I3803" t="s">
        <v>36</v>
      </c>
      <c r="J3803" t="s">
        <v>21</v>
      </c>
      <c r="K3803">
        <v>24</v>
      </c>
      <c r="L3803">
        <v>57.32</v>
      </c>
      <c r="M3803">
        <v>2.2000000000000002</v>
      </c>
      <c r="N3803" t="s">
        <v>22</v>
      </c>
      <c r="O3803" t="str">
        <f t="shared" si="59"/>
        <v>Yes</v>
      </c>
    </row>
    <row r="3804" spans="1:15" x14ac:dyDescent="0.25">
      <c r="A3804" t="s">
        <v>3865</v>
      </c>
      <c r="B3804" s="1">
        <v>45803</v>
      </c>
      <c r="C3804" s="2">
        <v>45803.685833333337</v>
      </c>
      <c r="D3804" t="s">
        <v>24</v>
      </c>
      <c r="E3804" t="s">
        <v>45</v>
      </c>
      <c r="F3804" t="s">
        <v>104</v>
      </c>
      <c r="G3804" t="s">
        <v>56</v>
      </c>
      <c r="H3804" t="s">
        <v>44</v>
      </c>
      <c r="I3804" t="s">
        <v>45</v>
      </c>
      <c r="J3804" t="s">
        <v>21</v>
      </c>
      <c r="K3804">
        <v>24</v>
      </c>
      <c r="L3804">
        <v>16.46</v>
      </c>
      <c r="M3804">
        <v>3.8</v>
      </c>
      <c r="N3804" t="s">
        <v>22</v>
      </c>
      <c r="O3804" t="str">
        <f t="shared" si="59"/>
        <v>No</v>
      </c>
    </row>
    <row r="3805" spans="1:15" x14ac:dyDescent="0.25">
      <c r="A3805" t="s">
        <v>3866</v>
      </c>
      <c r="B3805" s="1">
        <v>45661</v>
      </c>
      <c r="C3805" s="2">
        <v>45661.122499999998</v>
      </c>
      <c r="D3805" t="s">
        <v>15</v>
      </c>
      <c r="E3805" t="s">
        <v>25</v>
      </c>
      <c r="F3805" t="s">
        <v>70</v>
      </c>
      <c r="G3805" t="s">
        <v>41</v>
      </c>
      <c r="H3805" t="s">
        <v>19</v>
      </c>
      <c r="I3805" t="s">
        <v>45</v>
      </c>
      <c r="J3805" t="s">
        <v>21</v>
      </c>
      <c r="K3805">
        <v>48</v>
      </c>
      <c r="L3805">
        <v>2.94</v>
      </c>
      <c r="M3805">
        <v>5</v>
      </c>
      <c r="N3805" t="s">
        <v>22</v>
      </c>
      <c r="O3805" t="str">
        <f t="shared" si="59"/>
        <v>No</v>
      </c>
    </row>
    <row r="3806" spans="1:15" x14ac:dyDescent="0.25">
      <c r="A3806" t="s">
        <v>3867</v>
      </c>
      <c r="B3806" s="1">
        <v>45662</v>
      </c>
      <c r="C3806" s="2">
        <v>45662.020833333336</v>
      </c>
      <c r="D3806" t="s">
        <v>38</v>
      </c>
      <c r="E3806" t="s">
        <v>25</v>
      </c>
      <c r="F3806" t="s">
        <v>53</v>
      </c>
      <c r="G3806" t="s">
        <v>41</v>
      </c>
      <c r="H3806" t="s">
        <v>65</v>
      </c>
      <c r="I3806" t="s">
        <v>36</v>
      </c>
      <c r="J3806" t="s">
        <v>46</v>
      </c>
      <c r="K3806">
        <v>8</v>
      </c>
      <c r="L3806">
        <v>0.5</v>
      </c>
      <c r="M3806">
        <v>5</v>
      </c>
      <c r="N3806" t="s">
        <v>22</v>
      </c>
      <c r="O3806" t="str">
        <f t="shared" si="59"/>
        <v>No</v>
      </c>
    </row>
    <row r="3807" spans="1:15" x14ac:dyDescent="0.25">
      <c r="A3807" t="s">
        <v>3868</v>
      </c>
      <c r="B3807" s="1">
        <v>45811</v>
      </c>
      <c r="C3807" s="2">
        <v>45811.249166666668</v>
      </c>
      <c r="D3807" t="s">
        <v>15</v>
      </c>
      <c r="E3807" t="s">
        <v>16</v>
      </c>
      <c r="F3807" t="s">
        <v>17</v>
      </c>
      <c r="G3807" t="s">
        <v>56</v>
      </c>
      <c r="H3807" t="s">
        <v>35</v>
      </c>
      <c r="I3807" t="s">
        <v>36</v>
      </c>
      <c r="J3807" t="s">
        <v>21</v>
      </c>
      <c r="K3807">
        <v>48</v>
      </c>
      <c r="L3807">
        <v>5.98</v>
      </c>
      <c r="M3807">
        <v>5</v>
      </c>
      <c r="N3807" t="s">
        <v>22</v>
      </c>
      <c r="O3807" t="str">
        <f t="shared" si="59"/>
        <v>No</v>
      </c>
    </row>
    <row r="3808" spans="1:15" x14ac:dyDescent="0.25">
      <c r="A3808" t="s">
        <v>3869</v>
      </c>
      <c r="B3808" s="1">
        <v>45676</v>
      </c>
      <c r="C3808" s="2">
        <v>45676.265833333331</v>
      </c>
      <c r="D3808" t="s">
        <v>24</v>
      </c>
      <c r="E3808" t="s">
        <v>32</v>
      </c>
      <c r="F3808" t="s">
        <v>33</v>
      </c>
      <c r="G3808" t="s">
        <v>56</v>
      </c>
      <c r="H3808" t="s">
        <v>35</v>
      </c>
      <c r="I3808" t="s">
        <v>20</v>
      </c>
      <c r="J3808" t="s">
        <v>21</v>
      </c>
      <c r="K3808">
        <v>24</v>
      </c>
      <c r="L3808">
        <v>6.38</v>
      </c>
      <c r="M3808">
        <v>5</v>
      </c>
      <c r="N3808" t="s">
        <v>22</v>
      </c>
      <c r="O3808" t="str">
        <f t="shared" si="59"/>
        <v>No</v>
      </c>
    </row>
    <row r="3809" spans="1:15" x14ac:dyDescent="0.25">
      <c r="A3809" t="s">
        <v>3870</v>
      </c>
      <c r="B3809" s="1">
        <v>45686</v>
      </c>
      <c r="C3809" s="2">
        <v>45686.317916666667</v>
      </c>
      <c r="D3809" t="s">
        <v>38</v>
      </c>
      <c r="E3809" t="s">
        <v>25</v>
      </c>
      <c r="F3809" t="s">
        <v>26</v>
      </c>
      <c r="G3809" t="s">
        <v>34</v>
      </c>
      <c r="H3809" t="s">
        <v>54</v>
      </c>
      <c r="I3809" t="s">
        <v>36</v>
      </c>
      <c r="J3809" t="s">
        <v>46</v>
      </c>
      <c r="K3809">
        <v>8</v>
      </c>
      <c r="L3809">
        <v>7.63</v>
      </c>
      <c r="M3809">
        <v>3.8</v>
      </c>
      <c r="N3809" t="s">
        <v>22</v>
      </c>
      <c r="O3809" t="str">
        <f t="shared" si="59"/>
        <v>No</v>
      </c>
    </row>
    <row r="3810" spans="1:15" x14ac:dyDescent="0.25">
      <c r="A3810" t="s">
        <v>3871</v>
      </c>
      <c r="B3810" s="1">
        <v>45751</v>
      </c>
      <c r="C3810" s="2">
        <v>45751.365416666667</v>
      </c>
      <c r="D3810" t="s">
        <v>24</v>
      </c>
      <c r="E3810" t="s">
        <v>32</v>
      </c>
      <c r="F3810" t="s">
        <v>80</v>
      </c>
      <c r="G3810" t="s">
        <v>34</v>
      </c>
      <c r="H3810" t="s">
        <v>44</v>
      </c>
      <c r="I3810" t="s">
        <v>36</v>
      </c>
      <c r="J3810" t="s">
        <v>46</v>
      </c>
      <c r="K3810">
        <v>24</v>
      </c>
      <c r="L3810">
        <v>8.77</v>
      </c>
      <c r="M3810">
        <v>4</v>
      </c>
      <c r="N3810" t="s">
        <v>22</v>
      </c>
      <c r="O3810" t="str">
        <f t="shared" si="59"/>
        <v>No</v>
      </c>
    </row>
    <row r="3811" spans="1:15" x14ac:dyDescent="0.25">
      <c r="A3811" t="s">
        <v>3872</v>
      </c>
      <c r="B3811" s="1">
        <v>45767</v>
      </c>
      <c r="C3811" s="2">
        <v>45768.135416666664</v>
      </c>
      <c r="D3811" t="s">
        <v>24</v>
      </c>
      <c r="E3811" t="s">
        <v>32</v>
      </c>
      <c r="F3811" t="s">
        <v>75</v>
      </c>
      <c r="G3811" t="s">
        <v>18</v>
      </c>
      <c r="H3811" t="s">
        <v>54</v>
      </c>
      <c r="I3811" t="s">
        <v>28</v>
      </c>
      <c r="J3811" t="s">
        <v>21</v>
      </c>
      <c r="K3811">
        <v>24</v>
      </c>
      <c r="L3811">
        <v>27.25</v>
      </c>
      <c r="M3811">
        <v>3.5</v>
      </c>
      <c r="N3811" t="s">
        <v>22</v>
      </c>
      <c r="O3811" t="str">
        <f t="shared" si="59"/>
        <v>Yes</v>
      </c>
    </row>
    <row r="3812" spans="1:15" x14ac:dyDescent="0.25">
      <c r="A3812" t="s">
        <v>3873</v>
      </c>
      <c r="B3812" s="1">
        <v>45699</v>
      </c>
      <c r="C3812" s="2">
        <v>45699.621249999997</v>
      </c>
      <c r="D3812" t="s">
        <v>15</v>
      </c>
      <c r="E3812" t="s">
        <v>39</v>
      </c>
      <c r="F3812" t="s">
        <v>40</v>
      </c>
      <c r="G3812" t="s">
        <v>18</v>
      </c>
      <c r="H3812" t="s">
        <v>65</v>
      </c>
      <c r="I3812" t="s">
        <v>36</v>
      </c>
      <c r="J3812" t="s">
        <v>21</v>
      </c>
      <c r="K3812">
        <v>48</v>
      </c>
      <c r="L3812">
        <v>14.91</v>
      </c>
      <c r="M3812">
        <v>5</v>
      </c>
      <c r="N3812" t="s">
        <v>22</v>
      </c>
      <c r="O3812" t="str">
        <f t="shared" si="59"/>
        <v>No</v>
      </c>
    </row>
    <row r="3813" spans="1:15" x14ac:dyDescent="0.25">
      <c r="A3813" t="s">
        <v>3874</v>
      </c>
      <c r="B3813" s="1">
        <v>45738</v>
      </c>
      <c r="C3813" s="2">
        <v>45738.777499999997</v>
      </c>
      <c r="D3813" t="s">
        <v>38</v>
      </c>
      <c r="E3813" t="s">
        <v>16</v>
      </c>
      <c r="F3813" t="s">
        <v>17</v>
      </c>
      <c r="G3813" t="s">
        <v>41</v>
      </c>
      <c r="H3813" t="s">
        <v>19</v>
      </c>
      <c r="I3813" t="s">
        <v>20</v>
      </c>
      <c r="J3813" t="s">
        <v>21</v>
      </c>
      <c r="K3813">
        <v>8</v>
      </c>
      <c r="L3813">
        <v>18.66</v>
      </c>
      <c r="M3813">
        <v>3.4</v>
      </c>
      <c r="N3813" t="s">
        <v>22</v>
      </c>
      <c r="O3813" t="str">
        <f t="shared" si="59"/>
        <v>Yes</v>
      </c>
    </row>
    <row r="3814" spans="1:15" x14ac:dyDescent="0.25">
      <c r="A3814" t="s">
        <v>3875</v>
      </c>
      <c r="B3814" s="1">
        <v>45780</v>
      </c>
      <c r="C3814" s="2">
        <v>45780.224583333336</v>
      </c>
      <c r="D3814" t="s">
        <v>31</v>
      </c>
      <c r="E3814" t="s">
        <v>16</v>
      </c>
      <c r="F3814" t="s">
        <v>17</v>
      </c>
      <c r="G3814" t="s">
        <v>18</v>
      </c>
      <c r="H3814" t="s">
        <v>35</v>
      </c>
      <c r="I3814" t="s">
        <v>36</v>
      </c>
      <c r="J3814" t="s">
        <v>46</v>
      </c>
      <c r="K3814">
        <v>4</v>
      </c>
      <c r="L3814">
        <v>5.39</v>
      </c>
      <c r="M3814">
        <v>2.6</v>
      </c>
      <c r="N3814" t="s">
        <v>22</v>
      </c>
      <c r="O3814" t="str">
        <f t="shared" si="59"/>
        <v>Yes</v>
      </c>
    </row>
    <row r="3815" spans="1:15" x14ac:dyDescent="0.25">
      <c r="A3815" t="s">
        <v>3876</v>
      </c>
      <c r="B3815" s="1">
        <v>45738</v>
      </c>
      <c r="C3815" s="2">
        <v>45738.6875</v>
      </c>
      <c r="D3815" t="s">
        <v>15</v>
      </c>
      <c r="E3815" t="s">
        <v>32</v>
      </c>
      <c r="F3815" t="s">
        <v>33</v>
      </c>
      <c r="G3815" t="s">
        <v>56</v>
      </c>
      <c r="H3815" t="s">
        <v>35</v>
      </c>
      <c r="I3815" t="s">
        <v>36</v>
      </c>
      <c r="J3815" t="s">
        <v>21</v>
      </c>
      <c r="K3815">
        <v>48</v>
      </c>
      <c r="L3815">
        <v>16.5</v>
      </c>
      <c r="M3815">
        <v>5</v>
      </c>
      <c r="N3815" t="s">
        <v>22</v>
      </c>
      <c r="O3815" t="str">
        <f t="shared" si="59"/>
        <v>No</v>
      </c>
    </row>
    <row r="3816" spans="1:15" x14ac:dyDescent="0.25">
      <c r="A3816" t="s">
        <v>3877</v>
      </c>
      <c r="B3816" s="1">
        <v>45727</v>
      </c>
      <c r="C3816" s="2">
        <v>45727.237083333333</v>
      </c>
      <c r="D3816" t="s">
        <v>24</v>
      </c>
      <c r="E3816" t="s">
        <v>32</v>
      </c>
      <c r="F3816" t="s">
        <v>75</v>
      </c>
      <c r="G3816" t="s">
        <v>34</v>
      </c>
      <c r="H3816" t="s">
        <v>35</v>
      </c>
      <c r="I3816" t="s">
        <v>45</v>
      </c>
      <c r="J3816" t="s">
        <v>21</v>
      </c>
      <c r="K3816">
        <v>24</v>
      </c>
      <c r="L3816">
        <v>5.69</v>
      </c>
      <c r="M3816">
        <v>4.5</v>
      </c>
      <c r="N3816" t="s">
        <v>22</v>
      </c>
      <c r="O3816" t="str">
        <f t="shared" si="59"/>
        <v>No</v>
      </c>
    </row>
    <row r="3817" spans="1:15" x14ac:dyDescent="0.25">
      <c r="A3817" t="s">
        <v>3878</v>
      </c>
      <c r="B3817" s="1">
        <v>45670</v>
      </c>
      <c r="C3817" s="2">
        <v>45671.358749999999</v>
      </c>
      <c r="D3817" t="s">
        <v>24</v>
      </c>
      <c r="E3817" t="s">
        <v>32</v>
      </c>
      <c r="F3817" t="s">
        <v>64</v>
      </c>
      <c r="G3817" t="s">
        <v>34</v>
      </c>
      <c r="H3817" t="s">
        <v>65</v>
      </c>
      <c r="I3817" t="s">
        <v>36</v>
      </c>
      <c r="J3817" t="s">
        <v>21</v>
      </c>
      <c r="K3817">
        <v>24</v>
      </c>
      <c r="L3817">
        <v>32.61</v>
      </c>
      <c r="M3817">
        <v>3.4</v>
      </c>
      <c r="N3817" t="s">
        <v>61</v>
      </c>
      <c r="O3817" t="str">
        <f t="shared" si="59"/>
        <v>Yes</v>
      </c>
    </row>
    <row r="3818" spans="1:15" x14ac:dyDescent="0.25">
      <c r="A3818" t="s">
        <v>3879</v>
      </c>
      <c r="B3818" s="1">
        <v>45739</v>
      </c>
      <c r="C3818" s="2">
        <v>45739.187083333331</v>
      </c>
      <c r="D3818" t="s">
        <v>24</v>
      </c>
      <c r="E3818" t="s">
        <v>39</v>
      </c>
      <c r="F3818" t="s">
        <v>119</v>
      </c>
      <c r="G3818" t="s">
        <v>34</v>
      </c>
      <c r="H3818" t="s">
        <v>44</v>
      </c>
      <c r="I3818" t="s">
        <v>20</v>
      </c>
      <c r="J3818" t="s">
        <v>21</v>
      </c>
      <c r="K3818">
        <v>24</v>
      </c>
      <c r="L3818">
        <v>4.49</v>
      </c>
      <c r="M3818">
        <v>5</v>
      </c>
      <c r="N3818" t="s">
        <v>22</v>
      </c>
      <c r="O3818" t="str">
        <f t="shared" si="59"/>
        <v>No</v>
      </c>
    </row>
    <row r="3819" spans="1:15" x14ac:dyDescent="0.25">
      <c r="A3819" t="s">
        <v>3880</v>
      </c>
      <c r="B3819" s="1">
        <v>45803</v>
      </c>
      <c r="C3819" s="2">
        <v>45803.322083333333</v>
      </c>
      <c r="D3819" t="s">
        <v>24</v>
      </c>
      <c r="E3819" t="s">
        <v>32</v>
      </c>
      <c r="F3819" t="s">
        <v>33</v>
      </c>
      <c r="G3819" t="s">
        <v>56</v>
      </c>
      <c r="H3819" t="s">
        <v>54</v>
      </c>
      <c r="I3819" t="s">
        <v>36</v>
      </c>
      <c r="J3819" t="s">
        <v>46</v>
      </c>
      <c r="K3819">
        <v>24</v>
      </c>
      <c r="L3819">
        <v>7.73</v>
      </c>
      <c r="M3819">
        <v>4.3</v>
      </c>
      <c r="N3819" t="s">
        <v>22</v>
      </c>
      <c r="O3819" t="str">
        <f t="shared" si="59"/>
        <v>No</v>
      </c>
    </row>
    <row r="3820" spans="1:15" x14ac:dyDescent="0.25">
      <c r="A3820" t="s">
        <v>3881</v>
      </c>
      <c r="B3820" s="1">
        <v>45771</v>
      </c>
      <c r="C3820" s="2">
        <v>45771.184166666666</v>
      </c>
      <c r="D3820" t="s">
        <v>24</v>
      </c>
      <c r="E3820" t="s">
        <v>16</v>
      </c>
      <c r="F3820" t="s">
        <v>43</v>
      </c>
      <c r="G3820" t="s">
        <v>51</v>
      </c>
      <c r="H3820" t="s">
        <v>54</v>
      </c>
      <c r="I3820" t="s">
        <v>45</v>
      </c>
      <c r="J3820" t="s">
        <v>46</v>
      </c>
      <c r="K3820">
        <v>24</v>
      </c>
      <c r="L3820">
        <v>4.42</v>
      </c>
      <c r="M3820">
        <v>4.5999999999999996</v>
      </c>
      <c r="N3820" t="s">
        <v>22</v>
      </c>
      <c r="O3820" t="str">
        <f t="shared" si="59"/>
        <v>No</v>
      </c>
    </row>
    <row r="3821" spans="1:15" x14ac:dyDescent="0.25">
      <c r="A3821" t="s">
        <v>3882</v>
      </c>
      <c r="B3821" s="1">
        <v>45819</v>
      </c>
      <c r="C3821" s="2">
        <v>45819.614583333336</v>
      </c>
      <c r="D3821" t="s">
        <v>24</v>
      </c>
      <c r="E3821" t="s">
        <v>32</v>
      </c>
      <c r="F3821" t="s">
        <v>64</v>
      </c>
      <c r="G3821" t="s">
        <v>51</v>
      </c>
      <c r="H3821" t="s">
        <v>19</v>
      </c>
      <c r="I3821" t="s">
        <v>20</v>
      </c>
      <c r="J3821" t="s">
        <v>21</v>
      </c>
      <c r="K3821">
        <v>24</v>
      </c>
      <c r="L3821">
        <v>14.75</v>
      </c>
      <c r="M3821">
        <v>3.8</v>
      </c>
      <c r="N3821" t="s">
        <v>22</v>
      </c>
      <c r="O3821" t="str">
        <f t="shared" si="59"/>
        <v>No</v>
      </c>
    </row>
    <row r="3822" spans="1:15" x14ac:dyDescent="0.25">
      <c r="A3822" t="s">
        <v>3883</v>
      </c>
      <c r="B3822" s="1">
        <v>45680</v>
      </c>
      <c r="C3822" s="2">
        <v>45682.379583333335</v>
      </c>
      <c r="D3822" t="s">
        <v>15</v>
      </c>
      <c r="E3822" t="s">
        <v>39</v>
      </c>
      <c r="F3822" t="s">
        <v>40</v>
      </c>
      <c r="G3822" t="s">
        <v>18</v>
      </c>
      <c r="H3822" t="s">
        <v>54</v>
      </c>
      <c r="I3822" t="s">
        <v>45</v>
      </c>
      <c r="J3822" t="s">
        <v>21</v>
      </c>
      <c r="K3822">
        <v>48</v>
      </c>
      <c r="L3822">
        <v>57.11</v>
      </c>
      <c r="M3822">
        <v>3.6</v>
      </c>
      <c r="N3822" t="s">
        <v>22</v>
      </c>
      <c r="O3822" t="str">
        <f t="shared" si="59"/>
        <v>Yes</v>
      </c>
    </row>
    <row r="3823" spans="1:15" x14ac:dyDescent="0.25">
      <c r="A3823" t="s">
        <v>3884</v>
      </c>
      <c r="B3823" s="1">
        <v>45659</v>
      </c>
      <c r="C3823" s="2">
        <v>45659.354583333334</v>
      </c>
      <c r="D3823" t="s">
        <v>24</v>
      </c>
      <c r="E3823" t="s">
        <v>39</v>
      </c>
      <c r="F3823" t="s">
        <v>87</v>
      </c>
      <c r="G3823" t="s">
        <v>56</v>
      </c>
      <c r="H3823" t="s">
        <v>35</v>
      </c>
      <c r="I3823" t="s">
        <v>45</v>
      </c>
      <c r="J3823" t="s">
        <v>21</v>
      </c>
      <c r="K3823">
        <v>24</v>
      </c>
      <c r="L3823">
        <v>8.51</v>
      </c>
      <c r="M3823">
        <v>4.8</v>
      </c>
      <c r="N3823" t="s">
        <v>61</v>
      </c>
      <c r="O3823" t="str">
        <f t="shared" si="59"/>
        <v>No</v>
      </c>
    </row>
    <row r="3824" spans="1:15" x14ac:dyDescent="0.25">
      <c r="A3824" t="s">
        <v>3885</v>
      </c>
      <c r="B3824" s="1">
        <v>45757</v>
      </c>
      <c r="C3824" s="2">
        <v>45757.341249999998</v>
      </c>
      <c r="D3824" t="s">
        <v>38</v>
      </c>
      <c r="E3824" t="s">
        <v>16</v>
      </c>
      <c r="F3824" t="s">
        <v>43</v>
      </c>
      <c r="G3824" t="s">
        <v>56</v>
      </c>
      <c r="H3824" t="s">
        <v>27</v>
      </c>
      <c r="I3824" t="s">
        <v>36</v>
      </c>
      <c r="J3824" t="s">
        <v>21</v>
      </c>
      <c r="K3824">
        <v>8</v>
      </c>
      <c r="L3824">
        <v>8.19</v>
      </c>
      <c r="M3824">
        <v>3.3</v>
      </c>
      <c r="N3824" t="s">
        <v>22</v>
      </c>
      <c r="O3824" t="str">
        <f t="shared" si="59"/>
        <v>Yes</v>
      </c>
    </row>
    <row r="3825" spans="1:15" x14ac:dyDescent="0.25">
      <c r="A3825" t="s">
        <v>3886</v>
      </c>
      <c r="B3825" s="1">
        <v>45690</v>
      </c>
      <c r="C3825" s="2">
        <v>45691.295416666668</v>
      </c>
      <c r="D3825" t="s">
        <v>15</v>
      </c>
      <c r="E3825" t="s">
        <v>25</v>
      </c>
      <c r="F3825" t="s">
        <v>48</v>
      </c>
      <c r="G3825" t="s">
        <v>18</v>
      </c>
      <c r="H3825" t="s">
        <v>44</v>
      </c>
      <c r="I3825" t="s">
        <v>36</v>
      </c>
      <c r="J3825" t="s">
        <v>21</v>
      </c>
      <c r="K3825">
        <v>48</v>
      </c>
      <c r="L3825">
        <v>31.09</v>
      </c>
      <c r="M3825">
        <v>5</v>
      </c>
      <c r="N3825" t="s">
        <v>22</v>
      </c>
      <c r="O3825" t="str">
        <f t="shared" si="59"/>
        <v>No</v>
      </c>
    </row>
    <row r="3826" spans="1:15" x14ac:dyDescent="0.25">
      <c r="A3826" t="s">
        <v>3887</v>
      </c>
      <c r="B3826" s="1">
        <v>45765</v>
      </c>
      <c r="C3826" s="2">
        <v>45765.178738425922</v>
      </c>
      <c r="D3826" t="s">
        <v>24</v>
      </c>
      <c r="E3826" t="s">
        <v>32</v>
      </c>
      <c r="F3826" t="s">
        <v>80</v>
      </c>
      <c r="G3826" t="s">
        <v>56</v>
      </c>
      <c r="H3826" t="s">
        <v>44</v>
      </c>
      <c r="I3826" t="s">
        <v>28</v>
      </c>
      <c r="J3826" t="s">
        <v>21</v>
      </c>
      <c r="K3826">
        <v>24</v>
      </c>
      <c r="L3826">
        <v>4.29</v>
      </c>
      <c r="M3826">
        <v>4.3</v>
      </c>
      <c r="N3826" t="s">
        <v>61</v>
      </c>
      <c r="O3826" t="str">
        <f t="shared" si="59"/>
        <v>No</v>
      </c>
    </row>
    <row r="3827" spans="1:15" x14ac:dyDescent="0.25">
      <c r="A3827" t="s">
        <v>3888</v>
      </c>
      <c r="B3827" s="1">
        <v>45821</v>
      </c>
      <c r="C3827" s="2">
        <v>45821.662916666668</v>
      </c>
      <c r="D3827" t="s">
        <v>15</v>
      </c>
      <c r="E3827" t="s">
        <v>39</v>
      </c>
      <c r="F3827" t="s">
        <v>40</v>
      </c>
      <c r="G3827" t="s">
        <v>56</v>
      </c>
      <c r="H3827" t="s">
        <v>27</v>
      </c>
      <c r="I3827" t="s">
        <v>45</v>
      </c>
      <c r="J3827" t="s">
        <v>46</v>
      </c>
      <c r="K3827">
        <v>48</v>
      </c>
      <c r="L3827">
        <v>15.91</v>
      </c>
      <c r="M3827">
        <v>4.9000000000000004</v>
      </c>
      <c r="N3827" t="s">
        <v>22</v>
      </c>
      <c r="O3827" t="str">
        <f t="shared" si="59"/>
        <v>No</v>
      </c>
    </row>
    <row r="3828" spans="1:15" x14ac:dyDescent="0.25">
      <c r="A3828" t="s">
        <v>3889</v>
      </c>
      <c r="B3828" s="1">
        <v>45719</v>
      </c>
      <c r="C3828" s="2">
        <v>45719.039166666669</v>
      </c>
      <c r="D3828" t="s">
        <v>38</v>
      </c>
      <c r="E3828" t="s">
        <v>16</v>
      </c>
      <c r="F3828" t="s">
        <v>17</v>
      </c>
      <c r="G3828" t="s">
        <v>41</v>
      </c>
      <c r="H3828" t="s">
        <v>44</v>
      </c>
      <c r="I3828" t="s">
        <v>45</v>
      </c>
      <c r="J3828" t="s">
        <v>46</v>
      </c>
      <c r="K3828">
        <v>8</v>
      </c>
      <c r="L3828">
        <v>0.94</v>
      </c>
      <c r="M3828">
        <v>4.9000000000000004</v>
      </c>
      <c r="N3828" t="s">
        <v>22</v>
      </c>
      <c r="O3828" t="str">
        <f t="shared" si="59"/>
        <v>No</v>
      </c>
    </row>
    <row r="3829" spans="1:15" x14ac:dyDescent="0.25">
      <c r="A3829" t="s">
        <v>3890</v>
      </c>
      <c r="B3829" s="1">
        <v>45757</v>
      </c>
      <c r="C3829" s="2">
        <v>45758.634583333333</v>
      </c>
      <c r="D3829" t="s">
        <v>24</v>
      </c>
      <c r="E3829" t="s">
        <v>32</v>
      </c>
      <c r="F3829" t="s">
        <v>75</v>
      </c>
      <c r="G3829" t="s">
        <v>51</v>
      </c>
      <c r="H3829" t="s">
        <v>54</v>
      </c>
      <c r="I3829" t="s">
        <v>36</v>
      </c>
      <c r="J3829" t="s">
        <v>46</v>
      </c>
      <c r="K3829">
        <v>24</v>
      </c>
      <c r="L3829">
        <v>39.229999999999997</v>
      </c>
      <c r="M3829">
        <v>3.8</v>
      </c>
      <c r="N3829" t="s">
        <v>22</v>
      </c>
      <c r="O3829" t="str">
        <f t="shared" si="59"/>
        <v>Yes</v>
      </c>
    </row>
    <row r="3830" spans="1:15" x14ac:dyDescent="0.25">
      <c r="A3830" t="s">
        <v>3891</v>
      </c>
      <c r="B3830" s="1">
        <v>45781</v>
      </c>
      <c r="C3830" s="2">
        <v>45781.568749999999</v>
      </c>
      <c r="D3830" t="s">
        <v>24</v>
      </c>
      <c r="E3830" t="s">
        <v>25</v>
      </c>
      <c r="F3830" t="s">
        <v>53</v>
      </c>
      <c r="G3830" t="s">
        <v>34</v>
      </c>
      <c r="H3830" t="s">
        <v>27</v>
      </c>
      <c r="I3830" t="s">
        <v>36</v>
      </c>
      <c r="J3830" t="s">
        <v>21</v>
      </c>
      <c r="K3830">
        <v>24</v>
      </c>
      <c r="L3830">
        <v>13.65</v>
      </c>
      <c r="M3830">
        <v>3.8</v>
      </c>
      <c r="N3830" t="s">
        <v>22</v>
      </c>
      <c r="O3830" t="str">
        <f t="shared" si="59"/>
        <v>No</v>
      </c>
    </row>
    <row r="3831" spans="1:15" x14ac:dyDescent="0.25">
      <c r="A3831" t="s">
        <v>3892</v>
      </c>
      <c r="B3831" s="1">
        <v>45685</v>
      </c>
      <c r="C3831" s="2">
        <v>45686.003750000003</v>
      </c>
      <c r="D3831" t="s">
        <v>15</v>
      </c>
      <c r="E3831" t="s">
        <v>45</v>
      </c>
      <c r="F3831" t="s">
        <v>112</v>
      </c>
      <c r="G3831" t="s">
        <v>51</v>
      </c>
      <c r="H3831" t="s">
        <v>65</v>
      </c>
      <c r="I3831" t="s">
        <v>36</v>
      </c>
      <c r="J3831" t="s">
        <v>46</v>
      </c>
      <c r="K3831">
        <v>48</v>
      </c>
      <c r="L3831">
        <v>24.09</v>
      </c>
      <c r="M3831">
        <v>4.8</v>
      </c>
      <c r="N3831" t="s">
        <v>61</v>
      </c>
      <c r="O3831" t="str">
        <f t="shared" si="59"/>
        <v>No</v>
      </c>
    </row>
    <row r="3832" spans="1:15" x14ac:dyDescent="0.25">
      <c r="A3832" t="s">
        <v>3893</v>
      </c>
      <c r="B3832" s="1">
        <v>45820</v>
      </c>
      <c r="C3832" s="2">
        <v>45820.557916666665</v>
      </c>
      <c r="D3832" t="s">
        <v>24</v>
      </c>
      <c r="E3832" t="s">
        <v>16</v>
      </c>
      <c r="F3832" t="s">
        <v>17</v>
      </c>
      <c r="G3832" t="s">
        <v>34</v>
      </c>
      <c r="H3832" t="s">
        <v>54</v>
      </c>
      <c r="I3832" t="s">
        <v>36</v>
      </c>
      <c r="J3832" t="s">
        <v>21</v>
      </c>
      <c r="K3832">
        <v>24</v>
      </c>
      <c r="L3832">
        <v>13.39</v>
      </c>
      <c r="M3832">
        <v>5</v>
      </c>
      <c r="N3832" t="s">
        <v>22</v>
      </c>
      <c r="O3832" t="str">
        <f t="shared" si="59"/>
        <v>No</v>
      </c>
    </row>
    <row r="3833" spans="1:15" x14ac:dyDescent="0.25">
      <c r="A3833" t="s">
        <v>3894</v>
      </c>
      <c r="B3833" s="1">
        <v>45694</v>
      </c>
      <c r="C3833" s="2">
        <v>45694.03875</v>
      </c>
      <c r="D3833" t="s">
        <v>31</v>
      </c>
      <c r="E3833" t="s">
        <v>45</v>
      </c>
      <c r="F3833" t="s">
        <v>104</v>
      </c>
      <c r="G3833" t="s">
        <v>56</v>
      </c>
      <c r="H3833" t="s">
        <v>35</v>
      </c>
      <c r="I3833" t="s">
        <v>36</v>
      </c>
      <c r="J3833" t="s">
        <v>46</v>
      </c>
      <c r="K3833">
        <v>4</v>
      </c>
      <c r="L3833">
        <v>0.93</v>
      </c>
      <c r="M3833">
        <v>3.8</v>
      </c>
      <c r="N3833" t="s">
        <v>22</v>
      </c>
      <c r="O3833" t="str">
        <f t="shared" si="59"/>
        <v>No</v>
      </c>
    </row>
    <row r="3834" spans="1:15" x14ac:dyDescent="0.25">
      <c r="A3834" t="s">
        <v>3895</v>
      </c>
      <c r="B3834" s="1">
        <v>45804</v>
      </c>
      <c r="C3834" s="2">
        <v>45804.368333333332</v>
      </c>
      <c r="D3834" t="s">
        <v>24</v>
      </c>
      <c r="E3834" t="s">
        <v>39</v>
      </c>
      <c r="F3834" t="s">
        <v>78</v>
      </c>
      <c r="G3834" t="s">
        <v>41</v>
      </c>
      <c r="H3834" t="s">
        <v>44</v>
      </c>
      <c r="I3834" t="s">
        <v>36</v>
      </c>
      <c r="J3834" t="s">
        <v>21</v>
      </c>
      <c r="K3834">
        <v>24</v>
      </c>
      <c r="L3834">
        <v>8.84</v>
      </c>
      <c r="M3834">
        <v>4</v>
      </c>
      <c r="N3834" t="s">
        <v>22</v>
      </c>
      <c r="O3834" t="str">
        <f t="shared" si="59"/>
        <v>No</v>
      </c>
    </row>
    <row r="3835" spans="1:15" x14ac:dyDescent="0.25">
      <c r="A3835" t="s">
        <v>3896</v>
      </c>
      <c r="B3835" s="1">
        <v>45777</v>
      </c>
      <c r="C3835" s="2">
        <v>45777.681250000001</v>
      </c>
      <c r="D3835" t="s">
        <v>24</v>
      </c>
      <c r="E3835" t="s">
        <v>39</v>
      </c>
      <c r="F3835" t="s">
        <v>78</v>
      </c>
      <c r="G3835" t="s">
        <v>18</v>
      </c>
      <c r="H3835" t="s">
        <v>27</v>
      </c>
      <c r="I3835" t="s">
        <v>36</v>
      </c>
      <c r="J3835" t="s">
        <v>29</v>
      </c>
      <c r="K3835">
        <v>24</v>
      </c>
      <c r="L3835">
        <v>16.350000000000001</v>
      </c>
      <c r="M3835">
        <v>5</v>
      </c>
      <c r="N3835" t="s">
        <v>22</v>
      </c>
      <c r="O3835" t="str">
        <f t="shared" si="59"/>
        <v>No</v>
      </c>
    </row>
    <row r="3836" spans="1:15" x14ac:dyDescent="0.25">
      <c r="A3836" t="s">
        <v>3897</v>
      </c>
      <c r="B3836" s="1">
        <v>45683</v>
      </c>
      <c r="C3836" s="2">
        <v>45683.029166666667</v>
      </c>
      <c r="D3836" t="s">
        <v>38</v>
      </c>
      <c r="E3836" t="s">
        <v>32</v>
      </c>
      <c r="F3836" t="s">
        <v>33</v>
      </c>
      <c r="G3836" t="s">
        <v>34</v>
      </c>
      <c r="H3836" t="s">
        <v>19</v>
      </c>
      <c r="I3836" t="s">
        <v>45</v>
      </c>
      <c r="J3836" t="s">
        <v>21</v>
      </c>
      <c r="K3836">
        <v>8</v>
      </c>
      <c r="L3836">
        <v>0.7</v>
      </c>
      <c r="M3836">
        <v>4.8</v>
      </c>
      <c r="N3836" t="s">
        <v>61</v>
      </c>
      <c r="O3836" t="str">
        <f t="shared" si="59"/>
        <v>No</v>
      </c>
    </row>
    <row r="3837" spans="1:15" x14ac:dyDescent="0.25">
      <c r="A3837" t="s">
        <v>3898</v>
      </c>
      <c r="B3837" s="1">
        <v>45789</v>
      </c>
      <c r="C3837" s="2">
        <v>45789.044166666667</v>
      </c>
      <c r="D3837" t="s">
        <v>24</v>
      </c>
      <c r="E3837" t="s">
        <v>32</v>
      </c>
      <c r="F3837" t="s">
        <v>64</v>
      </c>
      <c r="G3837" t="s">
        <v>41</v>
      </c>
      <c r="H3837" t="s">
        <v>65</v>
      </c>
      <c r="I3837" t="s">
        <v>45</v>
      </c>
      <c r="J3837" t="s">
        <v>21</v>
      </c>
      <c r="K3837">
        <v>24</v>
      </c>
      <c r="L3837">
        <v>1.06</v>
      </c>
      <c r="M3837">
        <v>5</v>
      </c>
      <c r="N3837" t="s">
        <v>22</v>
      </c>
      <c r="O3837" t="str">
        <f t="shared" si="59"/>
        <v>No</v>
      </c>
    </row>
    <row r="3838" spans="1:15" x14ac:dyDescent="0.25">
      <c r="A3838" t="s">
        <v>3899</v>
      </c>
      <c r="B3838" s="1">
        <v>45693</v>
      </c>
      <c r="C3838" s="2">
        <v>45693.305</v>
      </c>
      <c r="D3838" t="s">
        <v>24</v>
      </c>
      <c r="E3838" t="s">
        <v>32</v>
      </c>
      <c r="F3838" t="s">
        <v>64</v>
      </c>
      <c r="G3838" t="s">
        <v>56</v>
      </c>
      <c r="H3838" t="s">
        <v>35</v>
      </c>
      <c r="I3838" t="s">
        <v>36</v>
      </c>
      <c r="J3838" t="s">
        <v>21</v>
      </c>
      <c r="K3838">
        <v>24</v>
      </c>
      <c r="L3838">
        <v>7.32</v>
      </c>
      <c r="M3838">
        <v>4.4000000000000004</v>
      </c>
      <c r="N3838" t="s">
        <v>22</v>
      </c>
      <c r="O3838" t="str">
        <f t="shared" si="59"/>
        <v>No</v>
      </c>
    </row>
    <row r="3839" spans="1:15" x14ac:dyDescent="0.25">
      <c r="A3839" t="s">
        <v>3900</v>
      </c>
      <c r="B3839" s="1">
        <v>45766</v>
      </c>
      <c r="C3839" s="2">
        <v>45766.263333333336</v>
      </c>
      <c r="D3839" t="s">
        <v>24</v>
      </c>
      <c r="E3839" t="s">
        <v>39</v>
      </c>
      <c r="F3839" t="s">
        <v>87</v>
      </c>
      <c r="G3839" t="s">
        <v>41</v>
      </c>
      <c r="H3839" t="s">
        <v>27</v>
      </c>
      <c r="I3839" t="s">
        <v>20</v>
      </c>
      <c r="J3839" t="s">
        <v>21</v>
      </c>
      <c r="K3839">
        <v>24</v>
      </c>
      <c r="L3839">
        <v>6.32</v>
      </c>
      <c r="M3839">
        <v>5</v>
      </c>
      <c r="N3839" t="s">
        <v>22</v>
      </c>
      <c r="O3839" t="str">
        <f t="shared" si="59"/>
        <v>No</v>
      </c>
    </row>
    <row r="3840" spans="1:15" x14ac:dyDescent="0.25">
      <c r="A3840" t="s">
        <v>3901</v>
      </c>
      <c r="B3840" s="1">
        <v>45831</v>
      </c>
      <c r="C3840" s="2">
        <v>45833.487500000003</v>
      </c>
      <c r="D3840" t="s">
        <v>15</v>
      </c>
      <c r="E3840" t="s">
        <v>16</v>
      </c>
      <c r="F3840" t="s">
        <v>60</v>
      </c>
      <c r="G3840" t="s">
        <v>18</v>
      </c>
      <c r="H3840" t="s">
        <v>65</v>
      </c>
      <c r="I3840" t="s">
        <v>45</v>
      </c>
      <c r="J3840" t="s">
        <v>85</v>
      </c>
      <c r="K3840">
        <v>48</v>
      </c>
      <c r="L3840">
        <v>59.7</v>
      </c>
      <c r="M3840">
        <v>2.5</v>
      </c>
      <c r="N3840" t="s">
        <v>22</v>
      </c>
      <c r="O3840" t="str">
        <f t="shared" si="59"/>
        <v>Yes</v>
      </c>
    </row>
    <row r="3841" spans="1:15" x14ac:dyDescent="0.25">
      <c r="A3841" t="s">
        <v>3902</v>
      </c>
      <c r="B3841" s="1">
        <v>45830</v>
      </c>
      <c r="C3841" s="2">
        <v>45830.230833333335</v>
      </c>
      <c r="D3841" t="s">
        <v>24</v>
      </c>
      <c r="E3841" t="s">
        <v>32</v>
      </c>
      <c r="F3841" t="s">
        <v>80</v>
      </c>
      <c r="G3841" t="s">
        <v>41</v>
      </c>
      <c r="H3841" t="s">
        <v>19</v>
      </c>
      <c r="I3841" t="s">
        <v>36</v>
      </c>
      <c r="J3841" t="s">
        <v>46</v>
      </c>
      <c r="K3841">
        <v>24</v>
      </c>
      <c r="L3841">
        <v>5.54</v>
      </c>
      <c r="M3841">
        <v>5</v>
      </c>
      <c r="N3841" t="s">
        <v>22</v>
      </c>
      <c r="O3841" t="str">
        <f t="shared" si="59"/>
        <v>No</v>
      </c>
    </row>
    <row r="3842" spans="1:15" x14ac:dyDescent="0.25">
      <c r="A3842" t="s">
        <v>3903</v>
      </c>
      <c r="B3842" s="1">
        <v>45815</v>
      </c>
      <c r="C3842" s="2">
        <v>45815.231249999997</v>
      </c>
      <c r="D3842" t="s">
        <v>38</v>
      </c>
      <c r="E3842" t="s">
        <v>16</v>
      </c>
      <c r="F3842" t="s">
        <v>43</v>
      </c>
      <c r="G3842" t="s">
        <v>41</v>
      </c>
      <c r="H3842" t="s">
        <v>27</v>
      </c>
      <c r="I3842" t="s">
        <v>20</v>
      </c>
      <c r="J3842" t="s">
        <v>29</v>
      </c>
      <c r="K3842">
        <v>8</v>
      </c>
      <c r="L3842">
        <v>5.55</v>
      </c>
      <c r="M3842">
        <v>3.2</v>
      </c>
      <c r="N3842" t="s">
        <v>22</v>
      </c>
      <c r="O3842" t="str">
        <f t="shared" si="59"/>
        <v>No</v>
      </c>
    </row>
    <row r="3843" spans="1:15" x14ac:dyDescent="0.25">
      <c r="A3843" t="s">
        <v>3904</v>
      </c>
      <c r="B3843" s="1">
        <v>45747</v>
      </c>
      <c r="C3843" s="2">
        <v>45747.087500000001</v>
      </c>
      <c r="D3843" t="s">
        <v>38</v>
      </c>
      <c r="E3843" t="s">
        <v>32</v>
      </c>
      <c r="F3843" t="s">
        <v>75</v>
      </c>
      <c r="G3843" t="s">
        <v>41</v>
      </c>
      <c r="H3843" t="s">
        <v>19</v>
      </c>
      <c r="I3843" t="s">
        <v>45</v>
      </c>
      <c r="J3843" t="s">
        <v>85</v>
      </c>
      <c r="K3843">
        <v>8</v>
      </c>
      <c r="L3843">
        <v>2.1</v>
      </c>
      <c r="M3843">
        <v>3.7</v>
      </c>
      <c r="N3843" t="s">
        <v>22</v>
      </c>
      <c r="O3843" t="str">
        <f t="shared" ref="O3843:O3906" si="60">IF(L3843&gt;K3843,"Yes","No")</f>
        <v>No</v>
      </c>
    </row>
    <row r="3844" spans="1:15" x14ac:dyDescent="0.25">
      <c r="A3844" t="s">
        <v>3905</v>
      </c>
      <c r="B3844" s="1">
        <v>45759</v>
      </c>
      <c r="C3844" s="2">
        <v>45759.220833333333</v>
      </c>
      <c r="D3844" t="s">
        <v>38</v>
      </c>
      <c r="E3844" t="s">
        <v>39</v>
      </c>
      <c r="F3844" t="s">
        <v>119</v>
      </c>
      <c r="G3844" t="s">
        <v>56</v>
      </c>
      <c r="H3844" t="s">
        <v>54</v>
      </c>
      <c r="I3844" t="s">
        <v>45</v>
      </c>
      <c r="J3844" t="s">
        <v>21</v>
      </c>
      <c r="K3844">
        <v>8</v>
      </c>
      <c r="L3844">
        <v>5.3</v>
      </c>
      <c r="M3844">
        <v>3.5</v>
      </c>
      <c r="N3844" t="s">
        <v>22</v>
      </c>
      <c r="O3844" t="str">
        <f t="shared" si="60"/>
        <v>No</v>
      </c>
    </row>
    <row r="3845" spans="1:15" x14ac:dyDescent="0.25">
      <c r="A3845" t="s">
        <v>3906</v>
      </c>
      <c r="B3845" s="1">
        <v>45712</v>
      </c>
      <c r="C3845" s="2">
        <v>45712.576666666668</v>
      </c>
      <c r="D3845" t="s">
        <v>24</v>
      </c>
      <c r="E3845" t="s">
        <v>32</v>
      </c>
      <c r="F3845" t="s">
        <v>64</v>
      </c>
      <c r="G3845" t="s">
        <v>51</v>
      </c>
      <c r="H3845" t="s">
        <v>35</v>
      </c>
      <c r="I3845" t="s">
        <v>20</v>
      </c>
      <c r="J3845" t="s">
        <v>46</v>
      </c>
      <c r="K3845">
        <v>24</v>
      </c>
      <c r="L3845">
        <v>13.84</v>
      </c>
      <c r="M3845">
        <v>4.2</v>
      </c>
      <c r="N3845" t="s">
        <v>22</v>
      </c>
      <c r="O3845" t="str">
        <f t="shared" si="60"/>
        <v>No</v>
      </c>
    </row>
    <row r="3846" spans="1:15" x14ac:dyDescent="0.25">
      <c r="A3846" t="s">
        <v>3907</v>
      </c>
      <c r="B3846" s="1">
        <v>45824</v>
      </c>
      <c r="C3846" s="2">
        <v>45826.928333333337</v>
      </c>
      <c r="D3846" t="s">
        <v>15</v>
      </c>
      <c r="E3846" t="s">
        <v>16</v>
      </c>
      <c r="F3846" t="s">
        <v>58</v>
      </c>
      <c r="G3846" t="s">
        <v>18</v>
      </c>
      <c r="H3846" t="s">
        <v>35</v>
      </c>
      <c r="I3846" t="s">
        <v>36</v>
      </c>
      <c r="J3846" t="s">
        <v>29</v>
      </c>
      <c r="K3846">
        <v>48</v>
      </c>
      <c r="L3846">
        <v>70.28</v>
      </c>
      <c r="M3846">
        <v>2.8</v>
      </c>
      <c r="N3846" t="s">
        <v>61</v>
      </c>
      <c r="O3846" t="str">
        <f t="shared" si="60"/>
        <v>Yes</v>
      </c>
    </row>
    <row r="3847" spans="1:15" x14ac:dyDescent="0.25">
      <c r="A3847" t="s">
        <v>3908</v>
      </c>
      <c r="B3847" s="1">
        <v>45744</v>
      </c>
      <c r="C3847" s="2">
        <v>45744.210833333331</v>
      </c>
      <c r="D3847" t="s">
        <v>24</v>
      </c>
      <c r="E3847" t="s">
        <v>16</v>
      </c>
      <c r="F3847" t="s">
        <v>60</v>
      </c>
      <c r="G3847" t="s">
        <v>34</v>
      </c>
      <c r="H3847" t="s">
        <v>19</v>
      </c>
      <c r="I3847" t="s">
        <v>45</v>
      </c>
      <c r="J3847" t="s">
        <v>21</v>
      </c>
      <c r="K3847">
        <v>24</v>
      </c>
      <c r="L3847">
        <v>5.0599999999999996</v>
      </c>
      <c r="M3847">
        <v>4.2</v>
      </c>
      <c r="N3847" t="s">
        <v>22</v>
      </c>
      <c r="O3847" t="str">
        <f t="shared" si="60"/>
        <v>No</v>
      </c>
    </row>
    <row r="3848" spans="1:15" x14ac:dyDescent="0.25">
      <c r="A3848" t="s">
        <v>3909</v>
      </c>
      <c r="B3848" s="1">
        <v>45797</v>
      </c>
      <c r="C3848" s="2">
        <v>45797.035416666666</v>
      </c>
      <c r="D3848" t="s">
        <v>31</v>
      </c>
      <c r="E3848" t="s">
        <v>25</v>
      </c>
      <c r="F3848" t="s">
        <v>48</v>
      </c>
      <c r="G3848" t="s">
        <v>18</v>
      </c>
      <c r="H3848" t="s">
        <v>54</v>
      </c>
      <c r="I3848" t="s">
        <v>36</v>
      </c>
      <c r="J3848" t="s">
        <v>21</v>
      </c>
      <c r="K3848">
        <v>4</v>
      </c>
      <c r="L3848">
        <v>0.85</v>
      </c>
      <c r="M3848">
        <v>4.0999999999999996</v>
      </c>
      <c r="N3848" t="s">
        <v>22</v>
      </c>
      <c r="O3848" t="str">
        <f t="shared" si="60"/>
        <v>No</v>
      </c>
    </row>
    <row r="3849" spans="1:15" x14ac:dyDescent="0.25">
      <c r="A3849" t="s">
        <v>3910</v>
      </c>
      <c r="B3849" s="1">
        <v>45723</v>
      </c>
      <c r="C3849" s="2">
        <v>45723.862500000003</v>
      </c>
      <c r="D3849" t="s">
        <v>38</v>
      </c>
      <c r="E3849" t="s">
        <v>32</v>
      </c>
      <c r="F3849" t="s">
        <v>75</v>
      </c>
      <c r="G3849" t="s">
        <v>51</v>
      </c>
      <c r="H3849" t="s">
        <v>19</v>
      </c>
      <c r="I3849" t="s">
        <v>36</v>
      </c>
      <c r="J3849" t="s">
        <v>21</v>
      </c>
      <c r="K3849">
        <v>8</v>
      </c>
      <c r="L3849">
        <v>20.7</v>
      </c>
      <c r="M3849">
        <v>1.3</v>
      </c>
      <c r="N3849" t="s">
        <v>22</v>
      </c>
      <c r="O3849" t="str">
        <f t="shared" si="60"/>
        <v>Yes</v>
      </c>
    </row>
    <row r="3850" spans="1:15" x14ac:dyDescent="0.25">
      <c r="A3850" t="s">
        <v>3911</v>
      </c>
      <c r="B3850" s="1">
        <v>45792</v>
      </c>
      <c r="C3850" s="2">
        <v>45793.159583333334</v>
      </c>
      <c r="D3850" t="s">
        <v>24</v>
      </c>
      <c r="E3850" t="s">
        <v>39</v>
      </c>
      <c r="F3850" t="s">
        <v>78</v>
      </c>
      <c r="G3850" t="s">
        <v>56</v>
      </c>
      <c r="H3850" t="s">
        <v>44</v>
      </c>
      <c r="I3850" t="s">
        <v>36</v>
      </c>
      <c r="J3850" t="s">
        <v>46</v>
      </c>
      <c r="K3850">
        <v>24</v>
      </c>
      <c r="L3850">
        <v>27.83</v>
      </c>
      <c r="M3850">
        <v>3</v>
      </c>
      <c r="N3850" t="s">
        <v>22</v>
      </c>
      <c r="O3850" t="str">
        <f t="shared" si="60"/>
        <v>Yes</v>
      </c>
    </row>
    <row r="3851" spans="1:15" x14ac:dyDescent="0.25">
      <c r="A3851" t="s">
        <v>3912</v>
      </c>
      <c r="B3851" s="1">
        <v>45698</v>
      </c>
      <c r="C3851" s="2">
        <v>45698.326666666668</v>
      </c>
      <c r="D3851" t="s">
        <v>24</v>
      </c>
      <c r="E3851" t="s">
        <v>45</v>
      </c>
      <c r="F3851" t="s">
        <v>112</v>
      </c>
      <c r="G3851" t="s">
        <v>51</v>
      </c>
      <c r="H3851" t="s">
        <v>27</v>
      </c>
      <c r="I3851" t="s">
        <v>36</v>
      </c>
      <c r="J3851" t="s">
        <v>46</v>
      </c>
      <c r="K3851">
        <v>24</v>
      </c>
      <c r="L3851">
        <v>7.84</v>
      </c>
      <c r="M3851">
        <v>4.8</v>
      </c>
      <c r="N3851" t="s">
        <v>22</v>
      </c>
      <c r="O3851" t="str">
        <f t="shared" si="60"/>
        <v>No</v>
      </c>
    </row>
    <row r="3852" spans="1:15" x14ac:dyDescent="0.25">
      <c r="A3852" t="s">
        <v>3913</v>
      </c>
      <c r="B3852" s="1">
        <v>45790</v>
      </c>
      <c r="C3852" s="2">
        <v>45790.074166666665</v>
      </c>
      <c r="D3852" t="s">
        <v>38</v>
      </c>
      <c r="E3852" t="s">
        <v>32</v>
      </c>
      <c r="F3852" t="s">
        <v>75</v>
      </c>
      <c r="G3852" t="s">
        <v>34</v>
      </c>
      <c r="H3852" t="s">
        <v>27</v>
      </c>
      <c r="I3852" t="s">
        <v>36</v>
      </c>
      <c r="J3852" t="s">
        <v>21</v>
      </c>
      <c r="K3852">
        <v>8</v>
      </c>
      <c r="L3852">
        <v>1.78</v>
      </c>
      <c r="M3852">
        <v>4.3</v>
      </c>
      <c r="N3852" t="s">
        <v>22</v>
      </c>
      <c r="O3852" t="str">
        <f t="shared" si="60"/>
        <v>No</v>
      </c>
    </row>
    <row r="3853" spans="1:15" x14ac:dyDescent="0.25">
      <c r="A3853" t="s">
        <v>3914</v>
      </c>
      <c r="B3853" s="1">
        <v>45666</v>
      </c>
      <c r="C3853" s="2">
        <v>45666.064583333333</v>
      </c>
      <c r="D3853" t="s">
        <v>38</v>
      </c>
      <c r="E3853" t="s">
        <v>39</v>
      </c>
      <c r="F3853" t="s">
        <v>87</v>
      </c>
      <c r="G3853" t="s">
        <v>34</v>
      </c>
      <c r="H3853" t="s">
        <v>44</v>
      </c>
      <c r="I3853" t="s">
        <v>45</v>
      </c>
      <c r="J3853" t="s">
        <v>46</v>
      </c>
      <c r="K3853">
        <v>8</v>
      </c>
      <c r="L3853">
        <v>1.55</v>
      </c>
      <c r="M3853">
        <v>3</v>
      </c>
      <c r="N3853" t="s">
        <v>22</v>
      </c>
      <c r="O3853" t="str">
        <f t="shared" si="60"/>
        <v>No</v>
      </c>
    </row>
    <row r="3854" spans="1:15" x14ac:dyDescent="0.25">
      <c r="A3854" t="s">
        <v>3915</v>
      </c>
      <c r="B3854" s="1">
        <v>45676</v>
      </c>
      <c r="C3854" s="2">
        <v>45676.374583333331</v>
      </c>
      <c r="D3854" t="s">
        <v>38</v>
      </c>
      <c r="E3854" t="s">
        <v>32</v>
      </c>
      <c r="F3854" t="s">
        <v>64</v>
      </c>
      <c r="G3854" t="s">
        <v>56</v>
      </c>
      <c r="H3854" t="s">
        <v>19</v>
      </c>
      <c r="I3854" t="s">
        <v>36</v>
      </c>
      <c r="J3854" t="s">
        <v>46</v>
      </c>
      <c r="K3854">
        <v>8</v>
      </c>
      <c r="L3854">
        <v>8.99</v>
      </c>
      <c r="M3854">
        <v>3.6</v>
      </c>
      <c r="N3854" t="s">
        <v>61</v>
      </c>
      <c r="O3854" t="str">
        <f t="shared" si="60"/>
        <v>Yes</v>
      </c>
    </row>
    <row r="3855" spans="1:15" x14ac:dyDescent="0.25">
      <c r="A3855" t="s">
        <v>3916</v>
      </c>
      <c r="B3855" s="1">
        <v>45721</v>
      </c>
      <c r="C3855" s="2">
        <v>45721.280833333331</v>
      </c>
      <c r="D3855" t="s">
        <v>24</v>
      </c>
      <c r="E3855" t="s">
        <v>32</v>
      </c>
      <c r="F3855" t="s">
        <v>80</v>
      </c>
      <c r="G3855" t="s">
        <v>34</v>
      </c>
      <c r="H3855" t="s">
        <v>35</v>
      </c>
      <c r="I3855" t="s">
        <v>36</v>
      </c>
      <c r="J3855" t="s">
        <v>21</v>
      </c>
      <c r="K3855">
        <v>24</v>
      </c>
      <c r="L3855">
        <v>6.74</v>
      </c>
      <c r="M3855">
        <v>5</v>
      </c>
      <c r="N3855" t="s">
        <v>22</v>
      </c>
      <c r="O3855" t="str">
        <f t="shared" si="60"/>
        <v>No</v>
      </c>
    </row>
    <row r="3856" spans="1:15" x14ac:dyDescent="0.25">
      <c r="A3856" t="s">
        <v>3917</v>
      </c>
      <c r="B3856" s="1">
        <v>45745</v>
      </c>
      <c r="C3856" s="2">
        <v>45745.474583333336</v>
      </c>
      <c r="D3856" t="s">
        <v>15</v>
      </c>
      <c r="E3856" t="s">
        <v>39</v>
      </c>
      <c r="F3856" t="s">
        <v>87</v>
      </c>
      <c r="G3856" t="s">
        <v>51</v>
      </c>
      <c r="H3856" t="s">
        <v>35</v>
      </c>
      <c r="I3856" t="s">
        <v>36</v>
      </c>
      <c r="J3856" t="s">
        <v>46</v>
      </c>
      <c r="K3856">
        <v>48</v>
      </c>
      <c r="L3856">
        <v>11.39</v>
      </c>
      <c r="M3856">
        <v>4.5</v>
      </c>
      <c r="N3856" t="s">
        <v>22</v>
      </c>
      <c r="O3856" t="str">
        <f t="shared" si="60"/>
        <v>No</v>
      </c>
    </row>
    <row r="3857" spans="1:15" x14ac:dyDescent="0.25">
      <c r="A3857" t="s">
        <v>3918</v>
      </c>
      <c r="B3857" s="1">
        <v>45786</v>
      </c>
      <c r="C3857" s="2">
        <v>45786.231666666667</v>
      </c>
      <c r="D3857" t="s">
        <v>24</v>
      </c>
      <c r="E3857" t="s">
        <v>32</v>
      </c>
      <c r="F3857" t="s">
        <v>80</v>
      </c>
      <c r="G3857" t="s">
        <v>18</v>
      </c>
      <c r="H3857" t="s">
        <v>54</v>
      </c>
      <c r="I3857" t="s">
        <v>36</v>
      </c>
      <c r="J3857" t="s">
        <v>29</v>
      </c>
      <c r="K3857">
        <v>24</v>
      </c>
      <c r="L3857">
        <v>5.56</v>
      </c>
      <c r="M3857">
        <v>3.9</v>
      </c>
      <c r="N3857" t="s">
        <v>22</v>
      </c>
      <c r="O3857" t="str">
        <f t="shared" si="60"/>
        <v>No</v>
      </c>
    </row>
    <row r="3858" spans="1:15" x14ac:dyDescent="0.25">
      <c r="A3858" t="s">
        <v>3919</v>
      </c>
      <c r="B3858" s="1">
        <v>45722</v>
      </c>
      <c r="C3858" s="2">
        <v>45722.774155092593</v>
      </c>
      <c r="D3858" t="s">
        <v>24</v>
      </c>
      <c r="E3858" t="s">
        <v>16</v>
      </c>
      <c r="F3858" t="s">
        <v>17</v>
      </c>
      <c r="G3858" t="s">
        <v>34</v>
      </c>
      <c r="H3858" t="s">
        <v>54</v>
      </c>
      <c r="I3858" t="s">
        <v>45</v>
      </c>
      <c r="J3858" t="s">
        <v>21</v>
      </c>
      <c r="K3858">
        <v>24</v>
      </c>
      <c r="L3858">
        <v>18.579999999999998</v>
      </c>
      <c r="M3858">
        <v>4.5999999999999996</v>
      </c>
      <c r="N3858" t="s">
        <v>61</v>
      </c>
      <c r="O3858" t="str">
        <f t="shared" si="60"/>
        <v>No</v>
      </c>
    </row>
    <row r="3859" spans="1:15" x14ac:dyDescent="0.25">
      <c r="A3859" t="s">
        <v>3920</v>
      </c>
      <c r="B3859" s="1">
        <v>45661</v>
      </c>
      <c r="C3859" s="2">
        <v>45661.137071759258</v>
      </c>
      <c r="D3859" t="s">
        <v>38</v>
      </c>
      <c r="E3859" t="s">
        <v>45</v>
      </c>
      <c r="F3859" t="s">
        <v>50</v>
      </c>
      <c r="G3859" t="s">
        <v>41</v>
      </c>
      <c r="H3859" t="s">
        <v>27</v>
      </c>
      <c r="I3859" t="s">
        <v>45</v>
      </c>
      <c r="J3859" t="s">
        <v>21</v>
      </c>
      <c r="K3859">
        <v>8</v>
      </c>
      <c r="L3859">
        <v>3.29</v>
      </c>
      <c r="M3859">
        <v>3.6</v>
      </c>
      <c r="N3859" t="s">
        <v>22</v>
      </c>
      <c r="O3859" t="str">
        <f t="shared" si="60"/>
        <v>No</v>
      </c>
    </row>
    <row r="3860" spans="1:15" x14ac:dyDescent="0.25">
      <c r="A3860" t="s">
        <v>3921</v>
      </c>
      <c r="B3860" s="1">
        <v>45716</v>
      </c>
      <c r="C3860" s="2">
        <v>45717.150416666664</v>
      </c>
      <c r="D3860" t="s">
        <v>24</v>
      </c>
      <c r="E3860" t="s">
        <v>32</v>
      </c>
      <c r="F3860" t="s">
        <v>33</v>
      </c>
      <c r="G3860" t="s">
        <v>56</v>
      </c>
      <c r="H3860" t="s">
        <v>35</v>
      </c>
      <c r="I3860" t="s">
        <v>20</v>
      </c>
      <c r="J3860" t="s">
        <v>46</v>
      </c>
      <c r="K3860">
        <v>24</v>
      </c>
      <c r="L3860">
        <v>27.61</v>
      </c>
      <c r="M3860">
        <v>3.4</v>
      </c>
      <c r="N3860" t="s">
        <v>22</v>
      </c>
      <c r="O3860" t="str">
        <f t="shared" si="60"/>
        <v>Yes</v>
      </c>
    </row>
    <row r="3861" spans="1:15" x14ac:dyDescent="0.25">
      <c r="A3861" t="s">
        <v>3922</v>
      </c>
      <c r="B3861" s="1">
        <v>45737</v>
      </c>
      <c r="C3861" s="2">
        <v>45738.874583333331</v>
      </c>
      <c r="D3861" t="s">
        <v>24</v>
      </c>
      <c r="E3861" t="s">
        <v>32</v>
      </c>
      <c r="F3861" t="s">
        <v>64</v>
      </c>
      <c r="G3861" t="s">
        <v>41</v>
      </c>
      <c r="H3861" t="s">
        <v>19</v>
      </c>
      <c r="I3861" t="s">
        <v>28</v>
      </c>
      <c r="J3861" t="s">
        <v>21</v>
      </c>
      <c r="K3861">
        <v>24</v>
      </c>
      <c r="L3861">
        <v>44.99</v>
      </c>
      <c r="M3861">
        <v>2.7</v>
      </c>
      <c r="N3861" t="s">
        <v>22</v>
      </c>
      <c r="O3861" t="str">
        <f t="shared" si="60"/>
        <v>Yes</v>
      </c>
    </row>
    <row r="3862" spans="1:15" x14ac:dyDescent="0.25">
      <c r="A3862" t="s">
        <v>3923</v>
      </c>
      <c r="B3862" s="1">
        <v>45756</v>
      </c>
      <c r="C3862" s="2">
        <v>45756.577499999999</v>
      </c>
      <c r="D3862" t="s">
        <v>24</v>
      </c>
      <c r="E3862" t="s">
        <v>25</v>
      </c>
      <c r="F3862" t="s">
        <v>53</v>
      </c>
      <c r="G3862" t="s">
        <v>51</v>
      </c>
      <c r="H3862" t="s">
        <v>65</v>
      </c>
      <c r="I3862" t="s">
        <v>36</v>
      </c>
      <c r="J3862" t="s">
        <v>21</v>
      </c>
      <c r="K3862">
        <v>24</v>
      </c>
      <c r="L3862">
        <v>13.86</v>
      </c>
      <c r="M3862">
        <v>5</v>
      </c>
      <c r="N3862" t="s">
        <v>22</v>
      </c>
      <c r="O3862" t="str">
        <f t="shared" si="60"/>
        <v>No</v>
      </c>
    </row>
    <row r="3863" spans="1:15" x14ac:dyDescent="0.25">
      <c r="A3863" t="s">
        <v>3924</v>
      </c>
      <c r="B3863" s="1">
        <v>45774</v>
      </c>
      <c r="C3863" s="2">
        <v>45774.625416666669</v>
      </c>
      <c r="D3863" t="s">
        <v>24</v>
      </c>
      <c r="E3863" t="s">
        <v>39</v>
      </c>
      <c r="F3863" t="s">
        <v>87</v>
      </c>
      <c r="G3863" t="s">
        <v>34</v>
      </c>
      <c r="H3863" t="s">
        <v>27</v>
      </c>
      <c r="I3863" t="s">
        <v>36</v>
      </c>
      <c r="J3863" t="s">
        <v>29</v>
      </c>
      <c r="K3863">
        <v>24</v>
      </c>
      <c r="L3863">
        <v>15.01</v>
      </c>
      <c r="M3863">
        <v>4.5999999999999996</v>
      </c>
      <c r="N3863" t="s">
        <v>22</v>
      </c>
      <c r="O3863" t="str">
        <f t="shared" si="60"/>
        <v>No</v>
      </c>
    </row>
    <row r="3864" spans="1:15" x14ac:dyDescent="0.25">
      <c r="A3864" t="s">
        <v>3925</v>
      </c>
      <c r="B3864" s="1">
        <v>45702</v>
      </c>
      <c r="C3864" s="2">
        <v>45702.392500000002</v>
      </c>
      <c r="D3864" t="s">
        <v>24</v>
      </c>
      <c r="E3864" t="s">
        <v>45</v>
      </c>
      <c r="F3864" t="s">
        <v>104</v>
      </c>
      <c r="G3864" t="s">
        <v>34</v>
      </c>
      <c r="H3864" t="s">
        <v>44</v>
      </c>
      <c r="I3864" t="s">
        <v>20</v>
      </c>
      <c r="J3864" t="s">
        <v>21</v>
      </c>
      <c r="K3864">
        <v>24</v>
      </c>
      <c r="L3864">
        <v>9.42</v>
      </c>
      <c r="M3864">
        <v>4.7</v>
      </c>
      <c r="N3864" t="s">
        <v>22</v>
      </c>
      <c r="O3864" t="str">
        <f t="shared" si="60"/>
        <v>No</v>
      </c>
    </row>
    <row r="3865" spans="1:15" x14ac:dyDescent="0.25">
      <c r="A3865" t="s">
        <v>3926</v>
      </c>
      <c r="B3865" s="1">
        <v>45768</v>
      </c>
      <c r="C3865" s="2">
        <v>45769.116666666669</v>
      </c>
      <c r="D3865" t="s">
        <v>15</v>
      </c>
      <c r="E3865" t="s">
        <v>39</v>
      </c>
      <c r="F3865" t="s">
        <v>119</v>
      </c>
      <c r="G3865" t="s">
        <v>41</v>
      </c>
      <c r="H3865" t="s">
        <v>19</v>
      </c>
      <c r="I3865" t="s">
        <v>45</v>
      </c>
      <c r="J3865" t="s">
        <v>21</v>
      </c>
      <c r="K3865">
        <v>48</v>
      </c>
      <c r="L3865">
        <v>26.8</v>
      </c>
      <c r="M3865">
        <v>4.9000000000000004</v>
      </c>
      <c r="N3865" t="s">
        <v>22</v>
      </c>
      <c r="O3865" t="str">
        <f t="shared" si="60"/>
        <v>No</v>
      </c>
    </row>
    <row r="3866" spans="1:15" x14ac:dyDescent="0.25">
      <c r="A3866" t="s">
        <v>3927</v>
      </c>
      <c r="B3866" s="1">
        <v>45772</v>
      </c>
      <c r="C3866" s="2">
        <v>45772.021666666667</v>
      </c>
      <c r="D3866" t="s">
        <v>38</v>
      </c>
      <c r="E3866" t="s">
        <v>16</v>
      </c>
      <c r="F3866" t="s">
        <v>60</v>
      </c>
      <c r="G3866" t="s">
        <v>18</v>
      </c>
      <c r="H3866" t="s">
        <v>54</v>
      </c>
      <c r="I3866" t="s">
        <v>28</v>
      </c>
      <c r="J3866" t="s">
        <v>29</v>
      </c>
      <c r="K3866">
        <v>8</v>
      </c>
      <c r="L3866">
        <v>0.52</v>
      </c>
      <c r="M3866">
        <v>4.2</v>
      </c>
      <c r="N3866" t="s">
        <v>22</v>
      </c>
      <c r="O3866" t="str">
        <f t="shared" si="60"/>
        <v>No</v>
      </c>
    </row>
    <row r="3867" spans="1:15" x14ac:dyDescent="0.25">
      <c r="A3867" t="s">
        <v>3928</v>
      </c>
      <c r="B3867" s="1">
        <v>45798</v>
      </c>
      <c r="C3867" s="2">
        <v>45798.67083333333</v>
      </c>
      <c r="D3867" t="s">
        <v>24</v>
      </c>
      <c r="E3867" t="s">
        <v>45</v>
      </c>
      <c r="F3867" t="s">
        <v>100</v>
      </c>
      <c r="G3867" t="s">
        <v>18</v>
      </c>
      <c r="H3867" t="s">
        <v>54</v>
      </c>
      <c r="I3867" t="s">
        <v>20</v>
      </c>
      <c r="J3867" t="s">
        <v>46</v>
      </c>
      <c r="K3867">
        <v>24</v>
      </c>
      <c r="L3867">
        <v>16.100000000000001</v>
      </c>
      <c r="M3867">
        <v>5</v>
      </c>
      <c r="N3867" t="s">
        <v>22</v>
      </c>
      <c r="O3867" t="str">
        <f t="shared" si="60"/>
        <v>No</v>
      </c>
    </row>
    <row r="3868" spans="1:15" x14ac:dyDescent="0.25">
      <c r="A3868" t="s">
        <v>3929</v>
      </c>
      <c r="B3868" s="1">
        <v>45752</v>
      </c>
      <c r="C3868" s="2">
        <v>45752.976666666669</v>
      </c>
      <c r="D3868" t="s">
        <v>24</v>
      </c>
      <c r="E3868" t="s">
        <v>32</v>
      </c>
      <c r="F3868" t="s">
        <v>80</v>
      </c>
      <c r="G3868" t="s">
        <v>41</v>
      </c>
      <c r="H3868" t="s">
        <v>65</v>
      </c>
      <c r="I3868" t="s">
        <v>20</v>
      </c>
      <c r="J3868" t="s">
        <v>21</v>
      </c>
      <c r="K3868">
        <v>24</v>
      </c>
      <c r="L3868">
        <v>23.44</v>
      </c>
      <c r="M3868">
        <v>1.8</v>
      </c>
      <c r="N3868" t="s">
        <v>22</v>
      </c>
      <c r="O3868" t="str">
        <f t="shared" si="60"/>
        <v>No</v>
      </c>
    </row>
    <row r="3869" spans="1:15" x14ac:dyDescent="0.25">
      <c r="A3869" t="s">
        <v>3930</v>
      </c>
      <c r="B3869" s="1">
        <v>45804</v>
      </c>
      <c r="C3869" s="2">
        <v>45804.362916666665</v>
      </c>
      <c r="D3869" t="s">
        <v>15</v>
      </c>
      <c r="E3869" t="s">
        <v>25</v>
      </c>
      <c r="F3869" t="s">
        <v>53</v>
      </c>
      <c r="G3869" t="s">
        <v>56</v>
      </c>
      <c r="H3869" t="s">
        <v>44</v>
      </c>
      <c r="I3869" t="s">
        <v>36</v>
      </c>
      <c r="J3869" t="s">
        <v>21</v>
      </c>
      <c r="K3869">
        <v>48</v>
      </c>
      <c r="L3869">
        <v>8.7100000000000009</v>
      </c>
      <c r="M3869">
        <v>5</v>
      </c>
      <c r="N3869" t="s">
        <v>22</v>
      </c>
      <c r="O3869" t="str">
        <f t="shared" si="60"/>
        <v>No</v>
      </c>
    </row>
    <row r="3870" spans="1:15" x14ac:dyDescent="0.25">
      <c r="A3870" t="s">
        <v>3931</v>
      </c>
      <c r="B3870" s="1">
        <v>45698</v>
      </c>
      <c r="C3870" s="2">
        <v>45699.659583333334</v>
      </c>
      <c r="D3870" t="s">
        <v>24</v>
      </c>
      <c r="E3870" t="s">
        <v>16</v>
      </c>
      <c r="F3870" t="s">
        <v>60</v>
      </c>
      <c r="G3870" t="s">
        <v>41</v>
      </c>
      <c r="H3870" t="s">
        <v>35</v>
      </c>
      <c r="I3870" t="s">
        <v>36</v>
      </c>
      <c r="J3870" t="s">
        <v>21</v>
      </c>
      <c r="K3870">
        <v>24</v>
      </c>
      <c r="L3870">
        <v>39.83</v>
      </c>
      <c r="M3870">
        <v>2.5</v>
      </c>
      <c r="N3870" t="s">
        <v>22</v>
      </c>
      <c r="O3870" t="str">
        <f t="shared" si="60"/>
        <v>Yes</v>
      </c>
    </row>
    <row r="3871" spans="1:15" x14ac:dyDescent="0.25">
      <c r="A3871" t="s">
        <v>3932</v>
      </c>
      <c r="B3871" s="1">
        <v>45786</v>
      </c>
      <c r="C3871" s="2">
        <v>45786.310416666667</v>
      </c>
      <c r="D3871" t="s">
        <v>24</v>
      </c>
      <c r="E3871" t="s">
        <v>25</v>
      </c>
      <c r="F3871" t="s">
        <v>48</v>
      </c>
      <c r="G3871" t="s">
        <v>51</v>
      </c>
      <c r="H3871" t="s">
        <v>19</v>
      </c>
      <c r="I3871" t="s">
        <v>45</v>
      </c>
      <c r="J3871" t="s">
        <v>21</v>
      </c>
      <c r="K3871">
        <v>24</v>
      </c>
      <c r="L3871">
        <v>7.45</v>
      </c>
      <c r="M3871">
        <v>4.9000000000000004</v>
      </c>
      <c r="N3871" t="s">
        <v>22</v>
      </c>
      <c r="O3871" t="str">
        <f t="shared" si="60"/>
        <v>No</v>
      </c>
    </row>
    <row r="3872" spans="1:15" x14ac:dyDescent="0.25">
      <c r="A3872" t="s">
        <v>3933</v>
      </c>
      <c r="B3872" s="1">
        <v>45666</v>
      </c>
      <c r="C3872" s="2">
        <v>45666.454583333332</v>
      </c>
      <c r="D3872" t="s">
        <v>38</v>
      </c>
      <c r="E3872" t="s">
        <v>32</v>
      </c>
      <c r="F3872" t="s">
        <v>75</v>
      </c>
      <c r="G3872" t="s">
        <v>56</v>
      </c>
      <c r="H3872" t="s">
        <v>27</v>
      </c>
      <c r="I3872" t="s">
        <v>45</v>
      </c>
      <c r="J3872" t="s">
        <v>29</v>
      </c>
      <c r="K3872">
        <v>8</v>
      </c>
      <c r="L3872">
        <v>10.91</v>
      </c>
      <c r="M3872">
        <v>4.3</v>
      </c>
      <c r="N3872" t="s">
        <v>61</v>
      </c>
      <c r="O3872" t="str">
        <f t="shared" si="60"/>
        <v>Yes</v>
      </c>
    </row>
    <row r="3873" spans="1:15" x14ac:dyDescent="0.25">
      <c r="A3873" t="s">
        <v>3934</v>
      </c>
      <c r="B3873" s="1">
        <v>45676</v>
      </c>
      <c r="C3873" s="2">
        <v>45677.652916666666</v>
      </c>
      <c r="D3873" t="s">
        <v>15</v>
      </c>
      <c r="E3873" t="s">
        <v>39</v>
      </c>
      <c r="F3873" t="s">
        <v>78</v>
      </c>
      <c r="G3873" t="s">
        <v>56</v>
      </c>
      <c r="H3873" t="s">
        <v>35</v>
      </c>
      <c r="I3873" t="s">
        <v>20</v>
      </c>
      <c r="J3873" t="s">
        <v>21</v>
      </c>
      <c r="K3873">
        <v>48</v>
      </c>
      <c r="L3873">
        <v>39.67</v>
      </c>
      <c r="M3873">
        <v>4.4000000000000004</v>
      </c>
      <c r="N3873" t="s">
        <v>22</v>
      </c>
      <c r="O3873" t="str">
        <f t="shared" si="60"/>
        <v>No</v>
      </c>
    </row>
    <row r="3874" spans="1:15" x14ac:dyDescent="0.25">
      <c r="A3874" t="s">
        <v>3935</v>
      </c>
      <c r="B3874" s="1">
        <v>45814</v>
      </c>
      <c r="C3874" s="2">
        <v>45814.026666666665</v>
      </c>
      <c r="D3874" t="s">
        <v>31</v>
      </c>
      <c r="E3874" t="s">
        <v>32</v>
      </c>
      <c r="F3874" t="s">
        <v>75</v>
      </c>
      <c r="G3874" t="s">
        <v>34</v>
      </c>
      <c r="H3874" t="s">
        <v>54</v>
      </c>
      <c r="I3874" t="s">
        <v>28</v>
      </c>
      <c r="J3874" t="s">
        <v>21</v>
      </c>
      <c r="K3874">
        <v>4</v>
      </c>
      <c r="L3874">
        <v>0.64</v>
      </c>
      <c r="M3874">
        <v>5</v>
      </c>
      <c r="N3874" t="s">
        <v>22</v>
      </c>
      <c r="O3874" t="str">
        <f t="shared" si="60"/>
        <v>No</v>
      </c>
    </row>
    <row r="3875" spans="1:15" x14ac:dyDescent="0.25">
      <c r="A3875" t="s">
        <v>3936</v>
      </c>
      <c r="B3875" s="1">
        <v>45743</v>
      </c>
      <c r="C3875" s="2">
        <v>45744.104583333334</v>
      </c>
      <c r="D3875" t="s">
        <v>24</v>
      </c>
      <c r="E3875" t="s">
        <v>45</v>
      </c>
      <c r="F3875" t="s">
        <v>112</v>
      </c>
      <c r="G3875" t="s">
        <v>51</v>
      </c>
      <c r="H3875" t="s">
        <v>54</v>
      </c>
      <c r="I3875" t="s">
        <v>36</v>
      </c>
      <c r="J3875" t="s">
        <v>46</v>
      </c>
      <c r="K3875">
        <v>24</v>
      </c>
      <c r="L3875">
        <v>26.51</v>
      </c>
      <c r="M3875">
        <v>4.2</v>
      </c>
      <c r="N3875" t="s">
        <v>22</v>
      </c>
      <c r="O3875" t="str">
        <f t="shared" si="60"/>
        <v>Yes</v>
      </c>
    </row>
    <row r="3876" spans="1:15" x14ac:dyDescent="0.25">
      <c r="A3876" t="s">
        <v>3937</v>
      </c>
      <c r="B3876" s="1">
        <v>45770</v>
      </c>
      <c r="C3876" s="2">
        <v>45771.011666666665</v>
      </c>
      <c r="D3876" t="s">
        <v>15</v>
      </c>
      <c r="E3876" t="s">
        <v>32</v>
      </c>
      <c r="F3876" t="s">
        <v>75</v>
      </c>
      <c r="G3876" t="s">
        <v>18</v>
      </c>
      <c r="H3876" t="s">
        <v>65</v>
      </c>
      <c r="I3876" t="s">
        <v>36</v>
      </c>
      <c r="J3876" t="s">
        <v>29</v>
      </c>
      <c r="K3876">
        <v>48</v>
      </c>
      <c r="L3876">
        <v>24.28</v>
      </c>
      <c r="M3876">
        <v>3.4</v>
      </c>
      <c r="N3876" t="s">
        <v>22</v>
      </c>
      <c r="O3876" t="str">
        <f t="shared" si="60"/>
        <v>No</v>
      </c>
    </row>
    <row r="3877" spans="1:15" x14ac:dyDescent="0.25">
      <c r="A3877" t="s">
        <v>3938</v>
      </c>
      <c r="B3877" s="1">
        <v>45767</v>
      </c>
      <c r="C3877" s="2">
        <v>45768.443749999999</v>
      </c>
      <c r="D3877" t="s">
        <v>15</v>
      </c>
      <c r="E3877" t="s">
        <v>32</v>
      </c>
      <c r="F3877" t="s">
        <v>64</v>
      </c>
      <c r="G3877" t="s">
        <v>56</v>
      </c>
      <c r="H3877" t="s">
        <v>54</v>
      </c>
      <c r="I3877" t="s">
        <v>20</v>
      </c>
      <c r="J3877" t="s">
        <v>46</v>
      </c>
      <c r="K3877">
        <v>48</v>
      </c>
      <c r="L3877">
        <v>34.65</v>
      </c>
      <c r="M3877">
        <v>3.3</v>
      </c>
      <c r="N3877" t="s">
        <v>22</v>
      </c>
      <c r="O3877" t="str">
        <f t="shared" si="60"/>
        <v>No</v>
      </c>
    </row>
    <row r="3878" spans="1:15" x14ac:dyDescent="0.25">
      <c r="A3878" t="s">
        <v>3939</v>
      </c>
      <c r="B3878" s="1">
        <v>45783</v>
      </c>
      <c r="C3878" s="2">
        <v>45783.801666666666</v>
      </c>
      <c r="D3878" t="s">
        <v>15</v>
      </c>
      <c r="E3878" t="s">
        <v>45</v>
      </c>
      <c r="F3878" t="s">
        <v>100</v>
      </c>
      <c r="G3878" t="s">
        <v>34</v>
      </c>
      <c r="H3878" t="s">
        <v>44</v>
      </c>
      <c r="I3878" t="s">
        <v>20</v>
      </c>
      <c r="J3878" t="s">
        <v>21</v>
      </c>
      <c r="K3878">
        <v>48</v>
      </c>
      <c r="L3878">
        <v>19.239999999999998</v>
      </c>
      <c r="M3878">
        <v>4.7</v>
      </c>
      <c r="N3878" t="s">
        <v>22</v>
      </c>
      <c r="O3878" t="str">
        <f t="shared" si="60"/>
        <v>No</v>
      </c>
    </row>
    <row r="3879" spans="1:15" x14ac:dyDescent="0.25">
      <c r="A3879" t="s">
        <v>3940</v>
      </c>
      <c r="B3879" s="1">
        <v>45702</v>
      </c>
      <c r="C3879" s="2">
        <v>45702.151250000003</v>
      </c>
      <c r="D3879" t="s">
        <v>38</v>
      </c>
      <c r="E3879" t="s">
        <v>39</v>
      </c>
      <c r="F3879" t="s">
        <v>87</v>
      </c>
      <c r="G3879" t="s">
        <v>34</v>
      </c>
      <c r="H3879" t="s">
        <v>65</v>
      </c>
      <c r="I3879" t="s">
        <v>20</v>
      </c>
      <c r="J3879" t="s">
        <v>21</v>
      </c>
      <c r="K3879">
        <v>8</v>
      </c>
      <c r="L3879">
        <v>3.63</v>
      </c>
      <c r="M3879">
        <v>4.3</v>
      </c>
      <c r="N3879" t="s">
        <v>22</v>
      </c>
      <c r="O3879" t="str">
        <f t="shared" si="60"/>
        <v>No</v>
      </c>
    </row>
    <row r="3880" spans="1:15" x14ac:dyDescent="0.25">
      <c r="A3880" t="s">
        <v>3941</v>
      </c>
      <c r="B3880" s="1">
        <v>45690</v>
      </c>
      <c r="C3880" s="2">
        <v>45690.178333333337</v>
      </c>
      <c r="D3880" t="s">
        <v>15</v>
      </c>
      <c r="E3880" t="s">
        <v>16</v>
      </c>
      <c r="F3880" t="s">
        <v>17</v>
      </c>
      <c r="G3880" t="s">
        <v>51</v>
      </c>
      <c r="H3880" t="s">
        <v>27</v>
      </c>
      <c r="I3880" t="s">
        <v>45</v>
      </c>
      <c r="J3880" t="s">
        <v>85</v>
      </c>
      <c r="K3880">
        <v>48</v>
      </c>
      <c r="L3880">
        <v>4.28</v>
      </c>
      <c r="M3880">
        <v>4.7</v>
      </c>
      <c r="N3880" t="s">
        <v>22</v>
      </c>
      <c r="O3880" t="str">
        <f t="shared" si="60"/>
        <v>No</v>
      </c>
    </row>
    <row r="3881" spans="1:15" x14ac:dyDescent="0.25">
      <c r="A3881" t="s">
        <v>3942</v>
      </c>
      <c r="B3881" s="1">
        <v>45665</v>
      </c>
      <c r="C3881" s="2">
        <v>45665.763749999998</v>
      </c>
      <c r="D3881" t="s">
        <v>24</v>
      </c>
      <c r="E3881" t="s">
        <v>39</v>
      </c>
      <c r="F3881" t="s">
        <v>119</v>
      </c>
      <c r="G3881" t="s">
        <v>41</v>
      </c>
      <c r="H3881" t="s">
        <v>65</v>
      </c>
      <c r="I3881" t="s">
        <v>28</v>
      </c>
      <c r="J3881" t="s">
        <v>46</v>
      </c>
      <c r="K3881">
        <v>24</v>
      </c>
      <c r="L3881">
        <v>18.329999999999998</v>
      </c>
      <c r="M3881">
        <v>4.9000000000000004</v>
      </c>
      <c r="N3881" t="s">
        <v>22</v>
      </c>
      <c r="O3881" t="str">
        <f t="shared" si="60"/>
        <v>No</v>
      </c>
    </row>
    <row r="3882" spans="1:15" x14ac:dyDescent="0.25">
      <c r="A3882" t="s">
        <v>3943</v>
      </c>
      <c r="B3882" s="1">
        <v>45814</v>
      </c>
      <c r="C3882" s="2">
        <v>45814.495833333334</v>
      </c>
      <c r="D3882" t="s">
        <v>24</v>
      </c>
      <c r="E3882" t="s">
        <v>16</v>
      </c>
      <c r="F3882" t="s">
        <v>60</v>
      </c>
      <c r="G3882" t="s">
        <v>56</v>
      </c>
      <c r="H3882" t="s">
        <v>19</v>
      </c>
      <c r="I3882" t="s">
        <v>36</v>
      </c>
      <c r="J3882" t="s">
        <v>46</v>
      </c>
      <c r="K3882">
        <v>24</v>
      </c>
      <c r="L3882">
        <v>11.9</v>
      </c>
      <c r="M3882">
        <v>5</v>
      </c>
      <c r="N3882" t="s">
        <v>22</v>
      </c>
      <c r="O3882" t="str">
        <f t="shared" si="60"/>
        <v>No</v>
      </c>
    </row>
    <row r="3883" spans="1:15" x14ac:dyDescent="0.25">
      <c r="A3883" t="s">
        <v>3944</v>
      </c>
      <c r="B3883" s="1">
        <v>45698</v>
      </c>
      <c r="C3883" s="2">
        <v>45698.21</v>
      </c>
      <c r="D3883" t="s">
        <v>38</v>
      </c>
      <c r="E3883" t="s">
        <v>32</v>
      </c>
      <c r="F3883" t="s">
        <v>80</v>
      </c>
      <c r="G3883" t="s">
        <v>34</v>
      </c>
      <c r="H3883" t="s">
        <v>44</v>
      </c>
      <c r="I3883" t="s">
        <v>36</v>
      </c>
      <c r="J3883" t="s">
        <v>21</v>
      </c>
      <c r="K3883">
        <v>8</v>
      </c>
      <c r="L3883">
        <v>5.04</v>
      </c>
      <c r="M3883">
        <v>3.6</v>
      </c>
      <c r="N3883" t="s">
        <v>22</v>
      </c>
      <c r="O3883" t="str">
        <f t="shared" si="60"/>
        <v>No</v>
      </c>
    </row>
    <row r="3884" spans="1:15" x14ac:dyDescent="0.25">
      <c r="A3884" t="s">
        <v>3945</v>
      </c>
      <c r="B3884" s="1">
        <v>45762</v>
      </c>
      <c r="C3884" s="2">
        <v>45762.736666666664</v>
      </c>
      <c r="D3884" t="s">
        <v>24</v>
      </c>
      <c r="E3884" t="s">
        <v>39</v>
      </c>
      <c r="F3884" t="s">
        <v>78</v>
      </c>
      <c r="G3884" t="s">
        <v>41</v>
      </c>
      <c r="H3884" t="s">
        <v>19</v>
      </c>
      <c r="I3884" t="s">
        <v>36</v>
      </c>
      <c r="J3884" t="s">
        <v>46</v>
      </c>
      <c r="K3884">
        <v>24</v>
      </c>
      <c r="L3884">
        <v>17.68</v>
      </c>
      <c r="M3884">
        <v>4.4000000000000004</v>
      </c>
      <c r="N3884" t="s">
        <v>22</v>
      </c>
      <c r="O3884" t="str">
        <f t="shared" si="60"/>
        <v>No</v>
      </c>
    </row>
    <row r="3885" spans="1:15" x14ac:dyDescent="0.25">
      <c r="A3885" t="s">
        <v>3946</v>
      </c>
      <c r="B3885" s="1">
        <v>45740</v>
      </c>
      <c r="C3885" s="2">
        <v>45740.232071759259</v>
      </c>
      <c r="D3885" t="s">
        <v>38</v>
      </c>
      <c r="E3885" t="s">
        <v>16</v>
      </c>
      <c r="F3885" t="s">
        <v>58</v>
      </c>
      <c r="G3885" t="s">
        <v>56</v>
      </c>
      <c r="H3885" t="s">
        <v>44</v>
      </c>
      <c r="I3885" t="s">
        <v>36</v>
      </c>
      <c r="J3885" t="s">
        <v>85</v>
      </c>
      <c r="K3885">
        <v>8</v>
      </c>
      <c r="L3885">
        <v>5.57</v>
      </c>
      <c r="M3885">
        <v>3.1</v>
      </c>
      <c r="N3885" t="s">
        <v>22</v>
      </c>
      <c r="O3885" t="str">
        <f t="shared" si="60"/>
        <v>No</v>
      </c>
    </row>
    <row r="3886" spans="1:15" x14ac:dyDescent="0.25">
      <c r="A3886" t="s">
        <v>3947</v>
      </c>
      <c r="B3886" s="1">
        <v>45687</v>
      </c>
      <c r="C3886" s="2">
        <v>45688.574999999997</v>
      </c>
      <c r="D3886" t="s">
        <v>15</v>
      </c>
      <c r="E3886" t="s">
        <v>39</v>
      </c>
      <c r="F3886" t="s">
        <v>40</v>
      </c>
      <c r="G3886" t="s">
        <v>56</v>
      </c>
      <c r="H3886" t="s">
        <v>19</v>
      </c>
      <c r="I3886" t="s">
        <v>20</v>
      </c>
      <c r="J3886" t="s">
        <v>21</v>
      </c>
      <c r="K3886">
        <v>48</v>
      </c>
      <c r="L3886">
        <v>37.799999999999997</v>
      </c>
      <c r="M3886">
        <v>3</v>
      </c>
      <c r="N3886" t="s">
        <v>22</v>
      </c>
      <c r="O3886" t="str">
        <f t="shared" si="60"/>
        <v>No</v>
      </c>
    </row>
    <row r="3887" spans="1:15" x14ac:dyDescent="0.25">
      <c r="A3887" t="s">
        <v>3948</v>
      </c>
      <c r="B3887" s="1">
        <v>45732</v>
      </c>
      <c r="C3887" s="2">
        <v>45732.028749999998</v>
      </c>
      <c r="D3887" t="s">
        <v>38</v>
      </c>
      <c r="E3887" t="s">
        <v>32</v>
      </c>
      <c r="F3887" t="s">
        <v>80</v>
      </c>
      <c r="G3887" t="s">
        <v>18</v>
      </c>
      <c r="H3887" t="s">
        <v>27</v>
      </c>
      <c r="I3887" t="s">
        <v>45</v>
      </c>
      <c r="J3887" t="s">
        <v>21</v>
      </c>
      <c r="K3887">
        <v>8</v>
      </c>
      <c r="L3887">
        <v>0.69</v>
      </c>
      <c r="M3887">
        <v>4.3</v>
      </c>
      <c r="N3887" t="s">
        <v>22</v>
      </c>
      <c r="O3887" t="str">
        <f t="shared" si="60"/>
        <v>No</v>
      </c>
    </row>
    <row r="3888" spans="1:15" x14ac:dyDescent="0.25">
      <c r="A3888" t="s">
        <v>3949</v>
      </c>
      <c r="B3888" s="1">
        <v>45673</v>
      </c>
      <c r="C3888" s="2">
        <v>45673.819166666668</v>
      </c>
      <c r="D3888" t="s">
        <v>15</v>
      </c>
      <c r="E3888" t="s">
        <v>32</v>
      </c>
      <c r="F3888" t="s">
        <v>75</v>
      </c>
      <c r="G3888" t="s">
        <v>18</v>
      </c>
      <c r="H3888" t="s">
        <v>19</v>
      </c>
      <c r="I3888" t="s">
        <v>45</v>
      </c>
      <c r="J3888" t="s">
        <v>21</v>
      </c>
      <c r="K3888">
        <v>48</v>
      </c>
      <c r="L3888">
        <v>19.66</v>
      </c>
      <c r="M3888">
        <v>4.5</v>
      </c>
      <c r="N3888" t="s">
        <v>22</v>
      </c>
      <c r="O3888" t="str">
        <f t="shared" si="60"/>
        <v>No</v>
      </c>
    </row>
    <row r="3889" spans="1:15" x14ac:dyDescent="0.25">
      <c r="A3889" t="s">
        <v>3950</v>
      </c>
      <c r="B3889" s="1">
        <v>45689</v>
      </c>
      <c r="C3889" s="2">
        <v>45689.315000000002</v>
      </c>
      <c r="D3889" t="s">
        <v>15</v>
      </c>
      <c r="E3889" t="s">
        <v>16</v>
      </c>
      <c r="F3889" t="s">
        <v>43</v>
      </c>
      <c r="G3889" t="s">
        <v>34</v>
      </c>
      <c r="H3889" t="s">
        <v>54</v>
      </c>
      <c r="I3889" t="s">
        <v>36</v>
      </c>
      <c r="J3889" t="s">
        <v>46</v>
      </c>
      <c r="K3889">
        <v>48</v>
      </c>
      <c r="L3889">
        <v>7.56</v>
      </c>
      <c r="M3889">
        <v>4.4000000000000004</v>
      </c>
      <c r="N3889" t="s">
        <v>61</v>
      </c>
      <c r="O3889" t="str">
        <f t="shared" si="60"/>
        <v>No</v>
      </c>
    </row>
    <row r="3890" spans="1:15" x14ac:dyDescent="0.25">
      <c r="A3890" t="s">
        <v>3951</v>
      </c>
      <c r="B3890" s="1">
        <v>45683</v>
      </c>
      <c r="C3890" s="2">
        <v>45683.020833333336</v>
      </c>
      <c r="D3890" t="s">
        <v>31</v>
      </c>
      <c r="E3890" t="s">
        <v>32</v>
      </c>
      <c r="F3890" t="s">
        <v>80</v>
      </c>
      <c r="G3890" t="s">
        <v>56</v>
      </c>
      <c r="H3890" t="s">
        <v>27</v>
      </c>
      <c r="I3890" t="s">
        <v>20</v>
      </c>
      <c r="J3890" t="s">
        <v>21</v>
      </c>
      <c r="K3890">
        <v>4</v>
      </c>
      <c r="L3890">
        <v>0.5</v>
      </c>
      <c r="M3890">
        <v>5</v>
      </c>
      <c r="N3890" t="s">
        <v>22</v>
      </c>
      <c r="O3890" t="str">
        <f t="shared" si="60"/>
        <v>No</v>
      </c>
    </row>
    <row r="3891" spans="1:15" x14ac:dyDescent="0.25">
      <c r="A3891" t="s">
        <v>3952</v>
      </c>
      <c r="B3891" s="1">
        <v>45807</v>
      </c>
      <c r="C3891" s="2">
        <v>45808.423750000002</v>
      </c>
      <c r="D3891" t="s">
        <v>15</v>
      </c>
      <c r="E3891" t="s">
        <v>39</v>
      </c>
      <c r="F3891" t="s">
        <v>119</v>
      </c>
      <c r="G3891" t="s">
        <v>34</v>
      </c>
      <c r="H3891" t="s">
        <v>44</v>
      </c>
      <c r="I3891" t="s">
        <v>36</v>
      </c>
      <c r="J3891" t="s">
        <v>21</v>
      </c>
      <c r="K3891">
        <v>48</v>
      </c>
      <c r="L3891">
        <v>34.17</v>
      </c>
      <c r="M3891">
        <v>4.0999999999999996</v>
      </c>
      <c r="N3891" t="s">
        <v>22</v>
      </c>
      <c r="O3891" t="str">
        <f t="shared" si="60"/>
        <v>No</v>
      </c>
    </row>
    <row r="3892" spans="1:15" x14ac:dyDescent="0.25">
      <c r="A3892" t="s">
        <v>3953</v>
      </c>
      <c r="B3892" s="1">
        <v>45760</v>
      </c>
      <c r="C3892" s="2">
        <v>45763.7</v>
      </c>
      <c r="D3892" t="s">
        <v>15</v>
      </c>
      <c r="E3892" t="s">
        <v>39</v>
      </c>
      <c r="F3892" t="s">
        <v>78</v>
      </c>
      <c r="G3892" t="s">
        <v>56</v>
      </c>
      <c r="H3892" t="s">
        <v>27</v>
      </c>
      <c r="I3892" t="s">
        <v>45</v>
      </c>
      <c r="J3892" t="s">
        <v>46</v>
      </c>
      <c r="K3892">
        <v>48</v>
      </c>
      <c r="L3892">
        <v>88.8</v>
      </c>
      <c r="M3892">
        <v>3.5</v>
      </c>
      <c r="N3892" t="s">
        <v>22</v>
      </c>
      <c r="O3892" t="str">
        <f t="shared" si="60"/>
        <v>Yes</v>
      </c>
    </row>
    <row r="3893" spans="1:15" x14ac:dyDescent="0.25">
      <c r="A3893" t="s">
        <v>3954</v>
      </c>
      <c r="B3893" s="1">
        <v>45825</v>
      </c>
      <c r="C3893" s="2">
        <v>45825.03125</v>
      </c>
      <c r="D3893" t="s">
        <v>24</v>
      </c>
      <c r="E3893" t="s">
        <v>39</v>
      </c>
      <c r="F3893" t="s">
        <v>87</v>
      </c>
      <c r="G3893" t="s">
        <v>34</v>
      </c>
      <c r="H3893" t="s">
        <v>54</v>
      </c>
      <c r="I3893" t="s">
        <v>36</v>
      </c>
      <c r="J3893" t="s">
        <v>46</v>
      </c>
      <c r="K3893">
        <v>24</v>
      </c>
      <c r="L3893">
        <v>0.75</v>
      </c>
      <c r="M3893">
        <v>5</v>
      </c>
      <c r="N3893" t="s">
        <v>22</v>
      </c>
      <c r="O3893" t="str">
        <f t="shared" si="60"/>
        <v>No</v>
      </c>
    </row>
    <row r="3894" spans="1:15" x14ac:dyDescent="0.25">
      <c r="A3894" t="s">
        <v>3955</v>
      </c>
      <c r="B3894" s="1">
        <v>45736</v>
      </c>
      <c r="C3894" s="2">
        <v>45736.767500000002</v>
      </c>
      <c r="D3894" t="s">
        <v>24</v>
      </c>
      <c r="E3894" t="s">
        <v>16</v>
      </c>
      <c r="F3894" t="s">
        <v>58</v>
      </c>
      <c r="G3894" t="s">
        <v>51</v>
      </c>
      <c r="H3894" t="s">
        <v>19</v>
      </c>
      <c r="I3894" t="s">
        <v>45</v>
      </c>
      <c r="J3894" t="s">
        <v>21</v>
      </c>
      <c r="K3894">
        <v>24</v>
      </c>
      <c r="L3894">
        <v>18.420000000000002</v>
      </c>
      <c r="M3894">
        <v>3.4</v>
      </c>
      <c r="N3894" t="s">
        <v>22</v>
      </c>
      <c r="O3894" t="str">
        <f t="shared" si="60"/>
        <v>No</v>
      </c>
    </row>
    <row r="3895" spans="1:15" x14ac:dyDescent="0.25">
      <c r="A3895" t="s">
        <v>3956</v>
      </c>
      <c r="B3895" s="1">
        <v>45694</v>
      </c>
      <c r="C3895" s="2">
        <v>45694.745000000003</v>
      </c>
      <c r="D3895" t="s">
        <v>15</v>
      </c>
      <c r="E3895" t="s">
        <v>39</v>
      </c>
      <c r="F3895" t="s">
        <v>119</v>
      </c>
      <c r="G3895" t="s">
        <v>34</v>
      </c>
      <c r="H3895" t="s">
        <v>65</v>
      </c>
      <c r="I3895" t="s">
        <v>36</v>
      </c>
      <c r="J3895" t="s">
        <v>85</v>
      </c>
      <c r="K3895">
        <v>48</v>
      </c>
      <c r="L3895">
        <v>17.88</v>
      </c>
      <c r="M3895">
        <v>5</v>
      </c>
      <c r="N3895" t="s">
        <v>22</v>
      </c>
      <c r="O3895" t="str">
        <f t="shared" si="60"/>
        <v>No</v>
      </c>
    </row>
    <row r="3896" spans="1:15" x14ac:dyDescent="0.25">
      <c r="A3896" t="s">
        <v>3957</v>
      </c>
      <c r="B3896" s="1">
        <v>45768</v>
      </c>
      <c r="C3896" s="2">
        <v>45768.455416666664</v>
      </c>
      <c r="D3896" t="s">
        <v>24</v>
      </c>
      <c r="E3896" t="s">
        <v>25</v>
      </c>
      <c r="F3896" t="s">
        <v>26</v>
      </c>
      <c r="G3896" t="s">
        <v>18</v>
      </c>
      <c r="H3896" t="s">
        <v>44</v>
      </c>
      <c r="I3896" t="s">
        <v>45</v>
      </c>
      <c r="J3896" t="s">
        <v>21</v>
      </c>
      <c r="K3896">
        <v>24</v>
      </c>
      <c r="L3896">
        <v>10.93</v>
      </c>
      <c r="M3896">
        <v>3.9</v>
      </c>
      <c r="N3896" t="s">
        <v>22</v>
      </c>
      <c r="O3896" t="str">
        <f t="shared" si="60"/>
        <v>No</v>
      </c>
    </row>
    <row r="3897" spans="1:15" x14ac:dyDescent="0.25">
      <c r="A3897" t="s">
        <v>3958</v>
      </c>
      <c r="B3897" s="1">
        <v>45826</v>
      </c>
      <c r="C3897" s="2">
        <v>45826.249583333331</v>
      </c>
      <c r="D3897" t="s">
        <v>38</v>
      </c>
      <c r="E3897" t="s">
        <v>16</v>
      </c>
      <c r="F3897" t="s">
        <v>58</v>
      </c>
      <c r="G3897" t="s">
        <v>18</v>
      </c>
      <c r="H3897" t="s">
        <v>65</v>
      </c>
      <c r="I3897" t="s">
        <v>45</v>
      </c>
      <c r="J3897" t="s">
        <v>21</v>
      </c>
      <c r="K3897">
        <v>8</v>
      </c>
      <c r="L3897">
        <v>5.99</v>
      </c>
      <c r="M3897">
        <v>4.4000000000000004</v>
      </c>
      <c r="N3897" t="s">
        <v>22</v>
      </c>
      <c r="O3897" t="str">
        <f t="shared" si="60"/>
        <v>No</v>
      </c>
    </row>
    <row r="3898" spans="1:15" x14ac:dyDescent="0.25">
      <c r="A3898" t="s">
        <v>3959</v>
      </c>
      <c r="B3898" s="1">
        <v>45754</v>
      </c>
      <c r="C3898" s="2">
        <v>45754.223749999997</v>
      </c>
      <c r="D3898" t="s">
        <v>38</v>
      </c>
      <c r="E3898" t="s">
        <v>25</v>
      </c>
      <c r="F3898" t="s">
        <v>48</v>
      </c>
      <c r="G3898" t="s">
        <v>41</v>
      </c>
      <c r="H3898" t="s">
        <v>65</v>
      </c>
      <c r="I3898" t="s">
        <v>28</v>
      </c>
      <c r="J3898" t="s">
        <v>46</v>
      </c>
      <c r="K3898">
        <v>8</v>
      </c>
      <c r="L3898">
        <v>5.37</v>
      </c>
      <c r="M3898">
        <v>3.9</v>
      </c>
      <c r="N3898" t="s">
        <v>22</v>
      </c>
      <c r="O3898" t="str">
        <f t="shared" si="60"/>
        <v>No</v>
      </c>
    </row>
    <row r="3899" spans="1:15" x14ac:dyDescent="0.25">
      <c r="A3899" t="s">
        <v>3960</v>
      </c>
      <c r="B3899" s="1">
        <v>45661</v>
      </c>
      <c r="C3899" s="2">
        <v>45661.800833333335</v>
      </c>
      <c r="D3899" t="s">
        <v>15</v>
      </c>
      <c r="E3899" t="s">
        <v>16</v>
      </c>
      <c r="F3899" t="s">
        <v>58</v>
      </c>
      <c r="G3899" t="s">
        <v>18</v>
      </c>
      <c r="H3899" t="s">
        <v>19</v>
      </c>
      <c r="I3899" t="s">
        <v>28</v>
      </c>
      <c r="J3899" t="s">
        <v>46</v>
      </c>
      <c r="K3899">
        <v>48</v>
      </c>
      <c r="L3899">
        <v>19.22</v>
      </c>
      <c r="M3899">
        <v>5</v>
      </c>
      <c r="N3899" t="s">
        <v>22</v>
      </c>
      <c r="O3899" t="str">
        <f t="shared" si="60"/>
        <v>No</v>
      </c>
    </row>
    <row r="3900" spans="1:15" x14ac:dyDescent="0.25">
      <c r="A3900" t="s">
        <v>3961</v>
      </c>
      <c r="B3900" s="1">
        <v>45712</v>
      </c>
      <c r="C3900" s="2">
        <v>45712.311666666668</v>
      </c>
      <c r="D3900" t="s">
        <v>24</v>
      </c>
      <c r="E3900" t="s">
        <v>32</v>
      </c>
      <c r="F3900" t="s">
        <v>80</v>
      </c>
      <c r="G3900" t="s">
        <v>41</v>
      </c>
      <c r="H3900" t="s">
        <v>44</v>
      </c>
      <c r="I3900" t="s">
        <v>36</v>
      </c>
      <c r="J3900" t="s">
        <v>46</v>
      </c>
      <c r="K3900">
        <v>24</v>
      </c>
      <c r="L3900">
        <v>7.48</v>
      </c>
      <c r="M3900">
        <v>5</v>
      </c>
      <c r="N3900" t="s">
        <v>22</v>
      </c>
      <c r="O3900" t="str">
        <f t="shared" si="60"/>
        <v>No</v>
      </c>
    </row>
    <row r="3901" spans="1:15" x14ac:dyDescent="0.25">
      <c r="A3901" t="s">
        <v>3962</v>
      </c>
      <c r="B3901" s="1">
        <v>45825</v>
      </c>
      <c r="C3901" s="2">
        <v>45825.22583333333</v>
      </c>
      <c r="D3901" t="s">
        <v>38</v>
      </c>
      <c r="E3901" t="s">
        <v>45</v>
      </c>
      <c r="F3901" t="s">
        <v>104</v>
      </c>
      <c r="G3901" t="s">
        <v>41</v>
      </c>
      <c r="H3901" t="s">
        <v>19</v>
      </c>
      <c r="I3901" t="s">
        <v>36</v>
      </c>
      <c r="J3901" t="s">
        <v>46</v>
      </c>
      <c r="K3901">
        <v>8</v>
      </c>
      <c r="L3901">
        <v>5.42</v>
      </c>
      <c r="M3901">
        <v>3.7</v>
      </c>
      <c r="N3901" t="s">
        <v>22</v>
      </c>
      <c r="O3901" t="str">
        <f t="shared" si="60"/>
        <v>No</v>
      </c>
    </row>
    <row r="3902" spans="1:15" x14ac:dyDescent="0.25">
      <c r="A3902" t="s">
        <v>3963</v>
      </c>
      <c r="B3902" s="1">
        <v>45751</v>
      </c>
      <c r="C3902" s="2">
        <v>45751.092083333337</v>
      </c>
      <c r="D3902" t="s">
        <v>15</v>
      </c>
      <c r="E3902" t="s">
        <v>25</v>
      </c>
      <c r="F3902" t="s">
        <v>53</v>
      </c>
      <c r="G3902" t="s">
        <v>18</v>
      </c>
      <c r="H3902" t="s">
        <v>44</v>
      </c>
      <c r="I3902" t="s">
        <v>36</v>
      </c>
      <c r="J3902" t="s">
        <v>46</v>
      </c>
      <c r="K3902">
        <v>48</v>
      </c>
      <c r="L3902">
        <v>2.21</v>
      </c>
      <c r="M3902">
        <v>4.7</v>
      </c>
      <c r="N3902" t="s">
        <v>22</v>
      </c>
      <c r="O3902" t="str">
        <f t="shared" si="60"/>
        <v>No</v>
      </c>
    </row>
    <row r="3903" spans="1:15" x14ac:dyDescent="0.25">
      <c r="A3903" t="s">
        <v>3964</v>
      </c>
      <c r="B3903" s="1">
        <v>45830</v>
      </c>
      <c r="C3903" s="2">
        <v>45831.487083333333</v>
      </c>
      <c r="D3903" t="s">
        <v>15</v>
      </c>
      <c r="E3903" t="s">
        <v>16</v>
      </c>
      <c r="F3903" t="s">
        <v>17</v>
      </c>
      <c r="G3903" t="s">
        <v>34</v>
      </c>
      <c r="H3903" t="s">
        <v>35</v>
      </c>
      <c r="I3903" t="s">
        <v>36</v>
      </c>
      <c r="J3903" t="s">
        <v>46</v>
      </c>
      <c r="K3903">
        <v>48</v>
      </c>
      <c r="L3903">
        <v>35.69</v>
      </c>
      <c r="M3903">
        <v>5</v>
      </c>
      <c r="N3903" t="s">
        <v>22</v>
      </c>
      <c r="O3903" t="str">
        <f t="shared" si="60"/>
        <v>No</v>
      </c>
    </row>
    <row r="3904" spans="1:15" x14ac:dyDescent="0.25">
      <c r="A3904" t="s">
        <v>3965</v>
      </c>
      <c r="B3904" s="1">
        <v>45750</v>
      </c>
      <c r="C3904" s="2">
        <v>45750.747916666667</v>
      </c>
      <c r="D3904" t="s">
        <v>15</v>
      </c>
      <c r="E3904" t="s">
        <v>32</v>
      </c>
      <c r="F3904" t="s">
        <v>80</v>
      </c>
      <c r="G3904" t="s">
        <v>18</v>
      </c>
      <c r="H3904" t="s">
        <v>27</v>
      </c>
      <c r="I3904" t="s">
        <v>36</v>
      </c>
      <c r="J3904" t="s">
        <v>85</v>
      </c>
      <c r="K3904">
        <v>48</v>
      </c>
      <c r="L3904">
        <v>17.95</v>
      </c>
      <c r="M3904">
        <v>3.7</v>
      </c>
      <c r="N3904" t="s">
        <v>22</v>
      </c>
      <c r="O3904" t="str">
        <f t="shared" si="60"/>
        <v>No</v>
      </c>
    </row>
    <row r="3905" spans="1:15" x14ac:dyDescent="0.25">
      <c r="A3905" t="s">
        <v>3966</v>
      </c>
      <c r="B3905" s="1">
        <v>45660</v>
      </c>
      <c r="C3905" s="2">
        <v>45661.273333333331</v>
      </c>
      <c r="D3905" t="s">
        <v>24</v>
      </c>
      <c r="E3905" t="s">
        <v>32</v>
      </c>
      <c r="F3905" t="s">
        <v>75</v>
      </c>
      <c r="G3905" t="s">
        <v>34</v>
      </c>
      <c r="H3905" t="s">
        <v>44</v>
      </c>
      <c r="I3905" t="s">
        <v>20</v>
      </c>
      <c r="J3905" t="s">
        <v>85</v>
      </c>
      <c r="K3905">
        <v>24</v>
      </c>
      <c r="L3905">
        <v>30.56</v>
      </c>
      <c r="M3905">
        <v>3</v>
      </c>
      <c r="N3905" t="s">
        <v>22</v>
      </c>
      <c r="O3905" t="str">
        <f t="shared" si="60"/>
        <v>Yes</v>
      </c>
    </row>
    <row r="3906" spans="1:15" x14ac:dyDescent="0.25">
      <c r="A3906" t="s">
        <v>3967</v>
      </c>
      <c r="B3906" s="1">
        <v>45816</v>
      </c>
      <c r="C3906" s="2">
        <v>45816.97625</v>
      </c>
      <c r="D3906" t="s">
        <v>15</v>
      </c>
      <c r="E3906" t="s">
        <v>16</v>
      </c>
      <c r="F3906" t="s">
        <v>60</v>
      </c>
      <c r="G3906" t="s">
        <v>34</v>
      </c>
      <c r="H3906" t="s">
        <v>54</v>
      </c>
      <c r="I3906" t="s">
        <v>28</v>
      </c>
      <c r="J3906" t="s">
        <v>21</v>
      </c>
      <c r="K3906">
        <v>48</v>
      </c>
      <c r="L3906">
        <v>23.43</v>
      </c>
      <c r="M3906">
        <v>4</v>
      </c>
      <c r="N3906" t="s">
        <v>22</v>
      </c>
      <c r="O3906" t="str">
        <f t="shared" si="60"/>
        <v>No</v>
      </c>
    </row>
    <row r="3907" spans="1:15" x14ac:dyDescent="0.25">
      <c r="A3907" t="s">
        <v>3968</v>
      </c>
      <c r="B3907" s="1">
        <v>45796</v>
      </c>
      <c r="C3907" s="2">
        <v>45796.409583333334</v>
      </c>
      <c r="D3907" t="s">
        <v>38</v>
      </c>
      <c r="E3907" t="s">
        <v>39</v>
      </c>
      <c r="F3907" t="s">
        <v>40</v>
      </c>
      <c r="G3907" t="s">
        <v>34</v>
      </c>
      <c r="H3907" t="s">
        <v>35</v>
      </c>
      <c r="I3907" t="s">
        <v>36</v>
      </c>
      <c r="J3907" t="s">
        <v>46</v>
      </c>
      <c r="K3907">
        <v>8</v>
      </c>
      <c r="L3907">
        <v>9.83</v>
      </c>
      <c r="M3907">
        <v>2.8</v>
      </c>
      <c r="N3907" t="s">
        <v>22</v>
      </c>
      <c r="O3907" t="str">
        <f t="shared" ref="O3907:O3970" si="61">IF(L3907&gt;K3907,"Yes","No")</f>
        <v>Yes</v>
      </c>
    </row>
    <row r="3908" spans="1:15" x14ac:dyDescent="0.25">
      <c r="A3908" t="s">
        <v>3969</v>
      </c>
      <c r="B3908" s="1">
        <v>45787</v>
      </c>
      <c r="C3908" s="2">
        <v>45787.033750000002</v>
      </c>
      <c r="D3908" t="s">
        <v>31</v>
      </c>
      <c r="E3908" t="s">
        <v>16</v>
      </c>
      <c r="F3908" t="s">
        <v>58</v>
      </c>
      <c r="G3908" t="s">
        <v>56</v>
      </c>
      <c r="H3908" t="s">
        <v>19</v>
      </c>
      <c r="I3908" t="s">
        <v>20</v>
      </c>
      <c r="J3908" t="s">
        <v>21</v>
      </c>
      <c r="K3908">
        <v>4</v>
      </c>
      <c r="L3908">
        <v>0.81</v>
      </c>
      <c r="M3908">
        <v>4.0999999999999996</v>
      </c>
      <c r="N3908" t="s">
        <v>22</v>
      </c>
      <c r="O3908" t="str">
        <f t="shared" si="61"/>
        <v>No</v>
      </c>
    </row>
    <row r="3909" spans="1:15" x14ac:dyDescent="0.25">
      <c r="A3909" t="s">
        <v>3970</v>
      </c>
      <c r="B3909" s="1">
        <v>45833</v>
      </c>
      <c r="C3909" s="2">
        <v>45833.372499999998</v>
      </c>
      <c r="D3909" t="s">
        <v>15</v>
      </c>
      <c r="E3909" t="s">
        <v>39</v>
      </c>
      <c r="F3909" t="s">
        <v>119</v>
      </c>
      <c r="G3909" t="s">
        <v>34</v>
      </c>
      <c r="H3909" t="s">
        <v>65</v>
      </c>
      <c r="I3909" t="s">
        <v>20</v>
      </c>
      <c r="J3909" t="s">
        <v>46</v>
      </c>
      <c r="K3909">
        <v>48</v>
      </c>
      <c r="L3909">
        <v>8.94</v>
      </c>
      <c r="M3909">
        <v>4.7</v>
      </c>
      <c r="N3909" t="s">
        <v>22</v>
      </c>
      <c r="O3909" t="str">
        <f t="shared" si="61"/>
        <v>No</v>
      </c>
    </row>
    <row r="3910" spans="1:15" x14ac:dyDescent="0.25">
      <c r="A3910" t="s">
        <v>3971</v>
      </c>
      <c r="B3910" s="1">
        <v>45693</v>
      </c>
      <c r="C3910" s="2">
        <v>45693.254999999997</v>
      </c>
      <c r="D3910" t="s">
        <v>24</v>
      </c>
      <c r="E3910" t="s">
        <v>16</v>
      </c>
      <c r="F3910" t="s">
        <v>60</v>
      </c>
      <c r="G3910" t="s">
        <v>56</v>
      </c>
      <c r="H3910" t="s">
        <v>54</v>
      </c>
      <c r="I3910" t="s">
        <v>36</v>
      </c>
      <c r="J3910" t="s">
        <v>21</v>
      </c>
      <c r="K3910">
        <v>24</v>
      </c>
      <c r="L3910">
        <v>6.12</v>
      </c>
      <c r="M3910">
        <v>5</v>
      </c>
      <c r="N3910" t="s">
        <v>22</v>
      </c>
      <c r="O3910" t="str">
        <f t="shared" si="61"/>
        <v>No</v>
      </c>
    </row>
    <row r="3911" spans="1:15" x14ac:dyDescent="0.25">
      <c r="A3911" t="s">
        <v>3972</v>
      </c>
      <c r="B3911" s="1">
        <v>45821</v>
      </c>
      <c r="C3911" s="2">
        <v>45823.865416666667</v>
      </c>
      <c r="D3911" t="s">
        <v>15</v>
      </c>
      <c r="E3911" t="s">
        <v>32</v>
      </c>
      <c r="F3911" t="s">
        <v>64</v>
      </c>
      <c r="G3911" t="s">
        <v>51</v>
      </c>
      <c r="H3911" t="s">
        <v>54</v>
      </c>
      <c r="I3911" t="s">
        <v>20</v>
      </c>
      <c r="J3911" t="s">
        <v>21</v>
      </c>
      <c r="K3911">
        <v>48</v>
      </c>
      <c r="L3911">
        <v>68.77</v>
      </c>
      <c r="M3911">
        <v>2.2000000000000002</v>
      </c>
      <c r="N3911" t="s">
        <v>61</v>
      </c>
      <c r="O3911" t="str">
        <f t="shared" si="61"/>
        <v>Yes</v>
      </c>
    </row>
    <row r="3912" spans="1:15" x14ac:dyDescent="0.25">
      <c r="A3912" t="s">
        <v>3973</v>
      </c>
      <c r="B3912" s="1">
        <v>45700</v>
      </c>
      <c r="C3912" s="2">
        <v>45700.94458333333</v>
      </c>
      <c r="D3912" t="s">
        <v>15</v>
      </c>
      <c r="E3912" t="s">
        <v>32</v>
      </c>
      <c r="F3912" t="s">
        <v>64</v>
      </c>
      <c r="G3912" t="s">
        <v>34</v>
      </c>
      <c r="H3912" t="s">
        <v>27</v>
      </c>
      <c r="I3912" t="s">
        <v>28</v>
      </c>
      <c r="J3912" t="s">
        <v>29</v>
      </c>
      <c r="K3912">
        <v>48</v>
      </c>
      <c r="L3912">
        <v>22.67</v>
      </c>
      <c r="M3912">
        <v>4.0999999999999996</v>
      </c>
      <c r="N3912" t="s">
        <v>22</v>
      </c>
      <c r="O3912" t="str">
        <f t="shared" si="61"/>
        <v>No</v>
      </c>
    </row>
    <row r="3913" spans="1:15" x14ac:dyDescent="0.25">
      <c r="A3913" t="s">
        <v>3974</v>
      </c>
      <c r="B3913" s="1">
        <v>45833</v>
      </c>
      <c r="C3913" s="2">
        <v>45833.1</v>
      </c>
      <c r="D3913" t="s">
        <v>38</v>
      </c>
      <c r="E3913" t="s">
        <v>32</v>
      </c>
      <c r="F3913" t="s">
        <v>80</v>
      </c>
      <c r="G3913" t="s">
        <v>41</v>
      </c>
      <c r="H3913" t="s">
        <v>19</v>
      </c>
      <c r="I3913" t="s">
        <v>28</v>
      </c>
      <c r="J3913" t="s">
        <v>46</v>
      </c>
      <c r="K3913">
        <v>8</v>
      </c>
      <c r="L3913">
        <v>2.4</v>
      </c>
      <c r="M3913">
        <v>4.0999999999999996</v>
      </c>
      <c r="N3913" t="s">
        <v>22</v>
      </c>
      <c r="O3913" t="str">
        <f t="shared" si="61"/>
        <v>No</v>
      </c>
    </row>
    <row r="3914" spans="1:15" x14ac:dyDescent="0.25">
      <c r="A3914" t="s">
        <v>3975</v>
      </c>
      <c r="B3914" s="1">
        <v>45692</v>
      </c>
      <c r="C3914" s="2">
        <v>45692.667916666665</v>
      </c>
      <c r="D3914" t="s">
        <v>24</v>
      </c>
      <c r="E3914" t="s">
        <v>25</v>
      </c>
      <c r="F3914" t="s">
        <v>26</v>
      </c>
      <c r="G3914" t="s">
        <v>41</v>
      </c>
      <c r="H3914" t="s">
        <v>27</v>
      </c>
      <c r="I3914" t="s">
        <v>20</v>
      </c>
      <c r="J3914" t="s">
        <v>21</v>
      </c>
      <c r="K3914">
        <v>24</v>
      </c>
      <c r="L3914">
        <v>16.03</v>
      </c>
      <c r="M3914">
        <v>3.4</v>
      </c>
      <c r="N3914" t="s">
        <v>22</v>
      </c>
      <c r="O3914" t="str">
        <f t="shared" si="61"/>
        <v>No</v>
      </c>
    </row>
    <row r="3915" spans="1:15" x14ac:dyDescent="0.25">
      <c r="A3915" t="s">
        <v>3976</v>
      </c>
      <c r="B3915" s="1">
        <v>45757</v>
      </c>
      <c r="C3915" s="2">
        <v>45757.089583333334</v>
      </c>
      <c r="D3915" t="s">
        <v>38</v>
      </c>
      <c r="E3915" t="s">
        <v>16</v>
      </c>
      <c r="F3915" t="s">
        <v>60</v>
      </c>
      <c r="G3915" t="s">
        <v>41</v>
      </c>
      <c r="H3915" t="s">
        <v>27</v>
      </c>
      <c r="I3915" t="s">
        <v>36</v>
      </c>
      <c r="J3915" t="s">
        <v>21</v>
      </c>
      <c r="K3915">
        <v>8</v>
      </c>
      <c r="L3915">
        <v>2.15</v>
      </c>
      <c r="M3915">
        <v>5</v>
      </c>
      <c r="N3915" t="s">
        <v>22</v>
      </c>
      <c r="O3915" t="str">
        <f t="shared" si="61"/>
        <v>No</v>
      </c>
    </row>
    <row r="3916" spans="1:15" x14ac:dyDescent="0.25">
      <c r="A3916" t="s">
        <v>3977</v>
      </c>
      <c r="B3916" s="1">
        <v>45800</v>
      </c>
      <c r="C3916" s="2">
        <v>45800.662083333336</v>
      </c>
      <c r="D3916" t="s">
        <v>24</v>
      </c>
      <c r="E3916" t="s">
        <v>45</v>
      </c>
      <c r="F3916" t="s">
        <v>112</v>
      </c>
      <c r="G3916" t="s">
        <v>51</v>
      </c>
      <c r="H3916" t="s">
        <v>54</v>
      </c>
      <c r="I3916" t="s">
        <v>36</v>
      </c>
      <c r="J3916" t="s">
        <v>21</v>
      </c>
      <c r="K3916">
        <v>24</v>
      </c>
      <c r="L3916">
        <v>15.89</v>
      </c>
      <c r="M3916">
        <v>3.7</v>
      </c>
      <c r="N3916" t="s">
        <v>22</v>
      </c>
      <c r="O3916" t="str">
        <f t="shared" si="61"/>
        <v>No</v>
      </c>
    </row>
    <row r="3917" spans="1:15" x14ac:dyDescent="0.25">
      <c r="A3917" t="s">
        <v>3978</v>
      </c>
      <c r="B3917" s="1">
        <v>45672</v>
      </c>
      <c r="C3917" s="2">
        <v>45672.939583333333</v>
      </c>
      <c r="D3917" t="s">
        <v>15</v>
      </c>
      <c r="E3917" t="s">
        <v>25</v>
      </c>
      <c r="F3917" t="s">
        <v>70</v>
      </c>
      <c r="G3917" t="s">
        <v>56</v>
      </c>
      <c r="H3917" t="s">
        <v>19</v>
      </c>
      <c r="I3917" t="s">
        <v>28</v>
      </c>
      <c r="J3917" t="s">
        <v>46</v>
      </c>
      <c r="K3917">
        <v>48</v>
      </c>
      <c r="L3917">
        <v>22.55</v>
      </c>
      <c r="M3917">
        <v>3.5</v>
      </c>
      <c r="N3917" t="s">
        <v>22</v>
      </c>
      <c r="O3917" t="str">
        <f t="shared" si="61"/>
        <v>No</v>
      </c>
    </row>
    <row r="3918" spans="1:15" x14ac:dyDescent="0.25">
      <c r="A3918" t="s">
        <v>3979</v>
      </c>
      <c r="B3918" s="1">
        <v>45670</v>
      </c>
      <c r="C3918" s="2">
        <v>45670.290833333333</v>
      </c>
      <c r="D3918" t="s">
        <v>24</v>
      </c>
      <c r="E3918" t="s">
        <v>25</v>
      </c>
      <c r="F3918" t="s">
        <v>53</v>
      </c>
      <c r="G3918" t="s">
        <v>18</v>
      </c>
      <c r="H3918" t="s">
        <v>19</v>
      </c>
      <c r="I3918" t="s">
        <v>36</v>
      </c>
      <c r="J3918" t="s">
        <v>21</v>
      </c>
      <c r="K3918">
        <v>24</v>
      </c>
      <c r="L3918">
        <v>6.98</v>
      </c>
      <c r="M3918">
        <v>5</v>
      </c>
      <c r="N3918" t="s">
        <v>22</v>
      </c>
      <c r="O3918" t="str">
        <f t="shared" si="61"/>
        <v>No</v>
      </c>
    </row>
    <row r="3919" spans="1:15" x14ac:dyDescent="0.25">
      <c r="A3919" t="s">
        <v>3980</v>
      </c>
      <c r="B3919" s="1">
        <v>45811</v>
      </c>
      <c r="C3919" s="2">
        <v>45811.98333333333</v>
      </c>
      <c r="D3919" t="s">
        <v>15</v>
      </c>
      <c r="E3919" t="s">
        <v>16</v>
      </c>
      <c r="F3919" t="s">
        <v>58</v>
      </c>
      <c r="G3919" t="s">
        <v>51</v>
      </c>
      <c r="H3919" t="s">
        <v>35</v>
      </c>
      <c r="I3919" t="s">
        <v>36</v>
      </c>
      <c r="J3919" t="s">
        <v>46</v>
      </c>
      <c r="K3919">
        <v>48</v>
      </c>
      <c r="L3919">
        <v>23.6</v>
      </c>
      <c r="M3919">
        <v>5</v>
      </c>
      <c r="N3919" t="s">
        <v>22</v>
      </c>
      <c r="O3919" t="str">
        <f t="shared" si="61"/>
        <v>No</v>
      </c>
    </row>
    <row r="3920" spans="1:15" x14ac:dyDescent="0.25">
      <c r="A3920" t="s">
        <v>3981</v>
      </c>
      <c r="B3920" s="1">
        <v>45668</v>
      </c>
      <c r="C3920" s="2">
        <v>45668.164166666669</v>
      </c>
      <c r="D3920" t="s">
        <v>38</v>
      </c>
      <c r="E3920" t="s">
        <v>25</v>
      </c>
      <c r="F3920" t="s">
        <v>70</v>
      </c>
      <c r="G3920" t="s">
        <v>41</v>
      </c>
      <c r="H3920" t="s">
        <v>44</v>
      </c>
      <c r="I3920" t="s">
        <v>36</v>
      </c>
      <c r="J3920" t="s">
        <v>46</v>
      </c>
      <c r="K3920">
        <v>8</v>
      </c>
      <c r="L3920">
        <v>3.94</v>
      </c>
      <c r="M3920">
        <v>4.5999999999999996</v>
      </c>
      <c r="N3920" t="s">
        <v>61</v>
      </c>
      <c r="O3920" t="str">
        <f t="shared" si="61"/>
        <v>No</v>
      </c>
    </row>
    <row r="3921" spans="1:15" x14ac:dyDescent="0.25">
      <c r="A3921" t="s">
        <v>3982</v>
      </c>
      <c r="B3921" s="1">
        <v>45769</v>
      </c>
      <c r="C3921" s="2">
        <v>45769.911666666667</v>
      </c>
      <c r="D3921" t="s">
        <v>24</v>
      </c>
      <c r="E3921" t="s">
        <v>45</v>
      </c>
      <c r="F3921" t="s">
        <v>50</v>
      </c>
      <c r="G3921" t="s">
        <v>41</v>
      </c>
      <c r="H3921" t="s">
        <v>65</v>
      </c>
      <c r="I3921" t="s">
        <v>45</v>
      </c>
      <c r="J3921" t="s">
        <v>21</v>
      </c>
      <c r="K3921">
        <v>24</v>
      </c>
      <c r="L3921">
        <v>21.88</v>
      </c>
      <c r="M3921">
        <v>3.3</v>
      </c>
      <c r="N3921" t="s">
        <v>22</v>
      </c>
      <c r="O3921" t="str">
        <f t="shared" si="61"/>
        <v>No</v>
      </c>
    </row>
    <row r="3922" spans="1:15" x14ac:dyDescent="0.25">
      <c r="A3922" t="s">
        <v>3983</v>
      </c>
      <c r="B3922" s="1">
        <v>45827</v>
      </c>
      <c r="C3922" s="2">
        <v>45827.15</v>
      </c>
      <c r="D3922" t="s">
        <v>24</v>
      </c>
      <c r="E3922" t="s">
        <v>25</v>
      </c>
      <c r="F3922" t="s">
        <v>53</v>
      </c>
      <c r="G3922" t="s">
        <v>56</v>
      </c>
      <c r="H3922" t="s">
        <v>44</v>
      </c>
      <c r="I3922" t="s">
        <v>36</v>
      </c>
      <c r="J3922" t="s">
        <v>21</v>
      </c>
      <c r="K3922">
        <v>24</v>
      </c>
      <c r="L3922">
        <v>3.6</v>
      </c>
      <c r="M3922">
        <v>4.5999999999999996</v>
      </c>
      <c r="N3922" t="s">
        <v>61</v>
      </c>
      <c r="O3922" t="str">
        <f t="shared" si="61"/>
        <v>No</v>
      </c>
    </row>
    <row r="3923" spans="1:15" x14ac:dyDescent="0.25">
      <c r="A3923" t="s">
        <v>3984</v>
      </c>
      <c r="B3923" s="1">
        <v>45769</v>
      </c>
      <c r="C3923" s="2">
        <v>45769.334166666667</v>
      </c>
      <c r="D3923" t="s">
        <v>24</v>
      </c>
      <c r="E3923" t="s">
        <v>32</v>
      </c>
      <c r="F3923" t="s">
        <v>64</v>
      </c>
      <c r="G3923" t="s">
        <v>34</v>
      </c>
      <c r="H3923" t="s">
        <v>44</v>
      </c>
      <c r="I3923" t="s">
        <v>20</v>
      </c>
      <c r="J3923" t="s">
        <v>46</v>
      </c>
      <c r="K3923">
        <v>24</v>
      </c>
      <c r="L3923">
        <v>8.02</v>
      </c>
      <c r="M3923">
        <v>4.2</v>
      </c>
      <c r="N3923" t="s">
        <v>61</v>
      </c>
      <c r="O3923" t="str">
        <f t="shared" si="61"/>
        <v>No</v>
      </c>
    </row>
    <row r="3924" spans="1:15" x14ac:dyDescent="0.25">
      <c r="A3924" t="s">
        <v>3985</v>
      </c>
      <c r="B3924" s="1">
        <v>45745</v>
      </c>
      <c r="C3924" s="2">
        <v>45745.58625</v>
      </c>
      <c r="D3924" t="s">
        <v>24</v>
      </c>
      <c r="E3924" t="s">
        <v>16</v>
      </c>
      <c r="F3924" t="s">
        <v>17</v>
      </c>
      <c r="G3924" t="s">
        <v>51</v>
      </c>
      <c r="H3924" t="s">
        <v>35</v>
      </c>
      <c r="I3924" t="s">
        <v>45</v>
      </c>
      <c r="J3924" t="s">
        <v>46</v>
      </c>
      <c r="K3924">
        <v>24</v>
      </c>
      <c r="L3924">
        <v>14.07</v>
      </c>
      <c r="M3924">
        <v>4.3</v>
      </c>
      <c r="N3924" t="s">
        <v>22</v>
      </c>
      <c r="O3924" t="str">
        <f t="shared" si="61"/>
        <v>No</v>
      </c>
    </row>
    <row r="3925" spans="1:15" x14ac:dyDescent="0.25">
      <c r="A3925" t="s">
        <v>3986</v>
      </c>
      <c r="B3925" s="1">
        <v>45733</v>
      </c>
      <c r="C3925" s="2">
        <v>45733.080416666664</v>
      </c>
      <c r="D3925" t="s">
        <v>38</v>
      </c>
      <c r="E3925" t="s">
        <v>32</v>
      </c>
      <c r="F3925" t="s">
        <v>64</v>
      </c>
      <c r="G3925" t="s">
        <v>51</v>
      </c>
      <c r="H3925" t="s">
        <v>35</v>
      </c>
      <c r="I3925" t="s">
        <v>36</v>
      </c>
      <c r="J3925" t="s">
        <v>21</v>
      </c>
      <c r="K3925">
        <v>8</v>
      </c>
      <c r="L3925">
        <v>1.93</v>
      </c>
      <c r="M3925">
        <v>5</v>
      </c>
      <c r="N3925" t="s">
        <v>22</v>
      </c>
      <c r="O3925" t="str">
        <f t="shared" si="61"/>
        <v>No</v>
      </c>
    </row>
    <row r="3926" spans="1:15" x14ac:dyDescent="0.25">
      <c r="A3926" t="s">
        <v>3987</v>
      </c>
      <c r="B3926" s="1">
        <v>45773</v>
      </c>
      <c r="C3926" s="2">
        <v>45773.849583333336</v>
      </c>
      <c r="D3926" t="s">
        <v>15</v>
      </c>
      <c r="E3926" t="s">
        <v>32</v>
      </c>
      <c r="F3926" t="s">
        <v>75</v>
      </c>
      <c r="G3926" t="s">
        <v>51</v>
      </c>
      <c r="H3926" t="s">
        <v>44</v>
      </c>
      <c r="I3926" t="s">
        <v>36</v>
      </c>
      <c r="J3926" t="s">
        <v>21</v>
      </c>
      <c r="K3926">
        <v>48</v>
      </c>
      <c r="L3926">
        <v>20.39</v>
      </c>
      <c r="M3926">
        <v>4.5</v>
      </c>
      <c r="N3926" t="s">
        <v>22</v>
      </c>
      <c r="O3926" t="str">
        <f t="shared" si="61"/>
        <v>No</v>
      </c>
    </row>
    <row r="3927" spans="1:15" x14ac:dyDescent="0.25">
      <c r="A3927" t="s">
        <v>3988</v>
      </c>
      <c r="B3927" s="1">
        <v>45761</v>
      </c>
      <c r="C3927" s="2">
        <v>45761.571666666663</v>
      </c>
      <c r="D3927" t="s">
        <v>15</v>
      </c>
      <c r="E3927" t="s">
        <v>16</v>
      </c>
      <c r="F3927" t="s">
        <v>58</v>
      </c>
      <c r="G3927" t="s">
        <v>18</v>
      </c>
      <c r="H3927" t="s">
        <v>27</v>
      </c>
      <c r="I3927" t="s">
        <v>45</v>
      </c>
      <c r="J3927" t="s">
        <v>46</v>
      </c>
      <c r="K3927">
        <v>48</v>
      </c>
      <c r="L3927">
        <v>13.72</v>
      </c>
      <c r="M3927">
        <v>4.7</v>
      </c>
      <c r="N3927" t="s">
        <v>22</v>
      </c>
      <c r="O3927" t="str">
        <f t="shared" si="61"/>
        <v>No</v>
      </c>
    </row>
    <row r="3928" spans="1:15" x14ac:dyDescent="0.25">
      <c r="A3928" t="s">
        <v>3989</v>
      </c>
      <c r="B3928" s="1">
        <v>45748</v>
      </c>
      <c r="C3928" s="2">
        <v>45748.721666666665</v>
      </c>
      <c r="D3928" t="s">
        <v>15</v>
      </c>
      <c r="E3928" t="s">
        <v>25</v>
      </c>
      <c r="F3928" t="s">
        <v>70</v>
      </c>
      <c r="G3928" t="s">
        <v>56</v>
      </c>
      <c r="H3928" t="s">
        <v>65</v>
      </c>
      <c r="I3928" t="s">
        <v>20</v>
      </c>
      <c r="J3928" t="s">
        <v>21</v>
      </c>
      <c r="K3928">
        <v>48</v>
      </c>
      <c r="L3928">
        <v>17.32</v>
      </c>
      <c r="M3928">
        <v>4.2</v>
      </c>
      <c r="N3928" t="s">
        <v>22</v>
      </c>
      <c r="O3928" t="str">
        <f t="shared" si="61"/>
        <v>No</v>
      </c>
    </row>
    <row r="3929" spans="1:15" x14ac:dyDescent="0.25">
      <c r="A3929" t="s">
        <v>3990</v>
      </c>
      <c r="B3929" s="1">
        <v>45685</v>
      </c>
      <c r="C3929" s="2">
        <v>45685.187916666669</v>
      </c>
      <c r="D3929" t="s">
        <v>24</v>
      </c>
      <c r="E3929" t="s">
        <v>32</v>
      </c>
      <c r="F3929" t="s">
        <v>33</v>
      </c>
      <c r="G3929" t="s">
        <v>34</v>
      </c>
      <c r="H3929" t="s">
        <v>44</v>
      </c>
      <c r="I3929" t="s">
        <v>28</v>
      </c>
      <c r="J3929" t="s">
        <v>21</v>
      </c>
      <c r="K3929">
        <v>24</v>
      </c>
      <c r="L3929">
        <v>4.51</v>
      </c>
      <c r="M3929">
        <v>5</v>
      </c>
      <c r="N3929" t="s">
        <v>22</v>
      </c>
      <c r="O3929" t="str">
        <f t="shared" si="61"/>
        <v>No</v>
      </c>
    </row>
    <row r="3930" spans="1:15" x14ac:dyDescent="0.25">
      <c r="A3930" t="s">
        <v>3991</v>
      </c>
      <c r="B3930" s="1">
        <v>45777</v>
      </c>
      <c r="C3930" s="2">
        <v>45778.854166666664</v>
      </c>
      <c r="D3930" t="s">
        <v>24</v>
      </c>
      <c r="E3930" t="s">
        <v>32</v>
      </c>
      <c r="F3930" t="s">
        <v>80</v>
      </c>
      <c r="G3930" t="s">
        <v>51</v>
      </c>
      <c r="H3930" t="s">
        <v>27</v>
      </c>
      <c r="I3930" t="s">
        <v>20</v>
      </c>
      <c r="J3930" t="s">
        <v>21</v>
      </c>
      <c r="K3930">
        <v>24</v>
      </c>
      <c r="L3930">
        <v>44.5</v>
      </c>
      <c r="M3930">
        <v>3</v>
      </c>
      <c r="N3930" t="s">
        <v>22</v>
      </c>
      <c r="O3930" t="str">
        <f t="shared" si="61"/>
        <v>Yes</v>
      </c>
    </row>
    <row r="3931" spans="1:15" x14ac:dyDescent="0.25">
      <c r="A3931" t="s">
        <v>3992</v>
      </c>
      <c r="B3931" s="1">
        <v>45791</v>
      </c>
      <c r="C3931" s="2">
        <v>45791.098749999997</v>
      </c>
      <c r="D3931" t="s">
        <v>15</v>
      </c>
      <c r="E3931" t="s">
        <v>45</v>
      </c>
      <c r="F3931" t="s">
        <v>100</v>
      </c>
      <c r="G3931" t="s">
        <v>56</v>
      </c>
      <c r="H3931" t="s">
        <v>44</v>
      </c>
      <c r="I3931" t="s">
        <v>36</v>
      </c>
      <c r="J3931" t="s">
        <v>21</v>
      </c>
      <c r="K3931">
        <v>48</v>
      </c>
      <c r="L3931">
        <v>2.37</v>
      </c>
      <c r="M3931">
        <v>3.7</v>
      </c>
      <c r="N3931" t="s">
        <v>22</v>
      </c>
      <c r="O3931" t="str">
        <f t="shared" si="61"/>
        <v>No</v>
      </c>
    </row>
    <row r="3932" spans="1:15" x14ac:dyDescent="0.25">
      <c r="A3932" t="s">
        <v>3993</v>
      </c>
      <c r="B3932" s="1">
        <v>45786</v>
      </c>
      <c r="C3932" s="2">
        <v>45786.284166666665</v>
      </c>
      <c r="D3932" t="s">
        <v>24</v>
      </c>
      <c r="E3932" t="s">
        <v>32</v>
      </c>
      <c r="F3932" t="s">
        <v>75</v>
      </c>
      <c r="G3932" t="s">
        <v>41</v>
      </c>
      <c r="H3932" t="s">
        <v>35</v>
      </c>
      <c r="I3932" t="s">
        <v>20</v>
      </c>
      <c r="J3932" t="s">
        <v>46</v>
      </c>
      <c r="K3932">
        <v>24</v>
      </c>
      <c r="L3932">
        <v>6.82</v>
      </c>
      <c r="M3932">
        <v>3.5</v>
      </c>
      <c r="N3932" t="s">
        <v>22</v>
      </c>
      <c r="O3932" t="str">
        <f t="shared" si="61"/>
        <v>No</v>
      </c>
    </row>
    <row r="3933" spans="1:15" x14ac:dyDescent="0.25">
      <c r="A3933" t="s">
        <v>3994</v>
      </c>
      <c r="B3933" s="1">
        <v>45671</v>
      </c>
      <c r="C3933" s="2">
        <v>45671.48541666667</v>
      </c>
      <c r="D3933" t="s">
        <v>24</v>
      </c>
      <c r="E3933" t="s">
        <v>32</v>
      </c>
      <c r="F3933" t="s">
        <v>64</v>
      </c>
      <c r="G3933" t="s">
        <v>51</v>
      </c>
      <c r="H3933" t="s">
        <v>19</v>
      </c>
      <c r="I3933" t="s">
        <v>45</v>
      </c>
      <c r="J3933" t="s">
        <v>85</v>
      </c>
      <c r="K3933">
        <v>24</v>
      </c>
      <c r="L3933">
        <v>11.65</v>
      </c>
      <c r="M3933">
        <v>4.2</v>
      </c>
      <c r="N3933" t="s">
        <v>22</v>
      </c>
      <c r="O3933" t="str">
        <f t="shared" si="61"/>
        <v>No</v>
      </c>
    </row>
    <row r="3934" spans="1:15" x14ac:dyDescent="0.25">
      <c r="A3934" t="s">
        <v>3995</v>
      </c>
      <c r="B3934" s="1">
        <v>45785</v>
      </c>
      <c r="C3934" s="2">
        <v>45785.963333333333</v>
      </c>
      <c r="D3934" t="s">
        <v>15</v>
      </c>
      <c r="E3934" t="s">
        <v>25</v>
      </c>
      <c r="F3934" t="s">
        <v>70</v>
      </c>
      <c r="G3934" t="s">
        <v>18</v>
      </c>
      <c r="H3934" t="s">
        <v>27</v>
      </c>
      <c r="I3934" t="s">
        <v>45</v>
      </c>
      <c r="J3934" t="s">
        <v>46</v>
      </c>
      <c r="K3934">
        <v>48</v>
      </c>
      <c r="L3934">
        <v>23.12</v>
      </c>
      <c r="M3934">
        <v>5</v>
      </c>
      <c r="N3934" t="s">
        <v>61</v>
      </c>
      <c r="O3934" t="str">
        <f t="shared" si="61"/>
        <v>No</v>
      </c>
    </row>
    <row r="3935" spans="1:15" x14ac:dyDescent="0.25">
      <c r="A3935" t="s">
        <v>3996</v>
      </c>
      <c r="B3935" s="1">
        <v>45790</v>
      </c>
      <c r="C3935" s="2">
        <v>45790.378333333334</v>
      </c>
      <c r="D3935" t="s">
        <v>38</v>
      </c>
      <c r="E3935" t="s">
        <v>25</v>
      </c>
      <c r="F3935" t="s">
        <v>48</v>
      </c>
      <c r="G3935" t="s">
        <v>18</v>
      </c>
      <c r="H3935" t="s">
        <v>65</v>
      </c>
      <c r="I3935" t="s">
        <v>45</v>
      </c>
      <c r="J3935" t="s">
        <v>21</v>
      </c>
      <c r="K3935">
        <v>8</v>
      </c>
      <c r="L3935">
        <v>9.08</v>
      </c>
      <c r="M3935">
        <v>4.4000000000000004</v>
      </c>
      <c r="N3935" t="s">
        <v>22</v>
      </c>
      <c r="O3935" t="str">
        <f t="shared" si="61"/>
        <v>Yes</v>
      </c>
    </row>
    <row r="3936" spans="1:15" x14ac:dyDescent="0.25">
      <c r="A3936" t="s">
        <v>3997</v>
      </c>
      <c r="B3936" s="1">
        <v>45691</v>
      </c>
      <c r="C3936" s="2">
        <v>45691.148333333331</v>
      </c>
      <c r="D3936" t="s">
        <v>24</v>
      </c>
      <c r="E3936" t="s">
        <v>16</v>
      </c>
      <c r="F3936" t="s">
        <v>58</v>
      </c>
      <c r="G3936" t="s">
        <v>51</v>
      </c>
      <c r="H3936" t="s">
        <v>27</v>
      </c>
      <c r="I3936" t="s">
        <v>36</v>
      </c>
      <c r="J3936" t="s">
        <v>21</v>
      </c>
      <c r="K3936">
        <v>24</v>
      </c>
      <c r="L3936">
        <v>3.56</v>
      </c>
      <c r="M3936">
        <v>5</v>
      </c>
      <c r="N3936" t="s">
        <v>22</v>
      </c>
      <c r="O3936" t="str">
        <f t="shared" si="61"/>
        <v>No</v>
      </c>
    </row>
    <row r="3937" spans="1:15" x14ac:dyDescent="0.25">
      <c r="A3937" t="s">
        <v>3998</v>
      </c>
      <c r="B3937" s="1">
        <v>45811</v>
      </c>
      <c r="C3937" s="2">
        <v>45811.092916666668</v>
      </c>
      <c r="D3937" t="s">
        <v>24</v>
      </c>
      <c r="E3937" t="s">
        <v>16</v>
      </c>
      <c r="F3937" t="s">
        <v>43</v>
      </c>
      <c r="G3937" t="s">
        <v>18</v>
      </c>
      <c r="H3937" t="s">
        <v>19</v>
      </c>
      <c r="I3937" t="s">
        <v>45</v>
      </c>
      <c r="J3937" t="s">
        <v>21</v>
      </c>
      <c r="K3937">
        <v>24</v>
      </c>
      <c r="L3937">
        <v>2.23</v>
      </c>
      <c r="M3937">
        <v>4.8</v>
      </c>
      <c r="N3937" t="s">
        <v>22</v>
      </c>
      <c r="O3937" t="str">
        <f t="shared" si="61"/>
        <v>No</v>
      </c>
    </row>
    <row r="3938" spans="1:15" x14ac:dyDescent="0.25">
      <c r="A3938" t="s">
        <v>3999</v>
      </c>
      <c r="B3938" s="1">
        <v>45752</v>
      </c>
      <c r="C3938" s="2">
        <v>45752.320833333331</v>
      </c>
      <c r="D3938" t="s">
        <v>24</v>
      </c>
      <c r="E3938" t="s">
        <v>39</v>
      </c>
      <c r="F3938" t="s">
        <v>119</v>
      </c>
      <c r="G3938" t="s">
        <v>56</v>
      </c>
      <c r="H3938" t="s">
        <v>44</v>
      </c>
      <c r="I3938" t="s">
        <v>45</v>
      </c>
      <c r="J3938" t="s">
        <v>46</v>
      </c>
      <c r="K3938">
        <v>24</v>
      </c>
      <c r="L3938">
        <v>7.7</v>
      </c>
      <c r="M3938">
        <v>5</v>
      </c>
      <c r="N3938" t="s">
        <v>22</v>
      </c>
      <c r="O3938" t="str">
        <f t="shared" si="61"/>
        <v>No</v>
      </c>
    </row>
    <row r="3939" spans="1:15" x14ac:dyDescent="0.25">
      <c r="A3939" t="s">
        <v>4000</v>
      </c>
      <c r="B3939" s="1">
        <v>45743</v>
      </c>
      <c r="C3939" s="2">
        <v>45743.485833333332</v>
      </c>
      <c r="D3939" t="s">
        <v>24</v>
      </c>
      <c r="E3939" t="s">
        <v>32</v>
      </c>
      <c r="F3939" t="s">
        <v>33</v>
      </c>
      <c r="G3939" t="s">
        <v>41</v>
      </c>
      <c r="H3939" t="s">
        <v>35</v>
      </c>
      <c r="I3939" t="s">
        <v>36</v>
      </c>
      <c r="J3939" t="s">
        <v>21</v>
      </c>
      <c r="K3939">
        <v>24</v>
      </c>
      <c r="L3939">
        <v>11.66</v>
      </c>
      <c r="M3939">
        <v>3.9</v>
      </c>
      <c r="N3939" t="s">
        <v>22</v>
      </c>
      <c r="O3939" t="str">
        <f t="shared" si="61"/>
        <v>No</v>
      </c>
    </row>
    <row r="3940" spans="1:15" x14ac:dyDescent="0.25">
      <c r="A3940" t="s">
        <v>4001</v>
      </c>
      <c r="B3940" s="1">
        <v>45788</v>
      </c>
      <c r="C3940" s="2">
        <v>45788.127500000002</v>
      </c>
      <c r="D3940" t="s">
        <v>38</v>
      </c>
      <c r="E3940" t="s">
        <v>25</v>
      </c>
      <c r="F3940" t="s">
        <v>53</v>
      </c>
      <c r="G3940" t="s">
        <v>41</v>
      </c>
      <c r="H3940" t="s">
        <v>44</v>
      </c>
      <c r="I3940" t="s">
        <v>20</v>
      </c>
      <c r="J3940" t="s">
        <v>85</v>
      </c>
      <c r="K3940">
        <v>8</v>
      </c>
      <c r="L3940">
        <v>3.06</v>
      </c>
      <c r="M3940">
        <v>4.3</v>
      </c>
      <c r="N3940" t="s">
        <v>22</v>
      </c>
      <c r="O3940" t="str">
        <f t="shared" si="61"/>
        <v>No</v>
      </c>
    </row>
    <row r="3941" spans="1:15" x14ac:dyDescent="0.25">
      <c r="A3941" t="s">
        <v>4002</v>
      </c>
      <c r="B3941" s="1">
        <v>45750</v>
      </c>
      <c r="C3941" s="2">
        <v>45750.969166666669</v>
      </c>
      <c r="D3941" t="s">
        <v>24</v>
      </c>
      <c r="E3941" t="s">
        <v>25</v>
      </c>
      <c r="F3941" t="s">
        <v>53</v>
      </c>
      <c r="G3941" t="s">
        <v>56</v>
      </c>
      <c r="H3941" t="s">
        <v>65</v>
      </c>
      <c r="I3941" t="s">
        <v>36</v>
      </c>
      <c r="J3941" t="s">
        <v>21</v>
      </c>
      <c r="K3941">
        <v>24</v>
      </c>
      <c r="L3941">
        <v>23.26</v>
      </c>
      <c r="M3941">
        <v>2.9</v>
      </c>
      <c r="N3941" t="s">
        <v>22</v>
      </c>
      <c r="O3941" t="str">
        <f t="shared" si="61"/>
        <v>No</v>
      </c>
    </row>
    <row r="3942" spans="1:15" x14ac:dyDescent="0.25">
      <c r="A3942" t="s">
        <v>4003</v>
      </c>
      <c r="B3942" s="1">
        <v>45756</v>
      </c>
      <c r="C3942" s="2">
        <v>45756.168749999997</v>
      </c>
      <c r="D3942" t="s">
        <v>24</v>
      </c>
      <c r="E3942" t="s">
        <v>39</v>
      </c>
      <c r="F3942" t="s">
        <v>40</v>
      </c>
      <c r="G3942" t="s">
        <v>34</v>
      </c>
      <c r="H3942" t="s">
        <v>27</v>
      </c>
      <c r="I3942" t="s">
        <v>45</v>
      </c>
      <c r="J3942" t="s">
        <v>21</v>
      </c>
      <c r="K3942">
        <v>24</v>
      </c>
      <c r="L3942">
        <v>4.05</v>
      </c>
      <c r="M3942">
        <v>4.5999999999999996</v>
      </c>
      <c r="N3942" t="s">
        <v>22</v>
      </c>
      <c r="O3942" t="str">
        <f t="shared" si="61"/>
        <v>No</v>
      </c>
    </row>
    <row r="3943" spans="1:15" x14ac:dyDescent="0.25">
      <c r="A3943" t="s">
        <v>4004</v>
      </c>
      <c r="B3943" s="1">
        <v>45714</v>
      </c>
      <c r="C3943" s="2">
        <v>45714.097916666666</v>
      </c>
      <c r="D3943" t="s">
        <v>38</v>
      </c>
      <c r="E3943" t="s">
        <v>32</v>
      </c>
      <c r="F3943" t="s">
        <v>33</v>
      </c>
      <c r="G3943" t="s">
        <v>51</v>
      </c>
      <c r="H3943" t="s">
        <v>27</v>
      </c>
      <c r="I3943" t="s">
        <v>20</v>
      </c>
      <c r="J3943" t="s">
        <v>21</v>
      </c>
      <c r="K3943">
        <v>8</v>
      </c>
      <c r="L3943">
        <v>2.35</v>
      </c>
      <c r="M3943">
        <v>4.0999999999999996</v>
      </c>
      <c r="N3943" t="s">
        <v>22</v>
      </c>
      <c r="O3943" t="str">
        <f t="shared" si="61"/>
        <v>No</v>
      </c>
    </row>
    <row r="3944" spans="1:15" x14ac:dyDescent="0.25">
      <c r="A3944" t="s">
        <v>4005</v>
      </c>
      <c r="B3944" s="1">
        <v>45825</v>
      </c>
      <c r="C3944" s="2">
        <v>45825.245416666665</v>
      </c>
      <c r="D3944" t="s">
        <v>38</v>
      </c>
      <c r="E3944" t="s">
        <v>32</v>
      </c>
      <c r="F3944" t="s">
        <v>75</v>
      </c>
      <c r="G3944" t="s">
        <v>56</v>
      </c>
      <c r="H3944" t="s">
        <v>65</v>
      </c>
      <c r="I3944" t="s">
        <v>36</v>
      </c>
      <c r="J3944" t="s">
        <v>21</v>
      </c>
      <c r="K3944">
        <v>8</v>
      </c>
      <c r="L3944">
        <v>5.89</v>
      </c>
      <c r="M3944">
        <v>5</v>
      </c>
      <c r="N3944" t="s">
        <v>22</v>
      </c>
      <c r="O3944" t="str">
        <f t="shared" si="61"/>
        <v>No</v>
      </c>
    </row>
    <row r="3945" spans="1:15" x14ac:dyDescent="0.25">
      <c r="A3945" t="s">
        <v>4006</v>
      </c>
      <c r="B3945" s="1">
        <v>45833</v>
      </c>
      <c r="C3945" s="2">
        <v>45833.164166666669</v>
      </c>
      <c r="D3945" t="s">
        <v>38</v>
      </c>
      <c r="E3945" t="s">
        <v>32</v>
      </c>
      <c r="F3945" t="s">
        <v>80</v>
      </c>
      <c r="G3945" t="s">
        <v>34</v>
      </c>
      <c r="H3945" t="s">
        <v>35</v>
      </c>
      <c r="I3945" t="s">
        <v>36</v>
      </c>
      <c r="J3945" t="s">
        <v>21</v>
      </c>
      <c r="K3945">
        <v>8</v>
      </c>
      <c r="L3945">
        <v>3.94</v>
      </c>
      <c r="M3945">
        <v>5</v>
      </c>
      <c r="N3945" t="s">
        <v>22</v>
      </c>
      <c r="O3945" t="str">
        <f t="shared" si="61"/>
        <v>No</v>
      </c>
    </row>
    <row r="3946" spans="1:15" x14ac:dyDescent="0.25">
      <c r="A3946" t="s">
        <v>4007</v>
      </c>
      <c r="B3946" s="1">
        <v>45681</v>
      </c>
      <c r="C3946" s="2">
        <v>45683.302916666667</v>
      </c>
      <c r="D3946" t="s">
        <v>15</v>
      </c>
      <c r="E3946" t="s">
        <v>39</v>
      </c>
      <c r="F3946" t="s">
        <v>119</v>
      </c>
      <c r="G3946" t="s">
        <v>18</v>
      </c>
      <c r="H3946" t="s">
        <v>35</v>
      </c>
      <c r="I3946" t="s">
        <v>45</v>
      </c>
      <c r="J3946" t="s">
        <v>21</v>
      </c>
      <c r="K3946">
        <v>48</v>
      </c>
      <c r="L3946">
        <v>55.27</v>
      </c>
      <c r="M3946">
        <v>3.7</v>
      </c>
      <c r="N3946" t="s">
        <v>22</v>
      </c>
      <c r="O3946" t="str">
        <f t="shared" si="61"/>
        <v>Yes</v>
      </c>
    </row>
    <row r="3947" spans="1:15" x14ac:dyDescent="0.25">
      <c r="A3947" t="s">
        <v>4008</v>
      </c>
      <c r="B3947" s="1">
        <v>45790</v>
      </c>
      <c r="C3947" s="2">
        <v>45790.987083333333</v>
      </c>
      <c r="D3947" t="s">
        <v>15</v>
      </c>
      <c r="E3947" t="s">
        <v>32</v>
      </c>
      <c r="F3947" t="s">
        <v>80</v>
      </c>
      <c r="G3947" t="s">
        <v>34</v>
      </c>
      <c r="H3947" t="s">
        <v>27</v>
      </c>
      <c r="I3947" t="s">
        <v>36</v>
      </c>
      <c r="J3947" t="s">
        <v>21</v>
      </c>
      <c r="K3947">
        <v>48</v>
      </c>
      <c r="L3947">
        <v>23.69</v>
      </c>
      <c r="M3947">
        <v>4.7</v>
      </c>
      <c r="N3947" t="s">
        <v>22</v>
      </c>
      <c r="O3947" t="str">
        <f t="shared" si="61"/>
        <v>No</v>
      </c>
    </row>
    <row r="3948" spans="1:15" x14ac:dyDescent="0.25">
      <c r="A3948" t="s">
        <v>4009</v>
      </c>
      <c r="B3948" s="1">
        <v>45662</v>
      </c>
      <c r="C3948" s="2">
        <v>45662.146249999998</v>
      </c>
      <c r="D3948" t="s">
        <v>24</v>
      </c>
      <c r="E3948" t="s">
        <v>25</v>
      </c>
      <c r="F3948" t="s">
        <v>70</v>
      </c>
      <c r="G3948" t="s">
        <v>56</v>
      </c>
      <c r="H3948" t="s">
        <v>27</v>
      </c>
      <c r="I3948" t="s">
        <v>36</v>
      </c>
      <c r="J3948" t="s">
        <v>21</v>
      </c>
      <c r="K3948">
        <v>24</v>
      </c>
      <c r="L3948">
        <v>3.51</v>
      </c>
      <c r="M3948">
        <v>4.4000000000000004</v>
      </c>
      <c r="N3948" t="s">
        <v>22</v>
      </c>
      <c r="O3948" t="str">
        <f t="shared" si="61"/>
        <v>No</v>
      </c>
    </row>
    <row r="3949" spans="1:15" x14ac:dyDescent="0.25">
      <c r="A3949" t="s">
        <v>4010</v>
      </c>
      <c r="B3949" s="1">
        <v>45724</v>
      </c>
      <c r="C3949" s="2">
        <v>45725.053333333337</v>
      </c>
      <c r="D3949" t="s">
        <v>24</v>
      </c>
      <c r="E3949" t="s">
        <v>32</v>
      </c>
      <c r="F3949" t="s">
        <v>80</v>
      </c>
      <c r="G3949" t="s">
        <v>41</v>
      </c>
      <c r="H3949" t="s">
        <v>44</v>
      </c>
      <c r="I3949" t="s">
        <v>20</v>
      </c>
      <c r="J3949" t="s">
        <v>21</v>
      </c>
      <c r="K3949">
        <v>24</v>
      </c>
      <c r="L3949">
        <v>25.28</v>
      </c>
      <c r="M3949">
        <v>2.1</v>
      </c>
      <c r="N3949" t="s">
        <v>22</v>
      </c>
      <c r="O3949" t="str">
        <f t="shared" si="61"/>
        <v>Yes</v>
      </c>
    </row>
    <row r="3950" spans="1:15" x14ac:dyDescent="0.25">
      <c r="A3950" t="s">
        <v>4011</v>
      </c>
      <c r="B3950" s="1">
        <v>45833</v>
      </c>
      <c r="C3950" s="2">
        <v>45833.971250000002</v>
      </c>
      <c r="D3950" t="s">
        <v>24</v>
      </c>
      <c r="E3950" t="s">
        <v>16</v>
      </c>
      <c r="F3950" t="s">
        <v>43</v>
      </c>
      <c r="G3950" t="s">
        <v>41</v>
      </c>
      <c r="H3950" t="s">
        <v>54</v>
      </c>
      <c r="I3950" t="s">
        <v>36</v>
      </c>
      <c r="J3950" t="s">
        <v>46</v>
      </c>
      <c r="K3950">
        <v>24</v>
      </c>
      <c r="L3950">
        <v>23.31</v>
      </c>
      <c r="M3950">
        <v>3.3</v>
      </c>
      <c r="N3950" t="s">
        <v>22</v>
      </c>
      <c r="O3950" t="str">
        <f t="shared" si="61"/>
        <v>No</v>
      </c>
    </row>
    <row r="3951" spans="1:15" x14ac:dyDescent="0.25">
      <c r="A3951" t="s">
        <v>4012</v>
      </c>
      <c r="B3951" s="1">
        <v>45689</v>
      </c>
      <c r="C3951" s="2">
        <v>45689.220405092594</v>
      </c>
      <c r="D3951" t="s">
        <v>38</v>
      </c>
      <c r="E3951" t="s">
        <v>16</v>
      </c>
      <c r="F3951" t="s">
        <v>60</v>
      </c>
      <c r="G3951" t="s">
        <v>34</v>
      </c>
      <c r="H3951" t="s">
        <v>65</v>
      </c>
      <c r="I3951" t="s">
        <v>45</v>
      </c>
      <c r="J3951" t="s">
        <v>29</v>
      </c>
      <c r="K3951">
        <v>8</v>
      </c>
      <c r="L3951">
        <v>5.29</v>
      </c>
      <c r="M3951">
        <v>4.7</v>
      </c>
      <c r="N3951" t="s">
        <v>22</v>
      </c>
      <c r="O3951" t="str">
        <f t="shared" si="61"/>
        <v>No</v>
      </c>
    </row>
    <row r="3952" spans="1:15" x14ac:dyDescent="0.25">
      <c r="A3952" t="s">
        <v>4013</v>
      </c>
      <c r="B3952" s="1">
        <v>45726</v>
      </c>
      <c r="C3952" s="2">
        <v>45730.161249999997</v>
      </c>
      <c r="D3952" t="s">
        <v>15</v>
      </c>
      <c r="E3952" t="s">
        <v>25</v>
      </c>
      <c r="F3952" t="s">
        <v>48</v>
      </c>
      <c r="G3952" t="s">
        <v>51</v>
      </c>
      <c r="H3952" t="s">
        <v>65</v>
      </c>
      <c r="I3952" t="s">
        <v>36</v>
      </c>
      <c r="J3952" t="s">
        <v>21</v>
      </c>
      <c r="K3952">
        <v>48</v>
      </c>
      <c r="L3952">
        <v>99.87</v>
      </c>
      <c r="M3952">
        <v>2.8</v>
      </c>
      <c r="N3952" t="s">
        <v>22</v>
      </c>
      <c r="O3952" t="str">
        <f t="shared" si="61"/>
        <v>Yes</v>
      </c>
    </row>
    <row r="3953" spans="1:15" x14ac:dyDescent="0.25">
      <c r="A3953" t="s">
        <v>4014</v>
      </c>
      <c r="B3953" s="1">
        <v>45697</v>
      </c>
      <c r="C3953" s="2">
        <v>45698.023738425924</v>
      </c>
      <c r="D3953" t="s">
        <v>15</v>
      </c>
      <c r="E3953" t="s">
        <v>45</v>
      </c>
      <c r="F3953" t="s">
        <v>100</v>
      </c>
      <c r="G3953" t="s">
        <v>41</v>
      </c>
      <c r="H3953" t="s">
        <v>19</v>
      </c>
      <c r="I3953" t="s">
        <v>36</v>
      </c>
      <c r="J3953" t="s">
        <v>21</v>
      </c>
      <c r="K3953">
        <v>48</v>
      </c>
      <c r="L3953">
        <v>24.57</v>
      </c>
      <c r="M3953">
        <v>4.0999999999999996</v>
      </c>
      <c r="N3953" t="s">
        <v>22</v>
      </c>
      <c r="O3953" t="str">
        <f t="shared" si="61"/>
        <v>No</v>
      </c>
    </row>
    <row r="3954" spans="1:15" x14ac:dyDescent="0.25">
      <c r="A3954" t="s">
        <v>4015</v>
      </c>
      <c r="B3954" s="1">
        <v>45789</v>
      </c>
      <c r="C3954" s="2">
        <v>45789.542916666665</v>
      </c>
      <c r="D3954" t="s">
        <v>24</v>
      </c>
      <c r="E3954" t="s">
        <v>39</v>
      </c>
      <c r="F3954" t="s">
        <v>119</v>
      </c>
      <c r="G3954" t="s">
        <v>34</v>
      </c>
      <c r="H3954" t="s">
        <v>54</v>
      </c>
      <c r="I3954" t="s">
        <v>36</v>
      </c>
      <c r="J3954" t="s">
        <v>46</v>
      </c>
      <c r="K3954">
        <v>24</v>
      </c>
      <c r="L3954">
        <v>13.03</v>
      </c>
      <c r="M3954">
        <v>4.8</v>
      </c>
      <c r="N3954" t="s">
        <v>22</v>
      </c>
      <c r="O3954" t="str">
        <f t="shared" si="61"/>
        <v>No</v>
      </c>
    </row>
    <row r="3955" spans="1:15" x14ac:dyDescent="0.25">
      <c r="A3955" t="s">
        <v>4016</v>
      </c>
      <c r="B3955" s="1">
        <v>45741</v>
      </c>
      <c r="C3955" s="2">
        <v>45742.907500000001</v>
      </c>
      <c r="D3955" t="s">
        <v>15</v>
      </c>
      <c r="E3955" t="s">
        <v>32</v>
      </c>
      <c r="F3955" t="s">
        <v>33</v>
      </c>
      <c r="G3955" t="s">
        <v>41</v>
      </c>
      <c r="H3955" t="s">
        <v>35</v>
      </c>
      <c r="I3955" t="s">
        <v>28</v>
      </c>
      <c r="J3955" t="s">
        <v>85</v>
      </c>
      <c r="K3955">
        <v>48</v>
      </c>
      <c r="L3955">
        <v>45.78</v>
      </c>
      <c r="M3955">
        <v>3.5</v>
      </c>
      <c r="N3955" t="s">
        <v>22</v>
      </c>
      <c r="O3955" t="str">
        <f t="shared" si="61"/>
        <v>No</v>
      </c>
    </row>
    <row r="3956" spans="1:15" x14ac:dyDescent="0.25">
      <c r="A3956" t="s">
        <v>4017</v>
      </c>
      <c r="B3956" s="1">
        <v>45765</v>
      </c>
      <c r="C3956" s="2">
        <v>45765.607916666668</v>
      </c>
      <c r="D3956" t="s">
        <v>24</v>
      </c>
      <c r="E3956" t="s">
        <v>25</v>
      </c>
      <c r="F3956" t="s">
        <v>70</v>
      </c>
      <c r="G3956" t="s">
        <v>18</v>
      </c>
      <c r="H3956" t="s">
        <v>65</v>
      </c>
      <c r="I3956" t="s">
        <v>45</v>
      </c>
      <c r="J3956" t="s">
        <v>46</v>
      </c>
      <c r="K3956">
        <v>24</v>
      </c>
      <c r="L3956">
        <v>14.59</v>
      </c>
      <c r="M3956">
        <v>3.5</v>
      </c>
      <c r="N3956" t="s">
        <v>22</v>
      </c>
      <c r="O3956" t="str">
        <f t="shared" si="61"/>
        <v>No</v>
      </c>
    </row>
    <row r="3957" spans="1:15" x14ac:dyDescent="0.25">
      <c r="A3957" t="s">
        <v>4018</v>
      </c>
      <c r="B3957" s="1">
        <v>45828</v>
      </c>
      <c r="C3957" s="2">
        <v>45828.179583333331</v>
      </c>
      <c r="D3957" t="s">
        <v>38</v>
      </c>
      <c r="E3957" t="s">
        <v>32</v>
      </c>
      <c r="F3957" t="s">
        <v>75</v>
      </c>
      <c r="G3957" t="s">
        <v>51</v>
      </c>
      <c r="H3957" t="s">
        <v>54</v>
      </c>
      <c r="I3957" t="s">
        <v>36</v>
      </c>
      <c r="J3957" t="s">
        <v>21</v>
      </c>
      <c r="K3957">
        <v>8</v>
      </c>
      <c r="L3957">
        <v>4.3099999999999996</v>
      </c>
      <c r="M3957">
        <v>4.8</v>
      </c>
      <c r="N3957" t="s">
        <v>22</v>
      </c>
      <c r="O3957" t="str">
        <f t="shared" si="61"/>
        <v>No</v>
      </c>
    </row>
    <row r="3958" spans="1:15" x14ac:dyDescent="0.25">
      <c r="A3958" t="s">
        <v>4019</v>
      </c>
      <c r="B3958" s="1">
        <v>45752</v>
      </c>
      <c r="C3958" s="2">
        <v>45752.090416666666</v>
      </c>
      <c r="D3958" t="s">
        <v>24</v>
      </c>
      <c r="E3958" t="s">
        <v>32</v>
      </c>
      <c r="F3958" t="s">
        <v>75</v>
      </c>
      <c r="G3958" t="s">
        <v>41</v>
      </c>
      <c r="H3958" t="s">
        <v>44</v>
      </c>
      <c r="I3958" t="s">
        <v>36</v>
      </c>
      <c r="J3958" t="s">
        <v>29</v>
      </c>
      <c r="K3958">
        <v>24</v>
      </c>
      <c r="L3958">
        <v>2.17</v>
      </c>
      <c r="M3958">
        <v>4.5</v>
      </c>
      <c r="N3958" t="s">
        <v>61</v>
      </c>
      <c r="O3958" t="str">
        <f t="shared" si="61"/>
        <v>No</v>
      </c>
    </row>
    <row r="3959" spans="1:15" x14ac:dyDescent="0.25">
      <c r="A3959" t="s">
        <v>4020</v>
      </c>
      <c r="B3959" s="1">
        <v>45790</v>
      </c>
      <c r="C3959" s="2">
        <v>45790.042916666665</v>
      </c>
      <c r="D3959" t="s">
        <v>38</v>
      </c>
      <c r="E3959" t="s">
        <v>32</v>
      </c>
      <c r="F3959" t="s">
        <v>80</v>
      </c>
      <c r="G3959" t="s">
        <v>34</v>
      </c>
      <c r="H3959" t="s">
        <v>65</v>
      </c>
      <c r="I3959" t="s">
        <v>45</v>
      </c>
      <c r="J3959" t="s">
        <v>46</v>
      </c>
      <c r="K3959">
        <v>8</v>
      </c>
      <c r="L3959">
        <v>1.03</v>
      </c>
      <c r="M3959">
        <v>5</v>
      </c>
      <c r="N3959" t="s">
        <v>22</v>
      </c>
      <c r="O3959" t="str">
        <f t="shared" si="61"/>
        <v>No</v>
      </c>
    </row>
    <row r="3960" spans="1:15" x14ac:dyDescent="0.25">
      <c r="A3960" t="s">
        <v>4021</v>
      </c>
      <c r="B3960" s="1">
        <v>45675</v>
      </c>
      <c r="C3960" s="2">
        <v>45675.128750000003</v>
      </c>
      <c r="D3960" t="s">
        <v>24</v>
      </c>
      <c r="E3960" t="s">
        <v>45</v>
      </c>
      <c r="F3960" t="s">
        <v>104</v>
      </c>
      <c r="G3960" t="s">
        <v>51</v>
      </c>
      <c r="H3960" t="s">
        <v>35</v>
      </c>
      <c r="I3960" t="s">
        <v>45</v>
      </c>
      <c r="J3960" t="s">
        <v>21</v>
      </c>
      <c r="K3960">
        <v>24</v>
      </c>
      <c r="L3960">
        <v>3.09</v>
      </c>
      <c r="M3960">
        <v>3.5</v>
      </c>
      <c r="N3960" t="s">
        <v>22</v>
      </c>
      <c r="O3960" t="str">
        <f t="shared" si="61"/>
        <v>No</v>
      </c>
    </row>
    <row r="3961" spans="1:15" x14ac:dyDescent="0.25">
      <c r="A3961" t="s">
        <v>4022</v>
      </c>
      <c r="B3961" s="1">
        <v>45696</v>
      </c>
      <c r="C3961" s="2">
        <v>45696.367083333331</v>
      </c>
      <c r="D3961" t="s">
        <v>24</v>
      </c>
      <c r="E3961" t="s">
        <v>32</v>
      </c>
      <c r="F3961" t="s">
        <v>33</v>
      </c>
      <c r="G3961" t="s">
        <v>34</v>
      </c>
      <c r="H3961" t="s">
        <v>27</v>
      </c>
      <c r="I3961" t="s">
        <v>36</v>
      </c>
      <c r="J3961" t="s">
        <v>21</v>
      </c>
      <c r="K3961">
        <v>24</v>
      </c>
      <c r="L3961">
        <v>8.81</v>
      </c>
      <c r="M3961">
        <v>4.2</v>
      </c>
      <c r="N3961" t="s">
        <v>22</v>
      </c>
      <c r="O3961" t="str">
        <f t="shared" si="61"/>
        <v>No</v>
      </c>
    </row>
    <row r="3962" spans="1:15" x14ac:dyDescent="0.25">
      <c r="A3962" t="s">
        <v>4023</v>
      </c>
      <c r="B3962" s="1">
        <v>45829</v>
      </c>
      <c r="C3962" s="2">
        <v>45831.380833333336</v>
      </c>
      <c r="D3962" t="s">
        <v>15</v>
      </c>
      <c r="E3962" t="s">
        <v>16</v>
      </c>
      <c r="F3962" t="s">
        <v>17</v>
      </c>
      <c r="G3962" t="s">
        <v>34</v>
      </c>
      <c r="H3962" t="s">
        <v>54</v>
      </c>
      <c r="I3962" t="s">
        <v>36</v>
      </c>
      <c r="J3962" t="s">
        <v>85</v>
      </c>
      <c r="K3962">
        <v>48</v>
      </c>
      <c r="L3962">
        <v>57.14</v>
      </c>
      <c r="M3962">
        <v>4</v>
      </c>
      <c r="N3962" t="s">
        <v>22</v>
      </c>
      <c r="O3962" t="str">
        <f t="shared" si="61"/>
        <v>Yes</v>
      </c>
    </row>
    <row r="3963" spans="1:15" x14ac:dyDescent="0.25">
      <c r="A3963" t="s">
        <v>4024</v>
      </c>
      <c r="B3963" s="1">
        <v>45813</v>
      </c>
      <c r="C3963" s="2">
        <v>45813.53875</v>
      </c>
      <c r="D3963" t="s">
        <v>38</v>
      </c>
      <c r="E3963" t="s">
        <v>39</v>
      </c>
      <c r="F3963" t="s">
        <v>78</v>
      </c>
      <c r="G3963" t="s">
        <v>34</v>
      </c>
      <c r="H3963" t="s">
        <v>35</v>
      </c>
      <c r="I3963" t="s">
        <v>45</v>
      </c>
      <c r="J3963" t="s">
        <v>29</v>
      </c>
      <c r="K3963">
        <v>8</v>
      </c>
      <c r="L3963">
        <v>12.93</v>
      </c>
      <c r="M3963">
        <v>3.4</v>
      </c>
      <c r="N3963" t="s">
        <v>22</v>
      </c>
      <c r="O3963" t="str">
        <f t="shared" si="61"/>
        <v>Yes</v>
      </c>
    </row>
    <row r="3964" spans="1:15" x14ac:dyDescent="0.25">
      <c r="A3964" t="s">
        <v>4025</v>
      </c>
      <c r="B3964" s="1">
        <v>45776</v>
      </c>
      <c r="C3964" s="2">
        <v>45777.301249999997</v>
      </c>
      <c r="D3964" t="s">
        <v>24</v>
      </c>
      <c r="E3964" t="s">
        <v>16</v>
      </c>
      <c r="F3964" t="s">
        <v>58</v>
      </c>
      <c r="G3964" t="s">
        <v>18</v>
      </c>
      <c r="H3964" t="s">
        <v>19</v>
      </c>
      <c r="I3964" t="s">
        <v>45</v>
      </c>
      <c r="J3964" t="s">
        <v>21</v>
      </c>
      <c r="K3964">
        <v>24</v>
      </c>
      <c r="L3964">
        <v>31.23</v>
      </c>
      <c r="M3964">
        <v>3.3</v>
      </c>
      <c r="N3964" t="s">
        <v>61</v>
      </c>
      <c r="O3964" t="str">
        <f t="shared" si="61"/>
        <v>Yes</v>
      </c>
    </row>
    <row r="3965" spans="1:15" x14ac:dyDescent="0.25">
      <c r="A3965" t="s">
        <v>4026</v>
      </c>
      <c r="B3965" s="1">
        <v>45726</v>
      </c>
      <c r="C3965" s="2">
        <v>45728.681666666664</v>
      </c>
      <c r="D3965" t="s">
        <v>15</v>
      </c>
      <c r="E3965" t="s">
        <v>39</v>
      </c>
      <c r="F3965" t="s">
        <v>119</v>
      </c>
      <c r="G3965" t="s">
        <v>18</v>
      </c>
      <c r="H3965" t="s">
        <v>44</v>
      </c>
      <c r="I3965" t="s">
        <v>20</v>
      </c>
      <c r="J3965" t="s">
        <v>46</v>
      </c>
      <c r="K3965">
        <v>48</v>
      </c>
      <c r="L3965">
        <v>64.36</v>
      </c>
      <c r="M3965">
        <v>3.6</v>
      </c>
      <c r="N3965" t="s">
        <v>22</v>
      </c>
      <c r="O3965" t="str">
        <f t="shared" si="61"/>
        <v>Yes</v>
      </c>
    </row>
    <row r="3966" spans="1:15" x14ac:dyDescent="0.25">
      <c r="A3966" t="s">
        <v>4027</v>
      </c>
      <c r="B3966" s="1">
        <v>45694</v>
      </c>
      <c r="C3966" s="2">
        <v>45694.217499999999</v>
      </c>
      <c r="D3966" t="s">
        <v>24</v>
      </c>
      <c r="E3966" t="s">
        <v>25</v>
      </c>
      <c r="F3966" t="s">
        <v>48</v>
      </c>
      <c r="G3966" t="s">
        <v>18</v>
      </c>
      <c r="H3966" t="s">
        <v>54</v>
      </c>
      <c r="I3966" t="s">
        <v>45</v>
      </c>
      <c r="J3966" t="s">
        <v>21</v>
      </c>
      <c r="K3966">
        <v>24</v>
      </c>
      <c r="L3966">
        <v>5.22</v>
      </c>
      <c r="M3966">
        <v>4.8</v>
      </c>
      <c r="N3966" t="s">
        <v>22</v>
      </c>
      <c r="O3966" t="str">
        <f t="shared" si="61"/>
        <v>No</v>
      </c>
    </row>
    <row r="3967" spans="1:15" x14ac:dyDescent="0.25">
      <c r="A3967" t="s">
        <v>4028</v>
      </c>
      <c r="B3967" s="1">
        <v>45812</v>
      </c>
      <c r="C3967" s="2">
        <v>45812.164166666669</v>
      </c>
      <c r="D3967" t="s">
        <v>38</v>
      </c>
      <c r="E3967" t="s">
        <v>25</v>
      </c>
      <c r="F3967" t="s">
        <v>53</v>
      </c>
      <c r="G3967" t="s">
        <v>41</v>
      </c>
      <c r="H3967" t="s">
        <v>19</v>
      </c>
      <c r="I3967" t="s">
        <v>45</v>
      </c>
      <c r="J3967" t="s">
        <v>46</v>
      </c>
      <c r="K3967">
        <v>8</v>
      </c>
      <c r="L3967">
        <v>3.94</v>
      </c>
      <c r="M3967">
        <v>3.4</v>
      </c>
      <c r="N3967" t="s">
        <v>22</v>
      </c>
      <c r="O3967" t="str">
        <f t="shared" si="61"/>
        <v>No</v>
      </c>
    </row>
    <row r="3968" spans="1:15" x14ac:dyDescent="0.25">
      <c r="A3968" t="s">
        <v>4029</v>
      </c>
      <c r="B3968" s="1">
        <v>45800</v>
      </c>
      <c r="C3968" s="2">
        <v>45800.38208333333</v>
      </c>
      <c r="D3968" t="s">
        <v>15</v>
      </c>
      <c r="E3968" t="s">
        <v>39</v>
      </c>
      <c r="F3968" t="s">
        <v>119</v>
      </c>
      <c r="G3968" t="s">
        <v>51</v>
      </c>
      <c r="H3968" t="s">
        <v>65</v>
      </c>
      <c r="I3968" t="s">
        <v>45</v>
      </c>
      <c r="J3968" t="s">
        <v>21</v>
      </c>
      <c r="K3968">
        <v>48</v>
      </c>
      <c r="L3968">
        <v>9.17</v>
      </c>
      <c r="M3968">
        <v>4.5</v>
      </c>
      <c r="N3968" t="s">
        <v>22</v>
      </c>
      <c r="O3968" t="str">
        <f t="shared" si="61"/>
        <v>No</v>
      </c>
    </row>
    <row r="3969" spans="1:15" x14ac:dyDescent="0.25">
      <c r="A3969" t="s">
        <v>4030</v>
      </c>
      <c r="B3969" s="1">
        <v>45701</v>
      </c>
      <c r="C3969" s="2">
        <v>45701.213750000003</v>
      </c>
      <c r="D3969" t="s">
        <v>38</v>
      </c>
      <c r="E3969" t="s">
        <v>39</v>
      </c>
      <c r="F3969" t="s">
        <v>87</v>
      </c>
      <c r="G3969" t="s">
        <v>41</v>
      </c>
      <c r="H3969" t="s">
        <v>19</v>
      </c>
      <c r="I3969" t="s">
        <v>45</v>
      </c>
      <c r="J3969" t="s">
        <v>21</v>
      </c>
      <c r="K3969">
        <v>8</v>
      </c>
      <c r="L3969">
        <v>5.13</v>
      </c>
      <c r="M3969">
        <v>4.4000000000000004</v>
      </c>
      <c r="N3969" t="s">
        <v>22</v>
      </c>
      <c r="O3969" t="str">
        <f t="shared" si="61"/>
        <v>No</v>
      </c>
    </row>
    <row r="3970" spans="1:15" x14ac:dyDescent="0.25">
      <c r="A3970" t="s">
        <v>4031</v>
      </c>
      <c r="B3970" s="1">
        <v>45764</v>
      </c>
      <c r="C3970" s="2">
        <v>45764.061666666668</v>
      </c>
      <c r="D3970" t="s">
        <v>31</v>
      </c>
      <c r="E3970" t="s">
        <v>25</v>
      </c>
      <c r="F3970" t="s">
        <v>48</v>
      </c>
      <c r="G3970" t="s">
        <v>56</v>
      </c>
      <c r="H3970" t="s">
        <v>54</v>
      </c>
      <c r="I3970" t="s">
        <v>45</v>
      </c>
      <c r="J3970" t="s">
        <v>21</v>
      </c>
      <c r="K3970">
        <v>4</v>
      </c>
      <c r="L3970">
        <v>1.48</v>
      </c>
      <c r="M3970">
        <v>4.9000000000000004</v>
      </c>
      <c r="N3970" t="s">
        <v>22</v>
      </c>
      <c r="O3970" t="str">
        <f t="shared" si="61"/>
        <v>No</v>
      </c>
    </row>
    <row r="3971" spans="1:15" x14ac:dyDescent="0.25">
      <c r="A3971" t="s">
        <v>4032</v>
      </c>
      <c r="B3971" s="1">
        <v>45769</v>
      </c>
      <c r="C3971" s="2">
        <v>45769.03125</v>
      </c>
      <c r="D3971" t="s">
        <v>38</v>
      </c>
      <c r="E3971" t="s">
        <v>25</v>
      </c>
      <c r="F3971" t="s">
        <v>26</v>
      </c>
      <c r="G3971" t="s">
        <v>56</v>
      </c>
      <c r="H3971" t="s">
        <v>65</v>
      </c>
      <c r="I3971" t="s">
        <v>36</v>
      </c>
      <c r="J3971" t="s">
        <v>21</v>
      </c>
      <c r="K3971">
        <v>8</v>
      </c>
      <c r="L3971">
        <v>0.75</v>
      </c>
      <c r="M3971">
        <v>4.8</v>
      </c>
      <c r="N3971" t="s">
        <v>22</v>
      </c>
      <c r="O3971" t="str">
        <f t="shared" ref="O3971:O4034" si="62">IF(L3971&gt;K3971,"Yes","No")</f>
        <v>No</v>
      </c>
    </row>
    <row r="3972" spans="1:15" x14ac:dyDescent="0.25">
      <c r="A3972" t="s">
        <v>4033</v>
      </c>
      <c r="B3972" s="1">
        <v>45744</v>
      </c>
      <c r="C3972" s="2">
        <v>45744.704583333332</v>
      </c>
      <c r="D3972" t="s">
        <v>24</v>
      </c>
      <c r="E3972" t="s">
        <v>39</v>
      </c>
      <c r="F3972" t="s">
        <v>87</v>
      </c>
      <c r="G3972" t="s">
        <v>56</v>
      </c>
      <c r="H3972" t="s">
        <v>35</v>
      </c>
      <c r="I3972" t="s">
        <v>28</v>
      </c>
      <c r="J3972" t="s">
        <v>85</v>
      </c>
      <c r="K3972">
        <v>24</v>
      </c>
      <c r="L3972">
        <v>16.91</v>
      </c>
      <c r="M3972">
        <v>3.8</v>
      </c>
      <c r="N3972" t="s">
        <v>22</v>
      </c>
      <c r="O3972" t="str">
        <f t="shared" si="62"/>
        <v>No</v>
      </c>
    </row>
    <row r="3973" spans="1:15" x14ac:dyDescent="0.25">
      <c r="A3973" t="s">
        <v>4034</v>
      </c>
      <c r="B3973" s="1">
        <v>45825</v>
      </c>
      <c r="C3973" s="2">
        <v>45825.262071759258</v>
      </c>
      <c r="D3973" t="s">
        <v>24</v>
      </c>
      <c r="E3973" t="s">
        <v>39</v>
      </c>
      <c r="F3973" t="s">
        <v>119</v>
      </c>
      <c r="G3973" t="s">
        <v>56</v>
      </c>
      <c r="H3973" t="s">
        <v>19</v>
      </c>
      <c r="I3973" t="s">
        <v>36</v>
      </c>
      <c r="J3973" t="s">
        <v>29</v>
      </c>
      <c r="K3973">
        <v>24</v>
      </c>
      <c r="L3973">
        <v>6.29</v>
      </c>
      <c r="M3973">
        <v>3.8</v>
      </c>
      <c r="N3973" t="s">
        <v>22</v>
      </c>
      <c r="O3973" t="str">
        <f t="shared" si="62"/>
        <v>No</v>
      </c>
    </row>
    <row r="3974" spans="1:15" x14ac:dyDescent="0.25">
      <c r="A3974" t="s">
        <v>4035</v>
      </c>
      <c r="B3974" s="1">
        <v>45680</v>
      </c>
      <c r="C3974" s="2">
        <v>45680.075416666667</v>
      </c>
      <c r="D3974" t="s">
        <v>31</v>
      </c>
      <c r="E3974" t="s">
        <v>32</v>
      </c>
      <c r="F3974" t="s">
        <v>33</v>
      </c>
      <c r="G3974" t="s">
        <v>18</v>
      </c>
      <c r="H3974" t="s">
        <v>44</v>
      </c>
      <c r="I3974" t="s">
        <v>45</v>
      </c>
      <c r="J3974" t="s">
        <v>21</v>
      </c>
      <c r="K3974">
        <v>4</v>
      </c>
      <c r="L3974">
        <v>1.81</v>
      </c>
      <c r="M3974">
        <v>4.9000000000000004</v>
      </c>
      <c r="N3974" t="s">
        <v>22</v>
      </c>
      <c r="O3974" t="str">
        <f t="shared" si="62"/>
        <v>No</v>
      </c>
    </row>
    <row r="3975" spans="1:15" x14ac:dyDescent="0.25">
      <c r="A3975" t="s">
        <v>4036</v>
      </c>
      <c r="B3975" s="1">
        <v>45704</v>
      </c>
      <c r="C3975" s="2">
        <v>45704.314166666663</v>
      </c>
      <c r="D3975" t="s">
        <v>24</v>
      </c>
      <c r="E3975" t="s">
        <v>32</v>
      </c>
      <c r="F3975" t="s">
        <v>80</v>
      </c>
      <c r="G3975" t="s">
        <v>41</v>
      </c>
      <c r="H3975" t="s">
        <v>35</v>
      </c>
      <c r="I3975" t="s">
        <v>45</v>
      </c>
      <c r="J3975" t="s">
        <v>21</v>
      </c>
      <c r="K3975">
        <v>24</v>
      </c>
      <c r="L3975">
        <v>7.54</v>
      </c>
      <c r="M3975">
        <v>5</v>
      </c>
      <c r="N3975" t="s">
        <v>22</v>
      </c>
      <c r="O3975" t="str">
        <f t="shared" si="62"/>
        <v>No</v>
      </c>
    </row>
    <row r="3976" spans="1:15" x14ac:dyDescent="0.25">
      <c r="A3976" t="s">
        <v>4037</v>
      </c>
      <c r="B3976" s="1">
        <v>45675</v>
      </c>
      <c r="C3976" s="2">
        <v>45676.551666666666</v>
      </c>
      <c r="D3976" t="s">
        <v>15</v>
      </c>
      <c r="E3976" t="s">
        <v>32</v>
      </c>
      <c r="F3976" t="s">
        <v>33</v>
      </c>
      <c r="G3976" t="s">
        <v>34</v>
      </c>
      <c r="H3976" t="s">
        <v>19</v>
      </c>
      <c r="I3976" t="s">
        <v>20</v>
      </c>
      <c r="J3976" t="s">
        <v>21</v>
      </c>
      <c r="K3976">
        <v>48</v>
      </c>
      <c r="L3976">
        <v>37.24</v>
      </c>
      <c r="M3976">
        <v>4.7</v>
      </c>
      <c r="N3976" t="s">
        <v>22</v>
      </c>
      <c r="O3976" t="str">
        <f t="shared" si="62"/>
        <v>No</v>
      </c>
    </row>
    <row r="3977" spans="1:15" x14ac:dyDescent="0.25">
      <c r="A3977" t="s">
        <v>4038</v>
      </c>
      <c r="B3977" s="1">
        <v>45783</v>
      </c>
      <c r="C3977" s="2">
        <v>45784.10833333333</v>
      </c>
      <c r="D3977" t="s">
        <v>15</v>
      </c>
      <c r="E3977" t="s">
        <v>32</v>
      </c>
      <c r="F3977" t="s">
        <v>75</v>
      </c>
      <c r="G3977" t="s">
        <v>56</v>
      </c>
      <c r="H3977" t="s">
        <v>54</v>
      </c>
      <c r="I3977" t="s">
        <v>36</v>
      </c>
      <c r="J3977" t="s">
        <v>21</v>
      </c>
      <c r="K3977">
        <v>48</v>
      </c>
      <c r="L3977">
        <v>26.6</v>
      </c>
      <c r="M3977">
        <v>3.6</v>
      </c>
      <c r="N3977" t="s">
        <v>22</v>
      </c>
      <c r="O3977" t="str">
        <f t="shared" si="62"/>
        <v>No</v>
      </c>
    </row>
    <row r="3978" spans="1:15" x14ac:dyDescent="0.25">
      <c r="A3978" t="s">
        <v>4039</v>
      </c>
      <c r="B3978" s="1">
        <v>45774</v>
      </c>
      <c r="C3978" s="2">
        <v>45774.162499999999</v>
      </c>
      <c r="D3978" t="s">
        <v>38</v>
      </c>
      <c r="E3978" t="s">
        <v>32</v>
      </c>
      <c r="F3978" t="s">
        <v>75</v>
      </c>
      <c r="G3978" t="s">
        <v>56</v>
      </c>
      <c r="H3978" t="s">
        <v>54</v>
      </c>
      <c r="I3978" t="s">
        <v>20</v>
      </c>
      <c r="J3978" t="s">
        <v>21</v>
      </c>
      <c r="K3978">
        <v>8</v>
      </c>
      <c r="L3978">
        <v>3.9</v>
      </c>
      <c r="M3978">
        <v>4.5</v>
      </c>
      <c r="N3978" t="s">
        <v>22</v>
      </c>
      <c r="O3978" t="str">
        <f t="shared" si="62"/>
        <v>No</v>
      </c>
    </row>
    <row r="3979" spans="1:15" x14ac:dyDescent="0.25">
      <c r="A3979" t="s">
        <v>4040</v>
      </c>
      <c r="B3979" s="1">
        <v>45836</v>
      </c>
      <c r="C3979" s="2">
        <v>45837.270416666666</v>
      </c>
      <c r="D3979" t="s">
        <v>24</v>
      </c>
      <c r="E3979" t="s">
        <v>25</v>
      </c>
      <c r="F3979" t="s">
        <v>70</v>
      </c>
      <c r="G3979" t="s">
        <v>56</v>
      </c>
      <c r="H3979" t="s">
        <v>44</v>
      </c>
      <c r="I3979" t="s">
        <v>36</v>
      </c>
      <c r="J3979" t="s">
        <v>21</v>
      </c>
      <c r="K3979">
        <v>24</v>
      </c>
      <c r="L3979">
        <v>30.49</v>
      </c>
      <c r="M3979">
        <v>3</v>
      </c>
      <c r="N3979" t="s">
        <v>22</v>
      </c>
      <c r="O3979" t="str">
        <f t="shared" si="62"/>
        <v>Yes</v>
      </c>
    </row>
    <row r="3980" spans="1:15" x14ac:dyDescent="0.25">
      <c r="A3980" t="s">
        <v>4041</v>
      </c>
      <c r="B3980" s="1">
        <v>45756</v>
      </c>
      <c r="C3980" s="2">
        <v>45756.665416666663</v>
      </c>
      <c r="D3980" t="s">
        <v>15</v>
      </c>
      <c r="E3980" t="s">
        <v>25</v>
      </c>
      <c r="F3980" t="s">
        <v>53</v>
      </c>
      <c r="G3980" t="s">
        <v>18</v>
      </c>
      <c r="H3980" t="s">
        <v>27</v>
      </c>
      <c r="I3980" t="s">
        <v>36</v>
      </c>
      <c r="J3980" t="s">
        <v>21</v>
      </c>
      <c r="K3980">
        <v>48</v>
      </c>
      <c r="L3980">
        <v>15.97</v>
      </c>
      <c r="M3980">
        <v>4.5999999999999996</v>
      </c>
      <c r="N3980" t="s">
        <v>22</v>
      </c>
      <c r="O3980" t="str">
        <f t="shared" si="62"/>
        <v>No</v>
      </c>
    </row>
    <row r="3981" spans="1:15" x14ac:dyDescent="0.25">
      <c r="A3981" t="s">
        <v>4042</v>
      </c>
      <c r="B3981" s="1">
        <v>45685</v>
      </c>
      <c r="C3981" s="2">
        <v>45685.673333333332</v>
      </c>
      <c r="D3981" t="s">
        <v>24</v>
      </c>
      <c r="E3981" t="s">
        <v>25</v>
      </c>
      <c r="F3981" t="s">
        <v>48</v>
      </c>
      <c r="G3981" t="s">
        <v>51</v>
      </c>
      <c r="H3981" t="s">
        <v>19</v>
      </c>
      <c r="I3981" t="s">
        <v>20</v>
      </c>
      <c r="J3981" t="s">
        <v>85</v>
      </c>
      <c r="K3981">
        <v>24</v>
      </c>
      <c r="L3981">
        <v>16.16</v>
      </c>
      <c r="M3981">
        <v>5</v>
      </c>
      <c r="N3981" t="s">
        <v>22</v>
      </c>
      <c r="O3981" t="str">
        <f t="shared" si="62"/>
        <v>No</v>
      </c>
    </row>
    <row r="3982" spans="1:15" x14ac:dyDescent="0.25">
      <c r="A3982" t="s">
        <v>4043</v>
      </c>
      <c r="B3982" s="1">
        <v>45739</v>
      </c>
      <c r="C3982" s="2">
        <v>45739.114166666666</v>
      </c>
      <c r="D3982" t="s">
        <v>38</v>
      </c>
      <c r="E3982" t="s">
        <v>16</v>
      </c>
      <c r="F3982" t="s">
        <v>17</v>
      </c>
      <c r="G3982" t="s">
        <v>18</v>
      </c>
      <c r="H3982" t="s">
        <v>35</v>
      </c>
      <c r="I3982" t="s">
        <v>36</v>
      </c>
      <c r="J3982" t="s">
        <v>46</v>
      </c>
      <c r="K3982">
        <v>8</v>
      </c>
      <c r="L3982">
        <v>2.74</v>
      </c>
      <c r="M3982">
        <v>5</v>
      </c>
      <c r="N3982" t="s">
        <v>22</v>
      </c>
      <c r="O3982" t="str">
        <f t="shared" si="62"/>
        <v>No</v>
      </c>
    </row>
    <row r="3983" spans="1:15" x14ac:dyDescent="0.25">
      <c r="A3983" t="s">
        <v>4044</v>
      </c>
      <c r="B3983" s="1">
        <v>45674</v>
      </c>
      <c r="C3983" s="2">
        <v>45676.368333333332</v>
      </c>
      <c r="D3983" t="s">
        <v>24</v>
      </c>
      <c r="E3983" t="s">
        <v>16</v>
      </c>
      <c r="F3983" t="s">
        <v>17</v>
      </c>
      <c r="G3983" t="s">
        <v>56</v>
      </c>
      <c r="H3983" t="s">
        <v>27</v>
      </c>
      <c r="I3983" t="s">
        <v>45</v>
      </c>
      <c r="J3983" t="s">
        <v>21</v>
      </c>
      <c r="K3983">
        <v>24</v>
      </c>
      <c r="L3983">
        <v>56.84</v>
      </c>
      <c r="M3983">
        <v>1.7</v>
      </c>
      <c r="N3983" t="s">
        <v>22</v>
      </c>
      <c r="O3983" t="str">
        <f t="shared" si="62"/>
        <v>Yes</v>
      </c>
    </row>
    <row r="3984" spans="1:15" x14ac:dyDescent="0.25">
      <c r="A3984" t="s">
        <v>4045</v>
      </c>
      <c r="B3984" s="1">
        <v>45779</v>
      </c>
      <c r="C3984" s="2">
        <v>45779.360833333332</v>
      </c>
      <c r="D3984" t="s">
        <v>38</v>
      </c>
      <c r="E3984" t="s">
        <v>32</v>
      </c>
      <c r="F3984" t="s">
        <v>80</v>
      </c>
      <c r="G3984" t="s">
        <v>34</v>
      </c>
      <c r="H3984" t="s">
        <v>65</v>
      </c>
      <c r="I3984" t="s">
        <v>45</v>
      </c>
      <c r="J3984" t="s">
        <v>46</v>
      </c>
      <c r="K3984">
        <v>8</v>
      </c>
      <c r="L3984">
        <v>8.66</v>
      </c>
      <c r="M3984">
        <v>3.5</v>
      </c>
      <c r="N3984" t="s">
        <v>22</v>
      </c>
      <c r="O3984" t="str">
        <f t="shared" si="62"/>
        <v>Yes</v>
      </c>
    </row>
    <row r="3985" spans="1:15" x14ac:dyDescent="0.25">
      <c r="A3985" t="s">
        <v>4046</v>
      </c>
      <c r="B3985" s="1">
        <v>45780</v>
      </c>
      <c r="C3985" s="2">
        <v>45780.517916666664</v>
      </c>
      <c r="D3985" t="s">
        <v>38</v>
      </c>
      <c r="E3985" t="s">
        <v>16</v>
      </c>
      <c r="F3985" t="s">
        <v>58</v>
      </c>
      <c r="G3985" t="s">
        <v>18</v>
      </c>
      <c r="H3985" t="s">
        <v>35</v>
      </c>
      <c r="I3985" t="s">
        <v>28</v>
      </c>
      <c r="J3985" t="s">
        <v>21</v>
      </c>
      <c r="K3985">
        <v>8</v>
      </c>
      <c r="L3985">
        <v>12.43</v>
      </c>
      <c r="M3985">
        <v>2.9</v>
      </c>
      <c r="N3985" t="s">
        <v>22</v>
      </c>
      <c r="O3985" t="str">
        <f t="shared" si="62"/>
        <v>Yes</v>
      </c>
    </row>
    <row r="3986" spans="1:15" x14ac:dyDescent="0.25">
      <c r="A3986" t="s">
        <v>4047</v>
      </c>
      <c r="B3986" s="1">
        <v>45813</v>
      </c>
      <c r="C3986" s="2">
        <v>45813.090416666666</v>
      </c>
      <c r="D3986" t="s">
        <v>31</v>
      </c>
      <c r="E3986" t="s">
        <v>39</v>
      </c>
      <c r="F3986" t="s">
        <v>87</v>
      </c>
      <c r="G3986" t="s">
        <v>51</v>
      </c>
      <c r="H3986" t="s">
        <v>19</v>
      </c>
      <c r="I3986" t="s">
        <v>20</v>
      </c>
      <c r="J3986" t="s">
        <v>46</v>
      </c>
      <c r="K3986">
        <v>4</v>
      </c>
      <c r="L3986">
        <v>2.17</v>
      </c>
      <c r="M3986">
        <v>4.4000000000000004</v>
      </c>
      <c r="N3986" t="s">
        <v>22</v>
      </c>
      <c r="O3986" t="str">
        <f t="shared" si="62"/>
        <v>No</v>
      </c>
    </row>
    <row r="3987" spans="1:15" x14ac:dyDescent="0.25">
      <c r="A3987" t="s">
        <v>4048</v>
      </c>
      <c r="B3987" s="1">
        <v>45719</v>
      </c>
      <c r="C3987" s="2">
        <v>45719.371249999997</v>
      </c>
      <c r="D3987" t="s">
        <v>38</v>
      </c>
      <c r="E3987" t="s">
        <v>16</v>
      </c>
      <c r="F3987" t="s">
        <v>17</v>
      </c>
      <c r="G3987" t="s">
        <v>51</v>
      </c>
      <c r="H3987" t="s">
        <v>65</v>
      </c>
      <c r="I3987" t="s">
        <v>36</v>
      </c>
      <c r="J3987" t="s">
        <v>21</v>
      </c>
      <c r="K3987">
        <v>8</v>
      </c>
      <c r="L3987">
        <v>8.91</v>
      </c>
      <c r="M3987">
        <v>2.7</v>
      </c>
      <c r="N3987" t="s">
        <v>61</v>
      </c>
      <c r="O3987" t="str">
        <f t="shared" si="62"/>
        <v>Yes</v>
      </c>
    </row>
    <row r="3988" spans="1:15" x14ac:dyDescent="0.25">
      <c r="A3988" t="s">
        <v>4049</v>
      </c>
      <c r="B3988" s="1">
        <v>45714</v>
      </c>
      <c r="C3988" s="2">
        <v>45714.347500000003</v>
      </c>
      <c r="D3988" t="s">
        <v>15</v>
      </c>
      <c r="E3988" t="s">
        <v>45</v>
      </c>
      <c r="F3988" t="s">
        <v>112</v>
      </c>
      <c r="G3988" t="s">
        <v>41</v>
      </c>
      <c r="H3988" t="s">
        <v>35</v>
      </c>
      <c r="I3988" t="s">
        <v>20</v>
      </c>
      <c r="J3988" t="s">
        <v>21</v>
      </c>
      <c r="K3988">
        <v>48</v>
      </c>
      <c r="L3988">
        <v>8.34</v>
      </c>
      <c r="M3988">
        <v>5</v>
      </c>
      <c r="N3988" t="s">
        <v>22</v>
      </c>
      <c r="O3988" t="str">
        <f t="shared" si="62"/>
        <v>No</v>
      </c>
    </row>
    <row r="3989" spans="1:15" x14ac:dyDescent="0.25">
      <c r="A3989" t="s">
        <v>4050</v>
      </c>
      <c r="B3989" s="1">
        <v>45670</v>
      </c>
      <c r="C3989" s="2">
        <v>45670.146249999998</v>
      </c>
      <c r="D3989" t="s">
        <v>24</v>
      </c>
      <c r="E3989" t="s">
        <v>25</v>
      </c>
      <c r="F3989" t="s">
        <v>53</v>
      </c>
      <c r="G3989" t="s">
        <v>51</v>
      </c>
      <c r="H3989" t="s">
        <v>65</v>
      </c>
      <c r="I3989" t="s">
        <v>36</v>
      </c>
      <c r="J3989" t="s">
        <v>21</v>
      </c>
      <c r="K3989">
        <v>24</v>
      </c>
      <c r="L3989">
        <v>3.51</v>
      </c>
      <c r="M3989">
        <v>3.4</v>
      </c>
      <c r="N3989" t="s">
        <v>22</v>
      </c>
      <c r="O3989" t="str">
        <f t="shared" si="62"/>
        <v>No</v>
      </c>
    </row>
    <row r="3990" spans="1:15" x14ac:dyDescent="0.25">
      <c r="A3990" t="s">
        <v>4051</v>
      </c>
      <c r="B3990" s="1">
        <v>45733</v>
      </c>
      <c r="C3990" s="2">
        <v>45733.826249999998</v>
      </c>
      <c r="D3990" t="s">
        <v>15</v>
      </c>
      <c r="E3990" t="s">
        <v>32</v>
      </c>
      <c r="F3990" t="s">
        <v>75</v>
      </c>
      <c r="G3990" t="s">
        <v>34</v>
      </c>
      <c r="H3990" t="s">
        <v>35</v>
      </c>
      <c r="I3990" t="s">
        <v>45</v>
      </c>
      <c r="J3990" t="s">
        <v>85</v>
      </c>
      <c r="K3990">
        <v>48</v>
      </c>
      <c r="L3990">
        <v>19.829999999999998</v>
      </c>
      <c r="M3990">
        <v>3.4</v>
      </c>
      <c r="N3990" t="s">
        <v>61</v>
      </c>
      <c r="O3990" t="str">
        <f t="shared" si="62"/>
        <v>No</v>
      </c>
    </row>
    <row r="3991" spans="1:15" x14ac:dyDescent="0.25">
      <c r="A3991" t="s">
        <v>4052</v>
      </c>
      <c r="B3991" s="1">
        <v>45744</v>
      </c>
      <c r="C3991" s="2">
        <v>45744.104583333334</v>
      </c>
      <c r="D3991" t="s">
        <v>31</v>
      </c>
      <c r="E3991" t="s">
        <v>25</v>
      </c>
      <c r="F3991" t="s">
        <v>70</v>
      </c>
      <c r="G3991" t="s">
        <v>18</v>
      </c>
      <c r="H3991" t="s">
        <v>19</v>
      </c>
      <c r="I3991" t="s">
        <v>20</v>
      </c>
      <c r="J3991" t="s">
        <v>46</v>
      </c>
      <c r="K3991">
        <v>4</v>
      </c>
      <c r="L3991">
        <v>2.5099999999999998</v>
      </c>
      <c r="M3991">
        <v>5</v>
      </c>
      <c r="N3991" t="s">
        <v>22</v>
      </c>
      <c r="O3991" t="str">
        <f t="shared" si="62"/>
        <v>No</v>
      </c>
    </row>
    <row r="3992" spans="1:15" x14ac:dyDescent="0.25">
      <c r="A3992" t="s">
        <v>4053</v>
      </c>
      <c r="B3992" s="1">
        <v>45794</v>
      </c>
      <c r="C3992" s="2">
        <v>45796.393750000003</v>
      </c>
      <c r="D3992" t="s">
        <v>15</v>
      </c>
      <c r="E3992" t="s">
        <v>32</v>
      </c>
      <c r="F3992" t="s">
        <v>33</v>
      </c>
      <c r="G3992" t="s">
        <v>34</v>
      </c>
      <c r="H3992" t="s">
        <v>54</v>
      </c>
      <c r="I3992" t="s">
        <v>20</v>
      </c>
      <c r="J3992" t="s">
        <v>46</v>
      </c>
      <c r="K3992">
        <v>48</v>
      </c>
      <c r="L3992">
        <v>57.45</v>
      </c>
      <c r="M3992">
        <v>3.3</v>
      </c>
      <c r="N3992" t="s">
        <v>22</v>
      </c>
      <c r="O3992" t="str">
        <f t="shared" si="62"/>
        <v>Yes</v>
      </c>
    </row>
    <row r="3993" spans="1:15" x14ac:dyDescent="0.25">
      <c r="A3993" t="s">
        <v>4054</v>
      </c>
      <c r="B3993" s="1">
        <v>45794</v>
      </c>
      <c r="C3993" s="2">
        <v>45794.509166666663</v>
      </c>
      <c r="D3993" t="s">
        <v>24</v>
      </c>
      <c r="E3993" t="s">
        <v>32</v>
      </c>
      <c r="F3993" t="s">
        <v>64</v>
      </c>
      <c r="G3993" t="s">
        <v>41</v>
      </c>
      <c r="H3993" t="s">
        <v>27</v>
      </c>
      <c r="I3993" t="s">
        <v>45</v>
      </c>
      <c r="J3993" t="s">
        <v>46</v>
      </c>
      <c r="K3993">
        <v>24</v>
      </c>
      <c r="L3993">
        <v>12.22</v>
      </c>
      <c r="M3993">
        <v>5</v>
      </c>
      <c r="N3993" t="s">
        <v>22</v>
      </c>
      <c r="O3993" t="str">
        <f t="shared" si="62"/>
        <v>No</v>
      </c>
    </row>
    <row r="3994" spans="1:15" x14ac:dyDescent="0.25">
      <c r="A3994" t="s">
        <v>4055</v>
      </c>
      <c r="B3994" s="1">
        <v>45683</v>
      </c>
      <c r="C3994" s="2">
        <v>45683.136250000003</v>
      </c>
      <c r="D3994" t="s">
        <v>38</v>
      </c>
      <c r="E3994" t="s">
        <v>32</v>
      </c>
      <c r="F3994" t="s">
        <v>80</v>
      </c>
      <c r="G3994" t="s">
        <v>41</v>
      </c>
      <c r="H3994" t="s">
        <v>65</v>
      </c>
      <c r="I3994" t="s">
        <v>20</v>
      </c>
      <c r="J3994" t="s">
        <v>46</v>
      </c>
      <c r="K3994">
        <v>8</v>
      </c>
      <c r="L3994">
        <v>3.27</v>
      </c>
      <c r="M3994">
        <v>4</v>
      </c>
      <c r="N3994" t="s">
        <v>22</v>
      </c>
      <c r="O3994" t="str">
        <f t="shared" si="62"/>
        <v>No</v>
      </c>
    </row>
    <row r="3995" spans="1:15" x14ac:dyDescent="0.25">
      <c r="A3995" t="s">
        <v>4056</v>
      </c>
      <c r="B3995" s="1">
        <v>45709</v>
      </c>
      <c r="C3995" s="2">
        <v>45710.778333333335</v>
      </c>
      <c r="D3995" t="s">
        <v>15</v>
      </c>
      <c r="E3995" t="s">
        <v>32</v>
      </c>
      <c r="F3995" t="s">
        <v>75</v>
      </c>
      <c r="G3995" t="s">
        <v>34</v>
      </c>
      <c r="H3995" t="s">
        <v>44</v>
      </c>
      <c r="I3995" t="s">
        <v>45</v>
      </c>
      <c r="J3995" t="s">
        <v>29</v>
      </c>
      <c r="K3995">
        <v>48</v>
      </c>
      <c r="L3995">
        <v>42.68</v>
      </c>
      <c r="M3995">
        <v>2.6</v>
      </c>
      <c r="N3995" t="s">
        <v>22</v>
      </c>
      <c r="O3995" t="str">
        <f t="shared" si="62"/>
        <v>No</v>
      </c>
    </row>
    <row r="3996" spans="1:15" x14ac:dyDescent="0.25">
      <c r="A3996" t="s">
        <v>4057</v>
      </c>
      <c r="B3996" s="1">
        <v>45750</v>
      </c>
      <c r="C3996" s="2">
        <v>45750.498333333337</v>
      </c>
      <c r="D3996" t="s">
        <v>38</v>
      </c>
      <c r="E3996" t="s">
        <v>16</v>
      </c>
      <c r="F3996" t="s">
        <v>43</v>
      </c>
      <c r="G3996" t="s">
        <v>34</v>
      </c>
      <c r="H3996" t="s">
        <v>44</v>
      </c>
      <c r="I3996" t="s">
        <v>28</v>
      </c>
      <c r="J3996" t="s">
        <v>21</v>
      </c>
      <c r="K3996">
        <v>8</v>
      </c>
      <c r="L3996">
        <v>11.96</v>
      </c>
      <c r="M3996">
        <v>2.5</v>
      </c>
      <c r="N3996" t="s">
        <v>22</v>
      </c>
      <c r="O3996" t="str">
        <f t="shared" si="62"/>
        <v>Yes</v>
      </c>
    </row>
    <row r="3997" spans="1:15" x14ac:dyDescent="0.25">
      <c r="A3997" t="s">
        <v>4058</v>
      </c>
      <c r="B3997" s="1">
        <v>45718</v>
      </c>
      <c r="C3997" s="2">
        <v>45719.865833333337</v>
      </c>
      <c r="D3997" t="s">
        <v>15</v>
      </c>
      <c r="E3997" t="s">
        <v>39</v>
      </c>
      <c r="F3997" t="s">
        <v>40</v>
      </c>
      <c r="G3997" t="s">
        <v>51</v>
      </c>
      <c r="H3997" t="s">
        <v>19</v>
      </c>
      <c r="I3997" t="s">
        <v>36</v>
      </c>
      <c r="J3997" t="s">
        <v>21</v>
      </c>
      <c r="K3997">
        <v>48</v>
      </c>
      <c r="L3997">
        <v>44.78</v>
      </c>
      <c r="M3997">
        <v>5</v>
      </c>
      <c r="N3997" t="s">
        <v>22</v>
      </c>
      <c r="O3997" t="str">
        <f t="shared" si="62"/>
        <v>No</v>
      </c>
    </row>
    <row r="3998" spans="1:15" x14ac:dyDescent="0.25">
      <c r="A3998" t="s">
        <v>4059</v>
      </c>
      <c r="B3998" s="1">
        <v>45662</v>
      </c>
      <c r="C3998" s="2">
        <v>45662.709166666667</v>
      </c>
      <c r="D3998" t="s">
        <v>24</v>
      </c>
      <c r="E3998" t="s">
        <v>32</v>
      </c>
      <c r="F3998" t="s">
        <v>64</v>
      </c>
      <c r="G3998" t="s">
        <v>51</v>
      </c>
      <c r="H3998" t="s">
        <v>54</v>
      </c>
      <c r="I3998" t="s">
        <v>36</v>
      </c>
      <c r="J3998" t="s">
        <v>46</v>
      </c>
      <c r="K3998">
        <v>24</v>
      </c>
      <c r="L3998">
        <v>17.02</v>
      </c>
      <c r="M3998">
        <v>3.2</v>
      </c>
      <c r="N3998" t="s">
        <v>22</v>
      </c>
      <c r="O3998" t="str">
        <f t="shared" si="62"/>
        <v>No</v>
      </c>
    </row>
    <row r="3999" spans="1:15" x14ac:dyDescent="0.25">
      <c r="A3999" t="s">
        <v>4060</v>
      </c>
      <c r="B3999" s="1">
        <v>45811</v>
      </c>
      <c r="C3999" s="2">
        <v>45812.107071759259</v>
      </c>
      <c r="D3999" t="s">
        <v>24</v>
      </c>
      <c r="E3999" t="s">
        <v>45</v>
      </c>
      <c r="F3999" t="s">
        <v>50</v>
      </c>
      <c r="G3999" t="s">
        <v>18</v>
      </c>
      <c r="H3999" t="s">
        <v>65</v>
      </c>
      <c r="I3999" t="s">
        <v>20</v>
      </c>
      <c r="J3999" t="s">
        <v>85</v>
      </c>
      <c r="K3999">
        <v>24</v>
      </c>
      <c r="L3999">
        <v>26.57</v>
      </c>
      <c r="M3999">
        <v>4.8</v>
      </c>
      <c r="N3999" t="s">
        <v>61</v>
      </c>
      <c r="O3999" t="str">
        <f t="shared" si="62"/>
        <v>Yes</v>
      </c>
    </row>
    <row r="4000" spans="1:15" x14ac:dyDescent="0.25">
      <c r="A4000" t="s">
        <v>4061</v>
      </c>
      <c r="B4000" s="1">
        <v>45790</v>
      </c>
      <c r="C4000" s="2">
        <v>45791.047500000001</v>
      </c>
      <c r="D4000" t="s">
        <v>24</v>
      </c>
      <c r="E4000" t="s">
        <v>16</v>
      </c>
      <c r="F4000" t="s">
        <v>43</v>
      </c>
      <c r="G4000" t="s">
        <v>56</v>
      </c>
      <c r="H4000" t="s">
        <v>54</v>
      </c>
      <c r="I4000" t="s">
        <v>36</v>
      </c>
      <c r="J4000" t="s">
        <v>21</v>
      </c>
      <c r="K4000">
        <v>24</v>
      </c>
      <c r="L4000">
        <v>25.14</v>
      </c>
      <c r="M4000">
        <v>4</v>
      </c>
      <c r="N4000" t="s">
        <v>22</v>
      </c>
      <c r="O4000" t="str">
        <f t="shared" si="62"/>
        <v>Yes</v>
      </c>
    </row>
    <row r="4001" spans="1:15" x14ac:dyDescent="0.25">
      <c r="A4001" t="s">
        <v>4062</v>
      </c>
      <c r="B4001" s="1">
        <v>45752</v>
      </c>
      <c r="C4001" s="2">
        <v>45752.935833333337</v>
      </c>
      <c r="D4001" t="s">
        <v>24</v>
      </c>
      <c r="E4001" t="s">
        <v>39</v>
      </c>
      <c r="F4001" t="s">
        <v>78</v>
      </c>
      <c r="G4001" t="s">
        <v>56</v>
      </c>
      <c r="H4001" t="s">
        <v>19</v>
      </c>
      <c r="I4001" t="s">
        <v>36</v>
      </c>
      <c r="J4001" t="s">
        <v>85</v>
      </c>
      <c r="K4001">
        <v>24</v>
      </c>
      <c r="L4001">
        <v>22.46</v>
      </c>
      <c r="M4001">
        <v>4</v>
      </c>
      <c r="N4001" t="s">
        <v>22</v>
      </c>
      <c r="O4001" t="str">
        <f t="shared" si="62"/>
        <v>No</v>
      </c>
    </row>
    <row r="4002" spans="1:15" x14ac:dyDescent="0.25">
      <c r="A4002" t="s">
        <v>4063</v>
      </c>
      <c r="B4002" s="1">
        <v>45715</v>
      </c>
      <c r="C4002" s="2">
        <v>45715.355000000003</v>
      </c>
      <c r="D4002" t="s">
        <v>38</v>
      </c>
      <c r="E4002" t="s">
        <v>16</v>
      </c>
      <c r="F4002" t="s">
        <v>43</v>
      </c>
      <c r="G4002" t="s">
        <v>41</v>
      </c>
      <c r="H4002" t="s">
        <v>54</v>
      </c>
      <c r="I4002" t="s">
        <v>20</v>
      </c>
      <c r="J4002" t="s">
        <v>46</v>
      </c>
      <c r="K4002">
        <v>8</v>
      </c>
      <c r="L4002">
        <v>8.52</v>
      </c>
      <c r="M4002">
        <v>3.2</v>
      </c>
      <c r="N4002" t="s">
        <v>22</v>
      </c>
      <c r="O4002" t="str">
        <f t="shared" si="62"/>
        <v>Yes</v>
      </c>
    </row>
    <row r="4003" spans="1:15" x14ac:dyDescent="0.25">
      <c r="A4003" t="s">
        <v>4064</v>
      </c>
      <c r="B4003" s="1">
        <v>45810</v>
      </c>
      <c r="C4003" s="2">
        <v>45810.642500000002</v>
      </c>
      <c r="D4003" t="s">
        <v>24</v>
      </c>
      <c r="E4003" t="s">
        <v>16</v>
      </c>
      <c r="F4003" t="s">
        <v>43</v>
      </c>
      <c r="G4003" t="s">
        <v>56</v>
      </c>
      <c r="H4003" t="s">
        <v>19</v>
      </c>
      <c r="I4003" t="s">
        <v>45</v>
      </c>
      <c r="J4003" t="s">
        <v>21</v>
      </c>
      <c r="K4003">
        <v>24</v>
      </c>
      <c r="L4003">
        <v>15.42</v>
      </c>
      <c r="M4003">
        <v>3.6</v>
      </c>
      <c r="N4003" t="s">
        <v>22</v>
      </c>
      <c r="O4003" t="str">
        <f t="shared" si="62"/>
        <v>No</v>
      </c>
    </row>
    <row r="4004" spans="1:15" x14ac:dyDescent="0.25">
      <c r="A4004" t="s">
        <v>4065</v>
      </c>
      <c r="B4004" s="1">
        <v>45664</v>
      </c>
      <c r="C4004" s="2">
        <v>45665.705833333333</v>
      </c>
      <c r="D4004" t="s">
        <v>24</v>
      </c>
      <c r="E4004" t="s">
        <v>39</v>
      </c>
      <c r="F4004" t="s">
        <v>119</v>
      </c>
      <c r="G4004" t="s">
        <v>41</v>
      </c>
      <c r="H4004" t="s">
        <v>44</v>
      </c>
      <c r="I4004" t="s">
        <v>36</v>
      </c>
      <c r="J4004" t="s">
        <v>29</v>
      </c>
      <c r="K4004">
        <v>24</v>
      </c>
      <c r="L4004">
        <v>40.94</v>
      </c>
      <c r="M4004">
        <v>3.3</v>
      </c>
      <c r="N4004" t="s">
        <v>22</v>
      </c>
      <c r="O4004" t="str">
        <f t="shared" si="62"/>
        <v>Yes</v>
      </c>
    </row>
    <row r="4005" spans="1:15" x14ac:dyDescent="0.25">
      <c r="A4005" t="s">
        <v>4066</v>
      </c>
      <c r="B4005" s="1">
        <v>45738</v>
      </c>
      <c r="C4005" s="2">
        <v>45738.05</v>
      </c>
      <c r="D4005" t="s">
        <v>38</v>
      </c>
      <c r="E4005" t="s">
        <v>16</v>
      </c>
      <c r="F4005" t="s">
        <v>17</v>
      </c>
      <c r="G4005" t="s">
        <v>41</v>
      </c>
      <c r="H4005" t="s">
        <v>44</v>
      </c>
      <c r="I4005" t="s">
        <v>36</v>
      </c>
      <c r="J4005" t="s">
        <v>46</v>
      </c>
      <c r="K4005">
        <v>8</v>
      </c>
      <c r="L4005">
        <v>1.2</v>
      </c>
      <c r="M4005">
        <v>5</v>
      </c>
      <c r="N4005" t="s">
        <v>22</v>
      </c>
      <c r="O4005" t="str">
        <f t="shared" si="62"/>
        <v>No</v>
      </c>
    </row>
    <row r="4006" spans="1:15" x14ac:dyDescent="0.25">
      <c r="A4006" t="s">
        <v>4067</v>
      </c>
      <c r="B4006" s="1">
        <v>45802</v>
      </c>
      <c r="C4006" s="2">
        <v>45802.267083333332</v>
      </c>
      <c r="D4006" t="s">
        <v>38</v>
      </c>
      <c r="E4006" t="s">
        <v>45</v>
      </c>
      <c r="F4006" t="s">
        <v>112</v>
      </c>
      <c r="G4006" t="s">
        <v>41</v>
      </c>
      <c r="H4006" t="s">
        <v>54</v>
      </c>
      <c r="I4006" t="s">
        <v>36</v>
      </c>
      <c r="J4006" t="s">
        <v>21</v>
      </c>
      <c r="K4006">
        <v>8</v>
      </c>
      <c r="L4006">
        <v>6.41</v>
      </c>
      <c r="M4006">
        <v>4.2</v>
      </c>
      <c r="N4006" t="s">
        <v>22</v>
      </c>
      <c r="O4006" t="str">
        <f t="shared" si="62"/>
        <v>No</v>
      </c>
    </row>
    <row r="4007" spans="1:15" x14ac:dyDescent="0.25">
      <c r="A4007" t="s">
        <v>4068</v>
      </c>
      <c r="B4007" s="1">
        <v>45830</v>
      </c>
      <c r="C4007" s="2">
        <v>45830.560833333337</v>
      </c>
      <c r="D4007" t="s">
        <v>15</v>
      </c>
      <c r="E4007" t="s">
        <v>39</v>
      </c>
      <c r="F4007" t="s">
        <v>87</v>
      </c>
      <c r="G4007" t="s">
        <v>41</v>
      </c>
      <c r="H4007" t="s">
        <v>54</v>
      </c>
      <c r="I4007" t="s">
        <v>36</v>
      </c>
      <c r="J4007" t="s">
        <v>46</v>
      </c>
      <c r="K4007">
        <v>48</v>
      </c>
      <c r="L4007">
        <v>13.46</v>
      </c>
      <c r="M4007">
        <v>5</v>
      </c>
      <c r="N4007" t="s">
        <v>22</v>
      </c>
      <c r="O4007" t="str">
        <f t="shared" si="62"/>
        <v>No</v>
      </c>
    </row>
    <row r="4008" spans="1:15" x14ac:dyDescent="0.25">
      <c r="A4008" t="s">
        <v>4069</v>
      </c>
      <c r="B4008" s="1">
        <v>45703</v>
      </c>
      <c r="C4008" s="2">
        <v>45703.198333333334</v>
      </c>
      <c r="D4008" t="s">
        <v>38</v>
      </c>
      <c r="E4008" t="s">
        <v>16</v>
      </c>
      <c r="F4008" t="s">
        <v>17</v>
      </c>
      <c r="G4008" t="s">
        <v>41</v>
      </c>
      <c r="H4008" t="s">
        <v>35</v>
      </c>
      <c r="I4008" t="s">
        <v>36</v>
      </c>
      <c r="J4008" t="s">
        <v>21</v>
      </c>
      <c r="K4008">
        <v>8</v>
      </c>
      <c r="L4008">
        <v>4.76</v>
      </c>
      <c r="M4008">
        <v>4</v>
      </c>
      <c r="N4008" t="s">
        <v>22</v>
      </c>
      <c r="O4008" t="str">
        <f t="shared" si="62"/>
        <v>No</v>
      </c>
    </row>
    <row r="4009" spans="1:15" x14ac:dyDescent="0.25">
      <c r="A4009" t="s">
        <v>4070</v>
      </c>
      <c r="B4009" s="1">
        <v>45775</v>
      </c>
      <c r="C4009" s="2">
        <v>45775.322083333333</v>
      </c>
      <c r="D4009" t="s">
        <v>15</v>
      </c>
      <c r="E4009" t="s">
        <v>32</v>
      </c>
      <c r="F4009" t="s">
        <v>75</v>
      </c>
      <c r="G4009" t="s">
        <v>34</v>
      </c>
      <c r="H4009" t="s">
        <v>19</v>
      </c>
      <c r="I4009" t="s">
        <v>20</v>
      </c>
      <c r="J4009" t="s">
        <v>46</v>
      </c>
      <c r="K4009">
        <v>48</v>
      </c>
      <c r="L4009">
        <v>7.73</v>
      </c>
      <c r="M4009">
        <v>5</v>
      </c>
      <c r="N4009" t="s">
        <v>22</v>
      </c>
      <c r="O4009" t="str">
        <f t="shared" si="62"/>
        <v>No</v>
      </c>
    </row>
    <row r="4010" spans="1:15" x14ac:dyDescent="0.25">
      <c r="A4010" t="s">
        <v>4071</v>
      </c>
      <c r="B4010" s="1">
        <v>45692</v>
      </c>
      <c r="C4010" s="2">
        <v>45692.360833333332</v>
      </c>
      <c r="D4010" t="s">
        <v>24</v>
      </c>
      <c r="E4010" t="s">
        <v>25</v>
      </c>
      <c r="F4010" t="s">
        <v>48</v>
      </c>
      <c r="G4010" t="s">
        <v>34</v>
      </c>
      <c r="H4010" t="s">
        <v>44</v>
      </c>
      <c r="I4010" t="s">
        <v>36</v>
      </c>
      <c r="J4010" t="s">
        <v>21</v>
      </c>
      <c r="K4010">
        <v>24</v>
      </c>
      <c r="L4010">
        <v>8.66</v>
      </c>
      <c r="M4010">
        <v>4.7</v>
      </c>
      <c r="N4010" t="s">
        <v>22</v>
      </c>
      <c r="O4010" t="str">
        <f t="shared" si="62"/>
        <v>No</v>
      </c>
    </row>
    <row r="4011" spans="1:15" x14ac:dyDescent="0.25">
      <c r="A4011" t="s">
        <v>4072</v>
      </c>
      <c r="B4011" s="1">
        <v>45678</v>
      </c>
      <c r="C4011" s="2">
        <v>45678.402916666666</v>
      </c>
      <c r="D4011" t="s">
        <v>24</v>
      </c>
      <c r="E4011" t="s">
        <v>39</v>
      </c>
      <c r="F4011" t="s">
        <v>119</v>
      </c>
      <c r="G4011" t="s">
        <v>56</v>
      </c>
      <c r="H4011" t="s">
        <v>19</v>
      </c>
      <c r="I4011" t="s">
        <v>20</v>
      </c>
      <c r="J4011" t="s">
        <v>21</v>
      </c>
      <c r="K4011">
        <v>24</v>
      </c>
      <c r="L4011">
        <v>9.67</v>
      </c>
      <c r="M4011">
        <v>5</v>
      </c>
      <c r="N4011" t="s">
        <v>22</v>
      </c>
      <c r="O4011" t="str">
        <f t="shared" si="62"/>
        <v>No</v>
      </c>
    </row>
    <row r="4012" spans="1:15" x14ac:dyDescent="0.25">
      <c r="A4012" t="s">
        <v>4073</v>
      </c>
      <c r="B4012" s="1">
        <v>45721</v>
      </c>
      <c r="C4012" s="2">
        <v>45721.244166666664</v>
      </c>
      <c r="D4012" t="s">
        <v>38</v>
      </c>
      <c r="E4012" t="s">
        <v>32</v>
      </c>
      <c r="F4012" t="s">
        <v>75</v>
      </c>
      <c r="G4012" t="s">
        <v>18</v>
      </c>
      <c r="H4012" t="s">
        <v>44</v>
      </c>
      <c r="I4012" t="s">
        <v>28</v>
      </c>
      <c r="J4012" t="s">
        <v>46</v>
      </c>
      <c r="K4012">
        <v>8</v>
      </c>
      <c r="L4012">
        <v>5.86</v>
      </c>
      <c r="M4012">
        <v>3.5</v>
      </c>
      <c r="N4012" t="s">
        <v>22</v>
      </c>
      <c r="O4012" t="str">
        <f t="shared" si="62"/>
        <v>No</v>
      </c>
    </row>
    <row r="4013" spans="1:15" x14ac:dyDescent="0.25">
      <c r="A4013" t="s">
        <v>4074</v>
      </c>
      <c r="B4013" s="1">
        <v>45818</v>
      </c>
      <c r="C4013" s="2">
        <v>45818.669583333336</v>
      </c>
      <c r="D4013" t="s">
        <v>15</v>
      </c>
      <c r="E4013" t="s">
        <v>45</v>
      </c>
      <c r="F4013" t="s">
        <v>104</v>
      </c>
      <c r="G4013" t="s">
        <v>41</v>
      </c>
      <c r="H4013" t="s">
        <v>54</v>
      </c>
      <c r="I4013" t="s">
        <v>36</v>
      </c>
      <c r="J4013" t="s">
        <v>21</v>
      </c>
      <c r="K4013">
        <v>48</v>
      </c>
      <c r="L4013">
        <v>16.07</v>
      </c>
      <c r="M4013">
        <v>4.5999999999999996</v>
      </c>
      <c r="N4013" t="s">
        <v>22</v>
      </c>
      <c r="O4013" t="str">
        <f t="shared" si="62"/>
        <v>No</v>
      </c>
    </row>
    <row r="4014" spans="1:15" x14ac:dyDescent="0.25">
      <c r="A4014" t="s">
        <v>4075</v>
      </c>
      <c r="B4014" s="1">
        <v>45782</v>
      </c>
      <c r="C4014" s="2">
        <v>45782.862500000003</v>
      </c>
      <c r="D4014" t="s">
        <v>15</v>
      </c>
      <c r="E4014" t="s">
        <v>16</v>
      </c>
      <c r="F4014" t="s">
        <v>58</v>
      </c>
      <c r="G4014" t="s">
        <v>34</v>
      </c>
      <c r="H4014" t="s">
        <v>35</v>
      </c>
      <c r="I4014" t="s">
        <v>28</v>
      </c>
      <c r="J4014" t="s">
        <v>21</v>
      </c>
      <c r="K4014">
        <v>48</v>
      </c>
      <c r="L4014">
        <v>20.7</v>
      </c>
      <c r="M4014">
        <v>5</v>
      </c>
      <c r="N4014" t="s">
        <v>22</v>
      </c>
      <c r="O4014" t="str">
        <f t="shared" si="62"/>
        <v>No</v>
      </c>
    </row>
    <row r="4015" spans="1:15" x14ac:dyDescent="0.25">
      <c r="A4015" t="s">
        <v>4076</v>
      </c>
      <c r="B4015" s="1">
        <v>45746</v>
      </c>
      <c r="C4015" s="2">
        <v>45746.305833333332</v>
      </c>
      <c r="D4015" t="s">
        <v>38</v>
      </c>
      <c r="E4015" t="s">
        <v>32</v>
      </c>
      <c r="F4015" t="s">
        <v>75</v>
      </c>
      <c r="G4015" t="s">
        <v>51</v>
      </c>
      <c r="H4015" t="s">
        <v>35</v>
      </c>
      <c r="I4015" t="s">
        <v>36</v>
      </c>
      <c r="J4015" t="s">
        <v>21</v>
      </c>
      <c r="K4015">
        <v>8</v>
      </c>
      <c r="L4015">
        <v>7.34</v>
      </c>
      <c r="M4015">
        <v>4</v>
      </c>
      <c r="N4015" t="s">
        <v>22</v>
      </c>
      <c r="O4015" t="str">
        <f t="shared" si="62"/>
        <v>No</v>
      </c>
    </row>
    <row r="4016" spans="1:15" x14ac:dyDescent="0.25">
      <c r="A4016" t="s">
        <v>4077</v>
      </c>
      <c r="B4016" s="1">
        <v>45709</v>
      </c>
      <c r="C4016" s="2">
        <v>45711.431250000001</v>
      </c>
      <c r="D4016" t="s">
        <v>15</v>
      </c>
      <c r="E4016" t="s">
        <v>32</v>
      </c>
      <c r="F4016" t="s">
        <v>33</v>
      </c>
      <c r="G4016" t="s">
        <v>51</v>
      </c>
      <c r="H4016" t="s">
        <v>65</v>
      </c>
      <c r="I4016" t="s">
        <v>45</v>
      </c>
      <c r="J4016" t="s">
        <v>21</v>
      </c>
      <c r="K4016">
        <v>48</v>
      </c>
      <c r="L4016">
        <v>58.35</v>
      </c>
      <c r="M4016">
        <v>3.9</v>
      </c>
      <c r="N4016" t="s">
        <v>22</v>
      </c>
      <c r="O4016" t="str">
        <f t="shared" si="62"/>
        <v>Yes</v>
      </c>
    </row>
    <row r="4017" spans="1:15" x14ac:dyDescent="0.25">
      <c r="A4017" t="s">
        <v>4078</v>
      </c>
      <c r="B4017" s="1">
        <v>45683</v>
      </c>
      <c r="C4017" s="2">
        <v>45683.388333333336</v>
      </c>
      <c r="D4017" t="s">
        <v>24</v>
      </c>
      <c r="E4017" t="s">
        <v>39</v>
      </c>
      <c r="F4017" t="s">
        <v>40</v>
      </c>
      <c r="G4017" t="s">
        <v>56</v>
      </c>
      <c r="H4017" t="s">
        <v>54</v>
      </c>
      <c r="I4017" t="s">
        <v>28</v>
      </c>
      <c r="J4017" t="s">
        <v>21</v>
      </c>
      <c r="K4017">
        <v>24</v>
      </c>
      <c r="L4017">
        <v>9.32</v>
      </c>
      <c r="M4017">
        <v>3.9</v>
      </c>
      <c r="N4017" t="s">
        <v>22</v>
      </c>
      <c r="O4017" t="str">
        <f t="shared" si="62"/>
        <v>No</v>
      </c>
    </row>
    <row r="4018" spans="1:15" x14ac:dyDescent="0.25">
      <c r="A4018" t="s">
        <v>4079</v>
      </c>
      <c r="B4018" s="1">
        <v>45707</v>
      </c>
      <c r="C4018" s="2">
        <v>45707.45</v>
      </c>
      <c r="D4018" t="s">
        <v>38</v>
      </c>
      <c r="E4018" t="s">
        <v>45</v>
      </c>
      <c r="F4018" t="s">
        <v>104</v>
      </c>
      <c r="G4018" t="s">
        <v>41</v>
      </c>
      <c r="H4018" t="s">
        <v>19</v>
      </c>
      <c r="I4018" t="s">
        <v>20</v>
      </c>
      <c r="J4018" t="s">
        <v>21</v>
      </c>
      <c r="K4018">
        <v>8</v>
      </c>
      <c r="L4018">
        <v>10.8</v>
      </c>
      <c r="M4018">
        <v>3.1</v>
      </c>
      <c r="N4018" t="s">
        <v>22</v>
      </c>
      <c r="O4018" t="str">
        <f t="shared" si="62"/>
        <v>Yes</v>
      </c>
    </row>
    <row r="4019" spans="1:15" x14ac:dyDescent="0.25">
      <c r="A4019" t="s">
        <v>4080</v>
      </c>
      <c r="B4019" s="1">
        <v>45685</v>
      </c>
      <c r="C4019" s="2">
        <v>45685.873333333337</v>
      </c>
      <c r="D4019" t="s">
        <v>24</v>
      </c>
      <c r="E4019" t="s">
        <v>39</v>
      </c>
      <c r="F4019" t="s">
        <v>119</v>
      </c>
      <c r="G4019" t="s">
        <v>51</v>
      </c>
      <c r="H4019" t="s">
        <v>65</v>
      </c>
      <c r="I4019" t="s">
        <v>36</v>
      </c>
      <c r="J4019" t="s">
        <v>21</v>
      </c>
      <c r="K4019">
        <v>24</v>
      </c>
      <c r="L4019">
        <v>20.96</v>
      </c>
      <c r="M4019">
        <v>3.4</v>
      </c>
      <c r="N4019" t="s">
        <v>61</v>
      </c>
      <c r="O4019" t="str">
        <f t="shared" si="62"/>
        <v>No</v>
      </c>
    </row>
    <row r="4020" spans="1:15" x14ac:dyDescent="0.25">
      <c r="A4020" t="s">
        <v>4081</v>
      </c>
      <c r="B4020" s="1">
        <v>45691</v>
      </c>
      <c r="C4020" s="2">
        <v>45693.674166666664</v>
      </c>
      <c r="D4020" t="s">
        <v>15</v>
      </c>
      <c r="E4020" t="s">
        <v>32</v>
      </c>
      <c r="F4020" t="s">
        <v>75</v>
      </c>
      <c r="G4020" t="s">
        <v>56</v>
      </c>
      <c r="H4020" t="s">
        <v>19</v>
      </c>
      <c r="I4020" t="s">
        <v>36</v>
      </c>
      <c r="J4020" t="s">
        <v>21</v>
      </c>
      <c r="K4020">
        <v>48</v>
      </c>
      <c r="L4020">
        <v>64.180000000000007</v>
      </c>
      <c r="M4020">
        <v>3.3</v>
      </c>
      <c r="N4020" t="s">
        <v>22</v>
      </c>
      <c r="O4020" t="str">
        <f t="shared" si="62"/>
        <v>Yes</v>
      </c>
    </row>
    <row r="4021" spans="1:15" x14ac:dyDescent="0.25">
      <c r="A4021" t="s">
        <v>4082</v>
      </c>
      <c r="B4021" s="1">
        <v>45782</v>
      </c>
      <c r="C4021" s="2">
        <v>45782.565405092595</v>
      </c>
      <c r="D4021" t="s">
        <v>24</v>
      </c>
      <c r="E4021" t="s">
        <v>16</v>
      </c>
      <c r="F4021" t="s">
        <v>17</v>
      </c>
      <c r="G4021" t="s">
        <v>18</v>
      </c>
      <c r="H4021" t="s">
        <v>54</v>
      </c>
      <c r="I4021" t="s">
        <v>36</v>
      </c>
      <c r="J4021" t="s">
        <v>46</v>
      </c>
      <c r="K4021">
        <v>24</v>
      </c>
      <c r="L4021">
        <v>13.57</v>
      </c>
      <c r="M4021">
        <v>4.2</v>
      </c>
      <c r="N4021" t="s">
        <v>22</v>
      </c>
      <c r="O4021" t="str">
        <f t="shared" si="62"/>
        <v>No</v>
      </c>
    </row>
    <row r="4022" spans="1:15" x14ac:dyDescent="0.25">
      <c r="A4022" t="s">
        <v>4083</v>
      </c>
      <c r="B4022" s="1">
        <v>45682</v>
      </c>
      <c r="C4022" s="2">
        <v>45682.070833333331</v>
      </c>
      <c r="D4022" t="s">
        <v>31</v>
      </c>
      <c r="E4022" t="s">
        <v>39</v>
      </c>
      <c r="F4022" t="s">
        <v>87</v>
      </c>
      <c r="G4022" t="s">
        <v>18</v>
      </c>
      <c r="H4022" t="s">
        <v>44</v>
      </c>
      <c r="I4022" t="s">
        <v>28</v>
      </c>
      <c r="J4022" t="s">
        <v>46</v>
      </c>
      <c r="K4022">
        <v>4</v>
      </c>
      <c r="L4022">
        <v>1.7</v>
      </c>
      <c r="M4022">
        <v>4.0999999999999996</v>
      </c>
      <c r="N4022" t="s">
        <v>22</v>
      </c>
      <c r="O4022" t="str">
        <f t="shared" si="62"/>
        <v>No</v>
      </c>
    </row>
    <row r="4023" spans="1:15" x14ac:dyDescent="0.25">
      <c r="A4023" t="s">
        <v>4084</v>
      </c>
      <c r="B4023" s="1">
        <v>45666</v>
      </c>
      <c r="C4023" s="2">
        <v>45666.499583333331</v>
      </c>
      <c r="D4023" t="s">
        <v>24</v>
      </c>
      <c r="E4023" t="s">
        <v>32</v>
      </c>
      <c r="F4023" t="s">
        <v>75</v>
      </c>
      <c r="G4023" t="s">
        <v>41</v>
      </c>
      <c r="H4023" t="s">
        <v>65</v>
      </c>
      <c r="I4023" t="s">
        <v>36</v>
      </c>
      <c r="J4023" t="s">
        <v>46</v>
      </c>
      <c r="K4023">
        <v>24</v>
      </c>
      <c r="L4023">
        <v>11.99</v>
      </c>
      <c r="M4023">
        <v>4.8</v>
      </c>
      <c r="N4023" t="s">
        <v>22</v>
      </c>
      <c r="O4023" t="str">
        <f t="shared" si="62"/>
        <v>No</v>
      </c>
    </row>
    <row r="4024" spans="1:15" x14ac:dyDescent="0.25">
      <c r="A4024" t="s">
        <v>4085</v>
      </c>
      <c r="B4024" s="1">
        <v>45756</v>
      </c>
      <c r="C4024" s="2">
        <v>45757.435416666667</v>
      </c>
      <c r="D4024" t="s">
        <v>15</v>
      </c>
      <c r="E4024" t="s">
        <v>25</v>
      </c>
      <c r="F4024" t="s">
        <v>48</v>
      </c>
      <c r="G4024" t="s">
        <v>34</v>
      </c>
      <c r="H4024" t="s">
        <v>19</v>
      </c>
      <c r="I4024" t="s">
        <v>45</v>
      </c>
      <c r="J4024" t="s">
        <v>21</v>
      </c>
      <c r="K4024">
        <v>48</v>
      </c>
      <c r="L4024">
        <v>34.450000000000003</v>
      </c>
      <c r="M4024">
        <v>3.4</v>
      </c>
      <c r="N4024" t="s">
        <v>22</v>
      </c>
      <c r="O4024" t="str">
        <f t="shared" si="62"/>
        <v>No</v>
      </c>
    </row>
    <row r="4025" spans="1:15" x14ac:dyDescent="0.25">
      <c r="A4025" t="s">
        <v>4086</v>
      </c>
      <c r="B4025" s="1">
        <v>45709</v>
      </c>
      <c r="C4025" s="2">
        <v>45710.112083333333</v>
      </c>
      <c r="D4025" t="s">
        <v>15</v>
      </c>
      <c r="E4025" t="s">
        <v>32</v>
      </c>
      <c r="F4025" t="s">
        <v>75</v>
      </c>
      <c r="G4025" t="s">
        <v>41</v>
      </c>
      <c r="H4025" t="s">
        <v>27</v>
      </c>
      <c r="I4025" t="s">
        <v>36</v>
      </c>
      <c r="J4025" t="s">
        <v>46</v>
      </c>
      <c r="K4025">
        <v>48</v>
      </c>
      <c r="L4025">
        <v>26.69</v>
      </c>
      <c r="M4025">
        <v>2.9</v>
      </c>
      <c r="N4025" t="s">
        <v>22</v>
      </c>
      <c r="O4025" t="str">
        <f t="shared" si="62"/>
        <v>No</v>
      </c>
    </row>
    <row r="4026" spans="1:15" x14ac:dyDescent="0.25">
      <c r="A4026" t="s">
        <v>4087</v>
      </c>
      <c r="B4026" s="1">
        <v>45740</v>
      </c>
      <c r="C4026" s="2">
        <v>45740.568749999999</v>
      </c>
      <c r="D4026" t="s">
        <v>24</v>
      </c>
      <c r="E4026" t="s">
        <v>45</v>
      </c>
      <c r="F4026" t="s">
        <v>112</v>
      </c>
      <c r="G4026" t="s">
        <v>34</v>
      </c>
      <c r="H4026" t="s">
        <v>19</v>
      </c>
      <c r="I4026" t="s">
        <v>36</v>
      </c>
      <c r="J4026" t="s">
        <v>21</v>
      </c>
      <c r="K4026">
        <v>24</v>
      </c>
      <c r="L4026">
        <v>13.65</v>
      </c>
      <c r="M4026">
        <v>3.9</v>
      </c>
      <c r="N4026" t="s">
        <v>22</v>
      </c>
      <c r="O4026" t="str">
        <f t="shared" si="62"/>
        <v>No</v>
      </c>
    </row>
    <row r="4027" spans="1:15" x14ac:dyDescent="0.25">
      <c r="A4027" t="s">
        <v>4088</v>
      </c>
      <c r="B4027" s="1">
        <v>45683</v>
      </c>
      <c r="C4027" s="2">
        <v>45683.144583333335</v>
      </c>
      <c r="D4027" t="s">
        <v>31</v>
      </c>
      <c r="E4027" t="s">
        <v>25</v>
      </c>
      <c r="F4027" t="s">
        <v>26</v>
      </c>
      <c r="G4027" t="s">
        <v>34</v>
      </c>
      <c r="H4027" t="s">
        <v>27</v>
      </c>
      <c r="I4027" t="s">
        <v>36</v>
      </c>
      <c r="J4027" t="s">
        <v>46</v>
      </c>
      <c r="K4027">
        <v>4</v>
      </c>
      <c r="L4027">
        <v>3.47</v>
      </c>
      <c r="M4027">
        <v>5</v>
      </c>
      <c r="N4027" t="s">
        <v>22</v>
      </c>
      <c r="O4027" t="str">
        <f t="shared" si="62"/>
        <v>No</v>
      </c>
    </row>
    <row r="4028" spans="1:15" x14ac:dyDescent="0.25">
      <c r="A4028" t="s">
        <v>4089</v>
      </c>
      <c r="B4028" s="1">
        <v>45696</v>
      </c>
      <c r="C4028" s="2">
        <v>45696.338750000003</v>
      </c>
      <c r="D4028" t="s">
        <v>24</v>
      </c>
      <c r="E4028" t="s">
        <v>32</v>
      </c>
      <c r="F4028" t="s">
        <v>64</v>
      </c>
      <c r="G4028" t="s">
        <v>41</v>
      </c>
      <c r="H4028" t="s">
        <v>27</v>
      </c>
      <c r="I4028" t="s">
        <v>36</v>
      </c>
      <c r="J4028" t="s">
        <v>21</v>
      </c>
      <c r="K4028">
        <v>24</v>
      </c>
      <c r="L4028">
        <v>8.1300000000000008</v>
      </c>
      <c r="M4028">
        <v>4.9000000000000004</v>
      </c>
      <c r="N4028" t="s">
        <v>22</v>
      </c>
      <c r="O4028" t="str">
        <f t="shared" si="62"/>
        <v>No</v>
      </c>
    </row>
    <row r="4029" spans="1:15" x14ac:dyDescent="0.25">
      <c r="A4029" t="s">
        <v>4090</v>
      </c>
      <c r="B4029" s="1">
        <v>45737</v>
      </c>
      <c r="C4029" s="2">
        <v>45738.224999999999</v>
      </c>
      <c r="D4029" t="s">
        <v>15</v>
      </c>
      <c r="E4029" t="s">
        <v>25</v>
      </c>
      <c r="F4029" t="s">
        <v>26</v>
      </c>
      <c r="G4029" t="s">
        <v>51</v>
      </c>
      <c r="H4029" t="s">
        <v>19</v>
      </c>
      <c r="I4029" t="s">
        <v>45</v>
      </c>
      <c r="J4029" t="s">
        <v>46</v>
      </c>
      <c r="K4029">
        <v>48</v>
      </c>
      <c r="L4029">
        <v>29.4</v>
      </c>
      <c r="M4029">
        <v>3.7</v>
      </c>
      <c r="N4029" t="s">
        <v>22</v>
      </c>
      <c r="O4029" t="str">
        <f t="shared" si="62"/>
        <v>No</v>
      </c>
    </row>
    <row r="4030" spans="1:15" x14ac:dyDescent="0.25">
      <c r="A4030" t="s">
        <v>4091</v>
      </c>
      <c r="B4030" s="1">
        <v>45782</v>
      </c>
      <c r="C4030" s="2">
        <v>45782.159166666665</v>
      </c>
      <c r="D4030" t="s">
        <v>24</v>
      </c>
      <c r="E4030" t="s">
        <v>25</v>
      </c>
      <c r="F4030" t="s">
        <v>53</v>
      </c>
      <c r="G4030" t="s">
        <v>41</v>
      </c>
      <c r="H4030" t="s">
        <v>35</v>
      </c>
      <c r="I4030" t="s">
        <v>36</v>
      </c>
      <c r="J4030" t="s">
        <v>85</v>
      </c>
      <c r="K4030">
        <v>24</v>
      </c>
      <c r="L4030">
        <v>3.82</v>
      </c>
      <c r="M4030">
        <v>5</v>
      </c>
      <c r="N4030" t="s">
        <v>61</v>
      </c>
      <c r="O4030" t="str">
        <f t="shared" si="62"/>
        <v>No</v>
      </c>
    </row>
    <row r="4031" spans="1:15" x14ac:dyDescent="0.25">
      <c r="A4031" t="s">
        <v>4092</v>
      </c>
      <c r="B4031" s="1">
        <v>45732</v>
      </c>
      <c r="C4031" s="2">
        <v>45733.047083333331</v>
      </c>
      <c r="D4031" t="s">
        <v>15</v>
      </c>
      <c r="E4031" t="s">
        <v>16</v>
      </c>
      <c r="F4031" t="s">
        <v>58</v>
      </c>
      <c r="G4031" t="s">
        <v>34</v>
      </c>
      <c r="H4031" t="s">
        <v>65</v>
      </c>
      <c r="I4031" t="s">
        <v>36</v>
      </c>
      <c r="J4031" t="s">
        <v>29</v>
      </c>
      <c r="K4031">
        <v>48</v>
      </c>
      <c r="L4031">
        <v>25.13</v>
      </c>
      <c r="M4031">
        <v>4.3</v>
      </c>
      <c r="N4031" t="s">
        <v>61</v>
      </c>
      <c r="O4031" t="str">
        <f t="shared" si="62"/>
        <v>No</v>
      </c>
    </row>
    <row r="4032" spans="1:15" x14ac:dyDescent="0.25">
      <c r="A4032" t="s">
        <v>4093</v>
      </c>
      <c r="B4032" s="1">
        <v>45756</v>
      </c>
      <c r="C4032" s="2">
        <v>45756.794583333336</v>
      </c>
      <c r="D4032" t="s">
        <v>15</v>
      </c>
      <c r="E4032" t="s">
        <v>16</v>
      </c>
      <c r="F4032" t="s">
        <v>43</v>
      </c>
      <c r="G4032" t="s">
        <v>56</v>
      </c>
      <c r="H4032" t="s">
        <v>35</v>
      </c>
      <c r="I4032" t="s">
        <v>45</v>
      </c>
      <c r="J4032" t="s">
        <v>29</v>
      </c>
      <c r="K4032">
        <v>48</v>
      </c>
      <c r="L4032">
        <v>19.07</v>
      </c>
      <c r="M4032">
        <v>4.8</v>
      </c>
      <c r="N4032" t="s">
        <v>61</v>
      </c>
      <c r="O4032" t="str">
        <f t="shared" si="62"/>
        <v>No</v>
      </c>
    </row>
    <row r="4033" spans="1:15" x14ac:dyDescent="0.25">
      <c r="A4033" t="s">
        <v>4094</v>
      </c>
      <c r="B4033" s="1">
        <v>45752</v>
      </c>
      <c r="C4033" s="2">
        <v>45752.068333333336</v>
      </c>
      <c r="D4033" t="s">
        <v>31</v>
      </c>
      <c r="E4033" t="s">
        <v>32</v>
      </c>
      <c r="F4033" t="s">
        <v>64</v>
      </c>
      <c r="G4033" t="s">
        <v>41</v>
      </c>
      <c r="H4033" t="s">
        <v>65</v>
      </c>
      <c r="I4033" t="s">
        <v>36</v>
      </c>
      <c r="J4033" t="s">
        <v>21</v>
      </c>
      <c r="K4033">
        <v>4</v>
      </c>
      <c r="L4033">
        <v>1.64</v>
      </c>
      <c r="M4033">
        <v>5</v>
      </c>
      <c r="N4033" t="s">
        <v>22</v>
      </c>
      <c r="O4033" t="str">
        <f t="shared" si="62"/>
        <v>No</v>
      </c>
    </row>
    <row r="4034" spans="1:15" x14ac:dyDescent="0.25">
      <c r="A4034" t="s">
        <v>4095</v>
      </c>
      <c r="B4034" s="1">
        <v>45706</v>
      </c>
      <c r="C4034" s="2">
        <v>45706.195833333331</v>
      </c>
      <c r="D4034" t="s">
        <v>24</v>
      </c>
      <c r="E4034" t="s">
        <v>32</v>
      </c>
      <c r="F4034" t="s">
        <v>33</v>
      </c>
      <c r="G4034" t="s">
        <v>51</v>
      </c>
      <c r="H4034" t="s">
        <v>19</v>
      </c>
      <c r="I4034" t="s">
        <v>20</v>
      </c>
      <c r="J4034" t="s">
        <v>21</v>
      </c>
      <c r="K4034">
        <v>24</v>
      </c>
      <c r="L4034">
        <v>4.7</v>
      </c>
      <c r="M4034">
        <v>4.9000000000000004</v>
      </c>
      <c r="N4034" t="s">
        <v>22</v>
      </c>
      <c r="O4034" t="str">
        <f t="shared" si="62"/>
        <v>No</v>
      </c>
    </row>
    <row r="4035" spans="1:15" x14ac:dyDescent="0.25">
      <c r="A4035" t="s">
        <v>4096</v>
      </c>
      <c r="B4035" s="1">
        <v>45708</v>
      </c>
      <c r="C4035" s="2">
        <v>45708.645416666666</v>
      </c>
      <c r="D4035" t="s">
        <v>15</v>
      </c>
      <c r="E4035" t="s">
        <v>25</v>
      </c>
      <c r="F4035" t="s">
        <v>26</v>
      </c>
      <c r="G4035" t="s">
        <v>51</v>
      </c>
      <c r="H4035" t="s">
        <v>44</v>
      </c>
      <c r="I4035" t="s">
        <v>45</v>
      </c>
      <c r="J4035" t="s">
        <v>21</v>
      </c>
      <c r="K4035">
        <v>48</v>
      </c>
      <c r="L4035">
        <v>15.49</v>
      </c>
      <c r="M4035">
        <v>4.7</v>
      </c>
      <c r="N4035" t="s">
        <v>22</v>
      </c>
      <c r="O4035" t="str">
        <f t="shared" ref="O4035:O4098" si="63">IF(L4035&gt;K4035,"Yes","No")</f>
        <v>No</v>
      </c>
    </row>
    <row r="4036" spans="1:15" x14ac:dyDescent="0.25">
      <c r="A4036" t="s">
        <v>4097</v>
      </c>
      <c r="B4036" s="1">
        <v>45735</v>
      </c>
      <c r="C4036" s="2">
        <v>45735.732071759259</v>
      </c>
      <c r="D4036" t="s">
        <v>24</v>
      </c>
      <c r="E4036" t="s">
        <v>32</v>
      </c>
      <c r="F4036" t="s">
        <v>33</v>
      </c>
      <c r="G4036" t="s">
        <v>34</v>
      </c>
      <c r="H4036" t="s">
        <v>54</v>
      </c>
      <c r="I4036" t="s">
        <v>45</v>
      </c>
      <c r="J4036" t="s">
        <v>21</v>
      </c>
      <c r="K4036">
        <v>24</v>
      </c>
      <c r="L4036">
        <v>17.57</v>
      </c>
      <c r="M4036">
        <v>5</v>
      </c>
      <c r="N4036" t="s">
        <v>22</v>
      </c>
      <c r="O4036" t="str">
        <f t="shared" si="63"/>
        <v>No</v>
      </c>
    </row>
    <row r="4037" spans="1:15" x14ac:dyDescent="0.25">
      <c r="A4037" t="s">
        <v>4098</v>
      </c>
      <c r="B4037" s="1">
        <v>45663</v>
      </c>
      <c r="C4037" s="2">
        <v>45663.474583333336</v>
      </c>
      <c r="D4037" t="s">
        <v>15</v>
      </c>
      <c r="E4037" t="s">
        <v>32</v>
      </c>
      <c r="F4037" t="s">
        <v>80</v>
      </c>
      <c r="G4037" t="s">
        <v>56</v>
      </c>
      <c r="H4037" t="s">
        <v>44</v>
      </c>
      <c r="I4037" t="s">
        <v>36</v>
      </c>
      <c r="J4037" t="s">
        <v>46</v>
      </c>
      <c r="K4037">
        <v>48</v>
      </c>
      <c r="L4037">
        <v>11.39</v>
      </c>
      <c r="M4037">
        <v>5</v>
      </c>
      <c r="N4037" t="s">
        <v>22</v>
      </c>
      <c r="O4037" t="str">
        <f t="shared" si="63"/>
        <v>No</v>
      </c>
    </row>
    <row r="4038" spans="1:15" x14ac:dyDescent="0.25">
      <c r="A4038" t="s">
        <v>4099</v>
      </c>
      <c r="B4038" s="1">
        <v>45782</v>
      </c>
      <c r="C4038" s="2">
        <v>45782.165000000001</v>
      </c>
      <c r="D4038" t="s">
        <v>15</v>
      </c>
      <c r="E4038" t="s">
        <v>16</v>
      </c>
      <c r="F4038" t="s">
        <v>58</v>
      </c>
      <c r="G4038" t="s">
        <v>34</v>
      </c>
      <c r="H4038" t="s">
        <v>35</v>
      </c>
      <c r="I4038" t="s">
        <v>36</v>
      </c>
      <c r="J4038" t="s">
        <v>46</v>
      </c>
      <c r="K4038">
        <v>48</v>
      </c>
      <c r="L4038">
        <v>3.96</v>
      </c>
      <c r="M4038">
        <v>5</v>
      </c>
      <c r="N4038" t="s">
        <v>61</v>
      </c>
      <c r="O4038" t="str">
        <f t="shared" si="63"/>
        <v>No</v>
      </c>
    </row>
    <row r="4039" spans="1:15" x14ac:dyDescent="0.25">
      <c r="A4039" t="s">
        <v>4100</v>
      </c>
      <c r="B4039" s="1">
        <v>45769</v>
      </c>
      <c r="C4039" s="2">
        <v>45769.810416666667</v>
      </c>
      <c r="D4039" t="s">
        <v>24</v>
      </c>
      <c r="E4039" t="s">
        <v>32</v>
      </c>
      <c r="F4039" t="s">
        <v>80</v>
      </c>
      <c r="G4039" t="s">
        <v>51</v>
      </c>
      <c r="H4039" t="s">
        <v>19</v>
      </c>
      <c r="I4039" t="s">
        <v>20</v>
      </c>
      <c r="J4039" t="s">
        <v>85</v>
      </c>
      <c r="K4039">
        <v>24</v>
      </c>
      <c r="L4039">
        <v>19.45</v>
      </c>
      <c r="M4039">
        <v>4.0999999999999996</v>
      </c>
      <c r="N4039" t="s">
        <v>22</v>
      </c>
      <c r="O4039" t="str">
        <f t="shared" si="63"/>
        <v>No</v>
      </c>
    </row>
    <row r="4040" spans="1:15" x14ac:dyDescent="0.25">
      <c r="A4040" t="s">
        <v>4101</v>
      </c>
      <c r="B4040" s="1">
        <v>45713</v>
      </c>
      <c r="C4040" s="2">
        <v>45714.990416666667</v>
      </c>
      <c r="D4040" t="s">
        <v>24</v>
      </c>
      <c r="E4040" t="s">
        <v>25</v>
      </c>
      <c r="F4040" t="s">
        <v>70</v>
      </c>
      <c r="G4040" t="s">
        <v>56</v>
      </c>
      <c r="H4040" t="s">
        <v>35</v>
      </c>
      <c r="I4040" t="s">
        <v>20</v>
      </c>
      <c r="J4040" t="s">
        <v>85</v>
      </c>
      <c r="K4040">
        <v>24</v>
      </c>
      <c r="L4040">
        <v>47.77</v>
      </c>
      <c r="M4040">
        <v>2.2000000000000002</v>
      </c>
      <c r="N4040" t="s">
        <v>22</v>
      </c>
      <c r="O4040" t="str">
        <f t="shared" si="63"/>
        <v>Yes</v>
      </c>
    </row>
    <row r="4041" spans="1:15" x14ac:dyDescent="0.25">
      <c r="A4041" t="s">
        <v>4102</v>
      </c>
      <c r="B4041" s="1">
        <v>45725</v>
      </c>
      <c r="C4041" s="2">
        <v>45725.102083333331</v>
      </c>
      <c r="D4041" t="s">
        <v>38</v>
      </c>
      <c r="E4041" t="s">
        <v>25</v>
      </c>
      <c r="F4041" t="s">
        <v>26</v>
      </c>
      <c r="G4041" t="s">
        <v>18</v>
      </c>
      <c r="H4041" t="s">
        <v>27</v>
      </c>
      <c r="I4041" t="s">
        <v>36</v>
      </c>
      <c r="J4041" t="s">
        <v>21</v>
      </c>
      <c r="K4041">
        <v>8</v>
      </c>
      <c r="L4041">
        <v>2.4500000000000002</v>
      </c>
      <c r="M4041">
        <v>3.8</v>
      </c>
      <c r="N4041" t="s">
        <v>22</v>
      </c>
      <c r="O4041" t="str">
        <f t="shared" si="63"/>
        <v>No</v>
      </c>
    </row>
    <row r="4042" spans="1:15" x14ac:dyDescent="0.25">
      <c r="A4042" t="s">
        <v>4103</v>
      </c>
      <c r="B4042" s="1">
        <v>45717</v>
      </c>
      <c r="C4042" s="2">
        <v>45717.560833333337</v>
      </c>
      <c r="D4042" t="s">
        <v>38</v>
      </c>
      <c r="E4042" t="s">
        <v>25</v>
      </c>
      <c r="F4042" t="s">
        <v>53</v>
      </c>
      <c r="G4042" t="s">
        <v>18</v>
      </c>
      <c r="H4042" t="s">
        <v>35</v>
      </c>
      <c r="I4042" t="s">
        <v>36</v>
      </c>
      <c r="J4042" t="s">
        <v>29</v>
      </c>
      <c r="K4042">
        <v>8</v>
      </c>
      <c r="L4042">
        <v>13.46</v>
      </c>
      <c r="M4042">
        <v>3.4</v>
      </c>
      <c r="N4042" t="s">
        <v>22</v>
      </c>
      <c r="O4042" t="str">
        <f t="shared" si="63"/>
        <v>Yes</v>
      </c>
    </row>
    <row r="4043" spans="1:15" x14ac:dyDescent="0.25">
      <c r="A4043" t="s">
        <v>4104</v>
      </c>
      <c r="B4043" s="1">
        <v>45775</v>
      </c>
      <c r="C4043" s="2">
        <v>45775.142916666664</v>
      </c>
      <c r="D4043" t="s">
        <v>15</v>
      </c>
      <c r="E4043" t="s">
        <v>32</v>
      </c>
      <c r="F4043" t="s">
        <v>33</v>
      </c>
      <c r="G4043" t="s">
        <v>51</v>
      </c>
      <c r="H4043" t="s">
        <v>65</v>
      </c>
      <c r="I4043" t="s">
        <v>36</v>
      </c>
      <c r="J4043" t="s">
        <v>29</v>
      </c>
      <c r="K4043">
        <v>48</v>
      </c>
      <c r="L4043">
        <v>3.43</v>
      </c>
      <c r="M4043">
        <v>5</v>
      </c>
      <c r="N4043" t="s">
        <v>22</v>
      </c>
      <c r="O4043" t="str">
        <f t="shared" si="63"/>
        <v>No</v>
      </c>
    </row>
    <row r="4044" spans="1:15" x14ac:dyDescent="0.25">
      <c r="A4044" t="s">
        <v>4105</v>
      </c>
      <c r="B4044" s="1">
        <v>45795</v>
      </c>
      <c r="C4044" s="2">
        <v>45795.258750000001</v>
      </c>
      <c r="D4044" t="s">
        <v>38</v>
      </c>
      <c r="E4044" t="s">
        <v>39</v>
      </c>
      <c r="F4044" t="s">
        <v>87</v>
      </c>
      <c r="G4044" t="s">
        <v>51</v>
      </c>
      <c r="H4044" t="s">
        <v>54</v>
      </c>
      <c r="I4044" t="s">
        <v>45</v>
      </c>
      <c r="J4044" t="s">
        <v>46</v>
      </c>
      <c r="K4044">
        <v>8</v>
      </c>
      <c r="L4044">
        <v>6.21</v>
      </c>
      <c r="M4044">
        <v>4.3</v>
      </c>
      <c r="N4044" t="s">
        <v>22</v>
      </c>
      <c r="O4044" t="str">
        <f t="shared" si="63"/>
        <v>No</v>
      </c>
    </row>
    <row r="4045" spans="1:15" x14ac:dyDescent="0.25">
      <c r="A4045" t="s">
        <v>4106</v>
      </c>
      <c r="B4045" s="1">
        <v>45677</v>
      </c>
      <c r="C4045" s="2">
        <v>45677.279166666667</v>
      </c>
      <c r="D4045" t="s">
        <v>24</v>
      </c>
      <c r="E4045" t="s">
        <v>25</v>
      </c>
      <c r="F4045" t="s">
        <v>70</v>
      </c>
      <c r="G4045" t="s">
        <v>41</v>
      </c>
      <c r="H4045" t="s">
        <v>19</v>
      </c>
      <c r="I4045" t="s">
        <v>36</v>
      </c>
      <c r="J4045" t="s">
        <v>21</v>
      </c>
      <c r="K4045">
        <v>24</v>
      </c>
      <c r="L4045">
        <v>6.7</v>
      </c>
      <c r="M4045">
        <v>5</v>
      </c>
      <c r="N4045" t="s">
        <v>22</v>
      </c>
      <c r="O4045" t="str">
        <f t="shared" si="63"/>
        <v>No</v>
      </c>
    </row>
    <row r="4046" spans="1:15" x14ac:dyDescent="0.25">
      <c r="A4046" t="s">
        <v>4107</v>
      </c>
      <c r="B4046" s="1">
        <v>45732</v>
      </c>
      <c r="C4046" s="2">
        <v>45735.914166666669</v>
      </c>
      <c r="D4046" t="s">
        <v>15</v>
      </c>
      <c r="E4046" t="s">
        <v>39</v>
      </c>
      <c r="F4046" t="s">
        <v>119</v>
      </c>
      <c r="G4046" t="s">
        <v>56</v>
      </c>
      <c r="H4046" t="s">
        <v>27</v>
      </c>
      <c r="I4046" t="s">
        <v>28</v>
      </c>
      <c r="J4046" t="s">
        <v>21</v>
      </c>
      <c r="K4046">
        <v>48</v>
      </c>
      <c r="L4046">
        <v>93.94</v>
      </c>
      <c r="M4046">
        <v>2.1</v>
      </c>
      <c r="N4046" t="s">
        <v>22</v>
      </c>
      <c r="O4046" t="str">
        <f t="shared" si="63"/>
        <v>Yes</v>
      </c>
    </row>
    <row r="4047" spans="1:15" x14ac:dyDescent="0.25">
      <c r="A4047" t="s">
        <v>4108</v>
      </c>
      <c r="B4047" s="1">
        <v>45660</v>
      </c>
      <c r="C4047" s="2">
        <v>45660.154166666667</v>
      </c>
      <c r="D4047" t="s">
        <v>38</v>
      </c>
      <c r="E4047" t="s">
        <v>16</v>
      </c>
      <c r="F4047" t="s">
        <v>43</v>
      </c>
      <c r="G4047" t="s">
        <v>41</v>
      </c>
      <c r="H4047" t="s">
        <v>44</v>
      </c>
      <c r="I4047" t="s">
        <v>36</v>
      </c>
      <c r="J4047" t="s">
        <v>21</v>
      </c>
      <c r="K4047">
        <v>8</v>
      </c>
      <c r="L4047">
        <v>3.7</v>
      </c>
      <c r="M4047">
        <v>4.0999999999999996</v>
      </c>
      <c r="N4047" t="s">
        <v>22</v>
      </c>
      <c r="O4047" t="str">
        <f t="shared" si="63"/>
        <v>No</v>
      </c>
    </row>
    <row r="4048" spans="1:15" x14ac:dyDescent="0.25">
      <c r="A4048" t="s">
        <v>4109</v>
      </c>
      <c r="B4048" s="1">
        <v>45739</v>
      </c>
      <c r="C4048" s="2">
        <v>45739.651250000003</v>
      </c>
      <c r="D4048" t="s">
        <v>15</v>
      </c>
      <c r="E4048" t="s">
        <v>16</v>
      </c>
      <c r="F4048" t="s">
        <v>58</v>
      </c>
      <c r="G4048" t="s">
        <v>18</v>
      </c>
      <c r="H4048" t="s">
        <v>27</v>
      </c>
      <c r="I4048" t="s">
        <v>28</v>
      </c>
      <c r="J4048" t="s">
        <v>21</v>
      </c>
      <c r="K4048">
        <v>48</v>
      </c>
      <c r="L4048">
        <v>15.63</v>
      </c>
      <c r="M4048">
        <v>3.8</v>
      </c>
      <c r="N4048" t="s">
        <v>22</v>
      </c>
      <c r="O4048" t="str">
        <f t="shared" si="63"/>
        <v>No</v>
      </c>
    </row>
    <row r="4049" spans="1:15" x14ac:dyDescent="0.25">
      <c r="A4049" t="s">
        <v>4110</v>
      </c>
      <c r="B4049" s="1">
        <v>45702</v>
      </c>
      <c r="C4049" s="2">
        <v>45702.020833333336</v>
      </c>
      <c r="D4049" t="s">
        <v>24</v>
      </c>
      <c r="E4049" t="s">
        <v>39</v>
      </c>
      <c r="F4049" t="s">
        <v>78</v>
      </c>
      <c r="G4049" t="s">
        <v>51</v>
      </c>
      <c r="H4049" t="s">
        <v>27</v>
      </c>
      <c r="I4049" t="s">
        <v>36</v>
      </c>
      <c r="J4049" t="s">
        <v>21</v>
      </c>
      <c r="K4049">
        <v>24</v>
      </c>
      <c r="L4049">
        <v>0.5</v>
      </c>
      <c r="M4049">
        <v>4.8</v>
      </c>
      <c r="N4049" t="s">
        <v>22</v>
      </c>
      <c r="O4049" t="str">
        <f t="shared" si="63"/>
        <v>No</v>
      </c>
    </row>
    <row r="4050" spans="1:15" x14ac:dyDescent="0.25">
      <c r="A4050" t="s">
        <v>4111</v>
      </c>
      <c r="B4050" s="1">
        <v>45718</v>
      </c>
      <c r="C4050" s="2">
        <v>45718.321250000001</v>
      </c>
      <c r="D4050" t="s">
        <v>38</v>
      </c>
      <c r="E4050" t="s">
        <v>32</v>
      </c>
      <c r="F4050" t="s">
        <v>80</v>
      </c>
      <c r="G4050" t="s">
        <v>51</v>
      </c>
      <c r="H4050" t="s">
        <v>35</v>
      </c>
      <c r="I4050" t="s">
        <v>36</v>
      </c>
      <c r="J4050" t="s">
        <v>21</v>
      </c>
      <c r="K4050">
        <v>8</v>
      </c>
      <c r="L4050">
        <v>7.71</v>
      </c>
      <c r="M4050">
        <v>4.5</v>
      </c>
      <c r="N4050" t="s">
        <v>22</v>
      </c>
      <c r="O4050" t="str">
        <f t="shared" si="63"/>
        <v>No</v>
      </c>
    </row>
    <row r="4051" spans="1:15" x14ac:dyDescent="0.25">
      <c r="A4051" t="s">
        <v>4112</v>
      </c>
      <c r="B4051" s="1">
        <v>45740</v>
      </c>
      <c r="C4051" s="2">
        <v>45741.841249999998</v>
      </c>
      <c r="D4051" t="s">
        <v>15</v>
      </c>
      <c r="E4051" t="s">
        <v>16</v>
      </c>
      <c r="F4051" t="s">
        <v>17</v>
      </c>
      <c r="G4051" t="s">
        <v>41</v>
      </c>
      <c r="H4051" t="s">
        <v>35</v>
      </c>
      <c r="I4051" t="s">
        <v>36</v>
      </c>
      <c r="J4051" t="s">
        <v>21</v>
      </c>
      <c r="K4051">
        <v>48</v>
      </c>
      <c r="L4051">
        <v>44.19</v>
      </c>
      <c r="M4051">
        <v>3.4</v>
      </c>
      <c r="N4051" t="s">
        <v>22</v>
      </c>
      <c r="O4051" t="str">
        <f t="shared" si="63"/>
        <v>No</v>
      </c>
    </row>
    <row r="4052" spans="1:15" x14ac:dyDescent="0.25">
      <c r="A4052" t="s">
        <v>4113</v>
      </c>
      <c r="B4052" s="1">
        <v>45716</v>
      </c>
      <c r="C4052" s="2">
        <v>45716.434583333335</v>
      </c>
      <c r="D4052" t="s">
        <v>38</v>
      </c>
      <c r="E4052" t="s">
        <v>32</v>
      </c>
      <c r="F4052" t="s">
        <v>64</v>
      </c>
      <c r="G4052" t="s">
        <v>51</v>
      </c>
      <c r="H4052" t="s">
        <v>27</v>
      </c>
      <c r="I4052" t="s">
        <v>36</v>
      </c>
      <c r="J4052" t="s">
        <v>46</v>
      </c>
      <c r="K4052">
        <v>8</v>
      </c>
      <c r="L4052">
        <v>10.43</v>
      </c>
      <c r="M4052">
        <v>3.4</v>
      </c>
      <c r="N4052" t="s">
        <v>22</v>
      </c>
      <c r="O4052" t="str">
        <f t="shared" si="63"/>
        <v>Yes</v>
      </c>
    </row>
    <row r="4053" spans="1:15" x14ac:dyDescent="0.25">
      <c r="A4053" t="s">
        <v>4114</v>
      </c>
      <c r="B4053" s="1">
        <v>45729</v>
      </c>
      <c r="C4053" s="2">
        <v>45730.280416666668</v>
      </c>
      <c r="D4053" t="s">
        <v>15</v>
      </c>
      <c r="E4053" t="s">
        <v>25</v>
      </c>
      <c r="F4053" t="s">
        <v>26</v>
      </c>
      <c r="G4053" t="s">
        <v>41</v>
      </c>
      <c r="H4053" t="s">
        <v>35</v>
      </c>
      <c r="I4053" t="s">
        <v>28</v>
      </c>
      <c r="J4053" t="s">
        <v>21</v>
      </c>
      <c r="K4053">
        <v>48</v>
      </c>
      <c r="L4053">
        <v>30.73</v>
      </c>
      <c r="M4053">
        <v>4.7</v>
      </c>
      <c r="N4053" t="s">
        <v>22</v>
      </c>
      <c r="O4053" t="str">
        <f t="shared" si="63"/>
        <v>No</v>
      </c>
    </row>
    <row r="4054" spans="1:15" x14ac:dyDescent="0.25">
      <c r="A4054" t="s">
        <v>4115</v>
      </c>
      <c r="B4054" s="1">
        <v>45796</v>
      </c>
      <c r="C4054" s="2">
        <v>45796.141250000001</v>
      </c>
      <c r="D4054" t="s">
        <v>38</v>
      </c>
      <c r="E4054" t="s">
        <v>16</v>
      </c>
      <c r="F4054" t="s">
        <v>58</v>
      </c>
      <c r="G4054" t="s">
        <v>41</v>
      </c>
      <c r="H4054" t="s">
        <v>44</v>
      </c>
      <c r="I4054" t="s">
        <v>45</v>
      </c>
      <c r="J4054" t="s">
        <v>29</v>
      </c>
      <c r="K4054">
        <v>8</v>
      </c>
      <c r="L4054">
        <v>3.39</v>
      </c>
      <c r="M4054">
        <v>5</v>
      </c>
      <c r="N4054" t="s">
        <v>22</v>
      </c>
      <c r="O4054" t="str">
        <f t="shared" si="63"/>
        <v>No</v>
      </c>
    </row>
    <row r="4055" spans="1:15" x14ac:dyDescent="0.25">
      <c r="A4055" t="s">
        <v>4116</v>
      </c>
      <c r="B4055" s="1">
        <v>45804</v>
      </c>
      <c r="C4055" s="2">
        <v>45806.302499999998</v>
      </c>
      <c r="D4055" t="s">
        <v>15</v>
      </c>
      <c r="E4055" t="s">
        <v>32</v>
      </c>
      <c r="F4055" t="s">
        <v>75</v>
      </c>
      <c r="G4055" t="s">
        <v>34</v>
      </c>
      <c r="H4055" t="s">
        <v>65</v>
      </c>
      <c r="I4055" t="s">
        <v>36</v>
      </c>
      <c r="J4055" t="s">
        <v>21</v>
      </c>
      <c r="K4055">
        <v>48</v>
      </c>
      <c r="L4055">
        <v>55.26</v>
      </c>
      <c r="M4055">
        <v>2.5</v>
      </c>
      <c r="N4055" t="s">
        <v>22</v>
      </c>
      <c r="O4055" t="str">
        <f t="shared" si="63"/>
        <v>Yes</v>
      </c>
    </row>
    <row r="4056" spans="1:15" x14ac:dyDescent="0.25">
      <c r="A4056" t="s">
        <v>4117</v>
      </c>
      <c r="B4056" s="1">
        <v>45659</v>
      </c>
      <c r="C4056" s="2">
        <v>45659.724583333336</v>
      </c>
      <c r="D4056" t="s">
        <v>15</v>
      </c>
      <c r="E4056" t="s">
        <v>16</v>
      </c>
      <c r="F4056" t="s">
        <v>58</v>
      </c>
      <c r="G4056" t="s">
        <v>41</v>
      </c>
      <c r="H4056" t="s">
        <v>54</v>
      </c>
      <c r="I4056" t="s">
        <v>28</v>
      </c>
      <c r="J4056" t="s">
        <v>21</v>
      </c>
      <c r="K4056">
        <v>48</v>
      </c>
      <c r="L4056">
        <v>17.39</v>
      </c>
      <c r="M4056">
        <v>4.3</v>
      </c>
      <c r="N4056" t="s">
        <v>22</v>
      </c>
      <c r="O4056" t="str">
        <f t="shared" si="63"/>
        <v>No</v>
      </c>
    </row>
    <row r="4057" spans="1:15" x14ac:dyDescent="0.25">
      <c r="A4057" t="s">
        <v>4118</v>
      </c>
      <c r="B4057" s="1">
        <v>45726</v>
      </c>
      <c r="C4057" s="2">
        <v>45726.145833333336</v>
      </c>
      <c r="D4057" t="s">
        <v>24</v>
      </c>
      <c r="E4057" t="s">
        <v>39</v>
      </c>
      <c r="F4057" t="s">
        <v>78</v>
      </c>
      <c r="G4057" t="s">
        <v>18</v>
      </c>
      <c r="H4057" t="s">
        <v>35</v>
      </c>
      <c r="I4057" t="s">
        <v>36</v>
      </c>
      <c r="J4057" t="s">
        <v>21</v>
      </c>
      <c r="K4057">
        <v>24</v>
      </c>
      <c r="L4057">
        <v>3.5</v>
      </c>
      <c r="M4057">
        <v>4.3</v>
      </c>
      <c r="N4057" t="s">
        <v>22</v>
      </c>
      <c r="O4057" t="str">
        <f t="shared" si="63"/>
        <v>No</v>
      </c>
    </row>
    <row r="4058" spans="1:15" x14ac:dyDescent="0.25">
      <c r="A4058" t="s">
        <v>4119</v>
      </c>
      <c r="B4058" s="1">
        <v>45811</v>
      </c>
      <c r="C4058" s="2">
        <v>45811.252916666665</v>
      </c>
      <c r="D4058" t="s">
        <v>38</v>
      </c>
      <c r="E4058" t="s">
        <v>32</v>
      </c>
      <c r="F4058" t="s">
        <v>33</v>
      </c>
      <c r="G4058" t="s">
        <v>41</v>
      </c>
      <c r="H4058" t="s">
        <v>35</v>
      </c>
      <c r="I4058" t="s">
        <v>36</v>
      </c>
      <c r="J4058" t="s">
        <v>21</v>
      </c>
      <c r="K4058">
        <v>8</v>
      </c>
      <c r="L4058">
        <v>6.07</v>
      </c>
      <c r="M4058">
        <v>3.5</v>
      </c>
      <c r="N4058" t="s">
        <v>22</v>
      </c>
      <c r="O4058" t="str">
        <f t="shared" si="63"/>
        <v>No</v>
      </c>
    </row>
    <row r="4059" spans="1:15" x14ac:dyDescent="0.25">
      <c r="A4059" t="s">
        <v>4120</v>
      </c>
      <c r="B4059" s="1">
        <v>45754</v>
      </c>
      <c r="C4059" s="2">
        <v>45756.123333333337</v>
      </c>
      <c r="D4059" t="s">
        <v>15</v>
      </c>
      <c r="E4059" t="s">
        <v>45</v>
      </c>
      <c r="F4059" t="s">
        <v>112</v>
      </c>
      <c r="G4059" t="s">
        <v>56</v>
      </c>
      <c r="H4059" t="s">
        <v>54</v>
      </c>
      <c r="I4059" t="s">
        <v>36</v>
      </c>
      <c r="J4059" t="s">
        <v>21</v>
      </c>
      <c r="K4059">
        <v>48</v>
      </c>
      <c r="L4059">
        <v>50.96</v>
      </c>
      <c r="M4059">
        <v>3.5</v>
      </c>
      <c r="N4059" t="s">
        <v>22</v>
      </c>
      <c r="O4059" t="str">
        <f t="shared" si="63"/>
        <v>Yes</v>
      </c>
    </row>
    <row r="4060" spans="1:15" x14ac:dyDescent="0.25">
      <c r="A4060" t="s">
        <v>4121</v>
      </c>
      <c r="B4060" s="1">
        <v>45695</v>
      </c>
      <c r="C4060" s="2">
        <v>45695.03833333333</v>
      </c>
      <c r="D4060" t="s">
        <v>38</v>
      </c>
      <c r="E4060" t="s">
        <v>16</v>
      </c>
      <c r="F4060" t="s">
        <v>58</v>
      </c>
      <c r="G4060" t="s">
        <v>56</v>
      </c>
      <c r="H4060" t="s">
        <v>44</v>
      </c>
      <c r="I4060" t="s">
        <v>45</v>
      </c>
      <c r="J4060" t="s">
        <v>46</v>
      </c>
      <c r="K4060">
        <v>8</v>
      </c>
      <c r="L4060">
        <v>0.92</v>
      </c>
      <c r="M4060">
        <v>3.6</v>
      </c>
      <c r="N4060" t="s">
        <v>22</v>
      </c>
      <c r="O4060" t="str">
        <f t="shared" si="63"/>
        <v>No</v>
      </c>
    </row>
    <row r="4061" spans="1:15" x14ac:dyDescent="0.25">
      <c r="A4061" t="s">
        <v>4122</v>
      </c>
      <c r="B4061" s="1">
        <v>45765</v>
      </c>
      <c r="C4061" s="2">
        <v>45766.21</v>
      </c>
      <c r="D4061" t="s">
        <v>15</v>
      </c>
      <c r="E4061" t="s">
        <v>16</v>
      </c>
      <c r="F4061" t="s">
        <v>43</v>
      </c>
      <c r="G4061" t="s">
        <v>34</v>
      </c>
      <c r="H4061" t="s">
        <v>35</v>
      </c>
      <c r="I4061" t="s">
        <v>28</v>
      </c>
      <c r="J4061" t="s">
        <v>21</v>
      </c>
      <c r="K4061">
        <v>48</v>
      </c>
      <c r="L4061">
        <v>29.04</v>
      </c>
      <c r="M4061">
        <v>4</v>
      </c>
      <c r="N4061" t="s">
        <v>22</v>
      </c>
      <c r="O4061" t="str">
        <f t="shared" si="63"/>
        <v>No</v>
      </c>
    </row>
    <row r="4062" spans="1:15" x14ac:dyDescent="0.25">
      <c r="A4062" t="s">
        <v>4123</v>
      </c>
      <c r="B4062" s="1">
        <v>45684</v>
      </c>
      <c r="C4062" s="2">
        <v>45684.966666666667</v>
      </c>
      <c r="D4062" t="s">
        <v>24</v>
      </c>
      <c r="E4062" t="s">
        <v>25</v>
      </c>
      <c r="F4062" t="s">
        <v>48</v>
      </c>
      <c r="G4062" t="s">
        <v>34</v>
      </c>
      <c r="H4062" t="s">
        <v>27</v>
      </c>
      <c r="I4062" t="s">
        <v>36</v>
      </c>
      <c r="J4062" t="s">
        <v>21</v>
      </c>
      <c r="K4062">
        <v>24</v>
      </c>
      <c r="L4062">
        <v>23.2</v>
      </c>
      <c r="M4062">
        <v>3.9</v>
      </c>
      <c r="N4062" t="s">
        <v>22</v>
      </c>
      <c r="O4062" t="str">
        <f t="shared" si="63"/>
        <v>No</v>
      </c>
    </row>
    <row r="4063" spans="1:15" x14ac:dyDescent="0.25">
      <c r="A4063" t="s">
        <v>4124</v>
      </c>
      <c r="B4063" s="1">
        <v>45661</v>
      </c>
      <c r="C4063" s="2">
        <v>45661.337500000001</v>
      </c>
      <c r="D4063" t="s">
        <v>24</v>
      </c>
      <c r="E4063" t="s">
        <v>16</v>
      </c>
      <c r="F4063" t="s">
        <v>43</v>
      </c>
      <c r="G4063" t="s">
        <v>51</v>
      </c>
      <c r="H4063" t="s">
        <v>65</v>
      </c>
      <c r="I4063" t="s">
        <v>20</v>
      </c>
      <c r="J4063" t="s">
        <v>21</v>
      </c>
      <c r="K4063">
        <v>24</v>
      </c>
      <c r="L4063">
        <v>8.1</v>
      </c>
      <c r="M4063">
        <v>3.9</v>
      </c>
      <c r="N4063" t="s">
        <v>22</v>
      </c>
      <c r="O4063" t="str">
        <f t="shared" si="63"/>
        <v>No</v>
      </c>
    </row>
    <row r="4064" spans="1:15" x14ac:dyDescent="0.25">
      <c r="A4064" t="s">
        <v>4125</v>
      </c>
      <c r="B4064" s="1">
        <v>45772</v>
      </c>
      <c r="C4064" s="2">
        <v>45775.334999999999</v>
      </c>
      <c r="D4064" t="s">
        <v>15</v>
      </c>
      <c r="E4064" t="s">
        <v>39</v>
      </c>
      <c r="F4064" t="s">
        <v>87</v>
      </c>
      <c r="G4064" t="s">
        <v>56</v>
      </c>
      <c r="H4064" t="s">
        <v>27</v>
      </c>
      <c r="I4064" t="s">
        <v>36</v>
      </c>
      <c r="J4064" t="s">
        <v>21</v>
      </c>
      <c r="K4064">
        <v>48</v>
      </c>
      <c r="L4064">
        <v>80.040000000000006</v>
      </c>
      <c r="M4064">
        <v>2.7</v>
      </c>
      <c r="N4064" t="s">
        <v>22</v>
      </c>
      <c r="O4064" t="str">
        <f t="shared" si="63"/>
        <v>Yes</v>
      </c>
    </row>
    <row r="4065" spans="1:15" x14ac:dyDescent="0.25">
      <c r="A4065" t="s">
        <v>4126</v>
      </c>
      <c r="B4065" s="1">
        <v>45751</v>
      </c>
      <c r="C4065" s="2">
        <v>45751.102083333331</v>
      </c>
      <c r="D4065" t="s">
        <v>38</v>
      </c>
      <c r="E4065" t="s">
        <v>32</v>
      </c>
      <c r="F4065" t="s">
        <v>80</v>
      </c>
      <c r="G4065" t="s">
        <v>41</v>
      </c>
      <c r="H4065" t="s">
        <v>35</v>
      </c>
      <c r="I4065" t="s">
        <v>36</v>
      </c>
      <c r="J4065" t="s">
        <v>85</v>
      </c>
      <c r="K4065">
        <v>8</v>
      </c>
      <c r="L4065">
        <v>2.4500000000000002</v>
      </c>
      <c r="M4065">
        <v>4.5999999999999996</v>
      </c>
      <c r="N4065" t="s">
        <v>22</v>
      </c>
      <c r="O4065" t="str">
        <f t="shared" si="63"/>
        <v>No</v>
      </c>
    </row>
    <row r="4066" spans="1:15" x14ac:dyDescent="0.25">
      <c r="A4066" t="s">
        <v>4127</v>
      </c>
      <c r="B4066" s="1">
        <v>45794</v>
      </c>
      <c r="C4066" s="2">
        <v>45794.306666666664</v>
      </c>
      <c r="D4066" t="s">
        <v>24</v>
      </c>
      <c r="E4066" t="s">
        <v>32</v>
      </c>
      <c r="F4066" t="s">
        <v>64</v>
      </c>
      <c r="G4066" t="s">
        <v>34</v>
      </c>
      <c r="H4066" t="s">
        <v>65</v>
      </c>
      <c r="I4066" t="s">
        <v>20</v>
      </c>
      <c r="J4066" t="s">
        <v>21</v>
      </c>
      <c r="K4066">
        <v>24</v>
      </c>
      <c r="L4066">
        <v>7.36</v>
      </c>
      <c r="M4066">
        <v>4.7</v>
      </c>
      <c r="N4066" t="s">
        <v>22</v>
      </c>
      <c r="O4066" t="str">
        <f t="shared" si="63"/>
        <v>No</v>
      </c>
    </row>
    <row r="4067" spans="1:15" x14ac:dyDescent="0.25">
      <c r="A4067" t="s">
        <v>4128</v>
      </c>
      <c r="B4067" s="1">
        <v>45720</v>
      </c>
      <c r="C4067" s="2">
        <v>45720.366666666669</v>
      </c>
      <c r="D4067" t="s">
        <v>24</v>
      </c>
      <c r="E4067" t="s">
        <v>39</v>
      </c>
      <c r="F4067" t="s">
        <v>119</v>
      </c>
      <c r="G4067" t="s">
        <v>56</v>
      </c>
      <c r="H4067" t="s">
        <v>54</v>
      </c>
      <c r="I4067" t="s">
        <v>20</v>
      </c>
      <c r="J4067" t="s">
        <v>21</v>
      </c>
      <c r="K4067">
        <v>24</v>
      </c>
      <c r="L4067">
        <v>8.8000000000000007</v>
      </c>
      <c r="M4067">
        <v>3.5</v>
      </c>
      <c r="N4067" t="s">
        <v>22</v>
      </c>
      <c r="O4067" t="str">
        <f t="shared" si="63"/>
        <v>No</v>
      </c>
    </row>
    <row r="4068" spans="1:15" x14ac:dyDescent="0.25">
      <c r="A4068" t="s">
        <v>4129</v>
      </c>
      <c r="B4068" s="1">
        <v>45812</v>
      </c>
      <c r="C4068" s="2">
        <v>45812.224999999999</v>
      </c>
      <c r="D4068" t="s">
        <v>24</v>
      </c>
      <c r="E4068" t="s">
        <v>39</v>
      </c>
      <c r="F4068" t="s">
        <v>40</v>
      </c>
      <c r="G4068" t="s">
        <v>18</v>
      </c>
      <c r="H4068" t="s">
        <v>44</v>
      </c>
      <c r="I4068" t="s">
        <v>45</v>
      </c>
      <c r="J4068" t="s">
        <v>46</v>
      </c>
      <c r="K4068">
        <v>24</v>
      </c>
      <c r="L4068">
        <v>5.4</v>
      </c>
      <c r="M4068">
        <v>5</v>
      </c>
      <c r="N4068" t="s">
        <v>61</v>
      </c>
      <c r="O4068" t="str">
        <f t="shared" si="63"/>
        <v>No</v>
      </c>
    </row>
    <row r="4069" spans="1:15" x14ac:dyDescent="0.25">
      <c r="A4069" t="s">
        <v>4130</v>
      </c>
      <c r="B4069" s="1">
        <v>45734</v>
      </c>
      <c r="C4069" s="2">
        <v>45734.306666666664</v>
      </c>
      <c r="D4069" t="s">
        <v>24</v>
      </c>
      <c r="E4069" t="s">
        <v>25</v>
      </c>
      <c r="F4069" t="s">
        <v>70</v>
      </c>
      <c r="G4069" t="s">
        <v>56</v>
      </c>
      <c r="H4069" t="s">
        <v>35</v>
      </c>
      <c r="I4069" t="s">
        <v>36</v>
      </c>
      <c r="J4069" t="s">
        <v>46</v>
      </c>
      <c r="K4069">
        <v>24</v>
      </c>
      <c r="L4069">
        <v>7.36</v>
      </c>
      <c r="M4069">
        <v>5</v>
      </c>
      <c r="N4069" t="s">
        <v>22</v>
      </c>
      <c r="O4069" t="str">
        <f t="shared" si="63"/>
        <v>No</v>
      </c>
    </row>
    <row r="4070" spans="1:15" x14ac:dyDescent="0.25">
      <c r="A4070" t="s">
        <v>4131</v>
      </c>
      <c r="B4070" s="1">
        <v>45791</v>
      </c>
      <c r="C4070" s="2">
        <v>45791.589583333334</v>
      </c>
      <c r="D4070" t="s">
        <v>24</v>
      </c>
      <c r="E4070" t="s">
        <v>39</v>
      </c>
      <c r="F4070" t="s">
        <v>78</v>
      </c>
      <c r="G4070" t="s">
        <v>18</v>
      </c>
      <c r="H4070" t="s">
        <v>44</v>
      </c>
      <c r="I4070" t="s">
        <v>36</v>
      </c>
      <c r="J4070" t="s">
        <v>21</v>
      </c>
      <c r="K4070">
        <v>24</v>
      </c>
      <c r="L4070">
        <v>14.15</v>
      </c>
      <c r="M4070">
        <v>3.8</v>
      </c>
      <c r="N4070" t="s">
        <v>22</v>
      </c>
      <c r="O4070" t="str">
        <f t="shared" si="63"/>
        <v>No</v>
      </c>
    </row>
    <row r="4071" spans="1:15" x14ac:dyDescent="0.25">
      <c r="A4071" t="s">
        <v>4132</v>
      </c>
      <c r="B4071" s="1">
        <v>45676</v>
      </c>
      <c r="C4071" s="2">
        <v>45676.084583333337</v>
      </c>
      <c r="D4071" t="s">
        <v>38</v>
      </c>
      <c r="E4071" t="s">
        <v>16</v>
      </c>
      <c r="F4071" t="s">
        <v>17</v>
      </c>
      <c r="G4071" t="s">
        <v>18</v>
      </c>
      <c r="H4071" t="s">
        <v>19</v>
      </c>
      <c r="I4071" t="s">
        <v>20</v>
      </c>
      <c r="J4071" t="s">
        <v>85</v>
      </c>
      <c r="K4071">
        <v>8</v>
      </c>
      <c r="L4071">
        <v>2.0299999999999998</v>
      </c>
      <c r="M4071">
        <v>5</v>
      </c>
      <c r="N4071" t="s">
        <v>22</v>
      </c>
      <c r="O4071" t="str">
        <f t="shared" si="63"/>
        <v>No</v>
      </c>
    </row>
    <row r="4072" spans="1:15" x14ac:dyDescent="0.25">
      <c r="A4072" t="s">
        <v>4133</v>
      </c>
      <c r="B4072" s="1">
        <v>45675</v>
      </c>
      <c r="C4072" s="2">
        <v>45675.815821759257</v>
      </c>
      <c r="D4072" t="s">
        <v>24</v>
      </c>
      <c r="E4072" t="s">
        <v>25</v>
      </c>
      <c r="F4072" t="s">
        <v>48</v>
      </c>
      <c r="G4072" t="s">
        <v>56</v>
      </c>
      <c r="H4072" t="s">
        <v>19</v>
      </c>
      <c r="I4072" t="s">
        <v>45</v>
      </c>
      <c r="J4072" t="s">
        <v>21</v>
      </c>
      <c r="K4072">
        <v>24</v>
      </c>
      <c r="L4072">
        <v>19.579999999999998</v>
      </c>
      <c r="M4072">
        <v>4.3</v>
      </c>
      <c r="N4072" t="s">
        <v>22</v>
      </c>
      <c r="O4072" t="str">
        <f t="shared" si="63"/>
        <v>No</v>
      </c>
    </row>
    <row r="4073" spans="1:15" x14ac:dyDescent="0.25">
      <c r="A4073" t="s">
        <v>4134</v>
      </c>
      <c r="B4073" s="1">
        <v>45799</v>
      </c>
      <c r="C4073" s="2">
        <v>45799.128333333334</v>
      </c>
      <c r="D4073" t="s">
        <v>24</v>
      </c>
      <c r="E4073" t="s">
        <v>45</v>
      </c>
      <c r="F4073" t="s">
        <v>104</v>
      </c>
      <c r="G4073" t="s">
        <v>51</v>
      </c>
      <c r="H4073" t="s">
        <v>19</v>
      </c>
      <c r="I4073" t="s">
        <v>36</v>
      </c>
      <c r="J4073" t="s">
        <v>21</v>
      </c>
      <c r="K4073">
        <v>24</v>
      </c>
      <c r="L4073">
        <v>3.08</v>
      </c>
      <c r="M4073">
        <v>5</v>
      </c>
      <c r="N4073" t="s">
        <v>22</v>
      </c>
      <c r="O4073" t="str">
        <f t="shared" si="63"/>
        <v>No</v>
      </c>
    </row>
    <row r="4074" spans="1:15" x14ac:dyDescent="0.25">
      <c r="A4074" t="s">
        <v>4135</v>
      </c>
      <c r="B4074" s="1">
        <v>45808</v>
      </c>
      <c r="C4074" s="2">
        <v>45808.256666666668</v>
      </c>
      <c r="D4074" t="s">
        <v>24</v>
      </c>
      <c r="E4074" t="s">
        <v>39</v>
      </c>
      <c r="F4074" t="s">
        <v>87</v>
      </c>
      <c r="G4074" t="s">
        <v>41</v>
      </c>
      <c r="H4074" t="s">
        <v>27</v>
      </c>
      <c r="I4074" t="s">
        <v>36</v>
      </c>
      <c r="J4074" t="s">
        <v>46</v>
      </c>
      <c r="K4074">
        <v>24</v>
      </c>
      <c r="L4074">
        <v>6.16</v>
      </c>
      <c r="M4074">
        <v>5</v>
      </c>
      <c r="N4074" t="s">
        <v>22</v>
      </c>
      <c r="O4074" t="str">
        <f t="shared" si="63"/>
        <v>No</v>
      </c>
    </row>
    <row r="4075" spans="1:15" x14ac:dyDescent="0.25">
      <c r="A4075" t="s">
        <v>4136</v>
      </c>
      <c r="B4075" s="1">
        <v>45828</v>
      </c>
      <c r="C4075" s="2">
        <v>45829.689583333333</v>
      </c>
      <c r="D4075" t="s">
        <v>24</v>
      </c>
      <c r="E4075" t="s">
        <v>45</v>
      </c>
      <c r="F4075" t="s">
        <v>50</v>
      </c>
      <c r="G4075" t="s">
        <v>34</v>
      </c>
      <c r="H4075" t="s">
        <v>35</v>
      </c>
      <c r="I4075" t="s">
        <v>20</v>
      </c>
      <c r="J4075" t="s">
        <v>29</v>
      </c>
      <c r="K4075">
        <v>24</v>
      </c>
      <c r="L4075">
        <v>40.549999999999997</v>
      </c>
      <c r="M4075">
        <v>2.2999999999999998</v>
      </c>
      <c r="N4075" t="s">
        <v>22</v>
      </c>
      <c r="O4075" t="str">
        <f t="shared" si="63"/>
        <v>Yes</v>
      </c>
    </row>
    <row r="4076" spans="1:15" x14ac:dyDescent="0.25">
      <c r="A4076" t="s">
        <v>4137</v>
      </c>
      <c r="B4076" s="1">
        <v>45716</v>
      </c>
      <c r="C4076" s="2">
        <v>45716.298333333332</v>
      </c>
      <c r="D4076" t="s">
        <v>24</v>
      </c>
      <c r="E4076" t="s">
        <v>25</v>
      </c>
      <c r="F4076" t="s">
        <v>26</v>
      </c>
      <c r="G4076" t="s">
        <v>41</v>
      </c>
      <c r="H4076" t="s">
        <v>44</v>
      </c>
      <c r="I4076" t="s">
        <v>36</v>
      </c>
      <c r="J4076" t="s">
        <v>21</v>
      </c>
      <c r="K4076">
        <v>24</v>
      </c>
      <c r="L4076">
        <v>7.16</v>
      </c>
      <c r="M4076">
        <v>4.4000000000000004</v>
      </c>
      <c r="N4076" t="s">
        <v>61</v>
      </c>
      <c r="O4076" t="str">
        <f t="shared" si="63"/>
        <v>No</v>
      </c>
    </row>
    <row r="4077" spans="1:15" x14ac:dyDescent="0.25">
      <c r="A4077" t="s">
        <v>4138</v>
      </c>
      <c r="B4077" s="1">
        <v>45662</v>
      </c>
      <c r="C4077" s="2">
        <v>45662.519166666665</v>
      </c>
      <c r="D4077" t="s">
        <v>24</v>
      </c>
      <c r="E4077" t="s">
        <v>32</v>
      </c>
      <c r="F4077" t="s">
        <v>75</v>
      </c>
      <c r="G4077" t="s">
        <v>41</v>
      </c>
      <c r="H4077" t="s">
        <v>65</v>
      </c>
      <c r="I4077" t="s">
        <v>45</v>
      </c>
      <c r="J4077" t="s">
        <v>21</v>
      </c>
      <c r="K4077">
        <v>24</v>
      </c>
      <c r="L4077">
        <v>12.46</v>
      </c>
      <c r="M4077">
        <v>4.8</v>
      </c>
      <c r="N4077" t="s">
        <v>22</v>
      </c>
      <c r="O4077" t="str">
        <f t="shared" si="63"/>
        <v>No</v>
      </c>
    </row>
    <row r="4078" spans="1:15" x14ac:dyDescent="0.25">
      <c r="A4078" t="s">
        <v>4139</v>
      </c>
      <c r="B4078" s="1">
        <v>45835</v>
      </c>
      <c r="C4078" s="2">
        <v>45835.553333333337</v>
      </c>
      <c r="D4078" t="s">
        <v>24</v>
      </c>
      <c r="E4078" t="s">
        <v>39</v>
      </c>
      <c r="F4078" t="s">
        <v>119</v>
      </c>
      <c r="G4078" t="s">
        <v>51</v>
      </c>
      <c r="H4078" t="s">
        <v>44</v>
      </c>
      <c r="I4078" t="s">
        <v>45</v>
      </c>
      <c r="J4078" t="s">
        <v>46</v>
      </c>
      <c r="K4078">
        <v>24</v>
      </c>
      <c r="L4078">
        <v>13.28</v>
      </c>
      <c r="M4078">
        <v>3.8</v>
      </c>
      <c r="N4078" t="s">
        <v>22</v>
      </c>
      <c r="O4078" t="str">
        <f t="shared" si="63"/>
        <v>No</v>
      </c>
    </row>
    <row r="4079" spans="1:15" x14ac:dyDescent="0.25">
      <c r="A4079" t="s">
        <v>4140</v>
      </c>
      <c r="B4079" s="1">
        <v>45766</v>
      </c>
      <c r="C4079" s="2">
        <v>45766.069166666668</v>
      </c>
      <c r="D4079" t="s">
        <v>38</v>
      </c>
      <c r="E4079" t="s">
        <v>32</v>
      </c>
      <c r="F4079" t="s">
        <v>75</v>
      </c>
      <c r="G4079" t="s">
        <v>41</v>
      </c>
      <c r="H4079" t="s">
        <v>44</v>
      </c>
      <c r="I4079" t="s">
        <v>36</v>
      </c>
      <c r="J4079" t="s">
        <v>46</v>
      </c>
      <c r="K4079">
        <v>8</v>
      </c>
      <c r="L4079">
        <v>1.66</v>
      </c>
      <c r="M4079">
        <v>4.5</v>
      </c>
      <c r="N4079" t="s">
        <v>22</v>
      </c>
      <c r="O4079" t="str">
        <f t="shared" si="63"/>
        <v>No</v>
      </c>
    </row>
    <row r="4080" spans="1:15" x14ac:dyDescent="0.25">
      <c r="A4080" t="s">
        <v>4141</v>
      </c>
      <c r="B4080" s="1">
        <v>45702</v>
      </c>
      <c r="C4080" s="2">
        <v>45702.04583333333</v>
      </c>
      <c r="D4080" t="s">
        <v>31</v>
      </c>
      <c r="E4080" t="s">
        <v>16</v>
      </c>
      <c r="F4080" t="s">
        <v>17</v>
      </c>
      <c r="G4080" t="s">
        <v>51</v>
      </c>
      <c r="H4080" t="s">
        <v>27</v>
      </c>
      <c r="I4080" t="s">
        <v>45</v>
      </c>
      <c r="J4080" t="s">
        <v>21</v>
      </c>
      <c r="K4080">
        <v>4</v>
      </c>
      <c r="L4080">
        <v>1.1000000000000001</v>
      </c>
      <c r="M4080">
        <v>5</v>
      </c>
      <c r="N4080" t="s">
        <v>22</v>
      </c>
      <c r="O4080" t="str">
        <f t="shared" si="63"/>
        <v>No</v>
      </c>
    </row>
    <row r="4081" spans="1:15" x14ac:dyDescent="0.25">
      <c r="A4081" t="s">
        <v>4142</v>
      </c>
      <c r="B4081" s="1">
        <v>45796</v>
      </c>
      <c r="C4081" s="2">
        <v>45796.115416666667</v>
      </c>
      <c r="D4081" t="s">
        <v>31</v>
      </c>
      <c r="E4081" t="s">
        <v>16</v>
      </c>
      <c r="F4081" t="s">
        <v>17</v>
      </c>
      <c r="G4081" t="s">
        <v>51</v>
      </c>
      <c r="H4081" t="s">
        <v>54</v>
      </c>
      <c r="I4081" t="s">
        <v>45</v>
      </c>
      <c r="J4081" t="s">
        <v>85</v>
      </c>
      <c r="K4081">
        <v>4</v>
      </c>
      <c r="L4081">
        <v>2.77</v>
      </c>
      <c r="M4081">
        <v>4.4000000000000004</v>
      </c>
      <c r="N4081" t="s">
        <v>22</v>
      </c>
      <c r="O4081" t="str">
        <f t="shared" si="63"/>
        <v>No</v>
      </c>
    </row>
    <row r="4082" spans="1:15" x14ac:dyDescent="0.25">
      <c r="A4082" t="s">
        <v>4143</v>
      </c>
      <c r="B4082" s="1">
        <v>45821</v>
      </c>
      <c r="C4082" s="2">
        <v>45821.1</v>
      </c>
      <c r="D4082" t="s">
        <v>38</v>
      </c>
      <c r="E4082" t="s">
        <v>16</v>
      </c>
      <c r="F4082" t="s">
        <v>17</v>
      </c>
      <c r="G4082" t="s">
        <v>56</v>
      </c>
      <c r="H4082" t="s">
        <v>19</v>
      </c>
      <c r="I4082" t="s">
        <v>45</v>
      </c>
      <c r="J4082" t="s">
        <v>21</v>
      </c>
      <c r="K4082">
        <v>8</v>
      </c>
      <c r="L4082">
        <v>2.4</v>
      </c>
      <c r="M4082">
        <v>4.7</v>
      </c>
      <c r="N4082" t="s">
        <v>22</v>
      </c>
      <c r="O4082" t="str">
        <f t="shared" si="63"/>
        <v>No</v>
      </c>
    </row>
    <row r="4083" spans="1:15" x14ac:dyDescent="0.25">
      <c r="A4083" t="s">
        <v>4144</v>
      </c>
      <c r="B4083" s="1">
        <v>45709</v>
      </c>
      <c r="C4083" s="2">
        <v>45709.285833333335</v>
      </c>
      <c r="D4083" t="s">
        <v>24</v>
      </c>
      <c r="E4083" t="s">
        <v>25</v>
      </c>
      <c r="F4083" t="s">
        <v>53</v>
      </c>
      <c r="G4083" t="s">
        <v>56</v>
      </c>
      <c r="H4083" t="s">
        <v>44</v>
      </c>
      <c r="I4083" t="s">
        <v>28</v>
      </c>
      <c r="J4083" t="s">
        <v>46</v>
      </c>
      <c r="K4083">
        <v>24</v>
      </c>
      <c r="L4083">
        <v>6.86</v>
      </c>
      <c r="M4083">
        <v>4.7</v>
      </c>
      <c r="N4083" t="s">
        <v>61</v>
      </c>
      <c r="O4083" t="str">
        <f t="shared" si="63"/>
        <v>No</v>
      </c>
    </row>
    <row r="4084" spans="1:15" x14ac:dyDescent="0.25">
      <c r="A4084" t="s">
        <v>4145</v>
      </c>
      <c r="B4084" s="1">
        <v>45797</v>
      </c>
      <c r="C4084" s="2">
        <v>45797.091249999998</v>
      </c>
      <c r="D4084" t="s">
        <v>38</v>
      </c>
      <c r="E4084" t="s">
        <v>39</v>
      </c>
      <c r="F4084" t="s">
        <v>87</v>
      </c>
      <c r="G4084" t="s">
        <v>34</v>
      </c>
      <c r="H4084" t="s">
        <v>27</v>
      </c>
      <c r="I4084" t="s">
        <v>45</v>
      </c>
      <c r="J4084" t="s">
        <v>29</v>
      </c>
      <c r="K4084">
        <v>8</v>
      </c>
      <c r="L4084">
        <v>2.19</v>
      </c>
      <c r="M4084">
        <v>4.5999999999999996</v>
      </c>
      <c r="N4084" t="s">
        <v>22</v>
      </c>
      <c r="O4084" t="str">
        <f t="shared" si="63"/>
        <v>No</v>
      </c>
    </row>
    <row r="4085" spans="1:15" x14ac:dyDescent="0.25">
      <c r="A4085" t="s">
        <v>4146</v>
      </c>
      <c r="B4085" s="1">
        <v>45800</v>
      </c>
      <c r="C4085" s="2">
        <v>45802.581250000003</v>
      </c>
      <c r="D4085" t="s">
        <v>15</v>
      </c>
      <c r="E4085" t="s">
        <v>39</v>
      </c>
      <c r="F4085" t="s">
        <v>78</v>
      </c>
      <c r="G4085" t="s">
        <v>51</v>
      </c>
      <c r="H4085" t="s">
        <v>35</v>
      </c>
      <c r="I4085" t="s">
        <v>36</v>
      </c>
      <c r="J4085" t="s">
        <v>21</v>
      </c>
      <c r="K4085">
        <v>48</v>
      </c>
      <c r="L4085">
        <v>61.95</v>
      </c>
      <c r="M4085">
        <v>4</v>
      </c>
      <c r="N4085" t="s">
        <v>22</v>
      </c>
      <c r="O4085" t="str">
        <f t="shared" si="63"/>
        <v>Yes</v>
      </c>
    </row>
    <row r="4086" spans="1:15" x14ac:dyDescent="0.25">
      <c r="A4086" t="s">
        <v>4147</v>
      </c>
      <c r="B4086" s="1">
        <v>45748</v>
      </c>
      <c r="C4086" s="2">
        <v>45749.115416666667</v>
      </c>
      <c r="D4086" t="s">
        <v>24</v>
      </c>
      <c r="E4086" t="s">
        <v>25</v>
      </c>
      <c r="F4086" t="s">
        <v>53</v>
      </c>
      <c r="G4086" t="s">
        <v>51</v>
      </c>
      <c r="H4086" t="s">
        <v>65</v>
      </c>
      <c r="I4086" t="s">
        <v>36</v>
      </c>
      <c r="J4086" t="s">
        <v>21</v>
      </c>
      <c r="K4086">
        <v>24</v>
      </c>
      <c r="L4086">
        <v>26.77</v>
      </c>
      <c r="M4086">
        <v>5</v>
      </c>
      <c r="N4086" t="s">
        <v>22</v>
      </c>
      <c r="O4086" t="str">
        <f t="shared" si="63"/>
        <v>Yes</v>
      </c>
    </row>
    <row r="4087" spans="1:15" x14ac:dyDescent="0.25">
      <c r="A4087" t="s">
        <v>4148</v>
      </c>
      <c r="B4087" s="1">
        <v>45772</v>
      </c>
      <c r="C4087" s="2">
        <v>45773.193749999999</v>
      </c>
      <c r="D4087" t="s">
        <v>15</v>
      </c>
      <c r="E4087" t="s">
        <v>45</v>
      </c>
      <c r="F4087" t="s">
        <v>104</v>
      </c>
      <c r="G4087" t="s">
        <v>41</v>
      </c>
      <c r="H4087" t="s">
        <v>35</v>
      </c>
      <c r="I4087" t="s">
        <v>45</v>
      </c>
      <c r="J4087" t="s">
        <v>21</v>
      </c>
      <c r="K4087">
        <v>48</v>
      </c>
      <c r="L4087">
        <v>28.65</v>
      </c>
      <c r="M4087">
        <v>4.5</v>
      </c>
      <c r="N4087" t="s">
        <v>61</v>
      </c>
      <c r="O4087" t="str">
        <f t="shared" si="63"/>
        <v>No</v>
      </c>
    </row>
    <row r="4088" spans="1:15" x14ac:dyDescent="0.25">
      <c r="A4088" t="s">
        <v>4149</v>
      </c>
      <c r="B4088" s="1">
        <v>45706</v>
      </c>
      <c r="C4088" s="2">
        <v>45706.910416666666</v>
      </c>
      <c r="D4088" t="s">
        <v>15</v>
      </c>
      <c r="E4088" t="s">
        <v>25</v>
      </c>
      <c r="F4088" t="s">
        <v>26</v>
      </c>
      <c r="G4088" t="s">
        <v>56</v>
      </c>
      <c r="H4088" t="s">
        <v>54</v>
      </c>
      <c r="I4088" t="s">
        <v>36</v>
      </c>
      <c r="J4088" t="s">
        <v>46</v>
      </c>
      <c r="K4088">
        <v>48</v>
      </c>
      <c r="L4088">
        <v>21.85</v>
      </c>
      <c r="M4088">
        <v>5</v>
      </c>
      <c r="N4088" t="s">
        <v>22</v>
      </c>
      <c r="O4088" t="str">
        <f t="shared" si="63"/>
        <v>No</v>
      </c>
    </row>
    <row r="4089" spans="1:15" x14ac:dyDescent="0.25">
      <c r="A4089" t="s">
        <v>4150</v>
      </c>
      <c r="B4089" s="1">
        <v>45826</v>
      </c>
      <c r="C4089" s="2">
        <v>45826.095405092594</v>
      </c>
      <c r="D4089" t="s">
        <v>31</v>
      </c>
      <c r="E4089" t="s">
        <v>32</v>
      </c>
      <c r="F4089" t="s">
        <v>75</v>
      </c>
      <c r="G4089" t="s">
        <v>41</v>
      </c>
      <c r="H4089" t="s">
        <v>54</v>
      </c>
      <c r="I4089" t="s">
        <v>20</v>
      </c>
      <c r="J4089" t="s">
        <v>21</v>
      </c>
      <c r="K4089">
        <v>4</v>
      </c>
      <c r="L4089">
        <v>2.29</v>
      </c>
      <c r="M4089">
        <v>4</v>
      </c>
      <c r="N4089" t="s">
        <v>22</v>
      </c>
      <c r="O4089" t="str">
        <f t="shared" si="63"/>
        <v>No</v>
      </c>
    </row>
    <row r="4090" spans="1:15" x14ac:dyDescent="0.25">
      <c r="A4090" t="s">
        <v>4151</v>
      </c>
      <c r="B4090" s="1">
        <v>45835</v>
      </c>
      <c r="C4090" s="2">
        <v>45835.24291666667</v>
      </c>
      <c r="D4090" t="s">
        <v>38</v>
      </c>
      <c r="E4090" t="s">
        <v>32</v>
      </c>
      <c r="F4090" t="s">
        <v>80</v>
      </c>
      <c r="G4090" t="s">
        <v>18</v>
      </c>
      <c r="H4090" t="s">
        <v>44</v>
      </c>
      <c r="I4090" t="s">
        <v>36</v>
      </c>
      <c r="J4090" t="s">
        <v>46</v>
      </c>
      <c r="K4090">
        <v>8</v>
      </c>
      <c r="L4090">
        <v>5.83</v>
      </c>
      <c r="M4090">
        <v>3.7</v>
      </c>
      <c r="N4090" t="s">
        <v>22</v>
      </c>
      <c r="O4090" t="str">
        <f t="shared" si="63"/>
        <v>No</v>
      </c>
    </row>
    <row r="4091" spans="1:15" x14ac:dyDescent="0.25">
      <c r="A4091" t="s">
        <v>4152</v>
      </c>
      <c r="B4091" s="1">
        <v>45835</v>
      </c>
      <c r="C4091" s="2">
        <v>45835.732488425929</v>
      </c>
      <c r="D4091" t="s">
        <v>24</v>
      </c>
      <c r="E4091" t="s">
        <v>32</v>
      </c>
      <c r="F4091" t="s">
        <v>80</v>
      </c>
      <c r="G4091" t="s">
        <v>51</v>
      </c>
      <c r="H4091" t="s">
        <v>65</v>
      </c>
      <c r="I4091" t="s">
        <v>36</v>
      </c>
      <c r="J4091" t="s">
        <v>21</v>
      </c>
      <c r="K4091">
        <v>24</v>
      </c>
      <c r="L4091">
        <v>17.579999999999998</v>
      </c>
      <c r="M4091">
        <v>3.6</v>
      </c>
      <c r="N4091" t="s">
        <v>22</v>
      </c>
      <c r="O4091" t="str">
        <f t="shared" si="63"/>
        <v>No</v>
      </c>
    </row>
    <row r="4092" spans="1:15" x14ac:dyDescent="0.25">
      <c r="A4092" t="s">
        <v>4153</v>
      </c>
      <c r="B4092" s="1">
        <v>45791</v>
      </c>
      <c r="C4092" s="2">
        <v>45791.606666666667</v>
      </c>
      <c r="D4092" t="s">
        <v>15</v>
      </c>
      <c r="E4092" t="s">
        <v>39</v>
      </c>
      <c r="F4092" t="s">
        <v>78</v>
      </c>
      <c r="G4092" t="s">
        <v>56</v>
      </c>
      <c r="H4092" t="s">
        <v>19</v>
      </c>
      <c r="I4092" t="s">
        <v>36</v>
      </c>
      <c r="J4092" t="s">
        <v>21</v>
      </c>
      <c r="K4092">
        <v>48</v>
      </c>
      <c r="L4092">
        <v>14.56</v>
      </c>
      <c r="M4092">
        <v>4</v>
      </c>
      <c r="N4092" t="s">
        <v>22</v>
      </c>
      <c r="O4092" t="str">
        <f t="shared" si="63"/>
        <v>No</v>
      </c>
    </row>
    <row r="4093" spans="1:15" x14ac:dyDescent="0.25">
      <c r="A4093" t="s">
        <v>4154</v>
      </c>
      <c r="B4093" s="1">
        <v>45665</v>
      </c>
      <c r="C4093" s="2">
        <v>45665.387071759258</v>
      </c>
      <c r="D4093" t="s">
        <v>24</v>
      </c>
      <c r="E4093" t="s">
        <v>32</v>
      </c>
      <c r="F4093" t="s">
        <v>64</v>
      </c>
      <c r="G4093" t="s">
        <v>34</v>
      </c>
      <c r="H4093" t="s">
        <v>19</v>
      </c>
      <c r="I4093" t="s">
        <v>20</v>
      </c>
      <c r="J4093" t="s">
        <v>21</v>
      </c>
      <c r="K4093">
        <v>24</v>
      </c>
      <c r="L4093">
        <v>9.2899999999999991</v>
      </c>
      <c r="M4093">
        <v>4.3</v>
      </c>
      <c r="N4093" t="s">
        <v>22</v>
      </c>
      <c r="O4093" t="str">
        <f t="shared" si="63"/>
        <v>No</v>
      </c>
    </row>
    <row r="4094" spans="1:15" x14ac:dyDescent="0.25">
      <c r="A4094" t="s">
        <v>4155</v>
      </c>
      <c r="B4094" s="1">
        <v>45724</v>
      </c>
      <c r="C4094" s="2">
        <v>45724.355833333335</v>
      </c>
      <c r="D4094" t="s">
        <v>24</v>
      </c>
      <c r="E4094" t="s">
        <v>45</v>
      </c>
      <c r="F4094" t="s">
        <v>104</v>
      </c>
      <c r="G4094" t="s">
        <v>34</v>
      </c>
      <c r="H4094" t="s">
        <v>27</v>
      </c>
      <c r="I4094" t="s">
        <v>45</v>
      </c>
      <c r="J4094" t="s">
        <v>21</v>
      </c>
      <c r="K4094">
        <v>24</v>
      </c>
      <c r="L4094">
        <v>8.5399999999999991</v>
      </c>
      <c r="M4094">
        <v>5</v>
      </c>
      <c r="N4094" t="s">
        <v>22</v>
      </c>
      <c r="O4094" t="str">
        <f t="shared" si="63"/>
        <v>No</v>
      </c>
    </row>
    <row r="4095" spans="1:15" x14ac:dyDescent="0.25">
      <c r="A4095" t="s">
        <v>4156</v>
      </c>
      <c r="B4095" s="1">
        <v>45738</v>
      </c>
      <c r="C4095" s="2">
        <v>45738.21166666667</v>
      </c>
      <c r="D4095" t="s">
        <v>38</v>
      </c>
      <c r="E4095" t="s">
        <v>16</v>
      </c>
      <c r="F4095" t="s">
        <v>58</v>
      </c>
      <c r="G4095" t="s">
        <v>41</v>
      </c>
      <c r="H4095" t="s">
        <v>54</v>
      </c>
      <c r="I4095" t="s">
        <v>45</v>
      </c>
      <c r="J4095" t="s">
        <v>21</v>
      </c>
      <c r="K4095">
        <v>8</v>
      </c>
      <c r="L4095">
        <v>5.08</v>
      </c>
      <c r="M4095">
        <v>4.9000000000000004</v>
      </c>
      <c r="N4095" t="s">
        <v>61</v>
      </c>
      <c r="O4095" t="str">
        <f t="shared" si="63"/>
        <v>No</v>
      </c>
    </row>
    <row r="4096" spans="1:15" x14ac:dyDescent="0.25">
      <c r="A4096" t="s">
        <v>4157</v>
      </c>
      <c r="B4096" s="1">
        <v>45831</v>
      </c>
      <c r="C4096" s="2">
        <v>45831.207916666666</v>
      </c>
      <c r="D4096" t="s">
        <v>31</v>
      </c>
      <c r="E4096" t="s">
        <v>39</v>
      </c>
      <c r="F4096" t="s">
        <v>119</v>
      </c>
      <c r="G4096" t="s">
        <v>34</v>
      </c>
      <c r="H4096" t="s">
        <v>54</v>
      </c>
      <c r="I4096" t="s">
        <v>36</v>
      </c>
      <c r="J4096" t="s">
        <v>29</v>
      </c>
      <c r="K4096">
        <v>4</v>
      </c>
      <c r="L4096">
        <v>4.99</v>
      </c>
      <c r="M4096">
        <v>3.2</v>
      </c>
      <c r="N4096" t="s">
        <v>22</v>
      </c>
      <c r="O4096" t="str">
        <f t="shared" si="63"/>
        <v>Yes</v>
      </c>
    </row>
    <row r="4097" spans="1:15" x14ac:dyDescent="0.25">
      <c r="A4097" t="s">
        <v>4158</v>
      </c>
      <c r="B4097" s="1">
        <v>45757</v>
      </c>
      <c r="C4097" s="2">
        <v>45757.521666666667</v>
      </c>
      <c r="D4097" t="s">
        <v>24</v>
      </c>
      <c r="E4097" t="s">
        <v>32</v>
      </c>
      <c r="F4097" t="s">
        <v>80</v>
      </c>
      <c r="G4097" t="s">
        <v>34</v>
      </c>
      <c r="H4097" t="s">
        <v>54</v>
      </c>
      <c r="I4097" t="s">
        <v>28</v>
      </c>
      <c r="J4097" t="s">
        <v>46</v>
      </c>
      <c r="K4097">
        <v>24</v>
      </c>
      <c r="L4097">
        <v>12.52</v>
      </c>
      <c r="M4097">
        <v>4.2</v>
      </c>
      <c r="N4097" t="s">
        <v>22</v>
      </c>
      <c r="O4097" t="str">
        <f t="shared" si="63"/>
        <v>No</v>
      </c>
    </row>
    <row r="4098" spans="1:15" x14ac:dyDescent="0.25">
      <c r="A4098" t="s">
        <v>4159</v>
      </c>
      <c r="B4098" s="1">
        <v>45755</v>
      </c>
      <c r="C4098" s="2">
        <v>45756.119166666664</v>
      </c>
      <c r="D4098" t="s">
        <v>15</v>
      </c>
      <c r="E4098" t="s">
        <v>39</v>
      </c>
      <c r="F4098" t="s">
        <v>87</v>
      </c>
      <c r="G4098" t="s">
        <v>41</v>
      </c>
      <c r="H4098" t="s">
        <v>35</v>
      </c>
      <c r="I4098" t="s">
        <v>20</v>
      </c>
      <c r="J4098" t="s">
        <v>21</v>
      </c>
      <c r="K4098">
        <v>48</v>
      </c>
      <c r="L4098">
        <v>26.86</v>
      </c>
      <c r="M4098">
        <v>4.3</v>
      </c>
      <c r="N4098" t="s">
        <v>22</v>
      </c>
      <c r="O4098" t="str">
        <f t="shared" si="63"/>
        <v>No</v>
      </c>
    </row>
    <row r="4099" spans="1:15" x14ac:dyDescent="0.25">
      <c r="A4099" t="s">
        <v>4160</v>
      </c>
      <c r="B4099" s="1">
        <v>45684</v>
      </c>
      <c r="C4099" s="2">
        <v>45684.507916666669</v>
      </c>
      <c r="D4099" t="s">
        <v>15</v>
      </c>
      <c r="E4099" t="s">
        <v>39</v>
      </c>
      <c r="F4099" t="s">
        <v>40</v>
      </c>
      <c r="G4099" t="s">
        <v>18</v>
      </c>
      <c r="H4099" t="s">
        <v>54</v>
      </c>
      <c r="I4099" t="s">
        <v>36</v>
      </c>
      <c r="J4099" t="s">
        <v>85</v>
      </c>
      <c r="K4099">
        <v>48</v>
      </c>
      <c r="L4099">
        <v>12.19</v>
      </c>
      <c r="M4099">
        <v>4.8</v>
      </c>
      <c r="N4099" t="s">
        <v>22</v>
      </c>
      <c r="O4099" t="str">
        <f t="shared" ref="O4099:O4162" si="64">IF(L4099&gt;K4099,"Yes","No")</f>
        <v>No</v>
      </c>
    </row>
    <row r="4100" spans="1:15" x14ac:dyDescent="0.25">
      <c r="A4100" t="s">
        <v>4161</v>
      </c>
      <c r="B4100" s="1">
        <v>45801</v>
      </c>
      <c r="C4100" s="2">
        <v>45801.215416666666</v>
      </c>
      <c r="D4100" t="s">
        <v>15</v>
      </c>
      <c r="E4100" t="s">
        <v>16</v>
      </c>
      <c r="F4100" t="s">
        <v>60</v>
      </c>
      <c r="G4100" t="s">
        <v>34</v>
      </c>
      <c r="H4100" t="s">
        <v>44</v>
      </c>
      <c r="I4100" t="s">
        <v>20</v>
      </c>
      <c r="J4100" t="s">
        <v>21</v>
      </c>
      <c r="K4100">
        <v>48</v>
      </c>
      <c r="L4100">
        <v>5.17</v>
      </c>
      <c r="M4100">
        <v>5</v>
      </c>
      <c r="N4100" t="s">
        <v>22</v>
      </c>
      <c r="O4100" t="str">
        <f t="shared" si="64"/>
        <v>No</v>
      </c>
    </row>
    <row r="4101" spans="1:15" x14ac:dyDescent="0.25">
      <c r="A4101" t="s">
        <v>4162</v>
      </c>
      <c r="B4101" s="1">
        <v>45718</v>
      </c>
      <c r="C4101" s="2">
        <v>45718.377916666665</v>
      </c>
      <c r="D4101" t="s">
        <v>24</v>
      </c>
      <c r="E4101" t="s">
        <v>32</v>
      </c>
      <c r="F4101" t="s">
        <v>80</v>
      </c>
      <c r="G4101" t="s">
        <v>41</v>
      </c>
      <c r="H4101" t="s">
        <v>44</v>
      </c>
      <c r="I4101" t="s">
        <v>28</v>
      </c>
      <c r="J4101" t="s">
        <v>85</v>
      </c>
      <c r="K4101">
        <v>24</v>
      </c>
      <c r="L4101">
        <v>9.07</v>
      </c>
      <c r="M4101">
        <v>4.3</v>
      </c>
      <c r="N4101" t="s">
        <v>22</v>
      </c>
      <c r="O4101" t="str">
        <f t="shared" si="64"/>
        <v>No</v>
      </c>
    </row>
    <row r="4102" spans="1:15" x14ac:dyDescent="0.25">
      <c r="A4102" t="s">
        <v>4163</v>
      </c>
      <c r="B4102" s="1">
        <v>45674</v>
      </c>
      <c r="C4102" s="2">
        <v>45675.685416666667</v>
      </c>
      <c r="D4102" t="s">
        <v>15</v>
      </c>
      <c r="E4102" t="s">
        <v>25</v>
      </c>
      <c r="F4102" t="s">
        <v>53</v>
      </c>
      <c r="G4102" t="s">
        <v>41</v>
      </c>
      <c r="H4102" t="s">
        <v>19</v>
      </c>
      <c r="I4102" t="s">
        <v>36</v>
      </c>
      <c r="J4102" t="s">
        <v>21</v>
      </c>
      <c r="K4102">
        <v>48</v>
      </c>
      <c r="L4102">
        <v>40.450000000000003</v>
      </c>
      <c r="M4102">
        <v>3.9</v>
      </c>
      <c r="N4102" t="s">
        <v>22</v>
      </c>
      <c r="O4102" t="str">
        <f t="shared" si="64"/>
        <v>No</v>
      </c>
    </row>
    <row r="4103" spans="1:15" x14ac:dyDescent="0.25">
      <c r="A4103" t="s">
        <v>4164</v>
      </c>
      <c r="B4103" s="1">
        <v>45836</v>
      </c>
      <c r="C4103" s="2">
        <v>45836.517916666664</v>
      </c>
      <c r="D4103" t="s">
        <v>15</v>
      </c>
      <c r="E4103" t="s">
        <v>32</v>
      </c>
      <c r="F4103" t="s">
        <v>33</v>
      </c>
      <c r="G4103" t="s">
        <v>56</v>
      </c>
      <c r="H4103" t="s">
        <v>35</v>
      </c>
      <c r="I4103" t="s">
        <v>36</v>
      </c>
      <c r="J4103" t="s">
        <v>21</v>
      </c>
      <c r="K4103">
        <v>48</v>
      </c>
      <c r="L4103">
        <v>12.43</v>
      </c>
      <c r="M4103">
        <v>5</v>
      </c>
      <c r="N4103" t="s">
        <v>22</v>
      </c>
      <c r="O4103" t="str">
        <f t="shared" si="64"/>
        <v>No</v>
      </c>
    </row>
    <row r="4104" spans="1:15" x14ac:dyDescent="0.25">
      <c r="A4104" t="s">
        <v>4165</v>
      </c>
      <c r="B4104" s="1">
        <v>45692</v>
      </c>
      <c r="C4104" s="2">
        <v>45692.169166666667</v>
      </c>
      <c r="D4104" t="s">
        <v>15</v>
      </c>
      <c r="E4104" t="s">
        <v>32</v>
      </c>
      <c r="F4104" t="s">
        <v>64</v>
      </c>
      <c r="G4104" t="s">
        <v>34</v>
      </c>
      <c r="H4104" t="s">
        <v>65</v>
      </c>
      <c r="I4104" t="s">
        <v>45</v>
      </c>
      <c r="J4104" t="s">
        <v>29</v>
      </c>
      <c r="K4104">
        <v>48</v>
      </c>
      <c r="L4104">
        <v>4.0599999999999996</v>
      </c>
      <c r="M4104">
        <v>4.7</v>
      </c>
      <c r="N4104" t="s">
        <v>22</v>
      </c>
      <c r="O4104" t="str">
        <f t="shared" si="64"/>
        <v>No</v>
      </c>
    </row>
    <row r="4105" spans="1:15" x14ac:dyDescent="0.25">
      <c r="A4105" t="s">
        <v>4166</v>
      </c>
      <c r="B4105" s="1">
        <v>45660</v>
      </c>
      <c r="C4105" s="2">
        <v>45661.504999999997</v>
      </c>
      <c r="D4105" t="s">
        <v>15</v>
      </c>
      <c r="E4105" t="s">
        <v>45</v>
      </c>
      <c r="F4105" t="s">
        <v>112</v>
      </c>
      <c r="G4105" t="s">
        <v>18</v>
      </c>
      <c r="H4105" t="s">
        <v>44</v>
      </c>
      <c r="I4105" t="s">
        <v>36</v>
      </c>
      <c r="J4105" t="s">
        <v>21</v>
      </c>
      <c r="K4105">
        <v>48</v>
      </c>
      <c r="L4105">
        <v>36.119999999999997</v>
      </c>
      <c r="M4105">
        <v>3.7</v>
      </c>
      <c r="N4105" t="s">
        <v>22</v>
      </c>
      <c r="O4105" t="str">
        <f t="shared" si="64"/>
        <v>No</v>
      </c>
    </row>
    <row r="4106" spans="1:15" x14ac:dyDescent="0.25">
      <c r="A4106" t="s">
        <v>4167</v>
      </c>
      <c r="B4106" s="1">
        <v>45672</v>
      </c>
      <c r="C4106" s="2">
        <v>45672.232071759259</v>
      </c>
      <c r="D4106" t="s">
        <v>38</v>
      </c>
      <c r="E4106" t="s">
        <v>32</v>
      </c>
      <c r="F4106" t="s">
        <v>80</v>
      </c>
      <c r="G4106" t="s">
        <v>51</v>
      </c>
      <c r="H4106" t="s">
        <v>65</v>
      </c>
      <c r="I4106" t="s">
        <v>20</v>
      </c>
      <c r="J4106" t="s">
        <v>29</v>
      </c>
      <c r="K4106">
        <v>8</v>
      </c>
      <c r="L4106">
        <v>5.57</v>
      </c>
      <c r="M4106">
        <v>4.0999999999999996</v>
      </c>
      <c r="N4106" t="s">
        <v>22</v>
      </c>
      <c r="O4106" t="str">
        <f t="shared" si="64"/>
        <v>No</v>
      </c>
    </row>
    <row r="4107" spans="1:15" x14ac:dyDescent="0.25">
      <c r="A4107" t="s">
        <v>4168</v>
      </c>
      <c r="B4107" s="1">
        <v>45739</v>
      </c>
      <c r="C4107" s="2">
        <v>45739.627083333333</v>
      </c>
      <c r="D4107" t="s">
        <v>15</v>
      </c>
      <c r="E4107" t="s">
        <v>32</v>
      </c>
      <c r="F4107" t="s">
        <v>33</v>
      </c>
      <c r="G4107" t="s">
        <v>51</v>
      </c>
      <c r="H4107" t="s">
        <v>54</v>
      </c>
      <c r="I4107" t="s">
        <v>45</v>
      </c>
      <c r="J4107" t="s">
        <v>46</v>
      </c>
      <c r="K4107">
        <v>48</v>
      </c>
      <c r="L4107">
        <v>15.05</v>
      </c>
      <c r="M4107">
        <v>4.7</v>
      </c>
      <c r="N4107" t="s">
        <v>22</v>
      </c>
      <c r="O4107" t="str">
        <f t="shared" si="64"/>
        <v>No</v>
      </c>
    </row>
    <row r="4108" spans="1:15" x14ac:dyDescent="0.25">
      <c r="A4108" t="s">
        <v>4169</v>
      </c>
      <c r="B4108" s="1">
        <v>45676</v>
      </c>
      <c r="C4108" s="2">
        <v>45676.094166666669</v>
      </c>
      <c r="D4108" t="s">
        <v>38</v>
      </c>
      <c r="E4108" t="s">
        <v>16</v>
      </c>
      <c r="F4108" t="s">
        <v>17</v>
      </c>
      <c r="G4108" t="s">
        <v>41</v>
      </c>
      <c r="H4108" t="s">
        <v>54</v>
      </c>
      <c r="I4108" t="s">
        <v>36</v>
      </c>
      <c r="J4108" t="s">
        <v>21</v>
      </c>
      <c r="K4108">
        <v>8</v>
      </c>
      <c r="L4108">
        <v>2.2599999999999998</v>
      </c>
      <c r="M4108">
        <v>3.7</v>
      </c>
      <c r="N4108" t="s">
        <v>22</v>
      </c>
      <c r="O4108" t="str">
        <f t="shared" si="64"/>
        <v>No</v>
      </c>
    </row>
    <row r="4109" spans="1:15" x14ac:dyDescent="0.25">
      <c r="A4109" t="s">
        <v>4170</v>
      </c>
      <c r="B4109" s="1">
        <v>45810</v>
      </c>
      <c r="C4109" s="2">
        <v>45810.806250000001</v>
      </c>
      <c r="D4109" t="s">
        <v>15</v>
      </c>
      <c r="E4109" t="s">
        <v>39</v>
      </c>
      <c r="F4109" t="s">
        <v>78</v>
      </c>
      <c r="G4109" t="s">
        <v>18</v>
      </c>
      <c r="H4109" t="s">
        <v>65</v>
      </c>
      <c r="I4109" t="s">
        <v>36</v>
      </c>
      <c r="J4109" t="s">
        <v>21</v>
      </c>
      <c r="K4109">
        <v>48</v>
      </c>
      <c r="L4109">
        <v>19.350000000000001</v>
      </c>
      <c r="M4109">
        <v>4.2</v>
      </c>
      <c r="N4109" t="s">
        <v>22</v>
      </c>
      <c r="O4109" t="str">
        <f t="shared" si="64"/>
        <v>No</v>
      </c>
    </row>
    <row r="4110" spans="1:15" x14ac:dyDescent="0.25">
      <c r="A4110" t="s">
        <v>4171</v>
      </c>
      <c r="B4110" s="1">
        <v>45750</v>
      </c>
      <c r="C4110" s="2">
        <v>45750.667083333334</v>
      </c>
      <c r="D4110" t="s">
        <v>15</v>
      </c>
      <c r="E4110" t="s">
        <v>32</v>
      </c>
      <c r="F4110" t="s">
        <v>64</v>
      </c>
      <c r="G4110" t="s">
        <v>51</v>
      </c>
      <c r="H4110" t="s">
        <v>65</v>
      </c>
      <c r="I4110" t="s">
        <v>45</v>
      </c>
      <c r="J4110" t="s">
        <v>21</v>
      </c>
      <c r="K4110">
        <v>48</v>
      </c>
      <c r="L4110">
        <v>16.010000000000002</v>
      </c>
      <c r="M4110">
        <v>4.9000000000000004</v>
      </c>
      <c r="N4110" t="s">
        <v>22</v>
      </c>
      <c r="O4110" t="str">
        <f t="shared" si="64"/>
        <v>No</v>
      </c>
    </row>
    <row r="4111" spans="1:15" x14ac:dyDescent="0.25">
      <c r="A4111" t="s">
        <v>4172</v>
      </c>
      <c r="B4111" s="1">
        <v>45716</v>
      </c>
      <c r="C4111" s="2">
        <v>45718.931250000001</v>
      </c>
      <c r="D4111" t="s">
        <v>15</v>
      </c>
      <c r="E4111" t="s">
        <v>32</v>
      </c>
      <c r="F4111" t="s">
        <v>64</v>
      </c>
      <c r="G4111" t="s">
        <v>56</v>
      </c>
      <c r="H4111" t="s">
        <v>65</v>
      </c>
      <c r="I4111" t="s">
        <v>36</v>
      </c>
      <c r="J4111" t="s">
        <v>21</v>
      </c>
      <c r="K4111">
        <v>48</v>
      </c>
      <c r="L4111">
        <v>70.349999999999994</v>
      </c>
      <c r="M4111">
        <v>4.5</v>
      </c>
      <c r="N4111" t="s">
        <v>22</v>
      </c>
      <c r="O4111" t="str">
        <f t="shared" si="64"/>
        <v>Yes</v>
      </c>
    </row>
    <row r="4112" spans="1:15" x14ac:dyDescent="0.25">
      <c r="A4112" t="s">
        <v>4173</v>
      </c>
      <c r="B4112" s="1">
        <v>45658</v>
      </c>
      <c r="C4112" s="2">
        <v>45658.393750000003</v>
      </c>
      <c r="D4112" t="s">
        <v>24</v>
      </c>
      <c r="E4112" t="s">
        <v>32</v>
      </c>
      <c r="F4112" t="s">
        <v>64</v>
      </c>
      <c r="G4112" t="s">
        <v>18</v>
      </c>
      <c r="H4112" t="s">
        <v>27</v>
      </c>
      <c r="I4112" t="s">
        <v>36</v>
      </c>
      <c r="J4112" t="s">
        <v>21</v>
      </c>
      <c r="K4112">
        <v>24</v>
      </c>
      <c r="L4112">
        <v>9.4499999999999993</v>
      </c>
      <c r="M4112">
        <v>4.2</v>
      </c>
      <c r="N4112" t="s">
        <v>22</v>
      </c>
      <c r="O4112" t="str">
        <f t="shared" si="64"/>
        <v>No</v>
      </c>
    </row>
    <row r="4113" spans="1:15" x14ac:dyDescent="0.25">
      <c r="A4113" t="s">
        <v>4174</v>
      </c>
      <c r="B4113" s="1">
        <v>45744</v>
      </c>
      <c r="C4113" s="2">
        <v>45745.318749999999</v>
      </c>
      <c r="D4113" t="s">
        <v>15</v>
      </c>
      <c r="E4113" t="s">
        <v>16</v>
      </c>
      <c r="F4113" t="s">
        <v>58</v>
      </c>
      <c r="G4113" t="s">
        <v>18</v>
      </c>
      <c r="H4113" t="s">
        <v>65</v>
      </c>
      <c r="I4113" t="s">
        <v>36</v>
      </c>
      <c r="J4113" t="s">
        <v>21</v>
      </c>
      <c r="K4113">
        <v>48</v>
      </c>
      <c r="L4113">
        <v>31.65</v>
      </c>
      <c r="M4113">
        <v>4.7</v>
      </c>
      <c r="N4113" t="s">
        <v>61</v>
      </c>
      <c r="O4113" t="str">
        <f t="shared" si="64"/>
        <v>No</v>
      </c>
    </row>
    <row r="4114" spans="1:15" x14ac:dyDescent="0.25">
      <c r="A4114" t="s">
        <v>4175</v>
      </c>
      <c r="B4114" s="1">
        <v>45685</v>
      </c>
      <c r="C4114" s="2">
        <v>45685.443749999999</v>
      </c>
      <c r="D4114" t="s">
        <v>24</v>
      </c>
      <c r="E4114" t="s">
        <v>32</v>
      </c>
      <c r="F4114" t="s">
        <v>64</v>
      </c>
      <c r="G4114" t="s">
        <v>56</v>
      </c>
      <c r="H4114" t="s">
        <v>27</v>
      </c>
      <c r="I4114" t="s">
        <v>20</v>
      </c>
      <c r="J4114" t="s">
        <v>21</v>
      </c>
      <c r="K4114">
        <v>24</v>
      </c>
      <c r="L4114">
        <v>10.65</v>
      </c>
      <c r="M4114">
        <v>4.5999999999999996</v>
      </c>
      <c r="N4114" t="s">
        <v>22</v>
      </c>
      <c r="O4114" t="str">
        <f t="shared" si="64"/>
        <v>No</v>
      </c>
    </row>
    <row r="4115" spans="1:15" x14ac:dyDescent="0.25">
      <c r="A4115" t="s">
        <v>4176</v>
      </c>
      <c r="B4115" s="1">
        <v>45835</v>
      </c>
      <c r="C4115" s="2">
        <v>45836.352916666663</v>
      </c>
      <c r="D4115" t="s">
        <v>15</v>
      </c>
      <c r="E4115" t="s">
        <v>25</v>
      </c>
      <c r="F4115" t="s">
        <v>48</v>
      </c>
      <c r="G4115" t="s">
        <v>34</v>
      </c>
      <c r="H4115" t="s">
        <v>44</v>
      </c>
      <c r="I4115" t="s">
        <v>36</v>
      </c>
      <c r="J4115" t="s">
        <v>21</v>
      </c>
      <c r="K4115">
        <v>48</v>
      </c>
      <c r="L4115">
        <v>32.47</v>
      </c>
      <c r="M4115">
        <v>4.9000000000000004</v>
      </c>
      <c r="N4115" t="s">
        <v>22</v>
      </c>
      <c r="O4115" t="str">
        <f t="shared" si="64"/>
        <v>No</v>
      </c>
    </row>
    <row r="4116" spans="1:15" x14ac:dyDescent="0.25">
      <c r="A4116" t="s">
        <v>4177</v>
      </c>
      <c r="B4116" s="1">
        <v>45710</v>
      </c>
      <c r="C4116" s="2">
        <v>45710.053738425922</v>
      </c>
      <c r="D4116" t="s">
        <v>31</v>
      </c>
      <c r="E4116" t="s">
        <v>25</v>
      </c>
      <c r="F4116" t="s">
        <v>70</v>
      </c>
      <c r="G4116" t="s">
        <v>56</v>
      </c>
      <c r="H4116" t="s">
        <v>19</v>
      </c>
      <c r="I4116" t="s">
        <v>36</v>
      </c>
      <c r="J4116" t="s">
        <v>21</v>
      </c>
      <c r="K4116">
        <v>4</v>
      </c>
      <c r="L4116">
        <v>1.29</v>
      </c>
      <c r="M4116">
        <v>4.2</v>
      </c>
      <c r="N4116" t="s">
        <v>22</v>
      </c>
      <c r="O4116" t="str">
        <f t="shared" si="64"/>
        <v>No</v>
      </c>
    </row>
    <row r="4117" spans="1:15" x14ac:dyDescent="0.25">
      <c r="A4117" t="s">
        <v>4178</v>
      </c>
      <c r="B4117" s="1">
        <v>45743</v>
      </c>
      <c r="C4117" s="2">
        <v>45743.625833333332</v>
      </c>
      <c r="D4117" t="s">
        <v>15</v>
      </c>
      <c r="E4117" t="s">
        <v>32</v>
      </c>
      <c r="F4117" t="s">
        <v>75</v>
      </c>
      <c r="G4117" t="s">
        <v>34</v>
      </c>
      <c r="H4117" t="s">
        <v>19</v>
      </c>
      <c r="I4117" t="s">
        <v>20</v>
      </c>
      <c r="J4117" t="s">
        <v>21</v>
      </c>
      <c r="K4117">
        <v>48</v>
      </c>
      <c r="L4117">
        <v>15.02</v>
      </c>
      <c r="M4117">
        <v>5</v>
      </c>
      <c r="N4117" t="s">
        <v>22</v>
      </c>
      <c r="O4117" t="str">
        <f t="shared" si="64"/>
        <v>No</v>
      </c>
    </row>
    <row r="4118" spans="1:15" x14ac:dyDescent="0.25">
      <c r="A4118" t="s">
        <v>4179</v>
      </c>
      <c r="B4118" s="1">
        <v>45661</v>
      </c>
      <c r="C4118" s="2">
        <v>45661.518750000003</v>
      </c>
      <c r="D4118" t="s">
        <v>24</v>
      </c>
      <c r="E4118" t="s">
        <v>39</v>
      </c>
      <c r="F4118" t="s">
        <v>87</v>
      </c>
      <c r="G4118" t="s">
        <v>51</v>
      </c>
      <c r="H4118" t="s">
        <v>27</v>
      </c>
      <c r="I4118" t="s">
        <v>36</v>
      </c>
      <c r="J4118" t="s">
        <v>21</v>
      </c>
      <c r="K4118">
        <v>24</v>
      </c>
      <c r="L4118">
        <v>12.45</v>
      </c>
      <c r="M4118">
        <v>5</v>
      </c>
      <c r="N4118" t="s">
        <v>22</v>
      </c>
      <c r="O4118" t="str">
        <f t="shared" si="64"/>
        <v>No</v>
      </c>
    </row>
    <row r="4119" spans="1:15" x14ac:dyDescent="0.25">
      <c r="A4119" t="s">
        <v>4180</v>
      </c>
      <c r="B4119" s="1">
        <v>45681</v>
      </c>
      <c r="C4119" s="2">
        <v>45681.092499999999</v>
      </c>
      <c r="D4119" t="s">
        <v>38</v>
      </c>
      <c r="E4119" t="s">
        <v>32</v>
      </c>
      <c r="F4119" t="s">
        <v>80</v>
      </c>
      <c r="G4119" t="s">
        <v>56</v>
      </c>
      <c r="H4119" t="s">
        <v>35</v>
      </c>
      <c r="I4119" t="s">
        <v>45</v>
      </c>
      <c r="J4119" t="s">
        <v>29</v>
      </c>
      <c r="K4119">
        <v>8</v>
      </c>
      <c r="L4119">
        <v>2.2200000000000002</v>
      </c>
      <c r="M4119">
        <v>5</v>
      </c>
      <c r="N4119" t="s">
        <v>22</v>
      </c>
      <c r="O4119" t="str">
        <f t="shared" si="64"/>
        <v>No</v>
      </c>
    </row>
    <row r="4120" spans="1:15" x14ac:dyDescent="0.25">
      <c r="A4120" t="s">
        <v>4181</v>
      </c>
      <c r="B4120" s="1">
        <v>45695</v>
      </c>
      <c r="C4120" s="2">
        <v>45695.756249999999</v>
      </c>
      <c r="D4120" t="s">
        <v>15</v>
      </c>
      <c r="E4120" t="s">
        <v>39</v>
      </c>
      <c r="F4120" t="s">
        <v>119</v>
      </c>
      <c r="G4120" t="s">
        <v>51</v>
      </c>
      <c r="H4120" t="s">
        <v>54</v>
      </c>
      <c r="I4120" t="s">
        <v>36</v>
      </c>
      <c r="J4120" t="s">
        <v>46</v>
      </c>
      <c r="K4120">
        <v>48</v>
      </c>
      <c r="L4120">
        <v>18.149999999999999</v>
      </c>
      <c r="M4120">
        <v>5</v>
      </c>
      <c r="N4120" t="s">
        <v>22</v>
      </c>
      <c r="O4120" t="str">
        <f t="shared" si="64"/>
        <v>No</v>
      </c>
    </row>
    <row r="4121" spans="1:15" x14ac:dyDescent="0.25">
      <c r="A4121" t="s">
        <v>4182</v>
      </c>
      <c r="B4121" s="1">
        <v>45667</v>
      </c>
      <c r="C4121" s="2">
        <v>45668.633333333331</v>
      </c>
      <c r="D4121" t="s">
        <v>15</v>
      </c>
      <c r="E4121" t="s">
        <v>32</v>
      </c>
      <c r="F4121" t="s">
        <v>33</v>
      </c>
      <c r="G4121" t="s">
        <v>56</v>
      </c>
      <c r="H4121" t="s">
        <v>44</v>
      </c>
      <c r="I4121" t="s">
        <v>20</v>
      </c>
      <c r="J4121" t="s">
        <v>21</v>
      </c>
      <c r="K4121">
        <v>48</v>
      </c>
      <c r="L4121">
        <v>39.200000000000003</v>
      </c>
      <c r="M4121">
        <v>4.0999999999999996</v>
      </c>
      <c r="N4121" t="s">
        <v>22</v>
      </c>
      <c r="O4121" t="str">
        <f t="shared" si="64"/>
        <v>No</v>
      </c>
    </row>
    <row r="4122" spans="1:15" x14ac:dyDescent="0.25">
      <c r="A4122" t="s">
        <v>4183</v>
      </c>
      <c r="B4122" s="1">
        <v>45789</v>
      </c>
      <c r="C4122" s="2">
        <v>45789.380833333336</v>
      </c>
      <c r="D4122" t="s">
        <v>38</v>
      </c>
      <c r="E4122" t="s">
        <v>25</v>
      </c>
      <c r="F4122" t="s">
        <v>26</v>
      </c>
      <c r="G4122" t="s">
        <v>51</v>
      </c>
      <c r="H4122" t="s">
        <v>65</v>
      </c>
      <c r="I4122" t="s">
        <v>36</v>
      </c>
      <c r="J4122" t="s">
        <v>46</v>
      </c>
      <c r="K4122">
        <v>8</v>
      </c>
      <c r="L4122">
        <v>9.14</v>
      </c>
      <c r="M4122">
        <v>4</v>
      </c>
      <c r="N4122" t="s">
        <v>22</v>
      </c>
      <c r="O4122" t="str">
        <f t="shared" si="64"/>
        <v>Yes</v>
      </c>
    </row>
    <row r="4123" spans="1:15" x14ac:dyDescent="0.25">
      <c r="A4123" t="s">
        <v>4184</v>
      </c>
      <c r="B4123" s="1">
        <v>45829</v>
      </c>
      <c r="C4123" s="2">
        <v>45832.582916666666</v>
      </c>
      <c r="D4123" t="s">
        <v>15</v>
      </c>
      <c r="E4123" t="s">
        <v>39</v>
      </c>
      <c r="F4123" t="s">
        <v>119</v>
      </c>
      <c r="G4123" t="s">
        <v>34</v>
      </c>
      <c r="H4123" t="s">
        <v>44</v>
      </c>
      <c r="I4123" t="s">
        <v>36</v>
      </c>
      <c r="J4123" t="s">
        <v>21</v>
      </c>
      <c r="K4123">
        <v>48</v>
      </c>
      <c r="L4123">
        <v>85.99</v>
      </c>
      <c r="M4123">
        <v>2.6</v>
      </c>
      <c r="N4123" t="s">
        <v>22</v>
      </c>
      <c r="O4123" t="str">
        <f t="shared" si="64"/>
        <v>Yes</v>
      </c>
    </row>
    <row r="4124" spans="1:15" x14ac:dyDescent="0.25">
      <c r="A4124" t="s">
        <v>4185</v>
      </c>
      <c r="B4124" s="1">
        <v>45836</v>
      </c>
      <c r="C4124" s="2">
        <v>45837.543749999997</v>
      </c>
      <c r="D4124" t="s">
        <v>15</v>
      </c>
      <c r="E4124" t="s">
        <v>16</v>
      </c>
      <c r="F4124" t="s">
        <v>58</v>
      </c>
      <c r="G4124" t="s">
        <v>51</v>
      </c>
      <c r="H4124" t="s">
        <v>35</v>
      </c>
      <c r="I4124" t="s">
        <v>36</v>
      </c>
      <c r="J4124" t="s">
        <v>21</v>
      </c>
      <c r="K4124">
        <v>48</v>
      </c>
      <c r="L4124">
        <v>37.049999999999997</v>
      </c>
      <c r="M4124">
        <v>2.6</v>
      </c>
      <c r="N4124" t="s">
        <v>22</v>
      </c>
      <c r="O4124" t="str">
        <f t="shared" si="64"/>
        <v>No</v>
      </c>
    </row>
    <row r="4125" spans="1:15" x14ac:dyDescent="0.25">
      <c r="A4125" t="s">
        <v>4186</v>
      </c>
      <c r="B4125" s="1">
        <v>45706</v>
      </c>
      <c r="C4125" s="2">
        <v>45706.635833333334</v>
      </c>
      <c r="D4125" t="s">
        <v>24</v>
      </c>
      <c r="E4125" t="s">
        <v>16</v>
      </c>
      <c r="F4125" t="s">
        <v>17</v>
      </c>
      <c r="G4125" t="s">
        <v>41</v>
      </c>
      <c r="H4125" t="s">
        <v>35</v>
      </c>
      <c r="I4125" t="s">
        <v>28</v>
      </c>
      <c r="J4125" t="s">
        <v>21</v>
      </c>
      <c r="K4125">
        <v>24</v>
      </c>
      <c r="L4125">
        <v>15.26</v>
      </c>
      <c r="M4125">
        <v>4.4000000000000004</v>
      </c>
      <c r="N4125" t="s">
        <v>22</v>
      </c>
      <c r="O4125" t="str">
        <f t="shared" si="64"/>
        <v>No</v>
      </c>
    </row>
    <row r="4126" spans="1:15" x14ac:dyDescent="0.25">
      <c r="A4126" t="s">
        <v>4187</v>
      </c>
      <c r="B4126" s="1">
        <v>45800</v>
      </c>
      <c r="C4126" s="2">
        <v>45800.459166666667</v>
      </c>
      <c r="D4126" t="s">
        <v>15</v>
      </c>
      <c r="E4126" t="s">
        <v>25</v>
      </c>
      <c r="F4126" t="s">
        <v>26</v>
      </c>
      <c r="G4126" t="s">
        <v>41</v>
      </c>
      <c r="H4126" t="s">
        <v>54</v>
      </c>
      <c r="I4126" t="s">
        <v>20</v>
      </c>
      <c r="J4126" t="s">
        <v>21</v>
      </c>
      <c r="K4126">
        <v>48</v>
      </c>
      <c r="L4126">
        <v>11.02</v>
      </c>
      <c r="M4126">
        <v>4.5999999999999996</v>
      </c>
      <c r="N4126" t="s">
        <v>22</v>
      </c>
      <c r="O4126" t="str">
        <f t="shared" si="64"/>
        <v>No</v>
      </c>
    </row>
    <row r="4127" spans="1:15" x14ac:dyDescent="0.25">
      <c r="A4127" t="s">
        <v>4188</v>
      </c>
      <c r="B4127" s="1">
        <v>45749</v>
      </c>
      <c r="C4127" s="2">
        <v>45749.35125</v>
      </c>
      <c r="D4127" t="s">
        <v>38</v>
      </c>
      <c r="E4127" t="s">
        <v>39</v>
      </c>
      <c r="F4127" t="s">
        <v>78</v>
      </c>
      <c r="G4127" t="s">
        <v>34</v>
      </c>
      <c r="H4127" t="s">
        <v>44</v>
      </c>
      <c r="I4127" t="s">
        <v>36</v>
      </c>
      <c r="J4127" t="s">
        <v>29</v>
      </c>
      <c r="K4127">
        <v>8</v>
      </c>
      <c r="L4127">
        <v>8.43</v>
      </c>
      <c r="M4127">
        <v>4.4000000000000004</v>
      </c>
      <c r="N4127" t="s">
        <v>22</v>
      </c>
      <c r="O4127" t="str">
        <f t="shared" si="64"/>
        <v>Yes</v>
      </c>
    </row>
    <row r="4128" spans="1:15" x14ac:dyDescent="0.25">
      <c r="A4128" t="s">
        <v>4189</v>
      </c>
      <c r="B4128" s="1">
        <v>45666</v>
      </c>
      <c r="C4128" s="2">
        <v>45667.422083333331</v>
      </c>
      <c r="D4128" t="s">
        <v>24</v>
      </c>
      <c r="E4128" t="s">
        <v>32</v>
      </c>
      <c r="F4128" t="s">
        <v>80</v>
      </c>
      <c r="G4128" t="s">
        <v>34</v>
      </c>
      <c r="H4128" t="s">
        <v>65</v>
      </c>
      <c r="I4128" t="s">
        <v>36</v>
      </c>
      <c r="J4128" t="s">
        <v>21</v>
      </c>
      <c r="K4128">
        <v>24</v>
      </c>
      <c r="L4128">
        <v>34.130000000000003</v>
      </c>
      <c r="M4128">
        <v>3.9</v>
      </c>
      <c r="N4128" t="s">
        <v>22</v>
      </c>
      <c r="O4128" t="str">
        <f t="shared" si="64"/>
        <v>Yes</v>
      </c>
    </row>
    <row r="4129" spans="1:15" x14ac:dyDescent="0.25">
      <c r="A4129" t="s">
        <v>4190</v>
      </c>
      <c r="B4129" s="1">
        <v>45674</v>
      </c>
      <c r="C4129" s="2">
        <v>45674.363749999997</v>
      </c>
      <c r="D4129" t="s">
        <v>24</v>
      </c>
      <c r="E4129" t="s">
        <v>45</v>
      </c>
      <c r="F4129" t="s">
        <v>100</v>
      </c>
      <c r="G4129" t="s">
        <v>56</v>
      </c>
      <c r="H4129" t="s">
        <v>27</v>
      </c>
      <c r="I4129" t="s">
        <v>36</v>
      </c>
      <c r="J4129" t="s">
        <v>46</v>
      </c>
      <c r="K4129">
        <v>24</v>
      </c>
      <c r="L4129">
        <v>8.73</v>
      </c>
      <c r="M4129">
        <v>3.9</v>
      </c>
      <c r="N4129" t="s">
        <v>22</v>
      </c>
      <c r="O4129" t="str">
        <f t="shared" si="64"/>
        <v>No</v>
      </c>
    </row>
    <row r="4130" spans="1:15" x14ac:dyDescent="0.25">
      <c r="A4130" t="s">
        <v>4191</v>
      </c>
      <c r="B4130" s="1">
        <v>45757</v>
      </c>
      <c r="C4130" s="2">
        <v>45760.385833333334</v>
      </c>
      <c r="D4130" t="s">
        <v>15</v>
      </c>
      <c r="E4130" t="s">
        <v>39</v>
      </c>
      <c r="F4130" t="s">
        <v>87</v>
      </c>
      <c r="G4130" t="s">
        <v>18</v>
      </c>
      <c r="H4130" t="s">
        <v>44</v>
      </c>
      <c r="I4130" t="s">
        <v>36</v>
      </c>
      <c r="J4130" t="s">
        <v>21</v>
      </c>
      <c r="K4130">
        <v>48</v>
      </c>
      <c r="L4130">
        <v>81.260000000000005</v>
      </c>
      <c r="M4130">
        <v>4.5</v>
      </c>
      <c r="N4130" t="s">
        <v>22</v>
      </c>
      <c r="O4130" t="str">
        <f t="shared" si="64"/>
        <v>Yes</v>
      </c>
    </row>
    <row r="4131" spans="1:15" x14ac:dyDescent="0.25">
      <c r="A4131" t="s">
        <v>4192</v>
      </c>
      <c r="B4131" s="1">
        <v>45734</v>
      </c>
      <c r="C4131" s="2">
        <v>45735.129583333335</v>
      </c>
      <c r="D4131" t="s">
        <v>24</v>
      </c>
      <c r="E4131" t="s">
        <v>16</v>
      </c>
      <c r="F4131" t="s">
        <v>58</v>
      </c>
      <c r="G4131" t="s">
        <v>34</v>
      </c>
      <c r="H4131" t="s">
        <v>44</v>
      </c>
      <c r="I4131" t="s">
        <v>36</v>
      </c>
      <c r="J4131" t="s">
        <v>21</v>
      </c>
      <c r="K4131">
        <v>24</v>
      </c>
      <c r="L4131">
        <v>27.11</v>
      </c>
      <c r="M4131">
        <v>3.9</v>
      </c>
      <c r="N4131" t="s">
        <v>61</v>
      </c>
      <c r="O4131" t="str">
        <f t="shared" si="64"/>
        <v>Yes</v>
      </c>
    </row>
    <row r="4132" spans="1:15" x14ac:dyDescent="0.25">
      <c r="A4132" t="s">
        <v>4193</v>
      </c>
      <c r="B4132" s="1">
        <v>45659</v>
      </c>
      <c r="C4132" s="2">
        <v>45659.778749999998</v>
      </c>
      <c r="D4132" t="s">
        <v>24</v>
      </c>
      <c r="E4132" t="s">
        <v>16</v>
      </c>
      <c r="F4132" t="s">
        <v>43</v>
      </c>
      <c r="G4132" t="s">
        <v>56</v>
      </c>
      <c r="H4132" t="s">
        <v>65</v>
      </c>
      <c r="I4132" t="s">
        <v>20</v>
      </c>
      <c r="J4132" t="s">
        <v>21</v>
      </c>
      <c r="K4132">
        <v>24</v>
      </c>
      <c r="L4132">
        <v>18.690000000000001</v>
      </c>
      <c r="M4132">
        <v>3.2</v>
      </c>
      <c r="N4132" t="s">
        <v>22</v>
      </c>
      <c r="O4132" t="str">
        <f t="shared" si="64"/>
        <v>No</v>
      </c>
    </row>
    <row r="4133" spans="1:15" x14ac:dyDescent="0.25">
      <c r="A4133" t="s">
        <v>4194</v>
      </c>
      <c r="B4133" s="1">
        <v>45826</v>
      </c>
      <c r="C4133" s="2">
        <v>45826.907083333332</v>
      </c>
      <c r="D4133" t="s">
        <v>15</v>
      </c>
      <c r="E4133" t="s">
        <v>16</v>
      </c>
      <c r="F4133" t="s">
        <v>58</v>
      </c>
      <c r="G4133" t="s">
        <v>18</v>
      </c>
      <c r="H4133" t="s">
        <v>54</v>
      </c>
      <c r="I4133" t="s">
        <v>36</v>
      </c>
      <c r="J4133" t="s">
        <v>21</v>
      </c>
      <c r="K4133">
        <v>48</v>
      </c>
      <c r="L4133">
        <v>21.77</v>
      </c>
      <c r="M4133">
        <v>3.7</v>
      </c>
      <c r="N4133" t="s">
        <v>22</v>
      </c>
      <c r="O4133" t="str">
        <f t="shared" si="64"/>
        <v>No</v>
      </c>
    </row>
    <row r="4134" spans="1:15" x14ac:dyDescent="0.25">
      <c r="A4134" t="s">
        <v>4195</v>
      </c>
      <c r="B4134" s="1">
        <v>45790</v>
      </c>
      <c r="C4134" s="2">
        <v>45790.055833333332</v>
      </c>
      <c r="D4134" t="s">
        <v>38</v>
      </c>
      <c r="E4134" t="s">
        <v>32</v>
      </c>
      <c r="F4134" t="s">
        <v>80</v>
      </c>
      <c r="G4134" t="s">
        <v>18</v>
      </c>
      <c r="H4134" t="s">
        <v>44</v>
      </c>
      <c r="I4134" t="s">
        <v>20</v>
      </c>
      <c r="J4134" t="s">
        <v>21</v>
      </c>
      <c r="K4134">
        <v>8</v>
      </c>
      <c r="L4134">
        <v>1.34</v>
      </c>
      <c r="M4134">
        <v>3.4</v>
      </c>
      <c r="N4134" t="s">
        <v>22</v>
      </c>
      <c r="O4134" t="str">
        <f t="shared" si="64"/>
        <v>No</v>
      </c>
    </row>
    <row r="4135" spans="1:15" x14ac:dyDescent="0.25">
      <c r="A4135" t="s">
        <v>4196</v>
      </c>
      <c r="B4135" s="1">
        <v>45748</v>
      </c>
      <c r="C4135" s="2">
        <v>45749.469583333332</v>
      </c>
      <c r="D4135" t="s">
        <v>24</v>
      </c>
      <c r="E4135" t="s">
        <v>32</v>
      </c>
      <c r="F4135" t="s">
        <v>64</v>
      </c>
      <c r="G4135" t="s">
        <v>18</v>
      </c>
      <c r="H4135" t="s">
        <v>19</v>
      </c>
      <c r="I4135" t="s">
        <v>36</v>
      </c>
      <c r="J4135" t="s">
        <v>21</v>
      </c>
      <c r="K4135">
        <v>24</v>
      </c>
      <c r="L4135">
        <v>35.270000000000003</v>
      </c>
      <c r="M4135">
        <v>3.7</v>
      </c>
      <c r="N4135" t="s">
        <v>22</v>
      </c>
      <c r="O4135" t="str">
        <f t="shared" si="64"/>
        <v>Yes</v>
      </c>
    </row>
    <row r="4136" spans="1:15" x14ac:dyDescent="0.25">
      <c r="A4136" t="s">
        <v>4197</v>
      </c>
      <c r="B4136" s="1">
        <v>45836</v>
      </c>
      <c r="C4136" s="2">
        <v>45836.05</v>
      </c>
      <c r="D4136" t="s">
        <v>38</v>
      </c>
      <c r="E4136" t="s">
        <v>16</v>
      </c>
      <c r="F4136" t="s">
        <v>43</v>
      </c>
      <c r="G4136" t="s">
        <v>18</v>
      </c>
      <c r="H4136" t="s">
        <v>27</v>
      </c>
      <c r="I4136" t="s">
        <v>20</v>
      </c>
      <c r="J4136" t="s">
        <v>21</v>
      </c>
      <c r="K4136">
        <v>8</v>
      </c>
      <c r="L4136">
        <v>1.2</v>
      </c>
      <c r="M4136">
        <v>4.5</v>
      </c>
      <c r="N4136" t="s">
        <v>22</v>
      </c>
      <c r="O4136" t="str">
        <f t="shared" si="64"/>
        <v>No</v>
      </c>
    </row>
    <row r="4137" spans="1:15" x14ac:dyDescent="0.25">
      <c r="A4137" t="s">
        <v>4198</v>
      </c>
      <c r="B4137" s="1">
        <v>45833</v>
      </c>
      <c r="C4137" s="2">
        <v>45836.030833333331</v>
      </c>
      <c r="D4137" t="s">
        <v>15</v>
      </c>
      <c r="E4137" t="s">
        <v>16</v>
      </c>
      <c r="F4137" t="s">
        <v>43</v>
      </c>
      <c r="G4137" t="s">
        <v>18</v>
      </c>
      <c r="H4137" t="s">
        <v>65</v>
      </c>
      <c r="I4137" t="s">
        <v>36</v>
      </c>
      <c r="J4137" t="s">
        <v>29</v>
      </c>
      <c r="K4137">
        <v>48</v>
      </c>
      <c r="L4137">
        <v>72.739999999999995</v>
      </c>
      <c r="M4137">
        <v>2.6</v>
      </c>
      <c r="N4137" t="s">
        <v>22</v>
      </c>
      <c r="O4137" t="str">
        <f t="shared" si="64"/>
        <v>Yes</v>
      </c>
    </row>
    <row r="4138" spans="1:15" x14ac:dyDescent="0.25">
      <c r="A4138" t="s">
        <v>4199</v>
      </c>
      <c r="B4138" s="1">
        <v>45834</v>
      </c>
      <c r="C4138" s="2">
        <v>45837.260833333334</v>
      </c>
      <c r="D4138" t="s">
        <v>15</v>
      </c>
      <c r="E4138" t="s">
        <v>25</v>
      </c>
      <c r="F4138" t="s">
        <v>48</v>
      </c>
      <c r="G4138" t="s">
        <v>51</v>
      </c>
      <c r="H4138" t="s">
        <v>44</v>
      </c>
      <c r="I4138" t="s">
        <v>36</v>
      </c>
      <c r="J4138" t="s">
        <v>46</v>
      </c>
      <c r="K4138">
        <v>48</v>
      </c>
      <c r="L4138">
        <v>78.260000000000005</v>
      </c>
      <c r="M4138">
        <v>2.6</v>
      </c>
      <c r="N4138" t="s">
        <v>22</v>
      </c>
      <c r="O4138" t="str">
        <f t="shared" si="64"/>
        <v>Yes</v>
      </c>
    </row>
    <row r="4139" spans="1:15" x14ac:dyDescent="0.25">
      <c r="A4139" t="s">
        <v>4200</v>
      </c>
      <c r="B4139" s="1">
        <v>45704</v>
      </c>
      <c r="C4139" s="2">
        <v>45704.23333333333</v>
      </c>
      <c r="D4139" t="s">
        <v>24</v>
      </c>
      <c r="E4139" t="s">
        <v>16</v>
      </c>
      <c r="F4139" t="s">
        <v>60</v>
      </c>
      <c r="G4139" t="s">
        <v>41</v>
      </c>
      <c r="H4139" t="s">
        <v>19</v>
      </c>
      <c r="I4139" t="s">
        <v>20</v>
      </c>
      <c r="J4139" t="s">
        <v>29</v>
      </c>
      <c r="K4139">
        <v>24</v>
      </c>
      <c r="L4139">
        <v>5.6</v>
      </c>
      <c r="M4139">
        <v>4.5</v>
      </c>
      <c r="N4139" t="s">
        <v>22</v>
      </c>
      <c r="O4139" t="str">
        <f t="shared" si="64"/>
        <v>No</v>
      </c>
    </row>
    <row r="4140" spans="1:15" x14ac:dyDescent="0.25">
      <c r="A4140" t="s">
        <v>4201</v>
      </c>
      <c r="B4140" s="1">
        <v>45817</v>
      </c>
      <c r="C4140" s="2">
        <v>45817.049583333333</v>
      </c>
      <c r="D4140" t="s">
        <v>38</v>
      </c>
      <c r="E4140" t="s">
        <v>45</v>
      </c>
      <c r="F4140" t="s">
        <v>100</v>
      </c>
      <c r="G4140" t="s">
        <v>18</v>
      </c>
      <c r="H4140" t="s">
        <v>54</v>
      </c>
      <c r="I4140" t="s">
        <v>36</v>
      </c>
      <c r="J4140" t="s">
        <v>29</v>
      </c>
      <c r="K4140">
        <v>8</v>
      </c>
      <c r="L4140">
        <v>1.19</v>
      </c>
      <c r="M4140">
        <v>5</v>
      </c>
      <c r="N4140" t="s">
        <v>22</v>
      </c>
      <c r="O4140" t="str">
        <f t="shared" si="64"/>
        <v>No</v>
      </c>
    </row>
    <row r="4141" spans="1:15" x14ac:dyDescent="0.25">
      <c r="A4141" t="s">
        <v>4202</v>
      </c>
      <c r="B4141" s="1">
        <v>45749</v>
      </c>
      <c r="C4141" s="2">
        <v>45749.354583333334</v>
      </c>
      <c r="D4141" t="s">
        <v>24</v>
      </c>
      <c r="E4141" t="s">
        <v>45</v>
      </c>
      <c r="F4141" t="s">
        <v>100</v>
      </c>
      <c r="G4141" t="s">
        <v>41</v>
      </c>
      <c r="H4141" t="s">
        <v>19</v>
      </c>
      <c r="I4141" t="s">
        <v>20</v>
      </c>
      <c r="J4141" t="s">
        <v>21</v>
      </c>
      <c r="K4141">
        <v>24</v>
      </c>
      <c r="L4141">
        <v>8.51</v>
      </c>
      <c r="M4141">
        <v>3.5</v>
      </c>
      <c r="N4141" t="s">
        <v>61</v>
      </c>
      <c r="O4141" t="str">
        <f t="shared" si="64"/>
        <v>No</v>
      </c>
    </row>
    <row r="4142" spans="1:15" x14ac:dyDescent="0.25">
      <c r="A4142" t="s">
        <v>4203</v>
      </c>
      <c r="B4142" s="1">
        <v>45789</v>
      </c>
      <c r="C4142" s="2">
        <v>45789.957916666666</v>
      </c>
      <c r="D4142" t="s">
        <v>15</v>
      </c>
      <c r="E4142" t="s">
        <v>25</v>
      </c>
      <c r="F4142" t="s">
        <v>48</v>
      </c>
      <c r="G4142" t="s">
        <v>51</v>
      </c>
      <c r="H4142" t="s">
        <v>35</v>
      </c>
      <c r="I4142" t="s">
        <v>20</v>
      </c>
      <c r="J4142" t="s">
        <v>29</v>
      </c>
      <c r="K4142">
        <v>48</v>
      </c>
      <c r="L4142">
        <v>22.99</v>
      </c>
      <c r="M4142">
        <v>3.7</v>
      </c>
      <c r="N4142" t="s">
        <v>22</v>
      </c>
      <c r="O4142" t="str">
        <f t="shared" si="64"/>
        <v>No</v>
      </c>
    </row>
    <row r="4143" spans="1:15" x14ac:dyDescent="0.25">
      <c r="A4143" t="s">
        <v>4204</v>
      </c>
      <c r="B4143" s="1">
        <v>45813</v>
      </c>
      <c r="C4143" s="2">
        <v>45813.11</v>
      </c>
      <c r="D4143" t="s">
        <v>38</v>
      </c>
      <c r="E4143" t="s">
        <v>32</v>
      </c>
      <c r="F4143" t="s">
        <v>75</v>
      </c>
      <c r="G4143" t="s">
        <v>34</v>
      </c>
      <c r="H4143" t="s">
        <v>19</v>
      </c>
      <c r="I4143" t="s">
        <v>28</v>
      </c>
      <c r="J4143" t="s">
        <v>85</v>
      </c>
      <c r="K4143">
        <v>8</v>
      </c>
      <c r="L4143">
        <v>2.64</v>
      </c>
      <c r="M4143">
        <v>4.9000000000000004</v>
      </c>
      <c r="N4143" t="s">
        <v>22</v>
      </c>
      <c r="O4143" t="str">
        <f t="shared" si="64"/>
        <v>No</v>
      </c>
    </row>
    <row r="4144" spans="1:15" x14ac:dyDescent="0.25">
      <c r="A4144" t="s">
        <v>4205</v>
      </c>
      <c r="B4144" s="1">
        <v>45687</v>
      </c>
      <c r="C4144" s="2">
        <v>45687.699583333335</v>
      </c>
      <c r="D4144" t="s">
        <v>15</v>
      </c>
      <c r="E4144" t="s">
        <v>39</v>
      </c>
      <c r="F4144" t="s">
        <v>119</v>
      </c>
      <c r="G4144" t="s">
        <v>51</v>
      </c>
      <c r="H4144" t="s">
        <v>19</v>
      </c>
      <c r="I4144" t="s">
        <v>20</v>
      </c>
      <c r="J4144" t="s">
        <v>21</v>
      </c>
      <c r="K4144">
        <v>48</v>
      </c>
      <c r="L4144">
        <v>16.79</v>
      </c>
      <c r="M4144">
        <v>4.2</v>
      </c>
      <c r="N4144" t="s">
        <v>22</v>
      </c>
      <c r="O4144" t="str">
        <f t="shared" si="64"/>
        <v>No</v>
      </c>
    </row>
    <row r="4145" spans="1:15" x14ac:dyDescent="0.25">
      <c r="A4145" t="s">
        <v>4206</v>
      </c>
      <c r="B4145" s="1">
        <v>45739</v>
      </c>
      <c r="C4145" s="2">
        <v>45739.49291666667</v>
      </c>
      <c r="D4145" t="s">
        <v>24</v>
      </c>
      <c r="E4145" t="s">
        <v>16</v>
      </c>
      <c r="F4145" t="s">
        <v>60</v>
      </c>
      <c r="G4145" t="s">
        <v>18</v>
      </c>
      <c r="H4145" t="s">
        <v>35</v>
      </c>
      <c r="I4145" t="s">
        <v>36</v>
      </c>
      <c r="J4145" t="s">
        <v>46</v>
      </c>
      <c r="K4145">
        <v>24</v>
      </c>
      <c r="L4145">
        <v>11.83</v>
      </c>
      <c r="M4145">
        <v>4.8</v>
      </c>
      <c r="N4145" t="s">
        <v>61</v>
      </c>
      <c r="O4145" t="str">
        <f t="shared" si="64"/>
        <v>No</v>
      </c>
    </row>
    <row r="4146" spans="1:15" x14ac:dyDescent="0.25">
      <c r="A4146" t="s">
        <v>4207</v>
      </c>
      <c r="B4146" s="1">
        <v>45681</v>
      </c>
      <c r="C4146" s="2">
        <v>45682.432083333333</v>
      </c>
      <c r="D4146" t="s">
        <v>24</v>
      </c>
      <c r="E4146" t="s">
        <v>16</v>
      </c>
      <c r="F4146" t="s">
        <v>17</v>
      </c>
      <c r="G4146" t="s">
        <v>56</v>
      </c>
      <c r="H4146" t="s">
        <v>19</v>
      </c>
      <c r="I4146" t="s">
        <v>36</v>
      </c>
      <c r="J4146" t="s">
        <v>21</v>
      </c>
      <c r="K4146">
        <v>24</v>
      </c>
      <c r="L4146">
        <v>34.369999999999997</v>
      </c>
      <c r="M4146">
        <v>3</v>
      </c>
      <c r="N4146" t="s">
        <v>22</v>
      </c>
      <c r="O4146" t="str">
        <f t="shared" si="64"/>
        <v>Yes</v>
      </c>
    </row>
    <row r="4147" spans="1:15" x14ac:dyDescent="0.25">
      <c r="A4147" t="s">
        <v>4208</v>
      </c>
      <c r="B4147" s="1">
        <v>45708</v>
      </c>
      <c r="C4147" s="2">
        <v>45708.890833333331</v>
      </c>
      <c r="D4147" t="s">
        <v>15</v>
      </c>
      <c r="E4147" t="s">
        <v>32</v>
      </c>
      <c r="F4147" t="s">
        <v>80</v>
      </c>
      <c r="G4147" t="s">
        <v>41</v>
      </c>
      <c r="H4147" t="s">
        <v>19</v>
      </c>
      <c r="I4147" t="s">
        <v>45</v>
      </c>
      <c r="J4147" t="s">
        <v>21</v>
      </c>
      <c r="K4147">
        <v>48</v>
      </c>
      <c r="L4147">
        <v>21.38</v>
      </c>
      <c r="M4147">
        <v>5</v>
      </c>
      <c r="N4147" t="s">
        <v>22</v>
      </c>
      <c r="O4147" t="str">
        <f t="shared" si="64"/>
        <v>No</v>
      </c>
    </row>
    <row r="4148" spans="1:15" x14ac:dyDescent="0.25">
      <c r="A4148" t="s">
        <v>4209</v>
      </c>
      <c r="B4148" s="1">
        <v>45732</v>
      </c>
      <c r="C4148" s="2">
        <v>45733.648333333331</v>
      </c>
      <c r="D4148" t="s">
        <v>15</v>
      </c>
      <c r="E4148" t="s">
        <v>16</v>
      </c>
      <c r="F4148" t="s">
        <v>43</v>
      </c>
      <c r="G4148" t="s">
        <v>56</v>
      </c>
      <c r="H4148" t="s">
        <v>65</v>
      </c>
      <c r="I4148" t="s">
        <v>36</v>
      </c>
      <c r="J4148" t="s">
        <v>21</v>
      </c>
      <c r="K4148">
        <v>48</v>
      </c>
      <c r="L4148">
        <v>39.56</v>
      </c>
      <c r="M4148">
        <v>4.0999999999999996</v>
      </c>
      <c r="N4148" t="s">
        <v>22</v>
      </c>
      <c r="O4148" t="str">
        <f t="shared" si="64"/>
        <v>No</v>
      </c>
    </row>
    <row r="4149" spans="1:15" x14ac:dyDescent="0.25">
      <c r="A4149" t="s">
        <v>4210</v>
      </c>
      <c r="B4149" s="1">
        <v>45812</v>
      </c>
      <c r="C4149" s="2">
        <v>45812.348333333335</v>
      </c>
      <c r="D4149" t="s">
        <v>15</v>
      </c>
      <c r="E4149" t="s">
        <v>39</v>
      </c>
      <c r="F4149" t="s">
        <v>40</v>
      </c>
      <c r="G4149" t="s">
        <v>18</v>
      </c>
      <c r="H4149" t="s">
        <v>54</v>
      </c>
      <c r="I4149" t="s">
        <v>45</v>
      </c>
      <c r="J4149" t="s">
        <v>21</v>
      </c>
      <c r="K4149">
        <v>48</v>
      </c>
      <c r="L4149">
        <v>8.36</v>
      </c>
      <c r="M4149">
        <v>5</v>
      </c>
      <c r="N4149" t="s">
        <v>22</v>
      </c>
      <c r="O4149" t="str">
        <f t="shared" si="64"/>
        <v>No</v>
      </c>
    </row>
    <row r="4150" spans="1:15" x14ac:dyDescent="0.25">
      <c r="A4150" t="s">
        <v>4211</v>
      </c>
      <c r="B4150" s="1">
        <v>45814</v>
      </c>
      <c r="C4150" s="2">
        <v>45814.182083333333</v>
      </c>
      <c r="D4150" t="s">
        <v>38</v>
      </c>
      <c r="E4150" t="s">
        <v>39</v>
      </c>
      <c r="F4150" t="s">
        <v>40</v>
      </c>
      <c r="G4150" t="s">
        <v>56</v>
      </c>
      <c r="H4150" t="s">
        <v>19</v>
      </c>
      <c r="I4150" t="s">
        <v>36</v>
      </c>
      <c r="J4150" t="s">
        <v>21</v>
      </c>
      <c r="K4150">
        <v>8</v>
      </c>
      <c r="L4150">
        <v>4.37</v>
      </c>
      <c r="M4150">
        <v>4.7</v>
      </c>
      <c r="N4150" t="s">
        <v>22</v>
      </c>
      <c r="O4150" t="str">
        <f t="shared" si="64"/>
        <v>No</v>
      </c>
    </row>
    <row r="4151" spans="1:15" x14ac:dyDescent="0.25">
      <c r="A4151" t="s">
        <v>4212</v>
      </c>
      <c r="B4151" s="1">
        <v>45728</v>
      </c>
      <c r="C4151" s="2">
        <v>45728.378333333334</v>
      </c>
      <c r="D4151" t="s">
        <v>24</v>
      </c>
      <c r="E4151" t="s">
        <v>25</v>
      </c>
      <c r="F4151" t="s">
        <v>70</v>
      </c>
      <c r="G4151" t="s">
        <v>56</v>
      </c>
      <c r="H4151" t="s">
        <v>19</v>
      </c>
      <c r="I4151" t="s">
        <v>45</v>
      </c>
      <c r="J4151" t="s">
        <v>46</v>
      </c>
      <c r="K4151">
        <v>24</v>
      </c>
      <c r="L4151">
        <v>9.08</v>
      </c>
      <c r="M4151">
        <v>4.9000000000000004</v>
      </c>
      <c r="N4151" t="s">
        <v>22</v>
      </c>
      <c r="O4151" t="str">
        <f t="shared" si="64"/>
        <v>No</v>
      </c>
    </row>
    <row r="4152" spans="1:15" x14ac:dyDescent="0.25">
      <c r="A4152" t="s">
        <v>4213</v>
      </c>
      <c r="B4152" s="1">
        <v>45717</v>
      </c>
      <c r="C4152" s="2">
        <v>45717.805</v>
      </c>
      <c r="D4152" t="s">
        <v>24</v>
      </c>
      <c r="E4152" t="s">
        <v>39</v>
      </c>
      <c r="F4152" t="s">
        <v>40</v>
      </c>
      <c r="G4152" t="s">
        <v>51</v>
      </c>
      <c r="H4152" t="s">
        <v>44</v>
      </c>
      <c r="I4152" t="s">
        <v>36</v>
      </c>
      <c r="J4152" t="s">
        <v>21</v>
      </c>
      <c r="K4152">
        <v>24</v>
      </c>
      <c r="L4152">
        <v>19.32</v>
      </c>
      <c r="M4152">
        <v>3.5</v>
      </c>
      <c r="N4152" t="s">
        <v>22</v>
      </c>
      <c r="O4152" t="str">
        <f t="shared" si="64"/>
        <v>No</v>
      </c>
    </row>
    <row r="4153" spans="1:15" x14ac:dyDescent="0.25">
      <c r="A4153" t="s">
        <v>4214</v>
      </c>
      <c r="B4153" s="1">
        <v>45754</v>
      </c>
      <c r="C4153" s="2">
        <v>45754.026666666665</v>
      </c>
      <c r="D4153" t="s">
        <v>31</v>
      </c>
      <c r="E4153" t="s">
        <v>16</v>
      </c>
      <c r="F4153" t="s">
        <v>43</v>
      </c>
      <c r="G4153" t="s">
        <v>56</v>
      </c>
      <c r="H4153" t="s">
        <v>44</v>
      </c>
      <c r="I4153" t="s">
        <v>36</v>
      </c>
      <c r="J4153" t="s">
        <v>21</v>
      </c>
      <c r="K4153">
        <v>4</v>
      </c>
      <c r="L4153">
        <v>0.64</v>
      </c>
      <c r="M4153">
        <v>5</v>
      </c>
      <c r="N4153" t="s">
        <v>22</v>
      </c>
      <c r="O4153" t="str">
        <f t="shared" si="64"/>
        <v>No</v>
      </c>
    </row>
    <row r="4154" spans="1:15" x14ac:dyDescent="0.25">
      <c r="A4154" t="s">
        <v>4215</v>
      </c>
      <c r="B4154" s="1">
        <v>45823</v>
      </c>
      <c r="C4154" s="2">
        <v>45824.216666666667</v>
      </c>
      <c r="D4154" t="s">
        <v>24</v>
      </c>
      <c r="E4154" t="s">
        <v>16</v>
      </c>
      <c r="F4154" t="s">
        <v>60</v>
      </c>
      <c r="G4154" t="s">
        <v>34</v>
      </c>
      <c r="H4154" t="s">
        <v>65</v>
      </c>
      <c r="I4154" t="s">
        <v>28</v>
      </c>
      <c r="J4154" t="s">
        <v>21</v>
      </c>
      <c r="K4154">
        <v>24</v>
      </c>
      <c r="L4154">
        <v>29.2</v>
      </c>
      <c r="M4154">
        <v>3.7</v>
      </c>
      <c r="N4154" t="s">
        <v>22</v>
      </c>
      <c r="O4154" t="str">
        <f t="shared" si="64"/>
        <v>Yes</v>
      </c>
    </row>
    <row r="4155" spans="1:15" x14ac:dyDescent="0.25">
      <c r="A4155" t="s">
        <v>4216</v>
      </c>
      <c r="B4155" s="1">
        <v>45834</v>
      </c>
      <c r="C4155" s="2">
        <v>45834.365416666667</v>
      </c>
      <c r="D4155" t="s">
        <v>24</v>
      </c>
      <c r="E4155" t="s">
        <v>16</v>
      </c>
      <c r="F4155" t="s">
        <v>58</v>
      </c>
      <c r="G4155" t="s">
        <v>41</v>
      </c>
      <c r="H4155" t="s">
        <v>35</v>
      </c>
      <c r="I4155" t="s">
        <v>20</v>
      </c>
      <c r="J4155" t="s">
        <v>85</v>
      </c>
      <c r="K4155">
        <v>24</v>
      </c>
      <c r="L4155">
        <v>8.77</v>
      </c>
      <c r="M4155">
        <v>3.9</v>
      </c>
      <c r="N4155" t="s">
        <v>22</v>
      </c>
      <c r="O4155" t="str">
        <f t="shared" si="64"/>
        <v>No</v>
      </c>
    </row>
    <row r="4156" spans="1:15" x14ac:dyDescent="0.25">
      <c r="A4156" t="s">
        <v>4217</v>
      </c>
      <c r="B4156" s="1">
        <v>45699</v>
      </c>
      <c r="C4156" s="2">
        <v>45699.267083333332</v>
      </c>
      <c r="D4156" t="s">
        <v>24</v>
      </c>
      <c r="E4156" t="s">
        <v>32</v>
      </c>
      <c r="F4156" t="s">
        <v>75</v>
      </c>
      <c r="G4156" t="s">
        <v>34</v>
      </c>
      <c r="H4156" t="s">
        <v>27</v>
      </c>
      <c r="I4156" t="s">
        <v>36</v>
      </c>
      <c r="J4156" t="s">
        <v>46</v>
      </c>
      <c r="K4156">
        <v>24</v>
      </c>
      <c r="L4156">
        <v>6.41</v>
      </c>
      <c r="M4156">
        <v>3.3</v>
      </c>
      <c r="N4156" t="s">
        <v>22</v>
      </c>
      <c r="O4156" t="str">
        <f t="shared" si="64"/>
        <v>No</v>
      </c>
    </row>
    <row r="4157" spans="1:15" x14ac:dyDescent="0.25">
      <c r="A4157" t="s">
        <v>4218</v>
      </c>
      <c r="B4157" s="1">
        <v>45691</v>
      </c>
      <c r="C4157" s="2">
        <v>45692.618333333332</v>
      </c>
      <c r="D4157" t="s">
        <v>24</v>
      </c>
      <c r="E4157" t="s">
        <v>16</v>
      </c>
      <c r="F4157" t="s">
        <v>43</v>
      </c>
      <c r="G4157" t="s">
        <v>51</v>
      </c>
      <c r="H4157" t="s">
        <v>54</v>
      </c>
      <c r="I4157" t="s">
        <v>36</v>
      </c>
      <c r="J4157" t="s">
        <v>21</v>
      </c>
      <c r="K4157">
        <v>24</v>
      </c>
      <c r="L4157">
        <v>38.840000000000003</v>
      </c>
      <c r="M4157">
        <v>3.1</v>
      </c>
      <c r="N4157" t="s">
        <v>22</v>
      </c>
      <c r="O4157" t="str">
        <f t="shared" si="64"/>
        <v>Yes</v>
      </c>
    </row>
    <row r="4158" spans="1:15" x14ac:dyDescent="0.25">
      <c r="A4158" t="s">
        <v>4219</v>
      </c>
      <c r="B4158" s="1">
        <v>45785</v>
      </c>
      <c r="C4158" s="2">
        <v>45785.61791666667</v>
      </c>
      <c r="D4158" t="s">
        <v>24</v>
      </c>
      <c r="E4158" t="s">
        <v>39</v>
      </c>
      <c r="F4158" t="s">
        <v>119</v>
      </c>
      <c r="G4158" t="s">
        <v>51</v>
      </c>
      <c r="H4158" t="s">
        <v>44</v>
      </c>
      <c r="I4158" t="s">
        <v>20</v>
      </c>
      <c r="J4158" t="s">
        <v>46</v>
      </c>
      <c r="K4158">
        <v>24</v>
      </c>
      <c r="L4158">
        <v>14.83</v>
      </c>
      <c r="M4158">
        <v>5</v>
      </c>
      <c r="N4158" t="s">
        <v>22</v>
      </c>
      <c r="O4158" t="str">
        <f t="shared" si="64"/>
        <v>No</v>
      </c>
    </row>
    <row r="4159" spans="1:15" x14ac:dyDescent="0.25">
      <c r="A4159" t="s">
        <v>4220</v>
      </c>
      <c r="B4159" s="1">
        <v>45712</v>
      </c>
      <c r="C4159" s="2">
        <v>45712.080833333333</v>
      </c>
      <c r="D4159" t="s">
        <v>31</v>
      </c>
      <c r="E4159" t="s">
        <v>16</v>
      </c>
      <c r="F4159" t="s">
        <v>43</v>
      </c>
      <c r="G4159" t="s">
        <v>34</v>
      </c>
      <c r="H4159" t="s">
        <v>44</v>
      </c>
      <c r="I4159" t="s">
        <v>36</v>
      </c>
      <c r="J4159" t="s">
        <v>46</v>
      </c>
      <c r="K4159">
        <v>4</v>
      </c>
      <c r="L4159">
        <v>1.94</v>
      </c>
      <c r="M4159">
        <v>3.8</v>
      </c>
      <c r="N4159" t="s">
        <v>22</v>
      </c>
      <c r="O4159" t="str">
        <f t="shared" si="64"/>
        <v>No</v>
      </c>
    </row>
    <row r="4160" spans="1:15" x14ac:dyDescent="0.25">
      <c r="A4160" t="s">
        <v>4221</v>
      </c>
      <c r="B4160" s="1">
        <v>45694</v>
      </c>
      <c r="C4160" s="2">
        <v>45694.052916666667</v>
      </c>
      <c r="D4160" t="s">
        <v>38</v>
      </c>
      <c r="E4160" t="s">
        <v>32</v>
      </c>
      <c r="F4160" t="s">
        <v>75</v>
      </c>
      <c r="G4160" t="s">
        <v>41</v>
      </c>
      <c r="H4160" t="s">
        <v>35</v>
      </c>
      <c r="I4160" t="s">
        <v>45</v>
      </c>
      <c r="J4160" t="s">
        <v>46</v>
      </c>
      <c r="K4160">
        <v>8</v>
      </c>
      <c r="L4160">
        <v>1.27</v>
      </c>
      <c r="M4160">
        <v>4.2</v>
      </c>
      <c r="N4160" t="s">
        <v>61</v>
      </c>
      <c r="O4160" t="str">
        <f t="shared" si="64"/>
        <v>No</v>
      </c>
    </row>
    <row r="4161" spans="1:15" x14ac:dyDescent="0.25">
      <c r="A4161" t="s">
        <v>4222</v>
      </c>
      <c r="B4161" s="1">
        <v>45663</v>
      </c>
      <c r="C4161" s="2">
        <v>45663.230833333335</v>
      </c>
      <c r="D4161" t="s">
        <v>24</v>
      </c>
      <c r="E4161" t="s">
        <v>45</v>
      </c>
      <c r="F4161" t="s">
        <v>50</v>
      </c>
      <c r="G4161" t="s">
        <v>18</v>
      </c>
      <c r="H4161" t="s">
        <v>65</v>
      </c>
      <c r="I4161" t="s">
        <v>20</v>
      </c>
      <c r="J4161" t="s">
        <v>29</v>
      </c>
      <c r="K4161">
        <v>24</v>
      </c>
      <c r="L4161">
        <v>5.54</v>
      </c>
      <c r="M4161">
        <v>4.5</v>
      </c>
      <c r="N4161" t="s">
        <v>22</v>
      </c>
      <c r="O4161" t="str">
        <f t="shared" si="64"/>
        <v>No</v>
      </c>
    </row>
    <row r="4162" spans="1:15" x14ac:dyDescent="0.25">
      <c r="A4162" t="s">
        <v>4223</v>
      </c>
      <c r="B4162" s="1">
        <v>45730</v>
      </c>
      <c r="C4162" s="2">
        <v>45730.165833333333</v>
      </c>
      <c r="D4162" t="s">
        <v>24</v>
      </c>
      <c r="E4162" t="s">
        <v>25</v>
      </c>
      <c r="F4162" t="s">
        <v>53</v>
      </c>
      <c r="G4162" t="s">
        <v>41</v>
      </c>
      <c r="H4162" t="s">
        <v>44</v>
      </c>
      <c r="I4162" t="s">
        <v>36</v>
      </c>
      <c r="J4162" t="s">
        <v>21</v>
      </c>
      <c r="K4162">
        <v>24</v>
      </c>
      <c r="L4162">
        <v>3.98</v>
      </c>
      <c r="M4162">
        <v>5</v>
      </c>
      <c r="N4162" t="s">
        <v>22</v>
      </c>
      <c r="O4162" t="str">
        <f t="shared" si="64"/>
        <v>No</v>
      </c>
    </row>
    <row r="4163" spans="1:15" x14ac:dyDescent="0.25">
      <c r="A4163" t="s">
        <v>4224</v>
      </c>
      <c r="B4163" s="1">
        <v>45728</v>
      </c>
      <c r="C4163" s="2">
        <v>45728.17291666667</v>
      </c>
      <c r="D4163" t="s">
        <v>38</v>
      </c>
      <c r="E4163" t="s">
        <v>39</v>
      </c>
      <c r="F4163" t="s">
        <v>78</v>
      </c>
      <c r="G4163" t="s">
        <v>51</v>
      </c>
      <c r="H4163" t="s">
        <v>65</v>
      </c>
      <c r="I4163" t="s">
        <v>36</v>
      </c>
      <c r="J4163" t="s">
        <v>21</v>
      </c>
      <c r="K4163">
        <v>8</v>
      </c>
      <c r="L4163">
        <v>4.1500000000000004</v>
      </c>
      <c r="M4163">
        <v>3.2</v>
      </c>
      <c r="N4163" t="s">
        <v>22</v>
      </c>
      <c r="O4163" t="str">
        <f t="shared" ref="O4163:O4226" si="65">IF(L4163&gt;K4163,"Yes","No")</f>
        <v>No</v>
      </c>
    </row>
    <row r="4164" spans="1:15" x14ac:dyDescent="0.25">
      <c r="A4164" t="s">
        <v>4225</v>
      </c>
      <c r="B4164" s="1">
        <v>45759</v>
      </c>
      <c r="C4164" s="2">
        <v>45761.237500000003</v>
      </c>
      <c r="D4164" t="s">
        <v>15</v>
      </c>
      <c r="E4164" t="s">
        <v>39</v>
      </c>
      <c r="F4164" t="s">
        <v>87</v>
      </c>
      <c r="G4164" t="s">
        <v>18</v>
      </c>
      <c r="H4164" t="s">
        <v>65</v>
      </c>
      <c r="I4164" t="s">
        <v>36</v>
      </c>
      <c r="J4164" t="s">
        <v>29</v>
      </c>
      <c r="K4164">
        <v>48</v>
      </c>
      <c r="L4164">
        <v>53.7</v>
      </c>
      <c r="M4164">
        <v>3.2</v>
      </c>
      <c r="N4164" t="s">
        <v>22</v>
      </c>
      <c r="O4164" t="str">
        <f t="shared" si="65"/>
        <v>Yes</v>
      </c>
    </row>
    <row r="4165" spans="1:15" x14ac:dyDescent="0.25">
      <c r="A4165" t="s">
        <v>4226</v>
      </c>
      <c r="B4165" s="1">
        <v>45694</v>
      </c>
      <c r="C4165" s="2">
        <v>45694.218333333331</v>
      </c>
      <c r="D4165" t="s">
        <v>38</v>
      </c>
      <c r="E4165" t="s">
        <v>39</v>
      </c>
      <c r="F4165" t="s">
        <v>87</v>
      </c>
      <c r="G4165" t="s">
        <v>18</v>
      </c>
      <c r="H4165" t="s">
        <v>27</v>
      </c>
      <c r="I4165" t="s">
        <v>36</v>
      </c>
      <c r="J4165" t="s">
        <v>46</v>
      </c>
      <c r="K4165">
        <v>8</v>
      </c>
      <c r="L4165">
        <v>5.24</v>
      </c>
      <c r="M4165">
        <v>3.6</v>
      </c>
      <c r="N4165" t="s">
        <v>22</v>
      </c>
      <c r="O4165" t="str">
        <f t="shared" si="65"/>
        <v>No</v>
      </c>
    </row>
    <row r="4166" spans="1:15" x14ac:dyDescent="0.25">
      <c r="A4166" t="s">
        <v>4227</v>
      </c>
      <c r="B4166" s="1">
        <v>45787</v>
      </c>
      <c r="C4166" s="2">
        <v>45788.087916666664</v>
      </c>
      <c r="D4166" t="s">
        <v>15</v>
      </c>
      <c r="E4166" t="s">
        <v>25</v>
      </c>
      <c r="F4166" t="s">
        <v>70</v>
      </c>
      <c r="G4166" t="s">
        <v>51</v>
      </c>
      <c r="H4166" t="s">
        <v>19</v>
      </c>
      <c r="I4166" t="s">
        <v>45</v>
      </c>
      <c r="J4166" t="s">
        <v>21</v>
      </c>
      <c r="K4166">
        <v>48</v>
      </c>
      <c r="L4166">
        <v>26.11</v>
      </c>
      <c r="M4166">
        <v>4.7</v>
      </c>
      <c r="N4166" t="s">
        <v>22</v>
      </c>
      <c r="O4166" t="str">
        <f t="shared" si="65"/>
        <v>No</v>
      </c>
    </row>
    <row r="4167" spans="1:15" x14ac:dyDescent="0.25">
      <c r="A4167" t="s">
        <v>4228</v>
      </c>
      <c r="B4167" s="1">
        <v>45781</v>
      </c>
      <c r="C4167" s="2">
        <v>45781.494166666664</v>
      </c>
      <c r="D4167" t="s">
        <v>24</v>
      </c>
      <c r="E4167" t="s">
        <v>16</v>
      </c>
      <c r="F4167" t="s">
        <v>60</v>
      </c>
      <c r="G4167" t="s">
        <v>56</v>
      </c>
      <c r="H4167" t="s">
        <v>65</v>
      </c>
      <c r="I4167" t="s">
        <v>36</v>
      </c>
      <c r="J4167" t="s">
        <v>21</v>
      </c>
      <c r="K4167">
        <v>24</v>
      </c>
      <c r="L4167">
        <v>11.86</v>
      </c>
      <c r="M4167">
        <v>4.3</v>
      </c>
      <c r="N4167" t="s">
        <v>22</v>
      </c>
      <c r="O4167" t="str">
        <f t="shared" si="65"/>
        <v>No</v>
      </c>
    </row>
    <row r="4168" spans="1:15" x14ac:dyDescent="0.25">
      <c r="A4168" t="s">
        <v>4229</v>
      </c>
      <c r="B4168" s="1">
        <v>45741</v>
      </c>
      <c r="C4168" s="2">
        <v>45741.312083333331</v>
      </c>
      <c r="D4168" t="s">
        <v>38</v>
      </c>
      <c r="E4168" t="s">
        <v>16</v>
      </c>
      <c r="F4168" t="s">
        <v>60</v>
      </c>
      <c r="G4168" t="s">
        <v>51</v>
      </c>
      <c r="H4168" t="s">
        <v>54</v>
      </c>
      <c r="I4168" t="s">
        <v>28</v>
      </c>
      <c r="J4168" t="s">
        <v>21</v>
      </c>
      <c r="K4168">
        <v>8</v>
      </c>
      <c r="L4168">
        <v>7.49</v>
      </c>
      <c r="M4168">
        <v>3.7</v>
      </c>
      <c r="N4168" t="s">
        <v>22</v>
      </c>
      <c r="O4168" t="str">
        <f t="shared" si="65"/>
        <v>No</v>
      </c>
    </row>
    <row r="4169" spans="1:15" x14ac:dyDescent="0.25">
      <c r="A4169" t="s">
        <v>4230</v>
      </c>
      <c r="B4169" s="1">
        <v>45690</v>
      </c>
      <c r="C4169" s="2">
        <v>45690.426249999997</v>
      </c>
      <c r="D4169" t="s">
        <v>24</v>
      </c>
      <c r="E4169" t="s">
        <v>45</v>
      </c>
      <c r="F4169" t="s">
        <v>104</v>
      </c>
      <c r="G4169" t="s">
        <v>34</v>
      </c>
      <c r="H4169" t="s">
        <v>65</v>
      </c>
      <c r="I4169" t="s">
        <v>20</v>
      </c>
      <c r="J4169" t="s">
        <v>21</v>
      </c>
      <c r="K4169">
        <v>24</v>
      </c>
      <c r="L4169">
        <v>10.23</v>
      </c>
      <c r="M4169">
        <v>4.4000000000000004</v>
      </c>
      <c r="N4169" t="s">
        <v>61</v>
      </c>
      <c r="O4169" t="str">
        <f t="shared" si="65"/>
        <v>No</v>
      </c>
    </row>
    <row r="4170" spans="1:15" x14ac:dyDescent="0.25">
      <c r="A4170" t="s">
        <v>4231</v>
      </c>
      <c r="B4170" s="1">
        <v>45749</v>
      </c>
      <c r="C4170" s="2">
        <v>45749.252500000002</v>
      </c>
      <c r="D4170" t="s">
        <v>15</v>
      </c>
      <c r="E4170" t="s">
        <v>39</v>
      </c>
      <c r="F4170" t="s">
        <v>87</v>
      </c>
      <c r="G4170" t="s">
        <v>18</v>
      </c>
      <c r="H4170" t="s">
        <v>27</v>
      </c>
      <c r="I4170" t="s">
        <v>36</v>
      </c>
      <c r="J4170" t="s">
        <v>46</v>
      </c>
      <c r="K4170">
        <v>48</v>
      </c>
      <c r="L4170">
        <v>6.06</v>
      </c>
      <c r="M4170">
        <v>5</v>
      </c>
      <c r="N4170" t="s">
        <v>22</v>
      </c>
      <c r="O4170" t="str">
        <f t="shared" si="65"/>
        <v>No</v>
      </c>
    </row>
    <row r="4171" spans="1:15" x14ac:dyDescent="0.25">
      <c r="A4171" t="s">
        <v>4232</v>
      </c>
      <c r="B4171" s="1">
        <v>45780</v>
      </c>
      <c r="C4171" s="2">
        <v>45780.344583333332</v>
      </c>
      <c r="D4171" t="s">
        <v>38</v>
      </c>
      <c r="E4171" t="s">
        <v>16</v>
      </c>
      <c r="F4171" t="s">
        <v>17</v>
      </c>
      <c r="G4171" t="s">
        <v>34</v>
      </c>
      <c r="H4171" t="s">
        <v>65</v>
      </c>
      <c r="I4171" t="s">
        <v>45</v>
      </c>
      <c r="J4171" t="s">
        <v>21</v>
      </c>
      <c r="K4171">
        <v>8</v>
      </c>
      <c r="L4171">
        <v>8.27</v>
      </c>
      <c r="M4171">
        <v>4.5</v>
      </c>
      <c r="N4171" t="s">
        <v>22</v>
      </c>
      <c r="O4171" t="str">
        <f t="shared" si="65"/>
        <v>Yes</v>
      </c>
    </row>
    <row r="4172" spans="1:15" x14ac:dyDescent="0.25">
      <c r="A4172" t="s">
        <v>4233</v>
      </c>
      <c r="B4172" s="1">
        <v>45725</v>
      </c>
      <c r="C4172" s="2">
        <v>45725.195</v>
      </c>
      <c r="D4172" t="s">
        <v>24</v>
      </c>
      <c r="E4172" t="s">
        <v>39</v>
      </c>
      <c r="F4172" t="s">
        <v>87</v>
      </c>
      <c r="G4172" t="s">
        <v>56</v>
      </c>
      <c r="H4172" t="s">
        <v>27</v>
      </c>
      <c r="I4172" t="s">
        <v>36</v>
      </c>
      <c r="J4172" t="s">
        <v>21</v>
      </c>
      <c r="K4172">
        <v>24</v>
      </c>
      <c r="L4172">
        <v>4.68</v>
      </c>
      <c r="M4172">
        <v>5</v>
      </c>
      <c r="N4172" t="s">
        <v>22</v>
      </c>
      <c r="O4172" t="str">
        <f t="shared" si="65"/>
        <v>No</v>
      </c>
    </row>
    <row r="4173" spans="1:15" x14ac:dyDescent="0.25">
      <c r="A4173" t="s">
        <v>4234</v>
      </c>
      <c r="B4173" s="1">
        <v>45705</v>
      </c>
      <c r="C4173" s="2">
        <v>45705.108749999999</v>
      </c>
      <c r="D4173" t="s">
        <v>24</v>
      </c>
      <c r="E4173" t="s">
        <v>16</v>
      </c>
      <c r="F4173" t="s">
        <v>60</v>
      </c>
      <c r="G4173" t="s">
        <v>18</v>
      </c>
      <c r="H4173" t="s">
        <v>54</v>
      </c>
      <c r="I4173" t="s">
        <v>36</v>
      </c>
      <c r="J4173" t="s">
        <v>21</v>
      </c>
      <c r="K4173">
        <v>24</v>
      </c>
      <c r="L4173">
        <v>2.61</v>
      </c>
      <c r="M4173">
        <v>5</v>
      </c>
      <c r="N4173" t="s">
        <v>22</v>
      </c>
      <c r="O4173" t="str">
        <f t="shared" si="65"/>
        <v>No</v>
      </c>
    </row>
    <row r="4174" spans="1:15" x14ac:dyDescent="0.25">
      <c r="A4174" t="s">
        <v>4235</v>
      </c>
      <c r="B4174" s="1">
        <v>45749</v>
      </c>
      <c r="C4174" s="2">
        <v>45749.632916666669</v>
      </c>
      <c r="D4174" t="s">
        <v>24</v>
      </c>
      <c r="E4174" t="s">
        <v>39</v>
      </c>
      <c r="F4174" t="s">
        <v>87</v>
      </c>
      <c r="G4174" t="s">
        <v>34</v>
      </c>
      <c r="H4174" t="s">
        <v>54</v>
      </c>
      <c r="I4174" t="s">
        <v>45</v>
      </c>
      <c r="J4174" t="s">
        <v>21</v>
      </c>
      <c r="K4174">
        <v>24</v>
      </c>
      <c r="L4174">
        <v>15.19</v>
      </c>
      <c r="M4174">
        <v>5</v>
      </c>
      <c r="N4174" t="s">
        <v>22</v>
      </c>
      <c r="O4174" t="str">
        <f t="shared" si="65"/>
        <v>No</v>
      </c>
    </row>
    <row r="4175" spans="1:15" x14ac:dyDescent="0.25">
      <c r="A4175" t="s">
        <v>4236</v>
      </c>
      <c r="B4175" s="1">
        <v>45722</v>
      </c>
      <c r="C4175" s="2">
        <v>45722.067083333335</v>
      </c>
      <c r="D4175" t="s">
        <v>24</v>
      </c>
      <c r="E4175" t="s">
        <v>25</v>
      </c>
      <c r="F4175" t="s">
        <v>26</v>
      </c>
      <c r="G4175" t="s">
        <v>56</v>
      </c>
      <c r="H4175" t="s">
        <v>44</v>
      </c>
      <c r="I4175" t="s">
        <v>36</v>
      </c>
      <c r="J4175" t="s">
        <v>21</v>
      </c>
      <c r="K4175">
        <v>24</v>
      </c>
      <c r="L4175">
        <v>1.61</v>
      </c>
      <c r="M4175">
        <v>4.3</v>
      </c>
      <c r="N4175" t="s">
        <v>22</v>
      </c>
      <c r="O4175" t="str">
        <f t="shared" si="65"/>
        <v>No</v>
      </c>
    </row>
    <row r="4176" spans="1:15" x14ac:dyDescent="0.25">
      <c r="A4176" t="s">
        <v>4237</v>
      </c>
      <c r="B4176" s="1">
        <v>45730</v>
      </c>
      <c r="C4176" s="2">
        <v>45730.501250000001</v>
      </c>
      <c r="D4176" t="s">
        <v>24</v>
      </c>
      <c r="E4176" t="s">
        <v>32</v>
      </c>
      <c r="F4176" t="s">
        <v>80</v>
      </c>
      <c r="G4176" t="s">
        <v>41</v>
      </c>
      <c r="H4176" t="s">
        <v>44</v>
      </c>
      <c r="I4176" t="s">
        <v>36</v>
      </c>
      <c r="J4176" t="s">
        <v>21</v>
      </c>
      <c r="K4176">
        <v>24</v>
      </c>
      <c r="L4176">
        <v>12.03</v>
      </c>
      <c r="M4176">
        <v>4.7</v>
      </c>
      <c r="N4176" t="s">
        <v>61</v>
      </c>
      <c r="O4176" t="str">
        <f t="shared" si="65"/>
        <v>No</v>
      </c>
    </row>
    <row r="4177" spans="1:15" x14ac:dyDescent="0.25">
      <c r="A4177" t="s">
        <v>4238</v>
      </c>
      <c r="B4177" s="1">
        <v>45721</v>
      </c>
      <c r="C4177" s="2">
        <v>45722.148333333331</v>
      </c>
      <c r="D4177" t="s">
        <v>15</v>
      </c>
      <c r="E4177" t="s">
        <v>32</v>
      </c>
      <c r="F4177" t="s">
        <v>33</v>
      </c>
      <c r="G4177" t="s">
        <v>18</v>
      </c>
      <c r="H4177" t="s">
        <v>65</v>
      </c>
      <c r="I4177" t="s">
        <v>36</v>
      </c>
      <c r="J4177" t="s">
        <v>21</v>
      </c>
      <c r="K4177">
        <v>48</v>
      </c>
      <c r="L4177">
        <v>27.56</v>
      </c>
      <c r="M4177">
        <v>5</v>
      </c>
      <c r="N4177" t="s">
        <v>22</v>
      </c>
      <c r="O4177" t="str">
        <f t="shared" si="65"/>
        <v>No</v>
      </c>
    </row>
    <row r="4178" spans="1:15" x14ac:dyDescent="0.25">
      <c r="A4178" t="s">
        <v>4239</v>
      </c>
      <c r="B4178" s="1">
        <v>45712</v>
      </c>
      <c r="C4178" s="2">
        <v>45712.710416666669</v>
      </c>
      <c r="D4178" t="s">
        <v>24</v>
      </c>
      <c r="E4178" t="s">
        <v>39</v>
      </c>
      <c r="F4178" t="s">
        <v>87</v>
      </c>
      <c r="G4178" t="s">
        <v>34</v>
      </c>
      <c r="H4178" t="s">
        <v>19</v>
      </c>
      <c r="I4178" t="s">
        <v>36</v>
      </c>
      <c r="J4178" t="s">
        <v>21</v>
      </c>
      <c r="K4178">
        <v>24</v>
      </c>
      <c r="L4178">
        <v>17.05</v>
      </c>
      <c r="M4178">
        <v>3</v>
      </c>
      <c r="N4178" t="s">
        <v>22</v>
      </c>
      <c r="O4178" t="str">
        <f t="shared" si="65"/>
        <v>No</v>
      </c>
    </row>
    <row r="4179" spans="1:15" x14ac:dyDescent="0.25">
      <c r="A4179" t="s">
        <v>4240</v>
      </c>
      <c r="B4179" s="1">
        <v>45787</v>
      </c>
      <c r="C4179" s="2">
        <v>45787.219583333332</v>
      </c>
      <c r="D4179" t="s">
        <v>38</v>
      </c>
      <c r="E4179" t="s">
        <v>45</v>
      </c>
      <c r="F4179" t="s">
        <v>104</v>
      </c>
      <c r="G4179" t="s">
        <v>56</v>
      </c>
      <c r="H4179" t="s">
        <v>65</v>
      </c>
      <c r="I4179" t="s">
        <v>45</v>
      </c>
      <c r="J4179" t="s">
        <v>21</v>
      </c>
      <c r="K4179">
        <v>8</v>
      </c>
      <c r="L4179">
        <v>5.27</v>
      </c>
      <c r="M4179">
        <v>3.9</v>
      </c>
      <c r="N4179" t="s">
        <v>22</v>
      </c>
      <c r="O4179" t="str">
        <f t="shared" si="65"/>
        <v>No</v>
      </c>
    </row>
    <row r="4180" spans="1:15" x14ac:dyDescent="0.25">
      <c r="A4180" t="s">
        <v>4241</v>
      </c>
      <c r="B4180" s="1">
        <v>45741</v>
      </c>
      <c r="C4180" s="2">
        <v>45741.299166666664</v>
      </c>
      <c r="D4180" t="s">
        <v>15</v>
      </c>
      <c r="E4180" t="s">
        <v>16</v>
      </c>
      <c r="F4180" t="s">
        <v>43</v>
      </c>
      <c r="G4180" t="s">
        <v>56</v>
      </c>
      <c r="H4180" t="s">
        <v>54</v>
      </c>
      <c r="I4180" t="s">
        <v>28</v>
      </c>
      <c r="J4180" t="s">
        <v>21</v>
      </c>
      <c r="K4180">
        <v>48</v>
      </c>
      <c r="L4180">
        <v>7.18</v>
      </c>
      <c r="M4180">
        <v>4.0999999999999996</v>
      </c>
      <c r="N4180" t="s">
        <v>22</v>
      </c>
      <c r="O4180" t="str">
        <f t="shared" si="65"/>
        <v>No</v>
      </c>
    </row>
    <row r="4181" spans="1:15" x14ac:dyDescent="0.25">
      <c r="A4181" t="s">
        <v>4242</v>
      </c>
      <c r="B4181" s="1">
        <v>45742</v>
      </c>
      <c r="C4181" s="2">
        <v>45742.937916666669</v>
      </c>
      <c r="D4181" t="s">
        <v>24</v>
      </c>
      <c r="E4181" t="s">
        <v>39</v>
      </c>
      <c r="F4181" t="s">
        <v>87</v>
      </c>
      <c r="G4181" t="s">
        <v>51</v>
      </c>
      <c r="H4181" t="s">
        <v>27</v>
      </c>
      <c r="I4181" t="s">
        <v>45</v>
      </c>
      <c r="J4181" t="s">
        <v>21</v>
      </c>
      <c r="K4181">
        <v>24</v>
      </c>
      <c r="L4181">
        <v>22.51</v>
      </c>
      <c r="M4181">
        <v>4.0999999999999996</v>
      </c>
      <c r="N4181" t="s">
        <v>22</v>
      </c>
      <c r="O4181" t="str">
        <f t="shared" si="65"/>
        <v>No</v>
      </c>
    </row>
    <row r="4182" spans="1:15" x14ac:dyDescent="0.25">
      <c r="A4182" t="s">
        <v>4243</v>
      </c>
      <c r="B4182" s="1">
        <v>45776</v>
      </c>
      <c r="C4182" s="2">
        <v>45776.488749999997</v>
      </c>
      <c r="D4182" t="s">
        <v>24</v>
      </c>
      <c r="E4182" t="s">
        <v>39</v>
      </c>
      <c r="F4182" t="s">
        <v>119</v>
      </c>
      <c r="G4182" t="s">
        <v>41</v>
      </c>
      <c r="H4182" t="s">
        <v>27</v>
      </c>
      <c r="I4182" t="s">
        <v>28</v>
      </c>
      <c r="J4182" t="s">
        <v>46</v>
      </c>
      <c r="K4182">
        <v>24</v>
      </c>
      <c r="L4182">
        <v>11.73</v>
      </c>
      <c r="M4182">
        <v>5</v>
      </c>
      <c r="N4182" t="s">
        <v>22</v>
      </c>
      <c r="O4182" t="str">
        <f t="shared" si="65"/>
        <v>No</v>
      </c>
    </row>
    <row r="4183" spans="1:15" x14ac:dyDescent="0.25">
      <c r="A4183" t="s">
        <v>4244</v>
      </c>
      <c r="B4183" s="1">
        <v>45723</v>
      </c>
      <c r="C4183" s="2">
        <v>45723.124166666668</v>
      </c>
      <c r="D4183" t="s">
        <v>38</v>
      </c>
      <c r="E4183" t="s">
        <v>39</v>
      </c>
      <c r="F4183" t="s">
        <v>78</v>
      </c>
      <c r="G4183" t="s">
        <v>41</v>
      </c>
      <c r="H4183" t="s">
        <v>44</v>
      </c>
      <c r="I4183" t="s">
        <v>45</v>
      </c>
      <c r="J4183" t="s">
        <v>46</v>
      </c>
      <c r="K4183">
        <v>8</v>
      </c>
      <c r="L4183">
        <v>2.98</v>
      </c>
      <c r="M4183">
        <v>4.9000000000000004</v>
      </c>
      <c r="N4183" t="s">
        <v>22</v>
      </c>
      <c r="O4183" t="str">
        <f t="shared" si="65"/>
        <v>No</v>
      </c>
    </row>
    <row r="4184" spans="1:15" x14ac:dyDescent="0.25">
      <c r="A4184" t="s">
        <v>4245</v>
      </c>
      <c r="B4184" s="1">
        <v>45676</v>
      </c>
      <c r="C4184" s="2">
        <v>45676.160000000003</v>
      </c>
      <c r="D4184" t="s">
        <v>24</v>
      </c>
      <c r="E4184" t="s">
        <v>25</v>
      </c>
      <c r="F4184" t="s">
        <v>70</v>
      </c>
      <c r="G4184" t="s">
        <v>56</v>
      </c>
      <c r="H4184" t="s">
        <v>27</v>
      </c>
      <c r="I4184" t="s">
        <v>36</v>
      </c>
      <c r="J4184" t="s">
        <v>21</v>
      </c>
      <c r="K4184">
        <v>24</v>
      </c>
      <c r="L4184">
        <v>3.84</v>
      </c>
      <c r="M4184">
        <v>4.7</v>
      </c>
      <c r="N4184" t="s">
        <v>22</v>
      </c>
      <c r="O4184" t="str">
        <f t="shared" si="65"/>
        <v>No</v>
      </c>
    </row>
    <row r="4185" spans="1:15" x14ac:dyDescent="0.25">
      <c r="A4185" t="s">
        <v>4246</v>
      </c>
      <c r="B4185" s="1">
        <v>45812</v>
      </c>
      <c r="C4185" s="2">
        <v>45812.359166666669</v>
      </c>
      <c r="D4185" t="s">
        <v>38</v>
      </c>
      <c r="E4185" t="s">
        <v>45</v>
      </c>
      <c r="F4185" t="s">
        <v>100</v>
      </c>
      <c r="G4185" t="s">
        <v>34</v>
      </c>
      <c r="H4185" t="s">
        <v>19</v>
      </c>
      <c r="I4185" t="s">
        <v>20</v>
      </c>
      <c r="J4185" t="s">
        <v>46</v>
      </c>
      <c r="K4185">
        <v>8</v>
      </c>
      <c r="L4185">
        <v>8.6199999999999992</v>
      </c>
      <c r="M4185">
        <v>4.0999999999999996</v>
      </c>
      <c r="N4185" t="s">
        <v>22</v>
      </c>
      <c r="O4185" t="str">
        <f t="shared" si="65"/>
        <v>Yes</v>
      </c>
    </row>
    <row r="4186" spans="1:15" x14ac:dyDescent="0.25">
      <c r="A4186" t="s">
        <v>4247</v>
      </c>
      <c r="B4186" s="1">
        <v>45668</v>
      </c>
      <c r="C4186" s="2">
        <v>45670.010833333334</v>
      </c>
      <c r="D4186" t="s">
        <v>15</v>
      </c>
      <c r="E4186" t="s">
        <v>25</v>
      </c>
      <c r="F4186" t="s">
        <v>26</v>
      </c>
      <c r="G4186" t="s">
        <v>41</v>
      </c>
      <c r="H4186" t="s">
        <v>19</v>
      </c>
      <c r="I4186" t="s">
        <v>36</v>
      </c>
      <c r="J4186" t="s">
        <v>21</v>
      </c>
      <c r="K4186">
        <v>48</v>
      </c>
      <c r="L4186">
        <v>48.26</v>
      </c>
      <c r="M4186">
        <v>3.6</v>
      </c>
      <c r="N4186" t="s">
        <v>22</v>
      </c>
      <c r="O4186" t="str">
        <f t="shared" si="65"/>
        <v>Yes</v>
      </c>
    </row>
    <row r="4187" spans="1:15" x14ac:dyDescent="0.25">
      <c r="A4187" t="s">
        <v>4248</v>
      </c>
      <c r="B4187" s="1">
        <v>45761</v>
      </c>
      <c r="C4187" s="2">
        <v>45761.328750000001</v>
      </c>
      <c r="D4187" t="s">
        <v>24</v>
      </c>
      <c r="E4187" t="s">
        <v>25</v>
      </c>
      <c r="F4187" t="s">
        <v>53</v>
      </c>
      <c r="G4187" t="s">
        <v>51</v>
      </c>
      <c r="H4187" t="s">
        <v>65</v>
      </c>
      <c r="I4187" t="s">
        <v>36</v>
      </c>
      <c r="J4187" t="s">
        <v>21</v>
      </c>
      <c r="K4187">
        <v>24</v>
      </c>
      <c r="L4187">
        <v>7.89</v>
      </c>
      <c r="M4187">
        <v>4.7</v>
      </c>
      <c r="N4187" t="s">
        <v>22</v>
      </c>
      <c r="O4187" t="str">
        <f t="shared" si="65"/>
        <v>No</v>
      </c>
    </row>
    <row r="4188" spans="1:15" x14ac:dyDescent="0.25">
      <c r="A4188" t="s">
        <v>4249</v>
      </c>
      <c r="B4188" s="1">
        <v>45706</v>
      </c>
      <c r="C4188" s="2">
        <v>45706.237500000003</v>
      </c>
      <c r="D4188" t="s">
        <v>38</v>
      </c>
      <c r="E4188" t="s">
        <v>32</v>
      </c>
      <c r="F4188" t="s">
        <v>80</v>
      </c>
      <c r="G4188" t="s">
        <v>34</v>
      </c>
      <c r="H4188" t="s">
        <v>54</v>
      </c>
      <c r="I4188" t="s">
        <v>28</v>
      </c>
      <c r="J4188" t="s">
        <v>21</v>
      </c>
      <c r="K4188">
        <v>8</v>
      </c>
      <c r="L4188">
        <v>5.7</v>
      </c>
      <c r="M4188">
        <v>4.5</v>
      </c>
      <c r="N4188" t="s">
        <v>22</v>
      </c>
      <c r="O4188" t="str">
        <f t="shared" si="65"/>
        <v>No</v>
      </c>
    </row>
    <row r="4189" spans="1:15" x14ac:dyDescent="0.25">
      <c r="A4189" t="s">
        <v>4250</v>
      </c>
      <c r="B4189" s="1">
        <v>45696</v>
      </c>
      <c r="C4189" s="2">
        <v>45696.28125</v>
      </c>
      <c r="D4189" t="s">
        <v>38</v>
      </c>
      <c r="E4189" t="s">
        <v>32</v>
      </c>
      <c r="F4189" t="s">
        <v>75</v>
      </c>
      <c r="G4189" t="s">
        <v>41</v>
      </c>
      <c r="H4189" t="s">
        <v>65</v>
      </c>
      <c r="I4189" t="s">
        <v>45</v>
      </c>
      <c r="J4189" t="s">
        <v>46</v>
      </c>
      <c r="K4189">
        <v>8</v>
      </c>
      <c r="L4189">
        <v>6.75</v>
      </c>
      <c r="M4189">
        <v>5</v>
      </c>
      <c r="N4189" t="s">
        <v>61</v>
      </c>
      <c r="O4189" t="str">
        <f t="shared" si="65"/>
        <v>No</v>
      </c>
    </row>
    <row r="4190" spans="1:15" x14ac:dyDescent="0.25">
      <c r="A4190" t="s">
        <v>4251</v>
      </c>
      <c r="B4190" s="1">
        <v>45665</v>
      </c>
      <c r="C4190" s="2">
        <v>45665.407500000001</v>
      </c>
      <c r="D4190" t="s">
        <v>24</v>
      </c>
      <c r="E4190" t="s">
        <v>16</v>
      </c>
      <c r="F4190" t="s">
        <v>60</v>
      </c>
      <c r="G4190" t="s">
        <v>41</v>
      </c>
      <c r="H4190" t="s">
        <v>19</v>
      </c>
      <c r="I4190" t="s">
        <v>28</v>
      </c>
      <c r="J4190" t="s">
        <v>46</v>
      </c>
      <c r="K4190">
        <v>24</v>
      </c>
      <c r="L4190">
        <v>9.7799999999999994</v>
      </c>
      <c r="M4190">
        <v>4.8</v>
      </c>
      <c r="N4190" t="s">
        <v>22</v>
      </c>
      <c r="O4190" t="str">
        <f t="shared" si="65"/>
        <v>No</v>
      </c>
    </row>
    <row r="4191" spans="1:15" x14ac:dyDescent="0.25">
      <c r="A4191" t="s">
        <v>4252</v>
      </c>
      <c r="B4191" s="1">
        <v>45820</v>
      </c>
      <c r="C4191" s="2">
        <v>45821.013333333336</v>
      </c>
      <c r="D4191" t="s">
        <v>24</v>
      </c>
      <c r="E4191" t="s">
        <v>16</v>
      </c>
      <c r="F4191" t="s">
        <v>43</v>
      </c>
      <c r="G4191" t="s">
        <v>34</v>
      </c>
      <c r="H4191" t="s">
        <v>54</v>
      </c>
      <c r="I4191" t="s">
        <v>36</v>
      </c>
      <c r="J4191" t="s">
        <v>46</v>
      </c>
      <c r="K4191">
        <v>24</v>
      </c>
      <c r="L4191">
        <v>24.32</v>
      </c>
      <c r="M4191">
        <v>3.9</v>
      </c>
      <c r="N4191" t="s">
        <v>22</v>
      </c>
      <c r="O4191" t="str">
        <f t="shared" si="65"/>
        <v>Yes</v>
      </c>
    </row>
    <row r="4192" spans="1:15" x14ac:dyDescent="0.25">
      <c r="A4192" t="s">
        <v>4253</v>
      </c>
      <c r="B4192" s="1">
        <v>45735</v>
      </c>
      <c r="C4192" s="2">
        <v>45736.050833333335</v>
      </c>
      <c r="D4192" t="s">
        <v>24</v>
      </c>
      <c r="E4192" t="s">
        <v>32</v>
      </c>
      <c r="F4192" t="s">
        <v>80</v>
      </c>
      <c r="G4192" t="s">
        <v>41</v>
      </c>
      <c r="H4192" t="s">
        <v>19</v>
      </c>
      <c r="I4192" t="s">
        <v>20</v>
      </c>
      <c r="J4192" t="s">
        <v>29</v>
      </c>
      <c r="K4192">
        <v>24</v>
      </c>
      <c r="L4192">
        <v>25.22</v>
      </c>
      <c r="M4192">
        <v>5</v>
      </c>
      <c r="N4192" t="s">
        <v>22</v>
      </c>
      <c r="O4192" t="str">
        <f t="shared" si="65"/>
        <v>Yes</v>
      </c>
    </row>
    <row r="4193" spans="1:15" x14ac:dyDescent="0.25">
      <c r="A4193" t="s">
        <v>4254</v>
      </c>
      <c r="B4193" s="1">
        <v>45720</v>
      </c>
      <c r="C4193" s="2">
        <v>45720.182500000003</v>
      </c>
      <c r="D4193" t="s">
        <v>15</v>
      </c>
      <c r="E4193" t="s">
        <v>25</v>
      </c>
      <c r="F4193" t="s">
        <v>26</v>
      </c>
      <c r="G4193" t="s">
        <v>51</v>
      </c>
      <c r="H4193" t="s">
        <v>19</v>
      </c>
      <c r="I4193" t="s">
        <v>36</v>
      </c>
      <c r="J4193" t="s">
        <v>21</v>
      </c>
      <c r="K4193">
        <v>48</v>
      </c>
      <c r="L4193">
        <v>4.38</v>
      </c>
      <c r="M4193">
        <v>3.6</v>
      </c>
      <c r="N4193" t="s">
        <v>22</v>
      </c>
      <c r="O4193" t="str">
        <f t="shared" si="65"/>
        <v>No</v>
      </c>
    </row>
    <row r="4194" spans="1:15" x14ac:dyDescent="0.25">
      <c r="A4194" t="s">
        <v>4255</v>
      </c>
      <c r="B4194" s="1">
        <v>45792</v>
      </c>
      <c r="C4194" s="2">
        <v>45792.273738425924</v>
      </c>
      <c r="D4194" t="s">
        <v>38</v>
      </c>
      <c r="E4194" t="s">
        <v>32</v>
      </c>
      <c r="F4194" t="s">
        <v>64</v>
      </c>
      <c r="G4194" t="s">
        <v>51</v>
      </c>
      <c r="H4194" t="s">
        <v>65</v>
      </c>
      <c r="I4194" t="s">
        <v>36</v>
      </c>
      <c r="J4194" t="s">
        <v>29</v>
      </c>
      <c r="K4194">
        <v>8</v>
      </c>
      <c r="L4194">
        <v>6.57</v>
      </c>
      <c r="M4194">
        <v>4</v>
      </c>
      <c r="N4194" t="s">
        <v>22</v>
      </c>
      <c r="O4194" t="str">
        <f t="shared" si="65"/>
        <v>No</v>
      </c>
    </row>
    <row r="4195" spans="1:15" x14ac:dyDescent="0.25">
      <c r="A4195" t="s">
        <v>4256</v>
      </c>
      <c r="B4195" s="1">
        <v>45665</v>
      </c>
      <c r="C4195" s="2">
        <v>45665.112083333333</v>
      </c>
      <c r="D4195" t="s">
        <v>38</v>
      </c>
      <c r="E4195" t="s">
        <v>32</v>
      </c>
      <c r="F4195" t="s">
        <v>80</v>
      </c>
      <c r="G4195" t="s">
        <v>18</v>
      </c>
      <c r="H4195" t="s">
        <v>27</v>
      </c>
      <c r="I4195" t="s">
        <v>20</v>
      </c>
      <c r="J4195" t="s">
        <v>46</v>
      </c>
      <c r="K4195">
        <v>8</v>
      </c>
      <c r="L4195">
        <v>2.69</v>
      </c>
      <c r="M4195">
        <v>4.0999999999999996</v>
      </c>
      <c r="N4195" t="s">
        <v>22</v>
      </c>
      <c r="O4195" t="str">
        <f t="shared" si="65"/>
        <v>No</v>
      </c>
    </row>
    <row r="4196" spans="1:15" x14ac:dyDescent="0.25">
      <c r="A4196" t="s">
        <v>4257</v>
      </c>
      <c r="B4196" s="1">
        <v>45760</v>
      </c>
      <c r="C4196" s="2">
        <v>45760.243333333332</v>
      </c>
      <c r="D4196" t="s">
        <v>24</v>
      </c>
      <c r="E4196" t="s">
        <v>39</v>
      </c>
      <c r="F4196" t="s">
        <v>78</v>
      </c>
      <c r="G4196" t="s">
        <v>18</v>
      </c>
      <c r="H4196" t="s">
        <v>54</v>
      </c>
      <c r="I4196" t="s">
        <v>36</v>
      </c>
      <c r="J4196" t="s">
        <v>21</v>
      </c>
      <c r="K4196">
        <v>24</v>
      </c>
      <c r="L4196">
        <v>5.84</v>
      </c>
      <c r="M4196">
        <v>4.5999999999999996</v>
      </c>
      <c r="N4196" t="s">
        <v>22</v>
      </c>
      <c r="O4196" t="str">
        <f t="shared" si="65"/>
        <v>No</v>
      </c>
    </row>
    <row r="4197" spans="1:15" x14ac:dyDescent="0.25">
      <c r="A4197" t="s">
        <v>4258</v>
      </c>
      <c r="B4197" s="1">
        <v>45747</v>
      </c>
      <c r="C4197" s="2">
        <v>45747.138333333336</v>
      </c>
      <c r="D4197" t="s">
        <v>15</v>
      </c>
      <c r="E4197" t="s">
        <v>25</v>
      </c>
      <c r="F4197" t="s">
        <v>70</v>
      </c>
      <c r="G4197" t="s">
        <v>56</v>
      </c>
      <c r="H4197" t="s">
        <v>65</v>
      </c>
      <c r="I4197" t="s">
        <v>45</v>
      </c>
      <c r="J4197" t="s">
        <v>21</v>
      </c>
      <c r="K4197">
        <v>48</v>
      </c>
      <c r="L4197">
        <v>3.32</v>
      </c>
      <c r="M4197">
        <v>5</v>
      </c>
      <c r="N4197" t="s">
        <v>22</v>
      </c>
      <c r="O4197" t="str">
        <f t="shared" si="65"/>
        <v>No</v>
      </c>
    </row>
    <row r="4198" spans="1:15" x14ac:dyDescent="0.25">
      <c r="A4198" t="s">
        <v>4259</v>
      </c>
      <c r="B4198" s="1">
        <v>45758</v>
      </c>
      <c r="C4198" s="2">
        <v>45758.540416666663</v>
      </c>
      <c r="D4198" t="s">
        <v>24</v>
      </c>
      <c r="E4198" t="s">
        <v>25</v>
      </c>
      <c r="F4198" t="s">
        <v>26</v>
      </c>
      <c r="G4198" t="s">
        <v>56</v>
      </c>
      <c r="H4198" t="s">
        <v>35</v>
      </c>
      <c r="I4198" t="s">
        <v>20</v>
      </c>
      <c r="J4198" t="s">
        <v>21</v>
      </c>
      <c r="K4198">
        <v>24</v>
      </c>
      <c r="L4198">
        <v>12.97</v>
      </c>
      <c r="M4198">
        <v>5</v>
      </c>
      <c r="N4198" t="s">
        <v>22</v>
      </c>
      <c r="O4198" t="str">
        <f t="shared" si="65"/>
        <v>No</v>
      </c>
    </row>
    <row r="4199" spans="1:15" x14ac:dyDescent="0.25">
      <c r="A4199" t="s">
        <v>4260</v>
      </c>
      <c r="B4199" s="1">
        <v>45680</v>
      </c>
      <c r="C4199" s="2">
        <v>45680.797083333331</v>
      </c>
      <c r="D4199" t="s">
        <v>15</v>
      </c>
      <c r="E4199" t="s">
        <v>16</v>
      </c>
      <c r="F4199" t="s">
        <v>58</v>
      </c>
      <c r="G4199" t="s">
        <v>34</v>
      </c>
      <c r="H4199" t="s">
        <v>54</v>
      </c>
      <c r="I4199" t="s">
        <v>20</v>
      </c>
      <c r="J4199" t="s">
        <v>21</v>
      </c>
      <c r="K4199">
        <v>48</v>
      </c>
      <c r="L4199">
        <v>19.13</v>
      </c>
      <c r="M4199">
        <v>4.2</v>
      </c>
      <c r="N4199" t="s">
        <v>22</v>
      </c>
      <c r="O4199" t="str">
        <f t="shared" si="65"/>
        <v>No</v>
      </c>
    </row>
    <row r="4200" spans="1:15" x14ac:dyDescent="0.25">
      <c r="A4200" t="s">
        <v>4261</v>
      </c>
      <c r="B4200" s="1">
        <v>45830</v>
      </c>
      <c r="C4200" s="2">
        <v>45830.107488425929</v>
      </c>
      <c r="D4200" t="s">
        <v>38</v>
      </c>
      <c r="E4200" t="s">
        <v>25</v>
      </c>
      <c r="F4200" t="s">
        <v>26</v>
      </c>
      <c r="G4200" t="s">
        <v>56</v>
      </c>
      <c r="H4200" t="s">
        <v>65</v>
      </c>
      <c r="I4200" t="s">
        <v>36</v>
      </c>
      <c r="J4200" t="s">
        <v>21</v>
      </c>
      <c r="K4200">
        <v>8</v>
      </c>
      <c r="L4200">
        <v>2.58</v>
      </c>
      <c r="M4200">
        <v>5</v>
      </c>
      <c r="N4200" t="s">
        <v>22</v>
      </c>
      <c r="O4200" t="str">
        <f t="shared" si="65"/>
        <v>No</v>
      </c>
    </row>
    <row r="4201" spans="1:15" x14ac:dyDescent="0.25">
      <c r="A4201" t="s">
        <v>4262</v>
      </c>
      <c r="B4201" s="1">
        <v>45701</v>
      </c>
      <c r="C4201" s="2">
        <v>45701.86041666667</v>
      </c>
      <c r="D4201" t="s">
        <v>24</v>
      </c>
      <c r="E4201" t="s">
        <v>25</v>
      </c>
      <c r="F4201" t="s">
        <v>26</v>
      </c>
      <c r="G4201" t="s">
        <v>34</v>
      </c>
      <c r="H4201" t="s">
        <v>27</v>
      </c>
      <c r="I4201" t="s">
        <v>36</v>
      </c>
      <c r="J4201" t="s">
        <v>21</v>
      </c>
      <c r="K4201">
        <v>24</v>
      </c>
      <c r="L4201">
        <v>20.65</v>
      </c>
      <c r="M4201">
        <v>3.4</v>
      </c>
      <c r="N4201" t="s">
        <v>22</v>
      </c>
      <c r="O4201" t="str">
        <f t="shared" si="65"/>
        <v>No</v>
      </c>
    </row>
    <row r="4202" spans="1:15" x14ac:dyDescent="0.25">
      <c r="A4202" t="s">
        <v>4263</v>
      </c>
      <c r="B4202" s="1">
        <v>45780</v>
      </c>
      <c r="C4202" s="2">
        <v>45786.255833333336</v>
      </c>
      <c r="D4202" t="s">
        <v>15</v>
      </c>
      <c r="E4202" t="s">
        <v>39</v>
      </c>
      <c r="F4202" t="s">
        <v>78</v>
      </c>
      <c r="G4202" t="s">
        <v>18</v>
      </c>
      <c r="H4202" t="s">
        <v>35</v>
      </c>
      <c r="I4202" t="s">
        <v>28</v>
      </c>
      <c r="J4202" t="s">
        <v>21</v>
      </c>
      <c r="K4202">
        <v>48</v>
      </c>
      <c r="L4202">
        <v>150.13999999999999</v>
      </c>
      <c r="M4202">
        <v>1</v>
      </c>
      <c r="N4202" t="s">
        <v>22</v>
      </c>
      <c r="O4202" t="str">
        <f t="shared" si="65"/>
        <v>Yes</v>
      </c>
    </row>
    <row r="4203" spans="1:15" x14ac:dyDescent="0.25">
      <c r="A4203" t="s">
        <v>4264</v>
      </c>
      <c r="B4203" s="1">
        <v>45793</v>
      </c>
      <c r="C4203" s="2">
        <v>45793.718333333331</v>
      </c>
      <c r="D4203" t="s">
        <v>24</v>
      </c>
      <c r="E4203" t="s">
        <v>25</v>
      </c>
      <c r="F4203" t="s">
        <v>26</v>
      </c>
      <c r="G4203" t="s">
        <v>18</v>
      </c>
      <c r="H4203" t="s">
        <v>27</v>
      </c>
      <c r="I4203" t="s">
        <v>45</v>
      </c>
      <c r="J4203" t="s">
        <v>21</v>
      </c>
      <c r="K4203">
        <v>24</v>
      </c>
      <c r="L4203">
        <v>17.239999999999998</v>
      </c>
      <c r="M4203">
        <v>4.2</v>
      </c>
      <c r="N4203" t="s">
        <v>22</v>
      </c>
      <c r="O4203" t="str">
        <f t="shared" si="65"/>
        <v>No</v>
      </c>
    </row>
    <row r="4204" spans="1:15" x14ac:dyDescent="0.25">
      <c r="A4204" t="s">
        <v>4265</v>
      </c>
      <c r="B4204" s="1">
        <v>45720</v>
      </c>
      <c r="C4204" s="2">
        <v>45720.066250000003</v>
      </c>
      <c r="D4204" t="s">
        <v>31</v>
      </c>
      <c r="E4204" t="s">
        <v>32</v>
      </c>
      <c r="F4204" t="s">
        <v>75</v>
      </c>
      <c r="G4204" t="s">
        <v>18</v>
      </c>
      <c r="H4204" t="s">
        <v>35</v>
      </c>
      <c r="I4204" t="s">
        <v>45</v>
      </c>
      <c r="J4204" t="s">
        <v>21</v>
      </c>
      <c r="K4204">
        <v>4</v>
      </c>
      <c r="L4204">
        <v>1.59</v>
      </c>
      <c r="M4204">
        <v>4.4000000000000004</v>
      </c>
      <c r="N4204" t="s">
        <v>22</v>
      </c>
      <c r="O4204" t="str">
        <f t="shared" si="65"/>
        <v>No</v>
      </c>
    </row>
    <row r="4205" spans="1:15" x14ac:dyDescent="0.25">
      <c r="A4205" t="s">
        <v>4266</v>
      </c>
      <c r="B4205" s="1">
        <v>45681</v>
      </c>
      <c r="C4205" s="2">
        <v>45683.071666666663</v>
      </c>
      <c r="D4205" t="s">
        <v>15</v>
      </c>
      <c r="E4205" t="s">
        <v>16</v>
      </c>
      <c r="F4205" t="s">
        <v>17</v>
      </c>
      <c r="G4205" t="s">
        <v>51</v>
      </c>
      <c r="H4205" t="s">
        <v>19</v>
      </c>
      <c r="I4205" t="s">
        <v>36</v>
      </c>
      <c r="J4205" t="s">
        <v>85</v>
      </c>
      <c r="K4205">
        <v>48</v>
      </c>
      <c r="L4205">
        <v>49.72</v>
      </c>
      <c r="M4205">
        <v>4.7</v>
      </c>
      <c r="N4205" t="s">
        <v>22</v>
      </c>
      <c r="O4205" t="str">
        <f t="shared" si="65"/>
        <v>Yes</v>
      </c>
    </row>
    <row r="4206" spans="1:15" x14ac:dyDescent="0.25">
      <c r="A4206" t="s">
        <v>4267</v>
      </c>
      <c r="B4206" s="1">
        <v>45711</v>
      </c>
      <c r="C4206" s="2">
        <v>45711.207499999997</v>
      </c>
      <c r="D4206" t="s">
        <v>24</v>
      </c>
      <c r="E4206" t="s">
        <v>32</v>
      </c>
      <c r="F4206" t="s">
        <v>33</v>
      </c>
      <c r="G4206" t="s">
        <v>41</v>
      </c>
      <c r="H4206" t="s">
        <v>27</v>
      </c>
      <c r="I4206" t="s">
        <v>36</v>
      </c>
      <c r="J4206" t="s">
        <v>21</v>
      </c>
      <c r="K4206">
        <v>24</v>
      </c>
      <c r="L4206">
        <v>4.9800000000000004</v>
      </c>
      <c r="M4206">
        <v>5</v>
      </c>
      <c r="N4206" t="s">
        <v>22</v>
      </c>
      <c r="O4206" t="str">
        <f t="shared" si="65"/>
        <v>No</v>
      </c>
    </row>
    <row r="4207" spans="1:15" x14ac:dyDescent="0.25">
      <c r="A4207" t="s">
        <v>4268</v>
      </c>
      <c r="B4207" s="1">
        <v>45804</v>
      </c>
      <c r="C4207" s="2">
        <v>45804.338750000003</v>
      </c>
      <c r="D4207" t="s">
        <v>24</v>
      </c>
      <c r="E4207" t="s">
        <v>39</v>
      </c>
      <c r="F4207" t="s">
        <v>119</v>
      </c>
      <c r="G4207" t="s">
        <v>34</v>
      </c>
      <c r="H4207" t="s">
        <v>19</v>
      </c>
      <c r="I4207" t="s">
        <v>28</v>
      </c>
      <c r="J4207" t="s">
        <v>85</v>
      </c>
      <c r="K4207">
        <v>24</v>
      </c>
      <c r="L4207">
        <v>8.1300000000000008</v>
      </c>
      <c r="M4207">
        <v>4.2</v>
      </c>
      <c r="N4207" t="s">
        <v>22</v>
      </c>
      <c r="O4207" t="str">
        <f t="shared" si="65"/>
        <v>No</v>
      </c>
    </row>
    <row r="4208" spans="1:15" x14ac:dyDescent="0.25">
      <c r="A4208" t="s">
        <v>4269</v>
      </c>
      <c r="B4208" s="1">
        <v>45822</v>
      </c>
      <c r="C4208" s="2">
        <v>45823.137916666667</v>
      </c>
      <c r="D4208" t="s">
        <v>15</v>
      </c>
      <c r="E4208" t="s">
        <v>16</v>
      </c>
      <c r="F4208" t="s">
        <v>43</v>
      </c>
      <c r="G4208" t="s">
        <v>51</v>
      </c>
      <c r="H4208" t="s">
        <v>27</v>
      </c>
      <c r="I4208" t="s">
        <v>45</v>
      </c>
      <c r="J4208" t="s">
        <v>21</v>
      </c>
      <c r="K4208">
        <v>48</v>
      </c>
      <c r="L4208">
        <v>27.31</v>
      </c>
      <c r="M4208">
        <v>3.1</v>
      </c>
      <c r="N4208" t="s">
        <v>22</v>
      </c>
      <c r="O4208" t="str">
        <f t="shared" si="65"/>
        <v>No</v>
      </c>
    </row>
    <row r="4209" spans="1:15" x14ac:dyDescent="0.25">
      <c r="A4209" t="s">
        <v>4270</v>
      </c>
      <c r="B4209" s="1">
        <v>45827</v>
      </c>
      <c r="C4209" s="2">
        <v>45827.573750000003</v>
      </c>
      <c r="D4209" t="s">
        <v>24</v>
      </c>
      <c r="E4209" t="s">
        <v>32</v>
      </c>
      <c r="F4209" t="s">
        <v>75</v>
      </c>
      <c r="G4209" t="s">
        <v>34</v>
      </c>
      <c r="H4209" t="s">
        <v>54</v>
      </c>
      <c r="I4209" t="s">
        <v>20</v>
      </c>
      <c r="J4209" t="s">
        <v>21</v>
      </c>
      <c r="K4209">
        <v>24</v>
      </c>
      <c r="L4209">
        <v>13.77</v>
      </c>
      <c r="M4209">
        <v>3.4</v>
      </c>
      <c r="N4209" t="s">
        <v>22</v>
      </c>
      <c r="O4209" t="str">
        <f t="shared" si="65"/>
        <v>No</v>
      </c>
    </row>
    <row r="4210" spans="1:15" x14ac:dyDescent="0.25">
      <c r="A4210" t="s">
        <v>4271</v>
      </c>
      <c r="B4210" s="1">
        <v>45698</v>
      </c>
      <c r="C4210" s="2">
        <v>45698.958333333336</v>
      </c>
      <c r="D4210" t="s">
        <v>24</v>
      </c>
      <c r="E4210" t="s">
        <v>39</v>
      </c>
      <c r="F4210" t="s">
        <v>78</v>
      </c>
      <c r="G4210" t="s">
        <v>34</v>
      </c>
      <c r="H4210" t="s">
        <v>35</v>
      </c>
      <c r="I4210" t="s">
        <v>36</v>
      </c>
      <c r="J4210" t="s">
        <v>21</v>
      </c>
      <c r="K4210">
        <v>24</v>
      </c>
      <c r="L4210">
        <v>23</v>
      </c>
      <c r="M4210">
        <v>3.3</v>
      </c>
      <c r="N4210" t="s">
        <v>22</v>
      </c>
      <c r="O4210" t="str">
        <f t="shared" si="65"/>
        <v>No</v>
      </c>
    </row>
    <row r="4211" spans="1:15" x14ac:dyDescent="0.25">
      <c r="A4211" t="s">
        <v>4272</v>
      </c>
      <c r="B4211" s="1">
        <v>45767</v>
      </c>
      <c r="C4211" s="2">
        <v>45769.79791666667</v>
      </c>
      <c r="D4211" t="s">
        <v>15</v>
      </c>
      <c r="E4211" t="s">
        <v>16</v>
      </c>
      <c r="F4211" t="s">
        <v>17</v>
      </c>
      <c r="G4211" t="s">
        <v>41</v>
      </c>
      <c r="H4211" t="s">
        <v>44</v>
      </c>
      <c r="I4211" t="s">
        <v>36</v>
      </c>
      <c r="J4211" t="s">
        <v>21</v>
      </c>
      <c r="K4211">
        <v>48</v>
      </c>
      <c r="L4211">
        <v>67.150000000000006</v>
      </c>
      <c r="M4211">
        <v>3.5</v>
      </c>
      <c r="N4211" t="s">
        <v>22</v>
      </c>
      <c r="O4211" t="str">
        <f t="shared" si="65"/>
        <v>Yes</v>
      </c>
    </row>
    <row r="4212" spans="1:15" x14ac:dyDescent="0.25">
      <c r="A4212" t="s">
        <v>4273</v>
      </c>
      <c r="B4212" s="1">
        <v>45685</v>
      </c>
      <c r="C4212" s="2">
        <v>45686.884166666663</v>
      </c>
      <c r="D4212" t="s">
        <v>15</v>
      </c>
      <c r="E4212" t="s">
        <v>16</v>
      </c>
      <c r="F4212" t="s">
        <v>58</v>
      </c>
      <c r="G4212" t="s">
        <v>51</v>
      </c>
      <c r="H4212" t="s">
        <v>35</v>
      </c>
      <c r="I4212" t="s">
        <v>45</v>
      </c>
      <c r="J4212" t="s">
        <v>21</v>
      </c>
      <c r="K4212">
        <v>48</v>
      </c>
      <c r="L4212">
        <v>45.22</v>
      </c>
      <c r="M4212">
        <v>3.7</v>
      </c>
      <c r="N4212" t="s">
        <v>22</v>
      </c>
      <c r="O4212" t="str">
        <f t="shared" si="65"/>
        <v>No</v>
      </c>
    </row>
    <row r="4213" spans="1:15" x14ac:dyDescent="0.25">
      <c r="A4213" t="s">
        <v>4274</v>
      </c>
      <c r="B4213" s="1">
        <v>45786</v>
      </c>
      <c r="C4213" s="2">
        <v>45786.469166666669</v>
      </c>
      <c r="D4213" t="s">
        <v>38</v>
      </c>
      <c r="E4213" t="s">
        <v>32</v>
      </c>
      <c r="F4213" t="s">
        <v>75</v>
      </c>
      <c r="G4213" t="s">
        <v>56</v>
      </c>
      <c r="H4213" t="s">
        <v>54</v>
      </c>
      <c r="I4213" t="s">
        <v>20</v>
      </c>
      <c r="J4213" t="s">
        <v>21</v>
      </c>
      <c r="K4213">
        <v>8</v>
      </c>
      <c r="L4213">
        <v>11.26</v>
      </c>
      <c r="M4213">
        <v>2.5</v>
      </c>
      <c r="N4213" t="s">
        <v>22</v>
      </c>
      <c r="O4213" t="str">
        <f t="shared" si="65"/>
        <v>Yes</v>
      </c>
    </row>
    <row r="4214" spans="1:15" x14ac:dyDescent="0.25">
      <c r="A4214" t="s">
        <v>4275</v>
      </c>
      <c r="B4214" s="1">
        <v>45733</v>
      </c>
      <c r="C4214" s="2">
        <v>45734.451249999998</v>
      </c>
      <c r="D4214" t="s">
        <v>24</v>
      </c>
      <c r="E4214" t="s">
        <v>32</v>
      </c>
      <c r="F4214" t="s">
        <v>75</v>
      </c>
      <c r="G4214" t="s">
        <v>51</v>
      </c>
      <c r="H4214" t="s">
        <v>54</v>
      </c>
      <c r="I4214" t="s">
        <v>36</v>
      </c>
      <c r="J4214" t="s">
        <v>46</v>
      </c>
      <c r="K4214">
        <v>24</v>
      </c>
      <c r="L4214">
        <v>34.83</v>
      </c>
      <c r="M4214">
        <v>4.4000000000000004</v>
      </c>
      <c r="N4214" t="s">
        <v>22</v>
      </c>
      <c r="O4214" t="str">
        <f t="shared" si="65"/>
        <v>Yes</v>
      </c>
    </row>
    <row r="4215" spans="1:15" x14ac:dyDescent="0.25">
      <c r="A4215" t="s">
        <v>4276</v>
      </c>
      <c r="B4215" s="1">
        <v>45787</v>
      </c>
      <c r="C4215" s="2">
        <v>45787.631666666668</v>
      </c>
      <c r="D4215" t="s">
        <v>24</v>
      </c>
      <c r="E4215" t="s">
        <v>39</v>
      </c>
      <c r="F4215" t="s">
        <v>40</v>
      </c>
      <c r="G4215" t="s">
        <v>34</v>
      </c>
      <c r="H4215" t="s">
        <v>19</v>
      </c>
      <c r="I4215" t="s">
        <v>36</v>
      </c>
      <c r="J4215" t="s">
        <v>21</v>
      </c>
      <c r="K4215">
        <v>24</v>
      </c>
      <c r="L4215">
        <v>15.16</v>
      </c>
      <c r="M4215">
        <v>4.7</v>
      </c>
      <c r="N4215" t="s">
        <v>22</v>
      </c>
      <c r="O4215" t="str">
        <f t="shared" si="65"/>
        <v>No</v>
      </c>
    </row>
    <row r="4216" spans="1:15" x14ac:dyDescent="0.25">
      <c r="A4216" t="s">
        <v>4277</v>
      </c>
      <c r="B4216" s="1">
        <v>45782</v>
      </c>
      <c r="C4216" s="2">
        <v>45782.451666666668</v>
      </c>
      <c r="D4216" t="s">
        <v>24</v>
      </c>
      <c r="E4216" t="s">
        <v>25</v>
      </c>
      <c r="F4216" t="s">
        <v>70</v>
      </c>
      <c r="G4216" t="s">
        <v>56</v>
      </c>
      <c r="H4216" t="s">
        <v>27</v>
      </c>
      <c r="I4216" t="s">
        <v>45</v>
      </c>
      <c r="J4216" t="s">
        <v>21</v>
      </c>
      <c r="K4216">
        <v>24</v>
      </c>
      <c r="L4216">
        <v>10.84</v>
      </c>
      <c r="M4216">
        <v>5</v>
      </c>
      <c r="N4216" t="s">
        <v>61</v>
      </c>
      <c r="O4216" t="str">
        <f t="shared" si="65"/>
        <v>No</v>
      </c>
    </row>
    <row r="4217" spans="1:15" x14ac:dyDescent="0.25">
      <c r="A4217" t="s">
        <v>4278</v>
      </c>
      <c r="B4217" s="1">
        <v>45837</v>
      </c>
      <c r="C4217" s="2">
        <v>45837.26666666667</v>
      </c>
      <c r="D4217" t="s">
        <v>38</v>
      </c>
      <c r="E4217" t="s">
        <v>25</v>
      </c>
      <c r="F4217" t="s">
        <v>26</v>
      </c>
      <c r="G4217" t="s">
        <v>41</v>
      </c>
      <c r="H4217" t="s">
        <v>19</v>
      </c>
      <c r="I4217" t="s">
        <v>36</v>
      </c>
      <c r="J4217" t="s">
        <v>21</v>
      </c>
      <c r="K4217">
        <v>8</v>
      </c>
      <c r="L4217">
        <v>6.4</v>
      </c>
      <c r="M4217">
        <v>2.9</v>
      </c>
      <c r="N4217" t="s">
        <v>22</v>
      </c>
      <c r="O4217" t="str">
        <f t="shared" si="65"/>
        <v>No</v>
      </c>
    </row>
    <row r="4218" spans="1:15" x14ac:dyDescent="0.25">
      <c r="A4218" t="s">
        <v>4279</v>
      </c>
      <c r="B4218" s="1">
        <v>45746</v>
      </c>
      <c r="C4218" s="2">
        <v>45746.034166666665</v>
      </c>
      <c r="D4218" t="s">
        <v>38</v>
      </c>
      <c r="E4218" t="s">
        <v>39</v>
      </c>
      <c r="F4218" t="s">
        <v>87</v>
      </c>
      <c r="G4218" t="s">
        <v>34</v>
      </c>
      <c r="H4218" t="s">
        <v>54</v>
      </c>
      <c r="I4218" t="s">
        <v>36</v>
      </c>
      <c r="J4218" t="s">
        <v>46</v>
      </c>
      <c r="K4218">
        <v>8</v>
      </c>
      <c r="L4218">
        <v>0.82</v>
      </c>
      <c r="M4218">
        <v>5</v>
      </c>
      <c r="N4218" t="s">
        <v>61</v>
      </c>
      <c r="O4218" t="str">
        <f t="shared" si="65"/>
        <v>No</v>
      </c>
    </row>
    <row r="4219" spans="1:15" x14ac:dyDescent="0.25">
      <c r="A4219" t="s">
        <v>4280</v>
      </c>
      <c r="B4219" s="1">
        <v>45719</v>
      </c>
      <c r="C4219" s="2">
        <v>45719.318333333336</v>
      </c>
      <c r="D4219" t="s">
        <v>38</v>
      </c>
      <c r="E4219" t="s">
        <v>16</v>
      </c>
      <c r="F4219" t="s">
        <v>58</v>
      </c>
      <c r="G4219" t="s">
        <v>56</v>
      </c>
      <c r="H4219" t="s">
        <v>65</v>
      </c>
      <c r="I4219" t="s">
        <v>45</v>
      </c>
      <c r="J4219" t="s">
        <v>85</v>
      </c>
      <c r="K4219">
        <v>8</v>
      </c>
      <c r="L4219">
        <v>7.64</v>
      </c>
      <c r="M4219">
        <v>3.8</v>
      </c>
      <c r="N4219" t="s">
        <v>22</v>
      </c>
      <c r="O4219" t="str">
        <f t="shared" si="65"/>
        <v>No</v>
      </c>
    </row>
    <row r="4220" spans="1:15" x14ac:dyDescent="0.25">
      <c r="A4220" t="s">
        <v>4281</v>
      </c>
      <c r="B4220" s="1">
        <v>45753</v>
      </c>
      <c r="C4220" s="2">
        <v>45753.871666666666</v>
      </c>
      <c r="D4220" t="s">
        <v>24</v>
      </c>
      <c r="E4220" t="s">
        <v>16</v>
      </c>
      <c r="F4220" t="s">
        <v>58</v>
      </c>
      <c r="G4220" t="s">
        <v>56</v>
      </c>
      <c r="H4220" t="s">
        <v>54</v>
      </c>
      <c r="I4220" t="s">
        <v>36</v>
      </c>
      <c r="J4220" t="s">
        <v>21</v>
      </c>
      <c r="K4220">
        <v>24</v>
      </c>
      <c r="L4220">
        <v>20.92</v>
      </c>
      <c r="M4220">
        <v>3.7</v>
      </c>
      <c r="N4220" t="s">
        <v>22</v>
      </c>
      <c r="O4220" t="str">
        <f t="shared" si="65"/>
        <v>No</v>
      </c>
    </row>
    <row r="4221" spans="1:15" x14ac:dyDescent="0.25">
      <c r="A4221" t="s">
        <v>4282</v>
      </c>
      <c r="B4221" s="1">
        <v>45687</v>
      </c>
      <c r="C4221" s="2">
        <v>45687.200833333336</v>
      </c>
      <c r="D4221" t="s">
        <v>24</v>
      </c>
      <c r="E4221" t="s">
        <v>45</v>
      </c>
      <c r="F4221" t="s">
        <v>100</v>
      </c>
      <c r="G4221" t="s">
        <v>56</v>
      </c>
      <c r="H4221" t="s">
        <v>65</v>
      </c>
      <c r="I4221" t="s">
        <v>45</v>
      </c>
      <c r="J4221" t="s">
        <v>21</v>
      </c>
      <c r="K4221">
        <v>24</v>
      </c>
      <c r="L4221">
        <v>4.82</v>
      </c>
      <c r="M4221">
        <v>4.8</v>
      </c>
      <c r="N4221" t="s">
        <v>22</v>
      </c>
      <c r="O4221" t="str">
        <f t="shared" si="65"/>
        <v>No</v>
      </c>
    </row>
    <row r="4222" spans="1:15" x14ac:dyDescent="0.25">
      <c r="A4222" t="s">
        <v>4283</v>
      </c>
      <c r="B4222" s="1">
        <v>45678</v>
      </c>
      <c r="C4222" s="2">
        <v>45679.313333333332</v>
      </c>
      <c r="D4222" t="s">
        <v>24</v>
      </c>
      <c r="E4222" t="s">
        <v>32</v>
      </c>
      <c r="F4222" t="s">
        <v>75</v>
      </c>
      <c r="G4222" t="s">
        <v>34</v>
      </c>
      <c r="H4222" t="s">
        <v>19</v>
      </c>
      <c r="I4222" t="s">
        <v>36</v>
      </c>
      <c r="J4222" t="s">
        <v>85</v>
      </c>
      <c r="K4222">
        <v>24</v>
      </c>
      <c r="L4222">
        <v>31.52</v>
      </c>
      <c r="M4222">
        <v>3</v>
      </c>
      <c r="N4222" t="s">
        <v>22</v>
      </c>
      <c r="O4222" t="str">
        <f t="shared" si="65"/>
        <v>Yes</v>
      </c>
    </row>
    <row r="4223" spans="1:15" x14ac:dyDescent="0.25">
      <c r="A4223" t="s">
        <v>4284</v>
      </c>
      <c r="B4223" s="1">
        <v>45751</v>
      </c>
      <c r="C4223" s="2">
        <v>45752.075416666667</v>
      </c>
      <c r="D4223" t="s">
        <v>24</v>
      </c>
      <c r="E4223" t="s">
        <v>16</v>
      </c>
      <c r="F4223" t="s">
        <v>43</v>
      </c>
      <c r="G4223" t="s">
        <v>56</v>
      </c>
      <c r="H4223" t="s">
        <v>44</v>
      </c>
      <c r="I4223" t="s">
        <v>20</v>
      </c>
      <c r="J4223" t="s">
        <v>85</v>
      </c>
      <c r="K4223">
        <v>24</v>
      </c>
      <c r="L4223">
        <v>25.81</v>
      </c>
      <c r="M4223">
        <v>3.6</v>
      </c>
      <c r="N4223" t="s">
        <v>22</v>
      </c>
      <c r="O4223" t="str">
        <f t="shared" si="65"/>
        <v>Yes</v>
      </c>
    </row>
    <row r="4224" spans="1:15" x14ac:dyDescent="0.25">
      <c r="A4224" t="s">
        <v>4285</v>
      </c>
      <c r="B4224" s="1">
        <v>45807</v>
      </c>
      <c r="C4224" s="2">
        <v>45807.76666666667</v>
      </c>
      <c r="D4224" t="s">
        <v>24</v>
      </c>
      <c r="E4224" t="s">
        <v>16</v>
      </c>
      <c r="F4224" t="s">
        <v>60</v>
      </c>
      <c r="G4224" t="s">
        <v>18</v>
      </c>
      <c r="H4224" t="s">
        <v>27</v>
      </c>
      <c r="I4224" t="s">
        <v>20</v>
      </c>
      <c r="J4224" t="s">
        <v>46</v>
      </c>
      <c r="K4224">
        <v>24</v>
      </c>
      <c r="L4224">
        <v>18.399999999999999</v>
      </c>
      <c r="M4224">
        <v>4.7</v>
      </c>
      <c r="N4224" t="s">
        <v>61</v>
      </c>
      <c r="O4224" t="str">
        <f t="shared" si="65"/>
        <v>No</v>
      </c>
    </row>
    <row r="4225" spans="1:15" x14ac:dyDescent="0.25">
      <c r="A4225" t="s">
        <v>4286</v>
      </c>
      <c r="B4225" s="1">
        <v>45754</v>
      </c>
      <c r="C4225" s="2">
        <v>45754.892916666664</v>
      </c>
      <c r="D4225" t="s">
        <v>15</v>
      </c>
      <c r="E4225" t="s">
        <v>39</v>
      </c>
      <c r="F4225" t="s">
        <v>87</v>
      </c>
      <c r="G4225" t="s">
        <v>51</v>
      </c>
      <c r="H4225" t="s">
        <v>35</v>
      </c>
      <c r="I4225" t="s">
        <v>20</v>
      </c>
      <c r="J4225" t="s">
        <v>46</v>
      </c>
      <c r="K4225">
        <v>48</v>
      </c>
      <c r="L4225">
        <v>21.43</v>
      </c>
      <c r="M4225">
        <v>3.2</v>
      </c>
      <c r="N4225" t="s">
        <v>22</v>
      </c>
      <c r="O4225" t="str">
        <f t="shared" si="65"/>
        <v>No</v>
      </c>
    </row>
    <row r="4226" spans="1:15" x14ac:dyDescent="0.25">
      <c r="A4226" t="s">
        <v>4287</v>
      </c>
      <c r="B4226" s="1">
        <v>45799</v>
      </c>
      <c r="C4226" s="2">
        <v>45800.347083333334</v>
      </c>
      <c r="D4226" t="s">
        <v>24</v>
      </c>
      <c r="E4226" t="s">
        <v>32</v>
      </c>
      <c r="F4226" t="s">
        <v>64</v>
      </c>
      <c r="G4226" t="s">
        <v>51</v>
      </c>
      <c r="H4226" t="s">
        <v>44</v>
      </c>
      <c r="I4226" t="s">
        <v>45</v>
      </c>
      <c r="J4226" t="s">
        <v>21</v>
      </c>
      <c r="K4226">
        <v>24</v>
      </c>
      <c r="L4226">
        <v>32.33</v>
      </c>
      <c r="M4226">
        <v>4.4000000000000004</v>
      </c>
      <c r="N4226" t="s">
        <v>22</v>
      </c>
      <c r="O4226" t="str">
        <f t="shared" si="65"/>
        <v>Yes</v>
      </c>
    </row>
    <row r="4227" spans="1:15" x14ac:dyDescent="0.25">
      <c r="A4227" t="s">
        <v>4288</v>
      </c>
      <c r="B4227" s="1">
        <v>45690</v>
      </c>
      <c r="C4227" s="2">
        <v>45690.112916666665</v>
      </c>
      <c r="D4227" t="s">
        <v>24</v>
      </c>
      <c r="E4227" t="s">
        <v>32</v>
      </c>
      <c r="F4227" t="s">
        <v>33</v>
      </c>
      <c r="G4227" t="s">
        <v>41</v>
      </c>
      <c r="H4227" t="s">
        <v>27</v>
      </c>
      <c r="I4227" t="s">
        <v>45</v>
      </c>
      <c r="J4227" t="s">
        <v>21</v>
      </c>
      <c r="K4227">
        <v>24</v>
      </c>
      <c r="L4227">
        <v>2.71</v>
      </c>
      <c r="M4227">
        <v>5</v>
      </c>
      <c r="N4227" t="s">
        <v>22</v>
      </c>
      <c r="O4227" t="str">
        <f t="shared" ref="O4227:O4290" si="66">IF(L4227&gt;K4227,"Yes","No")</f>
        <v>No</v>
      </c>
    </row>
    <row r="4228" spans="1:15" x14ac:dyDescent="0.25">
      <c r="A4228" t="s">
        <v>4289</v>
      </c>
      <c r="B4228" s="1">
        <v>45739</v>
      </c>
      <c r="C4228" s="2">
        <v>45739.974166666667</v>
      </c>
      <c r="D4228" t="s">
        <v>15</v>
      </c>
      <c r="E4228" t="s">
        <v>39</v>
      </c>
      <c r="F4228" t="s">
        <v>78</v>
      </c>
      <c r="G4228" t="s">
        <v>56</v>
      </c>
      <c r="H4228" t="s">
        <v>54</v>
      </c>
      <c r="I4228" t="s">
        <v>36</v>
      </c>
      <c r="J4228" t="s">
        <v>21</v>
      </c>
      <c r="K4228">
        <v>48</v>
      </c>
      <c r="L4228">
        <v>23.38</v>
      </c>
      <c r="M4228">
        <v>4.3</v>
      </c>
      <c r="N4228" t="s">
        <v>22</v>
      </c>
      <c r="O4228" t="str">
        <f t="shared" si="66"/>
        <v>No</v>
      </c>
    </row>
    <row r="4229" spans="1:15" x14ac:dyDescent="0.25">
      <c r="A4229" t="s">
        <v>4290</v>
      </c>
      <c r="B4229" s="1">
        <v>45768</v>
      </c>
      <c r="C4229" s="2">
        <v>45769.657500000001</v>
      </c>
      <c r="D4229" t="s">
        <v>15</v>
      </c>
      <c r="E4229" t="s">
        <v>16</v>
      </c>
      <c r="F4229" t="s">
        <v>60</v>
      </c>
      <c r="G4229" t="s">
        <v>51</v>
      </c>
      <c r="H4229" t="s">
        <v>27</v>
      </c>
      <c r="I4229" t="s">
        <v>36</v>
      </c>
      <c r="J4229" t="s">
        <v>46</v>
      </c>
      <c r="K4229">
        <v>48</v>
      </c>
      <c r="L4229">
        <v>39.78</v>
      </c>
      <c r="M4229">
        <v>4.5999999999999996</v>
      </c>
      <c r="N4229" t="s">
        <v>61</v>
      </c>
      <c r="O4229" t="str">
        <f t="shared" si="66"/>
        <v>No</v>
      </c>
    </row>
    <row r="4230" spans="1:15" x14ac:dyDescent="0.25">
      <c r="A4230" t="s">
        <v>4291</v>
      </c>
      <c r="B4230" s="1">
        <v>45720</v>
      </c>
      <c r="C4230" s="2">
        <v>45720.3825</v>
      </c>
      <c r="D4230" t="s">
        <v>38</v>
      </c>
      <c r="E4230" t="s">
        <v>16</v>
      </c>
      <c r="F4230" t="s">
        <v>60</v>
      </c>
      <c r="G4230" t="s">
        <v>34</v>
      </c>
      <c r="H4230" t="s">
        <v>35</v>
      </c>
      <c r="I4230" t="s">
        <v>36</v>
      </c>
      <c r="J4230" t="s">
        <v>46</v>
      </c>
      <c r="K4230">
        <v>8</v>
      </c>
      <c r="L4230">
        <v>9.18</v>
      </c>
      <c r="M4230">
        <v>3.9</v>
      </c>
      <c r="N4230" t="s">
        <v>22</v>
      </c>
      <c r="O4230" t="str">
        <f t="shared" si="66"/>
        <v>Yes</v>
      </c>
    </row>
    <row r="4231" spans="1:15" x14ac:dyDescent="0.25">
      <c r="A4231" t="s">
        <v>4292</v>
      </c>
      <c r="B4231" s="1">
        <v>45660</v>
      </c>
      <c r="C4231" s="2">
        <v>45661.054583333331</v>
      </c>
      <c r="D4231" t="s">
        <v>24</v>
      </c>
      <c r="E4231" t="s">
        <v>32</v>
      </c>
      <c r="F4231" t="s">
        <v>75</v>
      </c>
      <c r="G4231" t="s">
        <v>18</v>
      </c>
      <c r="H4231" t="s">
        <v>65</v>
      </c>
      <c r="I4231" t="s">
        <v>20</v>
      </c>
      <c r="J4231" t="s">
        <v>21</v>
      </c>
      <c r="K4231">
        <v>24</v>
      </c>
      <c r="L4231">
        <v>25.31</v>
      </c>
      <c r="M4231">
        <v>3.4</v>
      </c>
      <c r="N4231" t="s">
        <v>22</v>
      </c>
      <c r="O4231" t="str">
        <f t="shared" si="66"/>
        <v>Yes</v>
      </c>
    </row>
    <row r="4232" spans="1:15" x14ac:dyDescent="0.25">
      <c r="A4232" t="s">
        <v>4293</v>
      </c>
      <c r="B4232" s="1">
        <v>45671</v>
      </c>
      <c r="C4232" s="2">
        <v>45671.061666666668</v>
      </c>
      <c r="D4232" t="s">
        <v>38</v>
      </c>
      <c r="E4232" t="s">
        <v>25</v>
      </c>
      <c r="F4232" t="s">
        <v>70</v>
      </c>
      <c r="G4232" t="s">
        <v>56</v>
      </c>
      <c r="H4232" t="s">
        <v>27</v>
      </c>
      <c r="I4232" t="s">
        <v>36</v>
      </c>
      <c r="J4232" t="s">
        <v>21</v>
      </c>
      <c r="K4232">
        <v>8</v>
      </c>
      <c r="L4232">
        <v>1.48</v>
      </c>
      <c r="M4232">
        <v>4.3</v>
      </c>
      <c r="N4232" t="s">
        <v>22</v>
      </c>
      <c r="O4232" t="str">
        <f t="shared" si="66"/>
        <v>No</v>
      </c>
    </row>
    <row r="4233" spans="1:15" x14ac:dyDescent="0.25">
      <c r="A4233" t="s">
        <v>4294</v>
      </c>
      <c r="B4233" s="1">
        <v>45825</v>
      </c>
      <c r="C4233" s="2">
        <v>45825.706250000003</v>
      </c>
      <c r="D4233" t="s">
        <v>24</v>
      </c>
      <c r="E4233" t="s">
        <v>39</v>
      </c>
      <c r="F4233" t="s">
        <v>40</v>
      </c>
      <c r="G4233" t="s">
        <v>34</v>
      </c>
      <c r="H4233" t="s">
        <v>65</v>
      </c>
      <c r="I4233" t="s">
        <v>36</v>
      </c>
      <c r="J4233" t="s">
        <v>46</v>
      </c>
      <c r="K4233">
        <v>24</v>
      </c>
      <c r="L4233">
        <v>16.95</v>
      </c>
      <c r="M4233">
        <v>5</v>
      </c>
      <c r="N4233" t="s">
        <v>22</v>
      </c>
      <c r="O4233" t="str">
        <f t="shared" si="66"/>
        <v>No</v>
      </c>
    </row>
    <row r="4234" spans="1:15" x14ac:dyDescent="0.25">
      <c r="A4234" t="s">
        <v>4295</v>
      </c>
      <c r="B4234" s="1">
        <v>45767</v>
      </c>
      <c r="C4234" s="2">
        <v>45767.193333333336</v>
      </c>
      <c r="D4234" t="s">
        <v>38</v>
      </c>
      <c r="E4234" t="s">
        <v>45</v>
      </c>
      <c r="F4234" t="s">
        <v>50</v>
      </c>
      <c r="G4234" t="s">
        <v>56</v>
      </c>
      <c r="H4234" t="s">
        <v>54</v>
      </c>
      <c r="I4234" t="s">
        <v>45</v>
      </c>
      <c r="J4234" t="s">
        <v>21</v>
      </c>
      <c r="K4234">
        <v>8</v>
      </c>
      <c r="L4234">
        <v>4.6399999999999997</v>
      </c>
      <c r="M4234">
        <v>3.3</v>
      </c>
      <c r="N4234" t="s">
        <v>22</v>
      </c>
      <c r="O4234" t="str">
        <f t="shared" si="66"/>
        <v>No</v>
      </c>
    </row>
    <row r="4235" spans="1:15" x14ac:dyDescent="0.25">
      <c r="A4235" t="s">
        <v>4296</v>
      </c>
      <c r="B4235" s="1">
        <v>45705</v>
      </c>
      <c r="C4235" s="2">
        <v>45705.03125</v>
      </c>
      <c r="D4235" t="s">
        <v>38</v>
      </c>
      <c r="E4235" t="s">
        <v>32</v>
      </c>
      <c r="F4235" t="s">
        <v>33</v>
      </c>
      <c r="G4235" t="s">
        <v>56</v>
      </c>
      <c r="H4235" t="s">
        <v>19</v>
      </c>
      <c r="I4235" t="s">
        <v>45</v>
      </c>
      <c r="J4235" t="s">
        <v>46</v>
      </c>
      <c r="K4235">
        <v>8</v>
      </c>
      <c r="L4235">
        <v>0.75</v>
      </c>
      <c r="M4235">
        <v>4.8</v>
      </c>
      <c r="N4235" t="s">
        <v>22</v>
      </c>
      <c r="O4235" t="str">
        <f t="shared" si="66"/>
        <v>No</v>
      </c>
    </row>
    <row r="4236" spans="1:15" x14ac:dyDescent="0.25">
      <c r="A4236" t="s">
        <v>4297</v>
      </c>
      <c r="B4236" s="1">
        <v>45704</v>
      </c>
      <c r="C4236" s="2">
        <v>45704.340416666666</v>
      </c>
      <c r="D4236" t="s">
        <v>15</v>
      </c>
      <c r="E4236" t="s">
        <v>25</v>
      </c>
      <c r="F4236" t="s">
        <v>26</v>
      </c>
      <c r="G4236" t="s">
        <v>41</v>
      </c>
      <c r="H4236" t="s">
        <v>65</v>
      </c>
      <c r="I4236" t="s">
        <v>36</v>
      </c>
      <c r="J4236" t="s">
        <v>46</v>
      </c>
      <c r="K4236">
        <v>48</v>
      </c>
      <c r="L4236">
        <v>8.17</v>
      </c>
      <c r="M4236">
        <v>3.9</v>
      </c>
      <c r="N4236" t="s">
        <v>22</v>
      </c>
      <c r="O4236" t="str">
        <f t="shared" si="66"/>
        <v>No</v>
      </c>
    </row>
    <row r="4237" spans="1:15" x14ac:dyDescent="0.25">
      <c r="A4237" t="s">
        <v>4298</v>
      </c>
      <c r="B4237" s="1">
        <v>45665</v>
      </c>
      <c r="C4237" s="2">
        <v>45665.020833333336</v>
      </c>
      <c r="D4237" t="s">
        <v>31</v>
      </c>
      <c r="E4237" t="s">
        <v>45</v>
      </c>
      <c r="F4237" t="s">
        <v>104</v>
      </c>
      <c r="G4237" t="s">
        <v>41</v>
      </c>
      <c r="H4237" t="s">
        <v>27</v>
      </c>
      <c r="I4237" t="s">
        <v>36</v>
      </c>
      <c r="J4237" t="s">
        <v>21</v>
      </c>
      <c r="K4237">
        <v>4</v>
      </c>
      <c r="L4237">
        <v>0.5</v>
      </c>
      <c r="M4237">
        <v>5</v>
      </c>
      <c r="N4237" t="s">
        <v>22</v>
      </c>
      <c r="O4237" t="str">
        <f t="shared" si="66"/>
        <v>No</v>
      </c>
    </row>
    <row r="4238" spans="1:15" x14ac:dyDescent="0.25">
      <c r="A4238" t="s">
        <v>4299</v>
      </c>
      <c r="B4238" s="1">
        <v>45829</v>
      </c>
      <c r="C4238" s="2">
        <v>45829.186666666668</v>
      </c>
      <c r="D4238" t="s">
        <v>15</v>
      </c>
      <c r="E4238" t="s">
        <v>25</v>
      </c>
      <c r="F4238" t="s">
        <v>26</v>
      </c>
      <c r="G4238" t="s">
        <v>51</v>
      </c>
      <c r="H4238" t="s">
        <v>65</v>
      </c>
      <c r="I4238" t="s">
        <v>45</v>
      </c>
      <c r="J4238" t="s">
        <v>21</v>
      </c>
      <c r="K4238">
        <v>48</v>
      </c>
      <c r="L4238">
        <v>4.4800000000000004</v>
      </c>
      <c r="M4238">
        <v>4.8</v>
      </c>
      <c r="N4238" t="s">
        <v>22</v>
      </c>
      <c r="O4238" t="str">
        <f t="shared" si="66"/>
        <v>No</v>
      </c>
    </row>
    <row r="4239" spans="1:15" x14ac:dyDescent="0.25">
      <c r="A4239" t="s">
        <v>4300</v>
      </c>
      <c r="B4239" s="1">
        <v>45677</v>
      </c>
      <c r="C4239" s="2">
        <v>45677.185416666667</v>
      </c>
      <c r="D4239" t="s">
        <v>24</v>
      </c>
      <c r="E4239" t="s">
        <v>25</v>
      </c>
      <c r="F4239" t="s">
        <v>70</v>
      </c>
      <c r="G4239" t="s">
        <v>34</v>
      </c>
      <c r="H4239" t="s">
        <v>65</v>
      </c>
      <c r="I4239" t="s">
        <v>28</v>
      </c>
      <c r="J4239" t="s">
        <v>21</v>
      </c>
      <c r="K4239">
        <v>24</v>
      </c>
      <c r="L4239">
        <v>4.45</v>
      </c>
      <c r="M4239">
        <v>4</v>
      </c>
      <c r="N4239" t="s">
        <v>22</v>
      </c>
      <c r="O4239" t="str">
        <f t="shared" si="66"/>
        <v>No</v>
      </c>
    </row>
    <row r="4240" spans="1:15" x14ac:dyDescent="0.25">
      <c r="A4240" t="s">
        <v>4301</v>
      </c>
      <c r="B4240" s="1">
        <v>45795</v>
      </c>
      <c r="C4240" s="2">
        <v>45795.152916666666</v>
      </c>
      <c r="D4240" t="s">
        <v>38</v>
      </c>
      <c r="E4240" t="s">
        <v>39</v>
      </c>
      <c r="F4240" t="s">
        <v>119</v>
      </c>
      <c r="G4240" t="s">
        <v>51</v>
      </c>
      <c r="H4240" t="s">
        <v>19</v>
      </c>
      <c r="I4240" t="s">
        <v>45</v>
      </c>
      <c r="J4240" t="s">
        <v>21</v>
      </c>
      <c r="K4240">
        <v>8</v>
      </c>
      <c r="L4240">
        <v>3.67</v>
      </c>
      <c r="M4240">
        <v>3.9</v>
      </c>
      <c r="N4240" t="s">
        <v>22</v>
      </c>
      <c r="O4240" t="str">
        <f t="shared" si="66"/>
        <v>No</v>
      </c>
    </row>
    <row r="4241" spans="1:15" x14ac:dyDescent="0.25">
      <c r="A4241" t="s">
        <v>4302</v>
      </c>
      <c r="B4241" s="1">
        <v>45701</v>
      </c>
      <c r="C4241" s="2">
        <v>45701.479583333334</v>
      </c>
      <c r="D4241" t="s">
        <v>24</v>
      </c>
      <c r="E4241" t="s">
        <v>16</v>
      </c>
      <c r="F4241" t="s">
        <v>43</v>
      </c>
      <c r="G4241" t="s">
        <v>51</v>
      </c>
      <c r="H4241" t="s">
        <v>35</v>
      </c>
      <c r="I4241" t="s">
        <v>36</v>
      </c>
      <c r="J4241" t="s">
        <v>21</v>
      </c>
      <c r="K4241">
        <v>24</v>
      </c>
      <c r="L4241">
        <v>11.51</v>
      </c>
      <c r="M4241">
        <v>4.5</v>
      </c>
      <c r="N4241" t="s">
        <v>22</v>
      </c>
      <c r="O4241" t="str">
        <f t="shared" si="66"/>
        <v>No</v>
      </c>
    </row>
    <row r="4242" spans="1:15" x14ac:dyDescent="0.25">
      <c r="A4242" t="s">
        <v>4303</v>
      </c>
      <c r="B4242" s="1">
        <v>45718</v>
      </c>
      <c r="C4242" s="2">
        <v>45718.689166666663</v>
      </c>
      <c r="D4242" t="s">
        <v>24</v>
      </c>
      <c r="E4242" t="s">
        <v>16</v>
      </c>
      <c r="F4242" t="s">
        <v>43</v>
      </c>
      <c r="G4242" t="s">
        <v>51</v>
      </c>
      <c r="H4242" t="s">
        <v>19</v>
      </c>
      <c r="I4242" t="s">
        <v>20</v>
      </c>
      <c r="J4242" t="s">
        <v>46</v>
      </c>
      <c r="K4242">
        <v>24</v>
      </c>
      <c r="L4242">
        <v>16.54</v>
      </c>
      <c r="M4242">
        <v>4.4000000000000004</v>
      </c>
      <c r="N4242" t="s">
        <v>22</v>
      </c>
      <c r="O4242" t="str">
        <f t="shared" si="66"/>
        <v>No</v>
      </c>
    </row>
    <row r="4243" spans="1:15" x14ac:dyDescent="0.25">
      <c r="A4243" t="s">
        <v>4304</v>
      </c>
      <c r="B4243" s="1">
        <v>45707</v>
      </c>
      <c r="C4243" s="2">
        <v>45707.295416666668</v>
      </c>
      <c r="D4243" t="s">
        <v>24</v>
      </c>
      <c r="E4243" t="s">
        <v>39</v>
      </c>
      <c r="F4243" t="s">
        <v>119</v>
      </c>
      <c r="G4243" t="s">
        <v>18</v>
      </c>
      <c r="H4243" t="s">
        <v>54</v>
      </c>
      <c r="I4243" t="s">
        <v>36</v>
      </c>
      <c r="J4243" t="s">
        <v>21</v>
      </c>
      <c r="K4243">
        <v>24</v>
      </c>
      <c r="L4243">
        <v>7.09</v>
      </c>
      <c r="M4243">
        <v>3.4</v>
      </c>
      <c r="N4243" t="s">
        <v>61</v>
      </c>
      <c r="O4243" t="str">
        <f t="shared" si="66"/>
        <v>No</v>
      </c>
    </row>
    <row r="4244" spans="1:15" x14ac:dyDescent="0.25">
      <c r="A4244" t="s">
        <v>4305</v>
      </c>
      <c r="B4244" s="1">
        <v>45807</v>
      </c>
      <c r="C4244" s="2">
        <v>45809.379166666666</v>
      </c>
      <c r="D4244" t="s">
        <v>15</v>
      </c>
      <c r="E4244" t="s">
        <v>45</v>
      </c>
      <c r="F4244" t="s">
        <v>100</v>
      </c>
      <c r="G4244" t="s">
        <v>56</v>
      </c>
      <c r="H4244" t="s">
        <v>54</v>
      </c>
      <c r="I4244" t="s">
        <v>36</v>
      </c>
      <c r="J4244" t="s">
        <v>46</v>
      </c>
      <c r="K4244">
        <v>48</v>
      </c>
      <c r="L4244">
        <v>57.1</v>
      </c>
      <c r="M4244">
        <v>3.1</v>
      </c>
      <c r="N4244" t="s">
        <v>22</v>
      </c>
      <c r="O4244" t="str">
        <f t="shared" si="66"/>
        <v>Yes</v>
      </c>
    </row>
    <row r="4245" spans="1:15" x14ac:dyDescent="0.25">
      <c r="A4245" t="s">
        <v>4306</v>
      </c>
      <c r="B4245" s="1">
        <v>45663</v>
      </c>
      <c r="C4245" s="2">
        <v>45665.018333333333</v>
      </c>
      <c r="D4245" t="s">
        <v>15</v>
      </c>
      <c r="E4245" t="s">
        <v>39</v>
      </c>
      <c r="F4245" t="s">
        <v>119</v>
      </c>
      <c r="G4245" t="s">
        <v>18</v>
      </c>
      <c r="H4245" t="s">
        <v>35</v>
      </c>
      <c r="I4245" t="s">
        <v>36</v>
      </c>
      <c r="J4245" t="s">
        <v>21</v>
      </c>
      <c r="K4245">
        <v>48</v>
      </c>
      <c r="L4245">
        <v>48.44</v>
      </c>
      <c r="M4245">
        <v>3.9</v>
      </c>
      <c r="N4245" t="s">
        <v>22</v>
      </c>
      <c r="O4245" t="str">
        <f t="shared" si="66"/>
        <v>Yes</v>
      </c>
    </row>
    <row r="4246" spans="1:15" x14ac:dyDescent="0.25">
      <c r="A4246" t="s">
        <v>4307</v>
      </c>
      <c r="B4246" s="1">
        <v>45721</v>
      </c>
      <c r="C4246" s="2">
        <v>45722.33625</v>
      </c>
      <c r="D4246" t="s">
        <v>15</v>
      </c>
      <c r="E4246" t="s">
        <v>39</v>
      </c>
      <c r="F4246" t="s">
        <v>40</v>
      </c>
      <c r="G4246" t="s">
        <v>18</v>
      </c>
      <c r="H4246" t="s">
        <v>54</v>
      </c>
      <c r="I4246" t="s">
        <v>36</v>
      </c>
      <c r="J4246" t="s">
        <v>46</v>
      </c>
      <c r="K4246">
        <v>48</v>
      </c>
      <c r="L4246">
        <v>32.07</v>
      </c>
      <c r="M4246">
        <v>5</v>
      </c>
      <c r="N4246" t="s">
        <v>22</v>
      </c>
      <c r="O4246" t="str">
        <f t="shared" si="66"/>
        <v>No</v>
      </c>
    </row>
    <row r="4247" spans="1:15" x14ac:dyDescent="0.25">
      <c r="A4247" t="s">
        <v>4308</v>
      </c>
      <c r="B4247" s="1">
        <v>45708</v>
      </c>
      <c r="C4247" s="2">
        <v>45711.101666666669</v>
      </c>
      <c r="D4247" t="s">
        <v>15</v>
      </c>
      <c r="E4247" t="s">
        <v>45</v>
      </c>
      <c r="F4247" t="s">
        <v>100</v>
      </c>
      <c r="G4247" t="s">
        <v>56</v>
      </c>
      <c r="H4247" t="s">
        <v>35</v>
      </c>
      <c r="I4247" t="s">
        <v>45</v>
      </c>
      <c r="J4247" t="s">
        <v>21</v>
      </c>
      <c r="K4247">
        <v>48</v>
      </c>
      <c r="L4247">
        <v>74.44</v>
      </c>
      <c r="M4247">
        <v>3.7</v>
      </c>
      <c r="N4247" t="s">
        <v>22</v>
      </c>
      <c r="O4247" t="str">
        <f t="shared" si="66"/>
        <v>Yes</v>
      </c>
    </row>
    <row r="4248" spans="1:15" x14ac:dyDescent="0.25">
      <c r="A4248" t="s">
        <v>4309</v>
      </c>
      <c r="B4248" s="1">
        <v>45707</v>
      </c>
      <c r="C4248" s="2">
        <v>45707.623749999999</v>
      </c>
      <c r="D4248" t="s">
        <v>24</v>
      </c>
      <c r="E4248" t="s">
        <v>39</v>
      </c>
      <c r="F4248" t="s">
        <v>87</v>
      </c>
      <c r="G4248" t="s">
        <v>51</v>
      </c>
      <c r="H4248" t="s">
        <v>65</v>
      </c>
      <c r="I4248" t="s">
        <v>45</v>
      </c>
      <c r="J4248" t="s">
        <v>46</v>
      </c>
      <c r="K4248">
        <v>24</v>
      </c>
      <c r="L4248">
        <v>14.97</v>
      </c>
      <c r="M4248">
        <v>4</v>
      </c>
      <c r="N4248" t="s">
        <v>22</v>
      </c>
      <c r="O4248" t="str">
        <f t="shared" si="66"/>
        <v>No</v>
      </c>
    </row>
    <row r="4249" spans="1:15" x14ac:dyDescent="0.25">
      <c r="A4249" t="s">
        <v>4310</v>
      </c>
      <c r="B4249" s="1">
        <v>45692</v>
      </c>
      <c r="C4249" s="2">
        <v>45692.130416666667</v>
      </c>
      <c r="D4249" t="s">
        <v>24</v>
      </c>
      <c r="E4249" t="s">
        <v>32</v>
      </c>
      <c r="F4249" t="s">
        <v>64</v>
      </c>
      <c r="G4249" t="s">
        <v>34</v>
      </c>
      <c r="H4249" t="s">
        <v>44</v>
      </c>
      <c r="I4249" t="s">
        <v>20</v>
      </c>
      <c r="J4249" t="s">
        <v>21</v>
      </c>
      <c r="K4249">
        <v>24</v>
      </c>
      <c r="L4249">
        <v>3.13</v>
      </c>
      <c r="M4249">
        <v>5</v>
      </c>
      <c r="N4249" t="s">
        <v>22</v>
      </c>
      <c r="O4249" t="str">
        <f t="shared" si="66"/>
        <v>No</v>
      </c>
    </row>
    <row r="4250" spans="1:15" x14ac:dyDescent="0.25">
      <c r="A4250" t="s">
        <v>4311</v>
      </c>
      <c r="B4250" s="1">
        <v>45823</v>
      </c>
      <c r="C4250" s="2">
        <v>45823.811249999999</v>
      </c>
      <c r="D4250" t="s">
        <v>24</v>
      </c>
      <c r="E4250" t="s">
        <v>39</v>
      </c>
      <c r="F4250" t="s">
        <v>78</v>
      </c>
      <c r="G4250" t="s">
        <v>18</v>
      </c>
      <c r="H4250" t="s">
        <v>27</v>
      </c>
      <c r="I4250" t="s">
        <v>45</v>
      </c>
      <c r="J4250" t="s">
        <v>46</v>
      </c>
      <c r="K4250">
        <v>24</v>
      </c>
      <c r="L4250">
        <v>19.47</v>
      </c>
      <c r="M4250">
        <v>3.8</v>
      </c>
      <c r="N4250" t="s">
        <v>22</v>
      </c>
      <c r="O4250" t="str">
        <f t="shared" si="66"/>
        <v>No</v>
      </c>
    </row>
    <row r="4251" spans="1:15" x14ac:dyDescent="0.25">
      <c r="A4251" t="s">
        <v>4312</v>
      </c>
      <c r="B4251" s="1">
        <v>45726</v>
      </c>
      <c r="C4251" s="2">
        <v>45726.552916666667</v>
      </c>
      <c r="D4251" t="s">
        <v>24</v>
      </c>
      <c r="E4251" t="s">
        <v>25</v>
      </c>
      <c r="F4251" t="s">
        <v>53</v>
      </c>
      <c r="G4251" t="s">
        <v>18</v>
      </c>
      <c r="H4251" t="s">
        <v>44</v>
      </c>
      <c r="I4251" t="s">
        <v>36</v>
      </c>
      <c r="J4251" t="s">
        <v>21</v>
      </c>
      <c r="K4251">
        <v>24</v>
      </c>
      <c r="L4251">
        <v>13.27</v>
      </c>
      <c r="M4251">
        <v>2.2999999999999998</v>
      </c>
      <c r="N4251" t="s">
        <v>22</v>
      </c>
      <c r="O4251" t="str">
        <f t="shared" si="66"/>
        <v>No</v>
      </c>
    </row>
    <row r="4252" spans="1:15" x14ac:dyDescent="0.25">
      <c r="A4252" t="s">
        <v>4313</v>
      </c>
      <c r="B4252" s="1">
        <v>45733</v>
      </c>
      <c r="C4252" s="2">
        <v>45733.732916666668</v>
      </c>
      <c r="D4252" t="s">
        <v>15</v>
      </c>
      <c r="E4252" t="s">
        <v>25</v>
      </c>
      <c r="F4252" t="s">
        <v>48</v>
      </c>
      <c r="G4252" t="s">
        <v>41</v>
      </c>
      <c r="H4252" t="s">
        <v>44</v>
      </c>
      <c r="I4252" t="s">
        <v>45</v>
      </c>
      <c r="J4252" t="s">
        <v>85</v>
      </c>
      <c r="K4252">
        <v>48</v>
      </c>
      <c r="L4252">
        <v>17.59</v>
      </c>
      <c r="M4252">
        <v>5</v>
      </c>
      <c r="N4252" t="s">
        <v>22</v>
      </c>
      <c r="O4252" t="str">
        <f t="shared" si="66"/>
        <v>No</v>
      </c>
    </row>
    <row r="4253" spans="1:15" x14ac:dyDescent="0.25">
      <c r="A4253" t="s">
        <v>4314</v>
      </c>
      <c r="B4253" s="1">
        <v>45727</v>
      </c>
      <c r="C4253" s="2">
        <v>45727.821250000001</v>
      </c>
      <c r="D4253" t="s">
        <v>15</v>
      </c>
      <c r="E4253" t="s">
        <v>32</v>
      </c>
      <c r="F4253" t="s">
        <v>80</v>
      </c>
      <c r="G4253" t="s">
        <v>34</v>
      </c>
      <c r="H4253" t="s">
        <v>44</v>
      </c>
      <c r="I4253" t="s">
        <v>20</v>
      </c>
      <c r="J4253" t="s">
        <v>21</v>
      </c>
      <c r="K4253">
        <v>48</v>
      </c>
      <c r="L4253">
        <v>19.71</v>
      </c>
      <c r="M4253">
        <v>4.8</v>
      </c>
      <c r="N4253" t="s">
        <v>22</v>
      </c>
      <c r="O4253" t="str">
        <f t="shared" si="66"/>
        <v>No</v>
      </c>
    </row>
    <row r="4254" spans="1:15" x14ac:dyDescent="0.25">
      <c r="A4254" t="s">
        <v>4315</v>
      </c>
      <c r="B4254" s="1">
        <v>45835</v>
      </c>
      <c r="C4254" s="2">
        <v>45835.242083333331</v>
      </c>
      <c r="D4254" t="s">
        <v>38</v>
      </c>
      <c r="E4254" t="s">
        <v>16</v>
      </c>
      <c r="F4254" t="s">
        <v>58</v>
      </c>
      <c r="G4254" t="s">
        <v>51</v>
      </c>
      <c r="H4254" t="s">
        <v>44</v>
      </c>
      <c r="I4254" t="s">
        <v>45</v>
      </c>
      <c r="J4254" t="s">
        <v>29</v>
      </c>
      <c r="K4254">
        <v>8</v>
      </c>
      <c r="L4254">
        <v>5.81</v>
      </c>
      <c r="M4254">
        <v>4.3</v>
      </c>
      <c r="N4254" t="s">
        <v>22</v>
      </c>
      <c r="O4254" t="str">
        <f t="shared" si="66"/>
        <v>No</v>
      </c>
    </row>
    <row r="4255" spans="1:15" x14ac:dyDescent="0.25">
      <c r="A4255" t="s">
        <v>4316</v>
      </c>
      <c r="B4255" s="1">
        <v>45719</v>
      </c>
      <c r="C4255" s="2">
        <v>45719.216249999998</v>
      </c>
      <c r="D4255" t="s">
        <v>38</v>
      </c>
      <c r="E4255" t="s">
        <v>16</v>
      </c>
      <c r="F4255" t="s">
        <v>17</v>
      </c>
      <c r="G4255" t="s">
        <v>18</v>
      </c>
      <c r="H4255" t="s">
        <v>35</v>
      </c>
      <c r="I4255" t="s">
        <v>36</v>
      </c>
      <c r="J4255" t="s">
        <v>21</v>
      </c>
      <c r="K4255">
        <v>8</v>
      </c>
      <c r="L4255">
        <v>5.19</v>
      </c>
      <c r="M4255">
        <v>4.2</v>
      </c>
      <c r="N4255" t="s">
        <v>22</v>
      </c>
      <c r="O4255" t="str">
        <f t="shared" si="66"/>
        <v>No</v>
      </c>
    </row>
    <row r="4256" spans="1:15" x14ac:dyDescent="0.25">
      <c r="A4256" t="s">
        <v>4317</v>
      </c>
      <c r="B4256" s="1">
        <v>45719</v>
      </c>
      <c r="C4256" s="2">
        <v>45720.770833333336</v>
      </c>
      <c r="D4256" t="s">
        <v>24</v>
      </c>
      <c r="E4256" t="s">
        <v>16</v>
      </c>
      <c r="F4256" t="s">
        <v>17</v>
      </c>
      <c r="G4256" t="s">
        <v>34</v>
      </c>
      <c r="H4256" t="s">
        <v>54</v>
      </c>
      <c r="I4256" t="s">
        <v>45</v>
      </c>
      <c r="J4256" t="s">
        <v>21</v>
      </c>
      <c r="K4256">
        <v>24</v>
      </c>
      <c r="L4256">
        <v>42.5</v>
      </c>
      <c r="M4256">
        <v>3.1</v>
      </c>
      <c r="N4256" t="s">
        <v>22</v>
      </c>
      <c r="O4256" t="str">
        <f t="shared" si="66"/>
        <v>Yes</v>
      </c>
    </row>
    <row r="4257" spans="1:15" x14ac:dyDescent="0.25">
      <c r="A4257" t="s">
        <v>4318</v>
      </c>
      <c r="B4257" s="1">
        <v>45717</v>
      </c>
      <c r="C4257" s="2">
        <v>45718.177916666667</v>
      </c>
      <c r="D4257" t="s">
        <v>15</v>
      </c>
      <c r="E4257" t="s">
        <v>16</v>
      </c>
      <c r="F4257" t="s">
        <v>58</v>
      </c>
      <c r="G4257" t="s">
        <v>51</v>
      </c>
      <c r="H4257" t="s">
        <v>19</v>
      </c>
      <c r="I4257" t="s">
        <v>45</v>
      </c>
      <c r="J4257" t="s">
        <v>46</v>
      </c>
      <c r="K4257">
        <v>48</v>
      </c>
      <c r="L4257">
        <v>28.27</v>
      </c>
      <c r="M4257">
        <v>4.3</v>
      </c>
      <c r="N4257" t="s">
        <v>61</v>
      </c>
      <c r="O4257" t="str">
        <f t="shared" si="66"/>
        <v>No</v>
      </c>
    </row>
    <row r="4258" spans="1:15" x14ac:dyDescent="0.25">
      <c r="A4258" t="s">
        <v>4319</v>
      </c>
      <c r="B4258" s="1">
        <v>45717</v>
      </c>
      <c r="C4258" s="2">
        <v>45717.207916666666</v>
      </c>
      <c r="D4258" t="s">
        <v>38</v>
      </c>
      <c r="E4258" t="s">
        <v>45</v>
      </c>
      <c r="F4258" t="s">
        <v>112</v>
      </c>
      <c r="G4258" t="s">
        <v>56</v>
      </c>
      <c r="H4258" t="s">
        <v>65</v>
      </c>
      <c r="I4258" t="s">
        <v>36</v>
      </c>
      <c r="J4258" t="s">
        <v>21</v>
      </c>
      <c r="K4258">
        <v>8</v>
      </c>
      <c r="L4258">
        <v>4.99</v>
      </c>
      <c r="M4258">
        <v>4.0999999999999996</v>
      </c>
      <c r="N4258" t="s">
        <v>22</v>
      </c>
      <c r="O4258" t="str">
        <f t="shared" si="66"/>
        <v>No</v>
      </c>
    </row>
    <row r="4259" spans="1:15" x14ac:dyDescent="0.25">
      <c r="A4259" t="s">
        <v>4320</v>
      </c>
      <c r="B4259" s="1">
        <v>45674</v>
      </c>
      <c r="C4259" s="2">
        <v>45674.182500000003</v>
      </c>
      <c r="D4259" t="s">
        <v>38</v>
      </c>
      <c r="E4259" t="s">
        <v>39</v>
      </c>
      <c r="F4259" t="s">
        <v>119</v>
      </c>
      <c r="G4259" t="s">
        <v>18</v>
      </c>
      <c r="H4259" t="s">
        <v>65</v>
      </c>
      <c r="I4259" t="s">
        <v>20</v>
      </c>
      <c r="J4259" t="s">
        <v>46</v>
      </c>
      <c r="K4259">
        <v>8</v>
      </c>
      <c r="L4259">
        <v>4.38</v>
      </c>
      <c r="M4259">
        <v>3.9</v>
      </c>
      <c r="N4259" t="s">
        <v>22</v>
      </c>
      <c r="O4259" t="str">
        <f t="shared" si="66"/>
        <v>No</v>
      </c>
    </row>
    <row r="4260" spans="1:15" x14ac:dyDescent="0.25">
      <c r="A4260" t="s">
        <v>4321</v>
      </c>
      <c r="B4260" s="1">
        <v>45767</v>
      </c>
      <c r="C4260" s="2">
        <v>45767.542083333334</v>
      </c>
      <c r="D4260" t="s">
        <v>24</v>
      </c>
      <c r="E4260" t="s">
        <v>39</v>
      </c>
      <c r="F4260" t="s">
        <v>119</v>
      </c>
      <c r="G4260" t="s">
        <v>56</v>
      </c>
      <c r="H4260" t="s">
        <v>27</v>
      </c>
      <c r="I4260" t="s">
        <v>36</v>
      </c>
      <c r="J4260" t="s">
        <v>21</v>
      </c>
      <c r="K4260">
        <v>24</v>
      </c>
      <c r="L4260">
        <v>13.01</v>
      </c>
      <c r="M4260">
        <v>4.4000000000000004</v>
      </c>
      <c r="N4260" t="s">
        <v>22</v>
      </c>
      <c r="O4260" t="str">
        <f t="shared" si="66"/>
        <v>No</v>
      </c>
    </row>
    <row r="4261" spans="1:15" x14ac:dyDescent="0.25">
      <c r="A4261" t="s">
        <v>4322</v>
      </c>
      <c r="B4261" s="1">
        <v>45662</v>
      </c>
      <c r="C4261" s="2">
        <v>45662.394166666665</v>
      </c>
      <c r="D4261" t="s">
        <v>15</v>
      </c>
      <c r="E4261" t="s">
        <v>16</v>
      </c>
      <c r="F4261" t="s">
        <v>60</v>
      </c>
      <c r="G4261" t="s">
        <v>41</v>
      </c>
      <c r="H4261" t="s">
        <v>35</v>
      </c>
      <c r="I4261" t="s">
        <v>36</v>
      </c>
      <c r="J4261" t="s">
        <v>46</v>
      </c>
      <c r="K4261">
        <v>48</v>
      </c>
      <c r="L4261">
        <v>9.4600000000000009</v>
      </c>
      <c r="M4261">
        <v>4.2</v>
      </c>
      <c r="N4261" t="s">
        <v>22</v>
      </c>
      <c r="O4261" t="str">
        <f t="shared" si="66"/>
        <v>No</v>
      </c>
    </row>
    <row r="4262" spans="1:15" x14ac:dyDescent="0.25">
      <c r="A4262" t="s">
        <v>4323</v>
      </c>
      <c r="B4262" s="1">
        <v>45698</v>
      </c>
      <c r="C4262" s="2">
        <v>45698.654999999999</v>
      </c>
      <c r="D4262" t="s">
        <v>15</v>
      </c>
      <c r="E4262" t="s">
        <v>39</v>
      </c>
      <c r="F4262" t="s">
        <v>119</v>
      </c>
      <c r="G4262" t="s">
        <v>41</v>
      </c>
      <c r="H4262" t="s">
        <v>19</v>
      </c>
      <c r="I4262" t="s">
        <v>20</v>
      </c>
      <c r="J4262" t="s">
        <v>21</v>
      </c>
      <c r="K4262">
        <v>48</v>
      </c>
      <c r="L4262">
        <v>15.72</v>
      </c>
      <c r="M4262">
        <v>3.9</v>
      </c>
      <c r="N4262" t="s">
        <v>22</v>
      </c>
      <c r="O4262" t="str">
        <f t="shared" si="66"/>
        <v>No</v>
      </c>
    </row>
    <row r="4263" spans="1:15" x14ac:dyDescent="0.25">
      <c r="A4263" t="s">
        <v>4324</v>
      </c>
      <c r="B4263" s="1">
        <v>45694</v>
      </c>
      <c r="C4263" s="2">
        <v>45694.71166666667</v>
      </c>
      <c r="D4263" t="s">
        <v>24</v>
      </c>
      <c r="E4263" t="s">
        <v>39</v>
      </c>
      <c r="F4263" t="s">
        <v>40</v>
      </c>
      <c r="G4263" t="s">
        <v>34</v>
      </c>
      <c r="H4263" t="s">
        <v>35</v>
      </c>
      <c r="I4263" t="s">
        <v>20</v>
      </c>
      <c r="J4263" t="s">
        <v>21</v>
      </c>
      <c r="K4263">
        <v>24</v>
      </c>
      <c r="L4263">
        <v>17.079999999999998</v>
      </c>
      <c r="M4263">
        <v>4.3</v>
      </c>
      <c r="N4263" t="s">
        <v>22</v>
      </c>
      <c r="O4263" t="str">
        <f t="shared" si="66"/>
        <v>No</v>
      </c>
    </row>
    <row r="4264" spans="1:15" x14ac:dyDescent="0.25">
      <c r="A4264" t="s">
        <v>4325</v>
      </c>
      <c r="B4264" s="1">
        <v>45710</v>
      </c>
      <c r="C4264" s="2">
        <v>45710.043333333335</v>
      </c>
      <c r="D4264" t="s">
        <v>38</v>
      </c>
      <c r="E4264" t="s">
        <v>32</v>
      </c>
      <c r="F4264" t="s">
        <v>75</v>
      </c>
      <c r="G4264" t="s">
        <v>18</v>
      </c>
      <c r="H4264" t="s">
        <v>54</v>
      </c>
      <c r="I4264" t="s">
        <v>45</v>
      </c>
      <c r="J4264" t="s">
        <v>46</v>
      </c>
      <c r="K4264">
        <v>8</v>
      </c>
      <c r="L4264">
        <v>1.04</v>
      </c>
      <c r="M4264">
        <v>5</v>
      </c>
      <c r="N4264" t="s">
        <v>22</v>
      </c>
      <c r="O4264" t="str">
        <f t="shared" si="66"/>
        <v>No</v>
      </c>
    </row>
    <row r="4265" spans="1:15" x14ac:dyDescent="0.25">
      <c r="A4265" t="s">
        <v>4326</v>
      </c>
      <c r="B4265" s="1">
        <v>45794</v>
      </c>
      <c r="C4265" s="2">
        <v>45794.425416666665</v>
      </c>
      <c r="D4265" t="s">
        <v>24</v>
      </c>
      <c r="E4265" t="s">
        <v>32</v>
      </c>
      <c r="F4265" t="s">
        <v>80</v>
      </c>
      <c r="G4265" t="s">
        <v>41</v>
      </c>
      <c r="H4265" t="s">
        <v>19</v>
      </c>
      <c r="I4265" t="s">
        <v>45</v>
      </c>
      <c r="J4265" t="s">
        <v>46</v>
      </c>
      <c r="K4265">
        <v>24</v>
      </c>
      <c r="L4265">
        <v>10.210000000000001</v>
      </c>
      <c r="M4265">
        <v>4</v>
      </c>
      <c r="N4265" t="s">
        <v>22</v>
      </c>
      <c r="O4265" t="str">
        <f t="shared" si="66"/>
        <v>No</v>
      </c>
    </row>
    <row r="4266" spans="1:15" x14ac:dyDescent="0.25">
      <c r="A4266" t="s">
        <v>4327</v>
      </c>
      <c r="B4266" s="1">
        <v>45766</v>
      </c>
      <c r="C4266" s="2">
        <v>45767.248333333337</v>
      </c>
      <c r="D4266" t="s">
        <v>24</v>
      </c>
      <c r="E4266" t="s">
        <v>45</v>
      </c>
      <c r="F4266" t="s">
        <v>100</v>
      </c>
      <c r="G4266" t="s">
        <v>34</v>
      </c>
      <c r="H4266" t="s">
        <v>65</v>
      </c>
      <c r="I4266" t="s">
        <v>28</v>
      </c>
      <c r="J4266" t="s">
        <v>46</v>
      </c>
      <c r="K4266">
        <v>24</v>
      </c>
      <c r="L4266">
        <v>29.96</v>
      </c>
      <c r="M4266">
        <v>3.1</v>
      </c>
      <c r="N4266" t="s">
        <v>22</v>
      </c>
      <c r="O4266" t="str">
        <f t="shared" si="66"/>
        <v>Yes</v>
      </c>
    </row>
    <row r="4267" spans="1:15" x14ac:dyDescent="0.25">
      <c r="A4267" t="s">
        <v>4328</v>
      </c>
      <c r="B4267" s="1">
        <v>45837</v>
      </c>
      <c r="C4267" s="2">
        <v>45837.405833333331</v>
      </c>
      <c r="D4267" t="s">
        <v>24</v>
      </c>
      <c r="E4267" t="s">
        <v>32</v>
      </c>
      <c r="F4267" t="s">
        <v>75</v>
      </c>
      <c r="G4267" t="s">
        <v>34</v>
      </c>
      <c r="H4267" t="s">
        <v>27</v>
      </c>
      <c r="I4267" t="s">
        <v>36</v>
      </c>
      <c r="J4267" t="s">
        <v>46</v>
      </c>
      <c r="K4267">
        <v>24</v>
      </c>
      <c r="L4267">
        <v>9.74</v>
      </c>
      <c r="M4267">
        <v>3.4</v>
      </c>
      <c r="N4267" t="s">
        <v>61</v>
      </c>
      <c r="O4267" t="str">
        <f t="shared" si="66"/>
        <v>No</v>
      </c>
    </row>
    <row r="4268" spans="1:15" x14ac:dyDescent="0.25">
      <c r="A4268" t="s">
        <v>4329</v>
      </c>
      <c r="B4268" s="1">
        <v>45721</v>
      </c>
      <c r="C4268" s="2">
        <v>45721.496666666666</v>
      </c>
      <c r="D4268" t="s">
        <v>38</v>
      </c>
      <c r="E4268" t="s">
        <v>16</v>
      </c>
      <c r="F4268" t="s">
        <v>58</v>
      </c>
      <c r="G4268" t="s">
        <v>34</v>
      </c>
      <c r="H4268" t="s">
        <v>65</v>
      </c>
      <c r="I4268" t="s">
        <v>36</v>
      </c>
      <c r="J4268" t="s">
        <v>21</v>
      </c>
      <c r="K4268">
        <v>8</v>
      </c>
      <c r="L4268">
        <v>11.92</v>
      </c>
      <c r="M4268">
        <v>2.4</v>
      </c>
      <c r="N4268" t="s">
        <v>22</v>
      </c>
      <c r="O4268" t="str">
        <f t="shared" si="66"/>
        <v>Yes</v>
      </c>
    </row>
    <row r="4269" spans="1:15" x14ac:dyDescent="0.25">
      <c r="A4269" t="s">
        <v>4330</v>
      </c>
      <c r="B4269" s="1">
        <v>45826</v>
      </c>
      <c r="C4269" s="2">
        <v>45826.41375</v>
      </c>
      <c r="D4269" t="s">
        <v>24</v>
      </c>
      <c r="E4269" t="s">
        <v>25</v>
      </c>
      <c r="F4269" t="s">
        <v>53</v>
      </c>
      <c r="G4269" t="s">
        <v>41</v>
      </c>
      <c r="H4269" t="s">
        <v>44</v>
      </c>
      <c r="I4269" t="s">
        <v>45</v>
      </c>
      <c r="J4269" t="s">
        <v>46</v>
      </c>
      <c r="K4269">
        <v>24</v>
      </c>
      <c r="L4269">
        <v>9.93</v>
      </c>
      <c r="M4269">
        <v>3.7</v>
      </c>
      <c r="N4269" t="s">
        <v>22</v>
      </c>
      <c r="O4269" t="str">
        <f t="shared" si="66"/>
        <v>No</v>
      </c>
    </row>
    <row r="4270" spans="1:15" x14ac:dyDescent="0.25">
      <c r="A4270" t="s">
        <v>4331</v>
      </c>
      <c r="B4270" s="1">
        <v>45666</v>
      </c>
      <c r="C4270" s="2">
        <v>45666.352083333331</v>
      </c>
      <c r="D4270" t="s">
        <v>38</v>
      </c>
      <c r="E4270" t="s">
        <v>32</v>
      </c>
      <c r="F4270" t="s">
        <v>75</v>
      </c>
      <c r="G4270" t="s">
        <v>34</v>
      </c>
      <c r="H4270" t="s">
        <v>27</v>
      </c>
      <c r="I4270" t="s">
        <v>36</v>
      </c>
      <c r="J4270" t="s">
        <v>21</v>
      </c>
      <c r="K4270">
        <v>8</v>
      </c>
      <c r="L4270">
        <v>8.4499999999999993</v>
      </c>
      <c r="M4270">
        <v>4.4000000000000004</v>
      </c>
      <c r="N4270" t="s">
        <v>22</v>
      </c>
      <c r="O4270" t="str">
        <f t="shared" si="66"/>
        <v>Yes</v>
      </c>
    </row>
    <row r="4271" spans="1:15" x14ac:dyDescent="0.25">
      <c r="A4271" t="s">
        <v>4332</v>
      </c>
      <c r="B4271" s="1">
        <v>45749</v>
      </c>
      <c r="C4271" s="2">
        <v>45749.562916666669</v>
      </c>
      <c r="D4271" t="s">
        <v>24</v>
      </c>
      <c r="E4271" t="s">
        <v>32</v>
      </c>
      <c r="F4271" t="s">
        <v>80</v>
      </c>
      <c r="G4271" t="s">
        <v>18</v>
      </c>
      <c r="H4271" t="s">
        <v>35</v>
      </c>
      <c r="I4271" t="s">
        <v>45</v>
      </c>
      <c r="J4271" t="s">
        <v>21</v>
      </c>
      <c r="K4271">
        <v>24</v>
      </c>
      <c r="L4271">
        <v>13.51</v>
      </c>
      <c r="M4271">
        <v>3.2</v>
      </c>
      <c r="N4271" t="s">
        <v>22</v>
      </c>
      <c r="O4271" t="str">
        <f t="shared" si="66"/>
        <v>No</v>
      </c>
    </row>
    <row r="4272" spans="1:15" x14ac:dyDescent="0.25">
      <c r="A4272" t="s">
        <v>4333</v>
      </c>
      <c r="B4272" s="1">
        <v>45802</v>
      </c>
      <c r="C4272" s="2">
        <v>45802.200833333336</v>
      </c>
      <c r="D4272" t="s">
        <v>24</v>
      </c>
      <c r="E4272" t="s">
        <v>39</v>
      </c>
      <c r="F4272" t="s">
        <v>119</v>
      </c>
      <c r="G4272" t="s">
        <v>41</v>
      </c>
      <c r="H4272" t="s">
        <v>65</v>
      </c>
      <c r="I4272" t="s">
        <v>28</v>
      </c>
      <c r="J4272" t="s">
        <v>46</v>
      </c>
      <c r="K4272">
        <v>24</v>
      </c>
      <c r="L4272">
        <v>4.82</v>
      </c>
      <c r="M4272">
        <v>5</v>
      </c>
      <c r="N4272" t="s">
        <v>22</v>
      </c>
      <c r="O4272" t="str">
        <f t="shared" si="66"/>
        <v>No</v>
      </c>
    </row>
    <row r="4273" spans="1:15" x14ac:dyDescent="0.25">
      <c r="A4273" t="s">
        <v>4334</v>
      </c>
      <c r="B4273" s="1">
        <v>45754</v>
      </c>
      <c r="C4273" s="2">
        <v>45755.734583333331</v>
      </c>
      <c r="D4273" t="s">
        <v>24</v>
      </c>
      <c r="E4273" t="s">
        <v>16</v>
      </c>
      <c r="F4273" t="s">
        <v>58</v>
      </c>
      <c r="G4273" t="s">
        <v>34</v>
      </c>
      <c r="H4273" t="s">
        <v>35</v>
      </c>
      <c r="I4273" t="s">
        <v>36</v>
      </c>
      <c r="J4273" t="s">
        <v>21</v>
      </c>
      <c r="K4273">
        <v>24</v>
      </c>
      <c r="L4273">
        <v>41.63</v>
      </c>
      <c r="M4273">
        <v>2.7</v>
      </c>
      <c r="N4273" t="s">
        <v>22</v>
      </c>
      <c r="O4273" t="str">
        <f t="shared" si="66"/>
        <v>Yes</v>
      </c>
    </row>
    <row r="4274" spans="1:15" x14ac:dyDescent="0.25">
      <c r="A4274" t="s">
        <v>4335</v>
      </c>
      <c r="B4274" s="1">
        <v>45826</v>
      </c>
      <c r="C4274" s="2">
        <v>45826.182083333333</v>
      </c>
      <c r="D4274" t="s">
        <v>24</v>
      </c>
      <c r="E4274" t="s">
        <v>39</v>
      </c>
      <c r="F4274" t="s">
        <v>78</v>
      </c>
      <c r="G4274" t="s">
        <v>18</v>
      </c>
      <c r="H4274" t="s">
        <v>54</v>
      </c>
      <c r="I4274" t="s">
        <v>36</v>
      </c>
      <c r="J4274" t="s">
        <v>29</v>
      </c>
      <c r="K4274">
        <v>24</v>
      </c>
      <c r="L4274">
        <v>4.37</v>
      </c>
      <c r="M4274">
        <v>5</v>
      </c>
      <c r="N4274" t="s">
        <v>22</v>
      </c>
      <c r="O4274" t="str">
        <f t="shared" si="66"/>
        <v>No</v>
      </c>
    </row>
    <row r="4275" spans="1:15" x14ac:dyDescent="0.25">
      <c r="A4275" t="s">
        <v>4336</v>
      </c>
      <c r="B4275" s="1">
        <v>45714</v>
      </c>
      <c r="C4275" s="2">
        <v>45714.058333333334</v>
      </c>
      <c r="D4275" t="s">
        <v>31</v>
      </c>
      <c r="E4275" t="s">
        <v>16</v>
      </c>
      <c r="F4275" t="s">
        <v>58</v>
      </c>
      <c r="G4275" t="s">
        <v>51</v>
      </c>
      <c r="H4275" t="s">
        <v>35</v>
      </c>
      <c r="I4275" t="s">
        <v>36</v>
      </c>
      <c r="J4275" t="s">
        <v>85</v>
      </c>
      <c r="K4275">
        <v>4</v>
      </c>
      <c r="L4275">
        <v>1.4</v>
      </c>
      <c r="M4275">
        <v>5</v>
      </c>
      <c r="N4275" t="s">
        <v>22</v>
      </c>
      <c r="O4275" t="str">
        <f t="shared" si="66"/>
        <v>No</v>
      </c>
    </row>
    <row r="4276" spans="1:15" x14ac:dyDescent="0.25">
      <c r="A4276" t="s">
        <v>4337</v>
      </c>
      <c r="B4276" s="1">
        <v>45664</v>
      </c>
      <c r="C4276" s="2">
        <v>45665.88</v>
      </c>
      <c r="D4276" t="s">
        <v>24</v>
      </c>
      <c r="E4276" t="s">
        <v>32</v>
      </c>
      <c r="F4276" t="s">
        <v>64</v>
      </c>
      <c r="G4276" t="s">
        <v>41</v>
      </c>
      <c r="H4276" t="s">
        <v>65</v>
      </c>
      <c r="I4276" t="s">
        <v>45</v>
      </c>
      <c r="J4276" t="s">
        <v>29</v>
      </c>
      <c r="K4276">
        <v>24</v>
      </c>
      <c r="L4276">
        <v>45.12</v>
      </c>
      <c r="M4276">
        <v>2.7</v>
      </c>
      <c r="N4276" t="s">
        <v>22</v>
      </c>
      <c r="O4276" t="str">
        <f t="shared" si="66"/>
        <v>Yes</v>
      </c>
    </row>
    <row r="4277" spans="1:15" x14ac:dyDescent="0.25">
      <c r="A4277" t="s">
        <v>4338</v>
      </c>
      <c r="B4277" s="1">
        <v>45798</v>
      </c>
      <c r="C4277" s="2">
        <v>45798.621666666666</v>
      </c>
      <c r="D4277" t="s">
        <v>24</v>
      </c>
      <c r="E4277" t="s">
        <v>32</v>
      </c>
      <c r="F4277" t="s">
        <v>64</v>
      </c>
      <c r="G4277" t="s">
        <v>41</v>
      </c>
      <c r="H4277" t="s">
        <v>19</v>
      </c>
      <c r="I4277" t="s">
        <v>20</v>
      </c>
      <c r="J4277" t="s">
        <v>21</v>
      </c>
      <c r="K4277">
        <v>24</v>
      </c>
      <c r="L4277">
        <v>14.92</v>
      </c>
      <c r="M4277">
        <v>5</v>
      </c>
      <c r="N4277" t="s">
        <v>22</v>
      </c>
      <c r="O4277" t="str">
        <f t="shared" si="66"/>
        <v>No</v>
      </c>
    </row>
    <row r="4278" spans="1:15" x14ac:dyDescent="0.25">
      <c r="A4278" t="s">
        <v>4339</v>
      </c>
      <c r="B4278" s="1">
        <v>45670</v>
      </c>
      <c r="C4278" s="2">
        <v>45670.272916666669</v>
      </c>
      <c r="D4278" t="s">
        <v>24</v>
      </c>
      <c r="E4278" t="s">
        <v>32</v>
      </c>
      <c r="F4278" t="s">
        <v>80</v>
      </c>
      <c r="G4278" t="s">
        <v>34</v>
      </c>
      <c r="H4278" t="s">
        <v>65</v>
      </c>
      <c r="I4278" t="s">
        <v>28</v>
      </c>
      <c r="J4278" t="s">
        <v>46</v>
      </c>
      <c r="K4278">
        <v>24</v>
      </c>
      <c r="L4278">
        <v>6.55</v>
      </c>
      <c r="M4278">
        <v>5</v>
      </c>
      <c r="N4278" t="s">
        <v>22</v>
      </c>
      <c r="O4278" t="str">
        <f t="shared" si="66"/>
        <v>No</v>
      </c>
    </row>
    <row r="4279" spans="1:15" x14ac:dyDescent="0.25">
      <c r="A4279" t="s">
        <v>4340</v>
      </c>
      <c r="B4279" s="1">
        <v>45796</v>
      </c>
      <c r="C4279" s="2">
        <v>45796.545416666668</v>
      </c>
      <c r="D4279" t="s">
        <v>24</v>
      </c>
      <c r="E4279" t="s">
        <v>39</v>
      </c>
      <c r="F4279" t="s">
        <v>87</v>
      </c>
      <c r="G4279" t="s">
        <v>56</v>
      </c>
      <c r="H4279" t="s">
        <v>27</v>
      </c>
      <c r="I4279" t="s">
        <v>45</v>
      </c>
      <c r="J4279" t="s">
        <v>21</v>
      </c>
      <c r="K4279">
        <v>24</v>
      </c>
      <c r="L4279">
        <v>13.09</v>
      </c>
      <c r="M4279">
        <v>5</v>
      </c>
      <c r="N4279" t="s">
        <v>22</v>
      </c>
      <c r="O4279" t="str">
        <f t="shared" si="66"/>
        <v>No</v>
      </c>
    </row>
    <row r="4280" spans="1:15" x14ac:dyDescent="0.25">
      <c r="A4280" t="s">
        <v>4341</v>
      </c>
      <c r="B4280" s="1">
        <v>45790</v>
      </c>
      <c r="C4280" s="2">
        <v>45790.797500000001</v>
      </c>
      <c r="D4280" t="s">
        <v>24</v>
      </c>
      <c r="E4280" t="s">
        <v>39</v>
      </c>
      <c r="F4280" t="s">
        <v>87</v>
      </c>
      <c r="G4280" t="s">
        <v>34</v>
      </c>
      <c r="H4280" t="s">
        <v>35</v>
      </c>
      <c r="I4280" t="s">
        <v>28</v>
      </c>
      <c r="J4280" t="s">
        <v>21</v>
      </c>
      <c r="K4280">
        <v>24</v>
      </c>
      <c r="L4280">
        <v>19.14</v>
      </c>
      <c r="M4280">
        <v>3.6</v>
      </c>
      <c r="N4280" t="s">
        <v>22</v>
      </c>
      <c r="O4280" t="str">
        <f t="shared" si="66"/>
        <v>No</v>
      </c>
    </row>
    <row r="4281" spans="1:15" x14ac:dyDescent="0.25">
      <c r="A4281" t="s">
        <v>4342</v>
      </c>
      <c r="B4281" s="1">
        <v>45810</v>
      </c>
      <c r="C4281" s="2">
        <v>45810.135000000002</v>
      </c>
      <c r="D4281" t="s">
        <v>38</v>
      </c>
      <c r="E4281" t="s">
        <v>45</v>
      </c>
      <c r="F4281" t="s">
        <v>100</v>
      </c>
      <c r="G4281" t="s">
        <v>41</v>
      </c>
      <c r="H4281" t="s">
        <v>35</v>
      </c>
      <c r="I4281" t="s">
        <v>36</v>
      </c>
      <c r="J4281" t="s">
        <v>46</v>
      </c>
      <c r="K4281">
        <v>8</v>
      </c>
      <c r="L4281">
        <v>3.24</v>
      </c>
      <c r="M4281">
        <v>3.2</v>
      </c>
      <c r="N4281" t="s">
        <v>22</v>
      </c>
      <c r="O4281" t="str">
        <f t="shared" si="66"/>
        <v>No</v>
      </c>
    </row>
    <row r="4282" spans="1:15" x14ac:dyDescent="0.25">
      <c r="A4282" t="s">
        <v>4343</v>
      </c>
      <c r="B4282" s="1">
        <v>45744</v>
      </c>
      <c r="C4282" s="2">
        <v>45745.337500000001</v>
      </c>
      <c r="D4282" t="s">
        <v>24</v>
      </c>
      <c r="E4282" t="s">
        <v>32</v>
      </c>
      <c r="F4282" t="s">
        <v>75</v>
      </c>
      <c r="G4282" t="s">
        <v>34</v>
      </c>
      <c r="H4282" t="s">
        <v>65</v>
      </c>
      <c r="I4282" t="s">
        <v>36</v>
      </c>
      <c r="J4282" t="s">
        <v>46</v>
      </c>
      <c r="K4282">
        <v>24</v>
      </c>
      <c r="L4282">
        <v>32.1</v>
      </c>
      <c r="M4282">
        <v>3.3</v>
      </c>
      <c r="N4282" t="s">
        <v>22</v>
      </c>
      <c r="O4282" t="str">
        <f t="shared" si="66"/>
        <v>Yes</v>
      </c>
    </row>
    <row r="4283" spans="1:15" x14ac:dyDescent="0.25">
      <c r="A4283" t="s">
        <v>4344</v>
      </c>
      <c r="B4283" s="1">
        <v>45820</v>
      </c>
      <c r="C4283" s="2">
        <v>45820.291666666664</v>
      </c>
      <c r="D4283" t="s">
        <v>24</v>
      </c>
      <c r="E4283" t="s">
        <v>16</v>
      </c>
      <c r="F4283" t="s">
        <v>58</v>
      </c>
      <c r="G4283" t="s">
        <v>34</v>
      </c>
      <c r="H4283" t="s">
        <v>65</v>
      </c>
      <c r="I4283" t="s">
        <v>36</v>
      </c>
      <c r="J4283" t="s">
        <v>21</v>
      </c>
      <c r="K4283">
        <v>24</v>
      </c>
      <c r="L4283">
        <v>7</v>
      </c>
      <c r="M4283">
        <v>4.8</v>
      </c>
      <c r="N4283" t="s">
        <v>22</v>
      </c>
      <c r="O4283" t="str">
        <f t="shared" si="66"/>
        <v>No</v>
      </c>
    </row>
    <row r="4284" spans="1:15" x14ac:dyDescent="0.25">
      <c r="A4284" t="s">
        <v>4345</v>
      </c>
      <c r="B4284" s="1">
        <v>45688</v>
      </c>
      <c r="C4284" s="2">
        <v>45688.07</v>
      </c>
      <c r="D4284" t="s">
        <v>24</v>
      </c>
      <c r="E4284" t="s">
        <v>16</v>
      </c>
      <c r="F4284" t="s">
        <v>43</v>
      </c>
      <c r="G4284" t="s">
        <v>34</v>
      </c>
      <c r="H4284" t="s">
        <v>27</v>
      </c>
      <c r="I4284" t="s">
        <v>20</v>
      </c>
      <c r="J4284" t="s">
        <v>29</v>
      </c>
      <c r="K4284">
        <v>24</v>
      </c>
      <c r="L4284">
        <v>1.68</v>
      </c>
      <c r="M4284">
        <v>3.6</v>
      </c>
      <c r="N4284" t="s">
        <v>61</v>
      </c>
      <c r="O4284" t="str">
        <f t="shared" si="66"/>
        <v>No</v>
      </c>
    </row>
    <row r="4285" spans="1:15" x14ac:dyDescent="0.25">
      <c r="A4285" t="s">
        <v>4346</v>
      </c>
      <c r="B4285" s="1">
        <v>45736</v>
      </c>
      <c r="C4285" s="2">
        <v>45737.960833333331</v>
      </c>
      <c r="D4285" t="s">
        <v>15</v>
      </c>
      <c r="E4285" t="s">
        <v>16</v>
      </c>
      <c r="F4285" t="s">
        <v>58</v>
      </c>
      <c r="G4285" t="s">
        <v>41</v>
      </c>
      <c r="H4285" t="s">
        <v>27</v>
      </c>
      <c r="I4285" t="s">
        <v>36</v>
      </c>
      <c r="J4285" t="s">
        <v>29</v>
      </c>
      <c r="K4285">
        <v>48</v>
      </c>
      <c r="L4285">
        <v>47.06</v>
      </c>
      <c r="M4285">
        <v>3.9</v>
      </c>
      <c r="N4285" t="s">
        <v>22</v>
      </c>
      <c r="O4285" t="str">
        <f t="shared" si="66"/>
        <v>No</v>
      </c>
    </row>
    <row r="4286" spans="1:15" x14ac:dyDescent="0.25">
      <c r="A4286" t="s">
        <v>4347</v>
      </c>
      <c r="B4286" s="1">
        <v>45680</v>
      </c>
      <c r="C4286" s="2">
        <v>45680.473749999997</v>
      </c>
      <c r="D4286" t="s">
        <v>24</v>
      </c>
      <c r="E4286" t="s">
        <v>16</v>
      </c>
      <c r="F4286" t="s">
        <v>60</v>
      </c>
      <c r="G4286" t="s">
        <v>41</v>
      </c>
      <c r="H4286" t="s">
        <v>44</v>
      </c>
      <c r="I4286" t="s">
        <v>36</v>
      </c>
      <c r="J4286" t="s">
        <v>21</v>
      </c>
      <c r="K4286">
        <v>24</v>
      </c>
      <c r="L4286">
        <v>11.37</v>
      </c>
      <c r="M4286">
        <v>2.8</v>
      </c>
      <c r="N4286" t="s">
        <v>22</v>
      </c>
      <c r="O4286" t="str">
        <f t="shared" si="66"/>
        <v>No</v>
      </c>
    </row>
    <row r="4287" spans="1:15" x14ac:dyDescent="0.25">
      <c r="A4287" t="s">
        <v>4348</v>
      </c>
      <c r="B4287" s="1">
        <v>45796</v>
      </c>
      <c r="C4287" s="2">
        <v>45797.055</v>
      </c>
      <c r="D4287" t="s">
        <v>24</v>
      </c>
      <c r="E4287" t="s">
        <v>32</v>
      </c>
      <c r="F4287" t="s">
        <v>64</v>
      </c>
      <c r="G4287" t="s">
        <v>56</v>
      </c>
      <c r="H4287" t="s">
        <v>65</v>
      </c>
      <c r="I4287" t="s">
        <v>36</v>
      </c>
      <c r="J4287" t="s">
        <v>21</v>
      </c>
      <c r="K4287">
        <v>24</v>
      </c>
      <c r="L4287">
        <v>25.32</v>
      </c>
      <c r="M4287">
        <v>4.7</v>
      </c>
      <c r="N4287" t="s">
        <v>22</v>
      </c>
      <c r="O4287" t="str">
        <f t="shared" si="66"/>
        <v>Yes</v>
      </c>
    </row>
    <row r="4288" spans="1:15" x14ac:dyDescent="0.25">
      <c r="A4288" t="s">
        <v>4349</v>
      </c>
      <c r="B4288" s="1">
        <v>45787</v>
      </c>
      <c r="C4288" s="2">
        <v>45787.389166666668</v>
      </c>
      <c r="D4288" t="s">
        <v>24</v>
      </c>
      <c r="E4288" t="s">
        <v>16</v>
      </c>
      <c r="F4288" t="s">
        <v>60</v>
      </c>
      <c r="G4288" t="s">
        <v>41</v>
      </c>
      <c r="H4288" t="s">
        <v>44</v>
      </c>
      <c r="I4288" t="s">
        <v>36</v>
      </c>
      <c r="J4288" t="s">
        <v>29</v>
      </c>
      <c r="K4288">
        <v>24</v>
      </c>
      <c r="L4288">
        <v>9.34</v>
      </c>
      <c r="M4288">
        <v>4.8</v>
      </c>
      <c r="N4288" t="s">
        <v>22</v>
      </c>
      <c r="O4288" t="str">
        <f t="shared" si="66"/>
        <v>No</v>
      </c>
    </row>
    <row r="4289" spans="1:15" x14ac:dyDescent="0.25">
      <c r="A4289" t="s">
        <v>4350</v>
      </c>
      <c r="B4289" s="1">
        <v>45803</v>
      </c>
      <c r="C4289" s="2">
        <v>45803.712500000001</v>
      </c>
      <c r="D4289" t="s">
        <v>24</v>
      </c>
      <c r="E4289" t="s">
        <v>39</v>
      </c>
      <c r="F4289" t="s">
        <v>119</v>
      </c>
      <c r="G4289" t="s">
        <v>41</v>
      </c>
      <c r="H4289" t="s">
        <v>44</v>
      </c>
      <c r="I4289" t="s">
        <v>45</v>
      </c>
      <c r="J4289" t="s">
        <v>21</v>
      </c>
      <c r="K4289">
        <v>24</v>
      </c>
      <c r="L4289">
        <v>17.100000000000001</v>
      </c>
      <c r="M4289">
        <v>3.6</v>
      </c>
      <c r="N4289" t="s">
        <v>22</v>
      </c>
      <c r="O4289" t="str">
        <f t="shared" si="66"/>
        <v>No</v>
      </c>
    </row>
    <row r="4290" spans="1:15" x14ac:dyDescent="0.25">
      <c r="A4290" t="s">
        <v>4351</v>
      </c>
      <c r="B4290" s="1">
        <v>45796</v>
      </c>
      <c r="C4290" s="2">
        <v>45796.124583333331</v>
      </c>
      <c r="D4290" t="s">
        <v>38</v>
      </c>
      <c r="E4290" t="s">
        <v>25</v>
      </c>
      <c r="F4290" t="s">
        <v>48</v>
      </c>
      <c r="G4290" t="s">
        <v>34</v>
      </c>
      <c r="H4290" t="s">
        <v>27</v>
      </c>
      <c r="I4290" t="s">
        <v>20</v>
      </c>
      <c r="J4290" t="s">
        <v>21</v>
      </c>
      <c r="K4290">
        <v>8</v>
      </c>
      <c r="L4290">
        <v>2.99</v>
      </c>
      <c r="M4290">
        <v>4.5999999999999996</v>
      </c>
      <c r="N4290" t="s">
        <v>22</v>
      </c>
      <c r="O4290" t="str">
        <f t="shared" si="66"/>
        <v>No</v>
      </c>
    </row>
    <row r="4291" spans="1:15" x14ac:dyDescent="0.25">
      <c r="A4291" t="s">
        <v>4352</v>
      </c>
      <c r="B4291" s="1">
        <v>45713</v>
      </c>
      <c r="C4291" s="2">
        <v>45713.145833333336</v>
      </c>
      <c r="D4291" t="s">
        <v>38</v>
      </c>
      <c r="E4291" t="s">
        <v>32</v>
      </c>
      <c r="F4291" t="s">
        <v>80</v>
      </c>
      <c r="G4291" t="s">
        <v>51</v>
      </c>
      <c r="H4291" t="s">
        <v>44</v>
      </c>
      <c r="I4291" t="s">
        <v>36</v>
      </c>
      <c r="J4291" t="s">
        <v>21</v>
      </c>
      <c r="K4291">
        <v>8</v>
      </c>
      <c r="L4291">
        <v>3.5</v>
      </c>
      <c r="M4291">
        <v>4.5999999999999996</v>
      </c>
      <c r="N4291" t="s">
        <v>22</v>
      </c>
      <c r="O4291" t="str">
        <f t="shared" ref="O4291:O4354" si="67">IF(L4291&gt;K4291,"Yes","No")</f>
        <v>No</v>
      </c>
    </row>
    <row r="4292" spans="1:15" x14ac:dyDescent="0.25">
      <c r="A4292" t="s">
        <v>4353</v>
      </c>
      <c r="B4292" s="1">
        <v>45670</v>
      </c>
      <c r="C4292" s="2">
        <v>45670.14</v>
      </c>
      <c r="D4292" t="s">
        <v>24</v>
      </c>
      <c r="E4292" t="s">
        <v>16</v>
      </c>
      <c r="F4292" t="s">
        <v>43</v>
      </c>
      <c r="G4292" t="s">
        <v>34</v>
      </c>
      <c r="H4292" t="s">
        <v>35</v>
      </c>
      <c r="I4292" t="s">
        <v>45</v>
      </c>
      <c r="J4292" t="s">
        <v>46</v>
      </c>
      <c r="K4292">
        <v>24</v>
      </c>
      <c r="L4292">
        <v>3.36</v>
      </c>
      <c r="M4292">
        <v>5</v>
      </c>
      <c r="N4292" t="s">
        <v>22</v>
      </c>
      <c r="O4292" t="str">
        <f t="shared" si="67"/>
        <v>No</v>
      </c>
    </row>
    <row r="4293" spans="1:15" x14ac:dyDescent="0.25">
      <c r="A4293" t="s">
        <v>4354</v>
      </c>
      <c r="B4293" s="1">
        <v>45826</v>
      </c>
      <c r="C4293" s="2">
        <v>45826.194166666668</v>
      </c>
      <c r="D4293" t="s">
        <v>24</v>
      </c>
      <c r="E4293" t="s">
        <v>16</v>
      </c>
      <c r="F4293" t="s">
        <v>17</v>
      </c>
      <c r="G4293" t="s">
        <v>34</v>
      </c>
      <c r="H4293" t="s">
        <v>35</v>
      </c>
      <c r="I4293" t="s">
        <v>36</v>
      </c>
      <c r="J4293" t="s">
        <v>46</v>
      </c>
      <c r="K4293">
        <v>24</v>
      </c>
      <c r="L4293">
        <v>4.66</v>
      </c>
      <c r="M4293">
        <v>4.8</v>
      </c>
      <c r="N4293" t="s">
        <v>22</v>
      </c>
      <c r="O4293" t="str">
        <f t="shared" si="67"/>
        <v>No</v>
      </c>
    </row>
    <row r="4294" spans="1:15" x14ac:dyDescent="0.25">
      <c r="A4294" t="s">
        <v>4355</v>
      </c>
      <c r="B4294" s="1">
        <v>45747</v>
      </c>
      <c r="C4294" s="2">
        <v>45747.658750000002</v>
      </c>
      <c r="D4294" t="s">
        <v>24</v>
      </c>
      <c r="E4294" t="s">
        <v>16</v>
      </c>
      <c r="F4294" t="s">
        <v>43</v>
      </c>
      <c r="G4294" t="s">
        <v>41</v>
      </c>
      <c r="H4294" t="s">
        <v>65</v>
      </c>
      <c r="I4294" t="s">
        <v>36</v>
      </c>
      <c r="J4294" t="s">
        <v>46</v>
      </c>
      <c r="K4294">
        <v>24</v>
      </c>
      <c r="L4294">
        <v>15.81</v>
      </c>
      <c r="M4294">
        <v>4.8</v>
      </c>
      <c r="N4294" t="s">
        <v>22</v>
      </c>
      <c r="O4294" t="str">
        <f t="shared" si="67"/>
        <v>No</v>
      </c>
    </row>
    <row r="4295" spans="1:15" x14ac:dyDescent="0.25">
      <c r="A4295" t="s">
        <v>4356</v>
      </c>
      <c r="B4295" s="1">
        <v>45675</v>
      </c>
      <c r="C4295" s="2">
        <v>45675.980416666665</v>
      </c>
      <c r="D4295" t="s">
        <v>24</v>
      </c>
      <c r="E4295" t="s">
        <v>32</v>
      </c>
      <c r="F4295" t="s">
        <v>33</v>
      </c>
      <c r="G4295" t="s">
        <v>34</v>
      </c>
      <c r="H4295" t="s">
        <v>19</v>
      </c>
      <c r="I4295" t="s">
        <v>36</v>
      </c>
      <c r="J4295" t="s">
        <v>46</v>
      </c>
      <c r="K4295">
        <v>24</v>
      </c>
      <c r="L4295">
        <v>23.53</v>
      </c>
      <c r="M4295">
        <v>3</v>
      </c>
      <c r="N4295" t="s">
        <v>22</v>
      </c>
      <c r="O4295" t="str">
        <f t="shared" si="67"/>
        <v>No</v>
      </c>
    </row>
    <row r="4296" spans="1:15" x14ac:dyDescent="0.25">
      <c r="A4296" t="s">
        <v>4357</v>
      </c>
      <c r="B4296" s="1">
        <v>45825</v>
      </c>
      <c r="C4296" s="2">
        <v>45825.706250000003</v>
      </c>
      <c r="D4296" t="s">
        <v>24</v>
      </c>
      <c r="E4296" t="s">
        <v>16</v>
      </c>
      <c r="F4296" t="s">
        <v>60</v>
      </c>
      <c r="G4296" t="s">
        <v>41</v>
      </c>
      <c r="H4296" t="s">
        <v>54</v>
      </c>
      <c r="I4296" t="s">
        <v>45</v>
      </c>
      <c r="J4296" t="s">
        <v>46</v>
      </c>
      <c r="K4296">
        <v>24</v>
      </c>
      <c r="L4296">
        <v>16.95</v>
      </c>
      <c r="M4296">
        <v>4.0999999999999996</v>
      </c>
      <c r="N4296" t="s">
        <v>22</v>
      </c>
      <c r="O4296" t="str">
        <f t="shared" si="67"/>
        <v>No</v>
      </c>
    </row>
    <row r="4297" spans="1:15" x14ac:dyDescent="0.25">
      <c r="A4297" t="s">
        <v>4358</v>
      </c>
      <c r="B4297" s="1">
        <v>45837</v>
      </c>
      <c r="C4297" s="2">
        <v>45837.232071759259</v>
      </c>
      <c r="D4297" t="s">
        <v>24</v>
      </c>
      <c r="E4297" t="s">
        <v>25</v>
      </c>
      <c r="F4297" t="s">
        <v>53</v>
      </c>
      <c r="G4297" t="s">
        <v>18</v>
      </c>
      <c r="H4297" t="s">
        <v>65</v>
      </c>
      <c r="I4297" t="s">
        <v>45</v>
      </c>
      <c r="J4297" t="s">
        <v>46</v>
      </c>
      <c r="K4297">
        <v>24</v>
      </c>
      <c r="L4297">
        <v>5.57</v>
      </c>
      <c r="M4297">
        <v>5</v>
      </c>
      <c r="N4297" t="s">
        <v>22</v>
      </c>
      <c r="O4297" t="str">
        <f t="shared" si="67"/>
        <v>No</v>
      </c>
    </row>
    <row r="4298" spans="1:15" x14ac:dyDescent="0.25">
      <c r="A4298" t="s">
        <v>4359</v>
      </c>
      <c r="B4298" s="1">
        <v>45738</v>
      </c>
      <c r="C4298" s="2">
        <v>45738.252500000002</v>
      </c>
      <c r="D4298" t="s">
        <v>38</v>
      </c>
      <c r="E4298" t="s">
        <v>16</v>
      </c>
      <c r="F4298" t="s">
        <v>60</v>
      </c>
      <c r="G4298" t="s">
        <v>18</v>
      </c>
      <c r="H4298" t="s">
        <v>65</v>
      </c>
      <c r="I4298" t="s">
        <v>45</v>
      </c>
      <c r="J4298" t="s">
        <v>21</v>
      </c>
      <c r="K4298">
        <v>8</v>
      </c>
      <c r="L4298">
        <v>6.06</v>
      </c>
      <c r="M4298">
        <v>3.9</v>
      </c>
      <c r="N4298" t="s">
        <v>22</v>
      </c>
      <c r="O4298" t="str">
        <f t="shared" si="67"/>
        <v>No</v>
      </c>
    </row>
    <row r="4299" spans="1:15" x14ac:dyDescent="0.25">
      <c r="A4299" t="s">
        <v>4360</v>
      </c>
      <c r="B4299" s="1">
        <v>45797</v>
      </c>
      <c r="C4299" s="2">
        <v>45797.474583333336</v>
      </c>
      <c r="D4299" t="s">
        <v>15</v>
      </c>
      <c r="E4299" t="s">
        <v>39</v>
      </c>
      <c r="F4299" t="s">
        <v>78</v>
      </c>
      <c r="G4299" t="s">
        <v>18</v>
      </c>
      <c r="H4299" t="s">
        <v>27</v>
      </c>
      <c r="I4299" t="s">
        <v>20</v>
      </c>
      <c r="J4299" t="s">
        <v>21</v>
      </c>
      <c r="K4299">
        <v>48</v>
      </c>
      <c r="L4299">
        <v>11.39</v>
      </c>
      <c r="M4299">
        <v>4.9000000000000004</v>
      </c>
      <c r="N4299" t="s">
        <v>22</v>
      </c>
      <c r="O4299" t="str">
        <f t="shared" si="67"/>
        <v>No</v>
      </c>
    </row>
    <row r="4300" spans="1:15" x14ac:dyDescent="0.25">
      <c r="A4300" t="s">
        <v>4361</v>
      </c>
      <c r="B4300" s="1">
        <v>45664</v>
      </c>
      <c r="C4300" s="2">
        <v>45664.650833333333</v>
      </c>
      <c r="D4300" t="s">
        <v>24</v>
      </c>
      <c r="E4300" t="s">
        <v>32</v>
      </c>
      <c r="F4300" t="s">
        <v>75</v>
      </c>
      <c r="G4300" t="s">
        <v>51</v>
      </c>
      <c r="H4300" t="s">
        <v>19</v>
      </c>
      <c r="I4300" t="s">
        <v>36</v>
      </c>
      <c r="J4300" t="s">
        <v>21</v>
      </c>
      <c r="K4300">
        <v>24</v>
      </c>
      <c r="L4300">
        <v>15.62</v>
      </c>
      <c r="M4300">
        <v>3.6</v>
      </c>
      <c r="N4300" t="s">
        <v>22</v>
      </c>
      <c r="O4300" t="str">
        <f t="shared" si="67"/>
        <v>No</v>
      </c>
    </row>
    <row r="4301" spans="1:15" x14ac:dyDescent="0.25">
      <c r="A4301" t="s">
        <v>4362</v>
      </c>
      <c r="B4301" s="1">
        <v>45674</v>
      </c>
      <c r="C4301" s="2">
        <v>45674.58666666667</v>
      </c>
      <c r="D4301" t="s">
        <v>15</v>
      </c>
      <c r="E4301" t="s">
        <v>39</v>
      </c>
      <c r="F4301" t="s">
        <v>119</v>
      </c>
      <c r="G4301" t="s">
        <v>41</v>
      </c>
      <c r="H4301" t="s">
        <v>44</v>
      </c>
      <c r="I4301" t="s">
        <v>20</v>
      </c>
      <c r="J4301" t="s">
        <v>21</v>
      </c>
      <c r="K4301">
        <v>48</v>
      </c>
      <c r="L4301">
        <v>14.08</v>
      </c>
      <c r="M4301">
        <v>5</v>
      </c>
      <c r="N4301" t="s">
        <v>61</v>
      </c>
      <c r="O4301" t="str">
        <f t="shared" si="67"/>
        <v>No</v>
      </c>
    </row>
    <row r="4302" spans="1:15" x14ac:dyDescent="0.25">
      <c r="A4302" t="s">
        <v>4363</v>
      </c>
      <c r="B4302" s="1">
        <v>45708</v>
      </c>
      <c r="C4302" s="2">
        <v>45708.460416666669</v>
      </c>
      <c r="D4302" t="s">
        <v>24</v>
      </c>
      <c r="E4302" t="s">
        <v>25</v>
      </c>
      <c r="F4302" t="s">
        <v>70</v>
      </c>
      <c r="G4302" t="s">
        <v>34</v>
      </c>
      <c r="H4302" t="s">
        <v>44</v>
      </c>
      <c r="I4302" t="s">
        <v>45</v>
      </c>
      <c r="J4302" t="s">
        <v>21</v>
      </c>
      <c r="K4302">
        <v>24</v>
      </c>
      <c r="L4302">
        <v>11.05</v>
      </c>
      <c r="M4302">
        <v>4.5999999999999996</v>
      </c>
      <c r="N4302" t="s">
        <v>22</v>
      </c>
      <c r="O4302" t="str">
        <f t="shared" si="67"/>
        <v>No</v>
      </c>
    </row>
    <row r="4303" spans="1:15" x14ac:dyDescent="0.25">
      <c r="A4303" t="s">
        <v>4364</v>
      </c>
      <c r="B4303" s="1">
        <v>45776</v>
      </c>
      <c r="C4303" s="2">
        <v>45776.319166666668</v>
      </c>
      <c r="D4303" t="s">
        <v>24</v>
      </c>
      <c r="E4303" t="s">
        <v>39</v>
      </c>
      <c r="F4303" t="s">
        <v>119</v>
      </c>
      <c r="G4303" t="s">
        <v>34</v>
      </c>
      <c r="H4303" t="s">
        <v>27</v>
      </c>
      <c r="I4303" t="s">
        <v>36</v>
      </c>
      <c r="J4303" t="s">
        <v>21</v>
      </c>
      <c r="K4303">
        <v>24</v>
      </c>
      <c r="L4303">
        <v>7.66</v>
      </c>
      <c r="M4303">
        <v>3.8</v>
      </c>
      <c r="N4303" t="s">
        <v>22</v>
      </c>
      <c r="O4303" t="str">
        <f t="shared" si="67"/>
        <v>No</v>
      </c>
    </row>
    <row r="4304" spans="1:15" x14ac:dyDescent="0.25">
      <c r="A4304" t="s">
        <v>4365</v>
      </c>
      <c r="B4304" s="1">
        <v>45682</v>
      </c>
      <c r="C4304" s="2">
        <v>45682.78</v>
      </c>
      <c r="D4304" t="s">
        <v>24</v>
      </c>
      <c r="E4304" t="s">
        <v>16</v>
      </c>
      <c r="F4304" t="s">
        <v>58</v>
      </c>
      <c r="G4304" t="s">
        <v>51</v>
      </c>
      <c r="H4304" t="s">
        <v>19</v>
      </c>
      <c r="I4304" t="s">
        <v>36</v>
      </c>
      <c r="J4304" t="s">
        <v>21</v>
      </c>
      <c r="K4304">
        <v>24</v>
      </c>
      <c r="L4304">
        <v>18.72</v>
      </c>
      <c r="M4304">
        <v>4.8</v>
      </c>
      <c r="N4304" t="s">
        <v>22</v>
      </c>
      <c r="O4304" t="str">
        <f t="shared" si="67"/>
        <v>No</v>
      </c>
    </row>
    <row r="4305" spans="1:15" x14ac:dyDescent="0.25">
      <c r="A4305" t="s">
        <v>4366</v>
      </c>
      <c r="B4305" s="1">
        <v>45664</v>
      </c>
      <c r="C4305" s="2">
        <v>45664.362916666665</v>
      </c>
      <c r="D4305" t="s">
        <v>24</v>
      </c>
      <c r="E4305" t="s">
        <v>25</v>
      </c>
      <c r="F4305" t="s">
        <v>48</v>
      </c>
      <c r="G4305" t="s">
        <v>41</v>
      </c>
      <c r="H4305" t="s">
        <v>65</v>
      </c>
      <c r="I4305" t="s">
        <v>36</v>
      </c>
      <c r="J4305" t="s">
        <v>21</v>
      </c>
      <c r="K4305">
        <v>24</v>
      </c>
      <c r="L4305">
        <v>8.7100000000000009</v>
      </c>
      <c r="M4305">
        <v>3.9</v>
      </c>
      <c r="N4305" t="s">
        <v>22</v>
      </c>
      <c r="O4305" t="str">
        <f t="shared" si="67"/>
        <v>No</v>
      </c>
    </row>
    <row r="4306" spans="1:15" x14ac:dyDescent="0.25">
      <c r="A4306" t="s">
        <v>4367</v>
      </c>
      <c r="B4306" s="1">
        <v>45779</v>
      </c>
      <c r="C4306" s="2">
        <v>45779.265833333331</v>
      </c>
      <c r="D4306" t="s">
        <v>38</v>
      </c>
      <c r="E4306" t="s">
        <v>16</v>
      </c>
      <c r="F4306" t="s">
        <v>17</v>
      </c>
      <c r="G4306" t="s">
        <v>56</v>
      </c>
      <c r="H4306" t="s">
        <v>35</v>
      </c>
      <c r="I4306" t="s">
        <v>36</v>
      </c>
      <c r="J4306" t="s">
        <v>21</v>
      </c>
      <c r="K4306">
        <v>8</v>
      </c>
      <c r="L4306">
        <v>6.38</v>
      </c>
      <c r="M4306">
        <v>4.5</v>
      </c>
      <c r="N4306" t="s">
        <v>22</v>
      </c>
      <c r="O4306" t="str">
        <f t="shared" si="67"/>
        <v>No</v>
      </c>
    </row>
    <row r="4307" spans="1:15" x14ac:dyDescent="0.25">
      <c r="A4307" t="s">
        <v>4368</v>
      </c>
      <c r="B4307" s="1">
        <v>45797</v>
      </c>
      <c r="C4307" s="2">
        <v>45797.020833333336</v>
      </c>
      <c r="D4307" t="s">
        <v>38</v>
      </c>
      <c r="E4307" t="s">
        <v>16</v>
      </c>
      <c r="F4307" t="s">
        <v>60</v>
      </c>
      <c r="G4307" t="s">
        <v>51</v>
      </c>
      <c r="H4307" t="s">
        <v>54</v>
      </c>
      <c r="I4307" t="s">
        <v>36</v>
      </c>
      <c r="J4307" t="s">
        <v>21</v>
      </c>
      <c r="K4307">
        <v>8</v>
      </c>
      <c r="L4307">
        <v>0.5</v>
      </c>
      <c r="M4307">
        <v>5</v>
      </c>
      <c r="N4307" t="s">
        <v>22</v>
      </c>
      <c r="O4307" t="str">
        <f t="shared" si="67"/>
        <v>No</v>
      </c>
    </row>
    <row r="4308" spans="1:15" x14ac:dyDescent="0.25">
      <c r="A4308" t="s">
        <v>4369</v>
      </c>
      <c r="B4308" s="1">
        <v>45791</v>
      </c>
      <c r="C4308" s="2">
        <v>45792.01666666667</v>
      </c>
      <c r="D4308" t="s">
        <v>24</v>
      </c>
      <c r="E4308" t="s">
        <v>16</v>
      </c>
      <c r="F4308" t="s">
        <v>17</v>
      </c>
      <c r="G4308" t="s">
        <v>18</v>
      </c>
      <c r="H4308" t="s">
        <v>65</v>
      </c>
      <c r="I4308" t="s">
        <v>36</v>
      </c>
      <c r="J4308" t="s">
        <v>46</v>
      </c>
      <c r="K4308">
        <v>24</v>
      </c>
      <c r="L4308">
        <v>24.4</v>
      </c>
      <c r="M4308">
        <v>5</v>
      </c>
      <c r="N4308" t="s">
        <v>22</v>
      </c>
      <c r="O4308" t="str">
        <f t="shared" si="67"/>
        <v>Yes</v>
      </c>
    </row>
    <row r="4309" spans="1:15" x14ac:dyDescent="0.25">
      <c r="A4309" t="s">
        <v>4370</v>
      </c>
      <c r="B4309" s="1">
        <v>45802</v>
      </c>
      <c r="C4309" s="2">
        <v>45802.03833333333</v>
      </c>
      <c r="D4309" t="s">
        <v>31</v>
      </c>
      <c r="E4309" t="s">
        <v>16</v>
      </c>
      <c r="F4309" t="s">
        <v>58</v>
      </c>
      <c r="G4309" t="s">
        <v>18</v>
      </c>
      <c r="H4309" t="s">
        <v>19</v>
      </c>
      <c r="I4309" t="s">
        <v>28</v>
      </c>
      <c r="J4309" t="s">
        <v>46</v>
      </c>
      <c r="K4309">
        <v>4</v>
      </c>
      <c r="L4309">
        <v>0.92</v>
      </c>
      <c r="M4309">
        <v>4.9000000000000004</v>
      </c>
      <c r="N4309" t="s">
        <v>22</v>
      </c>
      <c r="O4309" t="str">
        <f t="shared" si="67"/>
        <v>No</v>
      </c>
    </row>
    <row r="4310" spans="1:15" x14ac:dyDescent="0.25">
      <c r="A4310" t="s">
        <v>4371</v>
      </c>
      <c r="B4310" s="1">
        <v>45803</v>
      </c>
      <c r="C4310" s="2">
        <v>45804.417916666665</v>
      </c>
      <c r="D4310" t="s">
        <v>24</v>
      </c>
      <c r="E4310" t="s">
        <v>32</v>
      </c>
      <c r="F4310" t="s">
        <v>75</v>
      </c>
      <c r="G4310" t="s">
        <v>56</v>
      </c>
      <c r="H4310" t="s">
        <v>44</v>
      </c>
      <c r="I4310" t="s">
        <v>20</v>
      </c>
      <c r="J4310" t="s">
        <v>46</v>
      </c>
      <c r="K4310">
        <v>24</v>
      </c>
      <c r="L4310">
        <v>34.03</v>
      </c>
      <c r="M4310">
        <v>3.3</v>
      </c>
      <c r="N4310" t="s">
        <v>22</v>
      </c>
      <c r="O4310" t="str">
        <f t="shared" si="67"/>
        <v>Yes</v>
      </c>
    </row>
    <row r="4311" spans="1:15" x14ac:dyDescent="0.25">
      <c r="A4311" t="s">
        <v>4372</v>
      </c>
      <c r="B4311" s="1">
        <v>45767</v>
      </c>
      <c r="C4311" s="2">
        <v>45767.128333333334</v>
      </c>
      <c r="D4311" t="s">
        <v>38</v>
      </c>
      <c r="E4311" t="s">
        <v>25</v>
      </c>
      <c r="F4311" t="s">
        <v>48</v>
      </c>
      <c r="G4311" t="s">
        <v>34</v>
      </c>
      <c r="H4311" t="s">
        <v>54</v>
      </c>
      <c r="I4311" t="s">
        <v>45</v>
      </c>
      <c r="J4311" t="s">
        <v>21</v>
      </c>
      <c r="K4311">
        <v>8</v>
      </c>
      <c r="L4311">
        <v>3.08</v>
      </c>
      <c r="M4311">
        <v>3.2</v>
      </c>
      <c r="N4311" t="s">
        <v>22</v>
      </c>
      <c r="O4311" t="str">
        <f t="shared" si="67"/>
        <v>No</v>
      </c>
    </row>
    <row r="4312" spans="1:15" x14ac:dyDescent="0.25">
      <c r="A4312" t="s">
        <v>4373</v>
      </c>
      <c r="B4312" s="1">
        <v>45752</v>
      </c>
      <c r="C4312" s="2">
        <v>45754.474583333336</v>
      </c>
      <c r="D4312" t="s">
        <v>15</v>
      </c>
      <c r="E4312" t="s">
        <v>45</v>
      </c>
      <c r="F4312" t="s">
        <v>112</v>
      </c>
      <c r="G4312" t="s">
        <v>41</v>
      </c>
      <c r="H4312" t="s">
        <v>54</v>
      </c>
      <c r="I4312" t="s">
        <v>20</v>
      </c>
      <c r="J4312" t="s">
        <v>46</v>
      </c>
      <c r="K4312">
        <v>48</v>
      </c>
      <c r="L4312">
        <v>59.39</v>
      </c>
      <c r="M4312">
        <v>3.2</v>
      </c>
      <c r="N4312" t="s">
        <v>22</v>
      </c>
      <c r="O4312" t="str">
        <f t="shared" si="67"/>
        <v>Yes</v>
      </c>
    </row>
    <row r="4313" spans="1:15" x14ac:dyDescent="0.25">
      <c r="A4313" t="s">
        <v>4374</v>
      </c>
      <c r="B4313" s="1">
        <v>45813</v>
      </c>
      <c r="C4313" s="2">
        <v>45813.181250000001</v>
      </c>
      <c r="D4313" t="s">
        <v>15</v>
      </c>
      <c r="E4313" t="s">
        <v>39</v>
      </c>
      <c r="F4313" t="s">
        <v>40</v>
      </c>
      <c r="G4313" t="s">
        <v>56</v>
      </c>
      <c r="H4313" t="s">
        <v>35</v>
      </c>
      <c r="I4313" t="s">
        <v>28</v>
      </c>
      <c r="J4313" t="s">
        <v>46</v>
      </c>
      <c r="K4313">
        <v>48</v>
      </c>
      <c r="L4313">
        <v>4.3499999999999996</v>
      </c>
      <c r="M4313">
        <v>4.4000000000000004</v>
      </c>
      <c r="N4313" t="s">
        <v>22</v>
      </c>
      <c r="O4313" t="str">
        <f t="shared" si="67"/>
        <v>No</v>
      </c>
    </row>
    <row r="4314" spans="1:15" x14ac:dyDescent="0.25">
      <c r="A4314" t="s">
        <v>4375</v>
      </c>
      <c r="B4314" s="1">
        <v>45720</v>
      </c>
      <c r="C4314" s="2">
        <v>45721.116249999999</v>
      </c>
      <c r="D4314" t="s">
        <v>24</v>
      </c>
      <c r="E4314" t="s">
        <v>45</v>
      </c>
      <c r="F4314" t="s">
        <v>100</v>
      </c>
      <c r="G4314" t="s">
        <v>18</v>
      </c>
      <c r="H4314" t="s">
        <v>19</v>
      </c>
      <c r="I4314" t="s">
        <v>36</v>
      </c>
      <c r="J4314" t="s">
        <v>21</v>
      </c>
      <c r="K4314">
        <v>24</v>
      </c>
      <c r="L4314">
        <v>26.79</v>
      </c>
      <c r="M4314">
        <v>3.5</v>
      </c>
      <c r="N4314" t="s">
        <v>22</v>
      </c>
      <c r="O4314" t="str">
        <f t="shared" si="67"/>
        <v>Yes</v>
      </c>
    </row>
    <row r="4315" spans="1:15" x14ac:dyDescent="0.25">
      <c r="A4315" t="s">
        <v>4376</v>
      </c>
      <c r="B4315" s="1">
        <v>45675</v>
      </c>
      <c r="C4315" s="2">
        <v>45675.531666666669</v>
      </c>
      <c r="D4315" t="s">
        <v>15</v>
      </c>
      <c r="E4315" t="s">
        <v>45</v>
      </c>
      <c r="F4315" t="s">
        <v>100</v>
      </c>
      <c r="G4315" t="s">
        <v>56</v>
      </c>
      <c r="H4315" t="s">
        <v>35</v>
      </c>
      <c r="I4315" t="s">
        <v>45</v>
      </c>
      <c r="J4315" t="s">
        <v>21</v>
      </c>
      <c r="K4315">
        <v>48</v>
      </c>
      <c r="L4315">
        <v>12.76</v>
      </c>
      <c r="M4315">
        <v>4.3</v>
      </c>
      <c r="N4315" t="s">
        <v>22</v>
      </c>
      <c r="O4315" t="str">
        <f t="shared" si="67"/>
        <v>No</v>
      </c>
    </row>
    <row r="4316" spans="1:15" x14ac:dyDescent="0.25">
      <c r="A4316" t="s">
        <v>4377</v>
      </c>
      <c r="B4316" s="1">
        <v>45794</v>
      </c>
      <c r="C4316" s="2">
        <v>45795.11</v>
      </c>
      <c r="D4316" t="s">
        <v>24</v>
      </c>
      <c r="E4316" t="s">
        <v>16</v>
      </c>
      <c r="F4316" t="s">
        <v>17</v>
      </c>
      <c r="G4316" t="s">
        <v>41</v>
      </c>
      <c r="H4316" t="s">
        <v>54</v>
      </c>
      <c r="I4316" t="s">
        <v>45</v>
      </c>
      <c r="J4316" t="s">
        <v>21</v>
      </c>
      <c r="K4316">
        <v>24</v>
      </c>
      <c r="L4316">
        <v>26.64</v>
      </c>
      <c r="M4316">
        <v>4.2</v>
      </c>
      <c r="N4316" t="s">
        <v>22</v>
      </c>
      <c r="O4316" t="str">
        <f t="shared" si="67"/>
        <v>Yes</v>
      </c>
    </row>
    <row r="4317" spans="1:15" x14ac:dyDescent="0.25">
      <c r="A4317" t="s">
        <v>4378</v>
      </c>
      <c r="B4317" s="1">
        <v>45707</v>
      </c>
      <c r="C4317" s="2">
        <v>45708.036666666667</v>
      </c>
      <c r="D4317" t="s">
        <v>15</v>
      </c>
      <c r="E4317" t="s">
        <v>25</v>
      </c>
      <c r="F4317" t="s">
        <v>70</v>
      </c>
      <c r="G4317" t="s">
        <v>34</v>
      </c>
      <c r="H4317" t="s">
        <v>44</v>
      </c>
      <c r="I4317" t="s">
        <v>28</v>
      </c>
      <c r="J4317" t="s">
        <v>21</v>
      </c>
      <c r="K4317">
        <v>48</v>
      </c>
      <c r="L4317">
        <v>24.88</v>
      </c>
      <c r="M4317">
        <v>4</v>
      </c>
      <c r="N4317" t="s">
        <v>22</v>
      </c>
      <c r="O4317" t="str">
        <f t="shared" si="67"/>
        <v>No</v>
      </c>
    </row>
    <row r="4318" spans="1:15" x14ac:dyDescent="0.25">
      <c r="A4318" t="s">
        <v>4379</v>
      </c>
      <c r="B4318" s="1">
        <v>45835</v>
      </c>
      <c r="C4318" s="2">
        <v>45835.417500000003</v>
      </c>
      <c r="D4318" t="s">
        <v>24</v>
      </c>
      <c r="E4318" t="s">
        <v>16</v>
      </c>
      <c r="F4318" t="s">
        <v>60</v>
      </c>
      <c r="G4318" t="s">
        <v>56</v>
      </c>
      <c r="H4318" t="s">
        <v>65</v>
      </c>
      <c r="I4318" t="s">
        <v>20</v>
      </c>
      <c r="J4318" t="s">
        <v>21</v>
      </c>
      <c r="K4318">
        <v>24</v>
      </c>
      <c r="L4318">
        <v>10.02</v>
      </c>
      <c r="M4318">
        <v>4.8</v>
      </c>
      <c r="N4318" t="s">
        <v>22</v>
      </c>
      <c r="O4318" t="str">
        <f t="shared" si="67"/>
        <v>No</v>
      </c>
    </row>
    <row r="4319" spans="1:15" x14ac:dyDescent="0.25">
      <c r="A4319" t="s">
        <v>4380</v>
      </c>
      <c r="B4319" s="1">
        <v>45732</v>
      </c>
      <c r="C4319" s="2">
        <v>45734.516250000001</v>
      </c>
      <c r="D4319" t="s">
        <v>15</v>
      </c>
      <c r="E4319" t="s">
        <v>32</v>
      </c>
      <c r="F4319" t="s">
        <v>33</v>
      </c>
      <c r="G4319" t="s">
        <v>34</v>
      </c>
      <c r="H4319" t="s">
        <v>27</v>
      </c>
      <c r="I4319" t="s">
        <v>36</v>
      </c>
      <c r="J4319" t="s">
        <v>21</v>
      </c>
      <c r="K4319">
        <v>48</v>
      </c>
      <c r="L4319">
        <v>60.39</v>
      </c>
      <c r="M4319">
        <v>3.4</v>
      </c>
      <c r="N4319" t="s">
        <v>22</v>
      </c>
      <c r="O4319" t="str">
        <f t="shared" si="67"/>
        <v>Yes</v>
      </c>
    </row>
    <row r="4320" spans="1:15" x14ac:dyDescent="0.25">
      <c r="A4320" t="s">
        <v>4381</v>
      </c>
      <c r="B4320" s="1">
        <v>45812</v>
      </c>
      <c r="C4320" s="2">
        <v>45812.67</v>
      </c>
      <c r="D4320" t="s">
        <v>15</v>
      </c>
      <c r="E4320" t="s">
        <v>32</v>
      </c>
      <c r="F4320" t="s">
        <v>75</v>
      </c>
      <c r="G4320" t="s">
        <v>41</v>
      </c>
      <c r="H4320" t="s">
        <v>27</v>
      </c>
      <c r="I4320" t="s">
        <v>20</v>
      </c>
      <c r="J4320" t="s">
        <v>21</v>
      </c>
      <c r="K4320">
        <v>48</v>
      </c>
      <c r="L4320">
        <v>16.079999999999998</v>
      </c>
      <c r="M4320">
        <v>4.2</v>
      </c>
      <c r="N4320" t="s">
        <v>22</v>
      </c>
      <c r="O4320" t="str">
        <f t="shared" si="67"/>
        <v>No</v>
      </c>
    </row>
    <row r="4321" spans="1:15" x14ac:dyDescent="0.25">
      <c r="A4321" t="s">
        <v>4382</v>
      </c>
      <c r="B4321" s="1">
        <v>45665</v>
      </c>
      <c r="C4321" s="2">
        <v>45665.247916666667</v>
      </c>
      <c r="D4321" t="s">
        <v>31</v>
      </c>
      <c r="E4321" t="s">
        <v>39</v>
      </c>
      <c r="F4321" t="s">
        <v>87</v>
      </c>
      <c r="G4321" t="s">
        <v>56</v>
      </c>
      <c r="H4321" t="s">
        <v>44</v>
      </c>
      <c r="I4321" t="s">
        <v>36</v>
      </c>
      <c r="J4321" t="s">
        <v>21</v>
      </c>
      <c r="K4321">
        <v>4</v>
      </c>
      <c r="L4321">
        <v>5.95</v>
      </c>
      <c r="M4321">
        <v>2.8</v>
      </c>
      <c r="N4321" t="s">
        <v>22</v>
      </c>
      <c r="O4321" t="str">
        <f t="shared" si="67"/>
        <v>Yes</v>
      </c>
    </row>
    <row r="4322" spans="1:15" x14ac:dyDescent="0.25">
      <c r="A4322" t="s">
        <v>4383</v>
      </c>
      <c r="B4322" s="1">
        <v>45777</v>
      </c>
      <c r="C4322" s="2">
        <v>45777.432500000003</v>
      </c>
      <c r="D4322" t="s">
        <v>24</v>
      </c>
      <c r="E4322" t="s">
        <v>25</v>
      </c>
      <c r="F4322" t="s">
        <v>26</v>
      </c>
      <c r="G4322" t="s">
        <v>51</v>
      </c>
      <c r="H4322" t="s">
        <v>44</v>
      </c>
      <c r="I4322" t="s">
        <v>36</v>
      </c>
      <c r="J4322" t="s">
        <v>21</v>
      </c>
      <c r="K4322">
        <v>24</v>
      </c>
      <c r="L4322">
        <v>10.38</v>
      </c>
      <c r="M4322">
        <v>4.5999999999999996</v>
      </c>
      <c r="N4322" t="s">
        <v>22</v>
      </c>
      <c r="O4322" t="str">
        <f t="shared" si="67"/>
        <v>No</v>
      </c>
    </row>
    <row r="4323" spans="1:15" x14ac:dyDescent="0.25">
      <c r="A4323" t="s">
        <v>4384</v>
      </c>
      <c r="B4323" s="1">
        <v>45739</v>
      </c>
      <c r="C4323" s="2">
        <v>45739.183749999997</v>
      </c>
      <c r="D4323" t="s">
        <v>38</v>
      </c>
      <c r="E4323" t="s">
        <v>39</v>
      </c>
      <c r="F4323" t="s">
        <v>119</v>
      </c>
      <c r="G4323" t="s">
        <v>51</v>
      </c>
      <c r="H4323" t="s">
        <v>27</v>
      </c>
      <c r="I4323" t="s">
        <v>45</v>
      </c>
      <c r="J4323" t="s">
        <v>85</v>
      </c>
      <c r="K4323">
        <v>8</v>
      </c>
      <c r="L4323">
        <v>4.41</v>
      </c>
      <c r="M4323">
        <v>5</v>
      </c>
      <c r="N4323" t="s">
        <v>22</v>
      </c>
      <c r="O4323" t="str">
        <f t="shared" si="67"/>
        <v>No</v>
      </c>
    </row>
    <row r="4324" spans="1:15" x14ac:dyDescent="0.25">
      <c r="A4324" t="s">
        <v>4385</v>
      </c>
      <c r="B4324" s="1">
        <v>45741</v>
      </c>
      <c r="C4324" s="2">
        <v>45741.599166666667</v>
      </c>
      <c r="D4324" t="s">
        <v>24</v>
      </c>
      <c r="E4324" t="s">
        <v>25</v>
      </c>
      <c r="F4324" t="s">
        <v>70</v>
      </c>
      <c r="G4324" t="s">
        <v>41</v>
      </c>
      <c r="H4324" t="s">
        <v>35</v>
      </c>
      <c r="I4324" t="s">
        <v>45</v>
      </c>
      <c r="J4324" t="s">
        <v>21</v>
      </c>
      <c r="K4324">
        <v>24</v>
      </c>
      <c r="L4324">
        <v>14.38</v>
      </c>
      <c r="M4324">
        <v>3.8</v>
      </c>
      <c r="N4324" t="s">
        <v>22</v>
      </c>
      <c r="O4324" t="str">
        <f t="shared" si="67"/>
        <v>No</v>
      </c>
    </row>
    <row r="4325" spans="1:15" x14ac:dyDescent="0.25">
      <c r="A4325" t="s">
        <v>4386</v>
      </c>
      <c r="B4325" s="1">
        <v>45706</v>
      </c>
      <c r="C4325" s="2">
        <v>45706.371249999997</v>
      </c>
      <c r="D4325" t="s">
        <v>15</v>
      </c>
      <c r="E4325" t="s">
        <v>16</v>
      </c>
      <c r="F4325" t="s">
        <v>60</v>
      </c>
      <c r="G4325" t="s">
        <v>51</v>
      </c>
      <c r="H4325" t="s">
        <v>19</v>
      </c>
      <c r="I4325" t="s">
        <v>36</v>
      </c>
      <c r="J4325" t="s">
        <v>46</v>
      </c>
      <c r="K4325">
        <v>48</v>
      </c>
      <c r="L4325">
        <v>8.91</v>
      </c>
      <c r="M4325">
        <v>4.8</v>
      </c>
      <c r="N4325" t="s">
        <v>22</v>
      </c>
      <c r="O4325" t="str">
        <f t="shared" si="67"/>
        <v>No</v>
      </c>
    </row>
    <row r="4326" spans="1:15" x14ac:dyDescent="0.25">
      <c r="A4326" t="s">
        <v>4387</v>
      </c>
      <c r="B4326" s="1">
        <v>45833</v>
      </c>
      <c r="C4326" s="2">
        <v>45833.683333333334</v>
      </c>
      <c r="D4326" t="s">
        <v>24</v>
      </c>
      <c r="E4326" t="s">
        <v>16</v>
      </c>
      <c r="F4326" t="s">
        <v>58</v>
      </c>
      <c r="G4326" t="s">
        <v>41</v>
      </c>
      <c r="H4326" t="s">
        <v>19</v>
      </c>
      <c r="I4326" t="s">
        <v>36</v>
      </c>
      <c r="J4326" t="s">
        <v>21</v>
      </c>
      <c r="K4326">
        <v>24</v>
      </c>
      <c r="L4326">
        <v>16.399999999999999</v>
      </c>
      <c r="M4326">
        <v>4.5</v>
      </c>
      <c r="N4326" t="s">
        <v>22</v>
      </c>
      <c r="O4326" t="str">
        <f t="shared" si="67"/>
        <v>No</v>
      </c>
    </row>
    <row r="4327" spans="1:15" x14ac:dyDescent="0.25">
      <c r="A4327" t="s">
        <v>4388</v>
      </c>
      <c r="B4327" s="1">
        <v>45729</v>
      </c>
      <c r="C4327" s="2">
        <v>45729.265416666669</v>
      </c>
      <c r="D4327" t="s">
        <v>24</v>
      </c>
      <c r="E4327" t="s">
        <v>39</v>
      </c>
      <c r="F4327" t="s">
        <v>78</v>
      </c>
      <c r="G4327" t="s">
        <v>56</v>
      </c>
      <c r="H4327" t="s">
        <v>27</v>
      </c>
      <c r="I4327" t="s">
        <v>20</v>
      </c>
      <c r="J4327" t="s">
        <v>46</v>
      </c>
      <c r="K4327">
        <v>24</v>
      </c>
      <c r="L4327">
        <v>6.37</v>
      </c>
      <c r="M4327">
        <v>4.7</v>
      </c>
      <c r="N4327" t="s">
        <v>22</v>
      </c>
      <c r="O4327" t="str">
        <f t="shared" si="67"/>
        <v>No</v>
      </c>
    </row>
    <row r="4328" spans="1:15" x14ac:dyDescent="0.25">
      <c r="A4328" t="s">
        <v>4389</v>
      </c>
      <c r="B4328" s="1">
        <v>45811</v>
      </c>
      <c r="C4328" s="2">
        <v>45811.438333333332</v>
      </c>
      <c r="D4328" t="s">
        <v>15</v>
      </c>
      <c r="E4328" t="s">
        <v>39</v>
      </c>
      <c r="F4328" t="s">
        <v>40</v>
      </c>
      <c r="G4328" t="s">
        <v>41</v>
      </c>
      <c r="H4328" t="s">
        <v>19</v>
      </c>
      <c r="I4328" t="s">
        <v>36</v>
      </c>
      <c r="J4328" t="s">
        <v>46</v>
      </c>
      <c r="K4328">
        <v>48</v>
      </c>
      <c r="L4328">
        <v>10.52</v>
      </c>
      <c r="M4328">
        <v>3.6</v>
      </c>
      <c r="N4328" t="s">
        <v>22</v>
      </c>
      <c r="O4328" t="str">
        <f t="shared" si="67"/>
        <v>No</v>
      </c>
    </row>
    <row r="4329" spans="1:15" x14ac:dyDescent="0.25">
      <c r="A4329" t="s">
        <v>4390</v>
      </c>
      <c r="B4329" s="1">
        <v>45734</v>
      </c>
      <c r="C4329" s="2">
        <v>45734.072083333333</v>
      </c>
      <c r="D4329" t="s">
        <v>38</v>
      </c>
      <c r="E4329" t="s">
        <v>32</v>
      </c>
      <c r="F4329" t="s">
        <v>64</v>
      </c>
      <c r="G4329" t="s">
        <v>41</v>
      </c>
      <c r="H4329" t="s">
        <v>27</v>
      </c>
      <c r="I4329" t="s">
        <v>20</v>
      </c>
      <c r="J4329" t="s">
        <v>46</v>
      </c>
      <c r="K4329">
        <v>8</v>
      </c>
      <c r="L4329">
        <v>1.73</v>
      </c>
      <c r="M4329">
        <v>5</v>
      </c>
      <c r="N4329" t="s">
        <v>22</v>
      </c>
      <c r="O4329" t="str">
        <f t="shared" si="67"/>
        <v>No</v>
      </c>
    </row>
    <row r="4330" spans="1:15" x14ac:dyDescent="0.25">
      <c r="A4330" t="s">
        <v>4391</v>
      </c>
      <c r="B4330" s="1">
        <v>45666</v>
      </c>
      <c r="C4330" s="2">
        <v>45666.384166666663</v>
      </c>
      <c r="D4330" t="s">
        <v>24</v>
      </c>
      <c r="E4330" t="s">
        <v>32</v>
      </c>
      <c r="F4330" t="s">
        <v>80</v>
      </c>
      <c r="G4330" t="s">
        <v>51</v>
      </c>
      <c r="H4330" t="s">
        <v>27</v>
      </c>
      <c r="I4330" t="s">
        <v>45</v>
      </c>
      <c r="J4330" t="s">
        <v>46</v>
      </c>
      <c r="K4330">
        <v>24</v>
      </c>
      <c r="L4330">
        <v>9.2200000000000006</v>
      </c>
      <c r="M4330">
        <v>3.6</v>
      </c>
      <c r="N4330" t="s">
        <v>22</v>
      </c>
      <c r="O4330" t="str">
        <f t="shared" si="67"/>
        <v>No</v>
      </c>
    </row>
    <row r="4331" spans="1:15" x14ac:dyDescent="0.25">
      <c r="A4331" t="s">
        <v>4392</v>
      </c>
      <c r="B4331" s="1">
        <v>45817</v>
      </c>
      <c r="C4331" s="2">
        <v>45817.430833333332</v>
      </c>
      <c r="D4331" t="s">
        <v>38</v>
      </c>
      <c r="E4331" t="s">
        <v>32</v>
      </c>
      <c r="F4331" t="s">
        <v>80</v>
      </c>
      <c r="G4331" t="s">
        <v>51</v>
      </c>
      <c r="H4331" t="s">
        <v>65</v>
      </c>
      <c r="I4331" t="s">
        <v>45</v>
      </c>
      <c r="J4331" t="s">
        <v>46</v>
      </c>
      <c r="K4331">
        <v>8</v>
      </c>
      <c r="L4331">
        <v>10.34</v>
      </c>
      <c r="M4331">
        <v>2.5</v>
      </c>
      <c r="N4331" t="s">
        <v>22</v>
      </c>
      <c r="O4331" t="str">
        <f t="shared" si="67"/>
        <v>Yes</v>
      </c>
    </row>
    <row r="4332" spans="1:15" x14ac:dyDescent="0.25">
      <c r="A4332" t="s">
        <v>4393</v>
      </c>
      <c r="B4332" s="1">
        <v>45691</v>
      </c>
      <c r="C4332" s="2">
        <v>45691.294583333336</v>
      </c>
      <c r="D4332" t="s">
        <v>24</v>
      </c>
      <c r="E4332" t="s">
        <v>32</v>
      </c>
      <c r="F4332" t="s">
        <v>64</v>
      </c>
      <c r="G4332" t="s">
        <v>34</v>
      </c>
      <c r="H4332" t="s">
        <v>54</v>
      </c>
      <c r="I4332" t="s">
        <v>36</v>
      </c>
      <c r="J4332" t="s">
        <v>46</v>
      </c>
      <c r="K4332">
        <v>24</v>
      </c>
      <c r="L4332">
        <v>7.07</v>
      </c>
      <c r="M4332">
        <v>3.8</v>
      </c>
      <c r="N4332" t="s">
        <v>22</v>
      </c>
      <c r="O4332" t="str">
        <f t="shared" si="67"/>
        <v>No</v>
      </c>
    </row>
    <row r="4333" spans="1:15" x14ac:dyDescent="0.25">
      <c r="A4333" t="s">
        <v>4394</v>
      </c>
      <c r="B4333" s="1">
        <v>45706</v>
      </c>
      <c r="C4333" s="2">
        <v>45706.67</v>
      </c>
      <c r="D4333" t="s">
        <v>24</v>
      </c>
      <c r="E4333" t="s">
        <v>32</v>
      </c>
      <c r="F4333" t="s">
        <v>33</v>
      </c>
      <c r="G4333" t="s">
        <v>51</v>
      </c>
      <c r="H4333" t="s">
        <v>65</v>
      </c>
      <c r="I4333" t="s">
        <v>28</v>
      </c>
      <c r="J4333" t="s">
        <v>21</v>
      </c>
      <c r="K4333">
        <v>24</v>
      </c>
      <c r="L4333">
        <v>16.079999999999998</v>
      </c>
      <c r="M4333">
        <v>4.0999999999999996</v>
      </c>
      <c r="N4333" t="s">
        <v>22</v>
      </c>
      <c r="O4333" t="str">
        <f t="shared" si="67"/>
        <v>No</v>
      </c>
    </row>
    <row r="4334" spans="1:15" x14ac:dyDescent="0.25">
      <c r="A4334" t="s">
        <v>4395</v>
      </c>
      <c r="B4334" s="1">
        <v>45813</v>
      </c>
      <c r="C4334" s="2">
        <v>45815.440405092595</v>
      </c>
      <c r="D4334" t="s">
        <v>15</v>
      </c>
      <c r="E4334" t="s">
        <v>16</v>
      </c>
      <c r="F4334" t="s">
        <v>60</v>
      </c>
      <c r="G4334" t="s">
        <v>56</v>
      </c>
      <c r="H4334" t="s">
        <v>27</v>
      </c>
      <c r="I4334" t="s">
        <v>28</v>
      </c>
      <c r="J4334" t="s">
        <v>21</v>
      </c>
      <c r="K4334">
        <v>48</v>
      </c>
      <c r="L4334">
        <v>58.57</v>
      </c>
      <c r="M4334">
        <v>2.9</v>
      </c>
      <c r="N4334" t="s">
        <v>22</v>
      </c>
      <c r="O4334" t="str">
        <f t="shared" si="67"/>
        <v>Yes</v>
      </c>
    </row>
    <row r="4335" spans="1:15" x14ac:dyDescent="0.25">
      <c r="A4335" t="s">
        <v>4396</v>
      </c>
      <c r="B4335" s="1">
        <v>45819</v>
      </c>
      <c r="C4335" s="2">
        <v>45819.072500000002</v>
      </c>
      <c r="D4335" t="s">
        <v>31</v>
      </c>
      <c r="E4335" t="s">
        <v>39</v>
      </c>
      <c r="F4335" t="s">
        <v>40</v>
      </c>
      <c r="G4335" t="s">
        <v>41</v>
      </c>
      <c r="H4335" t="s">
        <v>19</v>
      </c>
      <c r="I4335" t="s">
        <v>36</v>
      </c>
      <c r="J4335" t="s">
        <v>46</v>
      </c>
      <c r="K4335">
        <v>4</v>
      </c>
      <c r="L4335">
        <v>1.74</v>
      </c>
      <c r="M4335">
        <v>3.5</v>
      </c>
      <c r="N4335" t="s">
        <v>22</v>
      </c>
      <c r="O4335" t="str">
        <f t="shared" si="67"/>
        <v>No</v>
      </c>
    </row>
    <row r="4336" spans="1:15" x14ac:dyDescent="0.25">
      <c r="A4336" t="s">
        <v>4397</v>
      </c>
      <c r="B4336" s="1">
        <v>45823</v>
      </c>
      <c r="C4336" s="2">
        <v>45823.591249999998</v>
      </c>
      <c r="D4336" t="s">
        <v>24</v>
      </c>
      <c r="E4336" t="s">
        <v>32</v>
      </c>
      <c r="F4336" t="s">
        <v>75</v>
      </c>
      <c r="G4336" t="s">
        <v>51</v>
      </c>
      <c r="H4336" t="s">
        <v>54</v>
      </c>
      <c r="I4336" t="s">
        <v>45</v>
      </c>
      <c r="J4336" t="s">
        <v>21</v>
      </c>
      <c r="K4336">
        <v>24</v>
      </c>
      <c r="L4336">
        <v>14.19</v>
      </c>
      <c r="M4336">
        <v>4.5</v>
      </c>
      <c r="N4336" t="s">
        <v>22</v>
      </c>
      <c r="O4336" t="str">
        <f t="shared" si="67"/>
        <v>No</v>
      </c>
    </row>
    <row r="4337" spans="1:15" x14ac:dyDescent="0.25">
      <c r="A4337" t="s">
        <v>4398</v>
      </c>
      <c r="B4337" s="1">
        <v>45735</v>
      </c>
      <c r="C4337" s="2">
        <v>45737.723333333335</v>
      </c>
      <c r="D4337" t="s">
        <v>15</v>
      </c>
      <c r="E4337" t="s">
        <v>25</v>
      </c>
      <c r="F4337" t="s">
        <v>53</v>
      </c>
      <c r="G4337" t="s">
        <v>18</v>
      </c>
      <c r="H4337" t="s">
        <v>65</v>
      </c>
      <c r="I4337" t="s">
        <v>20</v>
      </c>
      <c r="J4337" t="s">
        <v>21</v>
      </c>
      <c r="K4337">
        <v>48</v>
      </c>
      <c r="L4337">
        <v>65.36</v>
      </c>
      <c r="M4337">
        <v>3.3</v>
      </c>
      <c r="N4337" t="s">
        <v>22</v>
      </c>
      <c r="O4337" t="str">
        <f t="shared" si="67"/>
        <v>Yes</v>
      </c>
    </row>
    <row r="4338" spans="1:15" x14ac:dyDescent="0.25">
      <c r="A4338" t="s">
        <v>4399</v>
      </c>
      <c r="B4338" s="1">
        <v>45795</v>
      </c>
      <c r="C4338" s="2">
        <v>45796.535416666666</v>
      </c>
      <c r="D4338" t="s">
        <v>15</v>
      </c>
      <c r="E4338" t="s">
        <v>16</v>
      </c>
      <c r="F4338" t="s">
        <v>17</v>
      </c>
      <c r="G4338" t="s">
        <v>41</v>
      </c>
      <c r="H4338" t="s">
        <v>35</v>
      </c>
      <c r="I4338" t="s">
        <v>36</v>
      </c>
      <c r="J4338" t="s">
        <v>85</v>
      </c>
      <c r="K4338">
        <v>48</v>
      </c>
      <c r="L4338">
        <v>36.85</v>
      </c>
      <c r="M4338">
        <v>4.5999999999999996</v>
      </c>
      <c r="N4338" t="s">
        <v>22</v>
      </c>
      <c r="O4338" t="str">
        <f t="shared" si="67"/>
        <v>No</v>
      </c>
    </row>
    <row r="4339" spans="1:15" x14ac:dyDescent="0.25">
      <c r="A4339" t="s">
        <v>4400</v>
      </c>
      <c r="B4339" s="1">
        <v>45717</v>
      </c>
      <c r="C4339" s="2">
        <v>45717.701249999998</v>
      </c>
      <c r="D4339" t="s">
        <v>24</v>
      </c>
      <c r="E4339" t="s">
        <v>45</v>
      </c>
      <c r="F4339" t="s">
        <v>112</v>
      </c>
      <c r="G4339" t="s">
        <v>51</v>
      </c>
      <c r="H4339" t="s">
        <v>35</v>
      </c>
      <c r="I4339" t="s">
        <v>45</v>
      </c>
      <c r="J4339" t="s">
        <v>85</v>
      </c>
      <c r="K4339">
        <v>24</v>
      </c>
      <c r="L4339">
        <v>16.829999999999998</v>
      </c>
      <c r="M4339">
        <v>3.7</v>
      </c>
      <c r="N4339" t="s">
        <v>22</v>
      </c>
      <c r="O4339" t="str">
        <f t="shared" si="67"/>
        <v>No</v>
      </c>
    </row>
    <row r="4340" spans="1:15" x14ac:dyDescent="0.25">
      <c r="A4340" t="s">
        <v>4401</v>
      </c>
      <c r="B4340" s="1">
        <v>45792</v>
      </c>
      <c r="C4340" s="2">
        <v>45792.08625</v>
      </c>
      <c r="D4340" t="s">
        <v>31</v>
      </c>
      <c r="E4340" t="s">
        <v>16</v>
      </c>
      <c r="F4340" t="s">
        <v>43</v>
      </c>
      <c r="G4340" t="s">
        <v>56</v>
      </c>
      <c r="H4340" t="s">
        <v>54</v>
      </c>
      <c r="I4340" t="s">
        <v>20</v>
      </c>
      <c r="J4340" t="s">
        <v>21</v>
      </c>
      <c r="K4340">
        <v>4</v>
      </c>
      <c r="L4340">
        <v>2.0699999999999998</v>
      </c>
      <c r="M4340">
        <v>4.3</v>
      </c>
      <c r="N4340" t="s">
        <v>61</v>
      </c>
      <c r="O4340" t="str">
        <f t="shared" si="67"/>
        <v>No</v>
      </c>
    </row>
    <row r="4341" spans="1:15" x14ac:dyDescent="0.25">
      <c r="A4341" t="s">
        <v>4402</v>
      </c>
      <c r="B4341" s="1">
        <v>45748</v>
      </c>
      <c r="C4341" s="2">
        <v>45748.486666666664</v>
      </c>
      <c r="D4341" t="s">
        <v>38</v>
      </c>
      <c r="E4341" t="s">
        <v>32</v>
      </c>
      <c r="F4341" t="s">
        <v>80</v>
      </c>
      <c r="G4341" t="s">
        <v>41</v>
      </c>
      <c r="H4341" t="s">
        <v>44</v>
      </c>
      <c r="I4341" t="s">
        <v>45</v>
      </c>
      <c r="J4341" t="s">
        <v>21</v>
      </c>
      <c r="K4341">
        <v>8</v>
      </c>
      <c r="L4341">
        <v>11.68</v>
      </c>
      <c r="M4341">
        <v>3.8</v>
      </c>
      <c r="N4341" t="s">
        <v>61</v>
      </c>
      <c r="O4341" t="str">
        <f t="shared" si="67"/>
        <v>Yes</v>
      </c>
    </row>
    <row r="4342" spans="1:15" x14ac:dyDescent="0.25">
      <c r="A4342" t="s">
        <v>4403</v>
      </c>
      <c r="B4342" s="1">
        <v>45667</v>
      </c>
      <c r="C4342" s="2">
        <v>45667.386250000003</v>
      </c>
      <c r="D4342" t="s">
        <v>24</v>
      </c>
      <c r="E4342" t="s">
        <v>45</v>
      </c>
      <c r="F4342" t="s">
        <v>112</v>
      </c>
      <c r="G4342" t="s">
        <v>56</v>
      </c>
      <c r="H4342" t="s">
        <v>65</v>
      </c>
      <c r="I4342" t="s">
        <v>28</v>
      </c>
      <c r="J4342" t="s">
        <v>21</v>
      </c>
      <c r="K4342">
        <v>24</v>
      </c>
      <c r="L4342">
        <v>9.27</v>
      </c>
      <c r="M4342">
        <v>3.7</v>
      </c>
      <c r="N4342" t="s">
        <v>22</v>
      </c>
      <c r="O4342" t="str">
        <f t="shared" si="67"/>
        <v>No</v>
      </c>
    </row>
    <row r="4343" spans="1:15" x14ac:dyDescent="0.25">
      <c r="A4343" t="s">
        <v>4404</v>
      </c>
      <c r="B4343" s="1">
        <v>45733</v>
      </c>
      <c r="C4343" s="2">
        <v>45733.057500000003</v>
      </c>
      <c r="D4343" t="s">
        <v>31</v>
      </c>
      <c r="E4343" t="s">
        <v>25</v>
      </c>
      <c r="F4343" t="s">
        <v>70</v>
      </c>
      <c r="G4343" t="s">
        <v>51</v>
      </c>
      <c r="H4343" t="s">
        <v>44</v>
      </c>
      <c r="I4343" t="s">
        <v>36</v>
      </c>
      <c r="J4343" t="s">
        <v>21</v>
      </c>
      <c r="K4343">
        <v>4</v>
      </c>
      <c r="L4343">
        <v>1.38</v>
      </c>
      <c r="M4343">
        <v>4.2</v>
      </c>
      <c r="N4343" t="s">
        <v>22</v>
      </c>
      <c r="O4343" t="str">
        <f t="shared" si="67"/>
        <v>No</v>
      </c>
    </row>
    <row r="4344" spans="1:15" x14ac:dyDescent="0.25">
      <c r="A4344" t="s">
        <v>4405</v>
      </c>
      <c r="B4344" s="1">
        <v>45742</v>
      </c>
      <c r="C4344" s="2">
        <v>45742.134166666663</v>
      </c>
      <c r="D4344" t="s">
        <v>38</v>
      </c>
      <c r="E4344" t="s">
        <v>16</v>
      </c>
      <c r="F4344" t="s">
        <v>58</v>
      </c>
      <c r="G4344" t="s">
        <v>56</v>
      </c>
      <c r="H4344" t="s">
        <v>19</v>
      </c>
      <c r="I4344" t="s">
        <v>28</v>
      </c>
      <c r="J4344" t="s">
        <v>85</v>
      </c>
      <c r="K4344">
        <v>8</v>
      </c>
      <c r="L4344">
        <v>3.22</v>
      </c>
      <c r="M4344">
        <v>5</v>
      </c>
      <c r="N4344" t="s">
        <v>22</v>
      </c>
      <c r="O4344" t="str">
        <f t="shared" si="67"/>
        <v>No</v>
      </c>
    </row>
    <row r="4345" spans="1:15" x14ac:dyDescent="0.25">
      <c r="A4345" t="s">
        <v>4406</v>
      </c>
      <c r="B4345" s="1">
        <v>45704</v>
      </c>
      <c r="C4345" s="2">
        <v>45704.814583333333</v>
      </c>
      <c r="D4345" t="s">
        <v>24</v>
      </c>
      <c r="E4345" t="s">
        <v>16</v>
      </c>
      <c r="F4345" t="s">
        <v>43</v>
      </c>
      <c r="G4345" t="s">
        <v>51</v>
      </c>
      <c r="H4345" t="s">
        <v>65</v>
      </c>
      <c r="I4345" t="s">
        <v>28</v>
      </c>
      <c r="J4345" t="s">
        <v>21</v>
      </c>
      <c r="K4345">
        <v>24</v>
      </c>
      <c r="L4345">
        <v>19.55</v>
      </c>
      <c r="M4345">
        <v>4</v>
      </c>
      <c r="N4345" t="s">
        <v>22</v>
      </c>
      <c r="O4345" t="str">
        <f t="shared" si="67"/>
        <v>No</v>
      </c>
    </row>
    <row r="4346" spans="1:15" x14ac:dyDescent="0.25">
      <c r="A4346" t="s">
        <v>4407</v>
      </c>
      <c r="B4346" s="1">
        <v>45725</v>
      </c>
      <c r="C4346" s="2">
        <v>45725.638749999998</v>
      </c>
      <c r="D4346" t="s">
        <v>24</v>
      </c>
      <c r="E4346" t="s">
        <v>39</v>
      </c>
      <c r="F4346" t="s">
        <v>87</v>
      </c>
      <c r="G4346" t="s">
        <v>56</v>
      </c>
      <c r="H4346" t="s">
        <v>27</v>
      </c>
      <c r="I4346" t="s">
        <v>36</v>
      </c>
      <c r="J4346" t="s">
        <v>21</v>
      </c>
      <c r="K4346">
        <v>24</v>
      </c>
      <c r="L4346">
        <v>15.33</v>
      </c>
      <c r="M4346">
        <v>4.0999999999999996</v>
      </c>
      <c r="N4346" t="s">
        <v>22</v>
      </c>
      <c r="O4346" t="str">
        <f t="shared" si="67"/>
        <v>No</v>
      </c>
    </row>
    <row r="4347" spans="1:15" x14ac:dyDescent="0.25">
      <c r="A4347" t="s">
        <v>4408</v>
      </c>
      <c r="B4347" s="1">
        <v>45748</v>
      </c>
      <c r="C4347" s="2">
        <v>45748.479583333334</v>
      </c>
      <c r="D4347" t="s">
        <v>15</v>
      </c>
      <c r="E4347" t="s">
        <v>16</v>
      </c>
      <c r="F4347" t="s">
        <v>58</v>
      </c>
      <c r="G4347" t="s">
        <v>18</v>
      </c>
      <c r="H4347" t="s">
        <v>19</v>
      </c>
      <c r="I4347" t="s">
        <v>36</v>
      </c>
      <c r="J4347" t="s">
        <v>29</v>
      </c>
      <c r="K4347">
        <v>48</v>
      </c>
      <c r="L4347">
        <v>11.51</v>
      </c>
      <c r="M4347">
        <v>4.7</v>
      </c>
      <c r="N4347" t="s">
        <v>22</v>
      </c>
      <c r="O4347" t="str">
        <f t="shared" si="67"/>
        <v>No</v>
      </c>
    </row>
    <row r="4348" spans="1:15" x14ac:dyDescent="0.25">
      <c r="A4348" t="s">
        <v>4409</v>
      </c>
      <c r="B4348" s="1">
        <v>45666</v>
      </c>
      <c r="C4348" s="2">
        <v>45667.769166666665</v>
      </c>
      <c r="D4348" t="s">
        <v>15</v>
      </c>
      <c r="E4348" t="s">
        <v>25</v>
      </c>
      <c r="F4348" t="s">
        <v>70</v>
      </c>
      <c r="G4348" t="s">
        <v>18</v>
      </c>
      <c r="H4348" t="s">
        <v>19</v>
      </c>
      <c r="I4348" t="s">
        <v>45</v>
      </c>
      <c r="J4348" t="s">
        <v>21</v>
      </c>
      <c r="K4348">
        <v>48</v>
      </c>
      <c r="L4348">
        <v>42.46</v>
      </c>
      <c r="M4348">
        <v>4.7</v>
      </c>
      <c r="N4348" t="s">
        <v>22</v>
      </c>
      <c r="O4348" t="str">
        <f t="shared" si="67"/>
        <v>No</v>
      </c>
    </row>
    <row r="4349" spans="1:15" x14ac:dyDescent="0.25">
      <c r="A4349" t="s">
        <v>4410</v>
      </c>
      <c r="B4349" s="1">
        <v>45685</v>
      </c>
      <c r="C4349" s="2">
        <v>45685.758750000001</v>
      </c>
      <c r="D4349" t="s">
        <v>24</v>
      </c>
      <c r="E4349" t="s">
        <v>16</v>
      </c>
      <c r="F4349" t="s">
        <v>60</v>
      </c>
      <c r="G4349" t="s">
        <v>18</v>
      </c>
      <c r="H4349" t="s">
        <v>65</v>
      </c>
      <c r="I4349" t="s">
        <v>20</v>
      </c>
      <c r="J4349" t="s">
        <v>85</v>
      </c>
      <c r="K4349">
        <v>24</v>
      </c>
      <c r="L4349">
        <v>18.21</v>
      </c>
      <c r="M4349">
        <v>4.0999999999999996</v>
      </c>
      <c r="N4349" t="s">
        <v>22</v>
      </c>
      <c r="O4349" t="str">
        <f t="shared" si="67"/>
        <v>No</v>
      </c>
    </row>
    <row r="4350" spans="1:15" x14ac:dyDescent="0.25">
      <c r="A4350" t="s">
        <v>4411</v>
      </c>
      <c r="B4350" s="1">
        <v>45796</v>
      </c>
      <c r="C4350" s="2">
        <v>45796.592916666668</v>
      </c>
      <c r="D4350" t="s">
        <v>15</v>
      </c>
      <c r="E4350" t="s">
        <v>32</v>
      </c>
      <c r="F4350" t="s">
        <v>64</v>
      </c>
      <c r="G4350" t="s">
        <v>34</v>
      </c>
      <c r="H4350" t="s">
        <v>19</v>
      </c>
      <c r="I4350" t="s">
        <v>36</v>
      </c>
      <c r="J4350" t="s">
        <v>21</v>
      </c>
      <c r="K4350">
        <v>48</v>
      </c>
      <c r="L4350">
        <v>14.23</v>
      </c>
      <c r="M4350">
        <v>4.7</v>
      </c>
      <c r="N4350" t="s">
        <v>61</v>
      </c>
      <c r="O4350" t="str">
        <f t="shared" si="67"/>
        <v>No</v>
      </c>
    </row>
    <row r="4351" spans="1:15" x14ac:dyDescent="0.25">
      <c r="A4351" t="s">
        <v>4412</v>
      </c>
      <c r="B4351" s="1">
        <v>45721</v>
      </c>
      <c r="C4351" s="2">
        <v>45721.112500000003</v>
      </c>
      <c r="D4351" t="s">
        <v>31</v>
      </c>
      <c r="E4351" t="s">
        <v>32</v>
      </c>
      <c r="F4351" t="s">
        <v>75</v>
      </c>
      <c r="G4351" t="s">
        <v>18</v>
      </c>
      <c r="H4351" t="s">
        <v>35</v>
      </c>
      <c r="I4351" t="s">
        <v>36</v>
      </c>
      <c r="J4351" t="s">
        <v>21</v>
      </c>
      <c r="K4351">
        <v>4</v>
      </c>
      <c r="L4351">
        <v>2.7</v>
      </c>
      <c r="M4351">
        <v>4.2</v>
      </c>
      <c r="N4351" t="s">
        <v>22</v>
      </c>
      <c r="O4351" t="str">
        <f t="shared" si="67"/>
        <v>No</v>
      </c>
    </row>
    <row r="4352" spans="1:15" x14ac:dyDescent="0.25">
      <c r="A4352" t="s">
        <v>4413</v>
      </c>
      <c r="B4352" s="1">
        <v>45768</v>
      </c>
      <c r="C4352" s="2">
        <v>45768.171666666669</v>
      </c>
      <c r="D4352" t="s">
        <v>31</v>
      </c>
      <c r="E4352" t="s">
        <v>32</v>
      </c>
      <c r="F4352" t="s">
        <v>33</v>
      </c>
      <c r="G4352" t="s">
        <v>51</v>
      </c>
      <c r="H4352" t="s">
        <v>54</v>
      </c>
      <c r="I4352" t="s">
        <v>20</v>
      </c>
      <c r="J4352" t="s">
        <v>85</v>
      </c>
      <c r="K4352">
        <v>4</v>
      </c>
      <c r="L4352">
        <v>4.12</v>
      </c>
      <c r="M4352">
        <v>2.7</v>
      </c>
      <c r="N4352" t="s">
        <v>22</v>
      </c>
      <c r="O4352" t="str">
        <f t="shared" si="67"/>
        <v>Yes</v>
      </c>
    </row>
    <row r="4353" spans="1:15" x14ac:dyDescent="0.25">
      <c r="A4353" t="s">
        <v>4414</v>
      </c>
      <c r="B4353" s="1">
        <v>45760</v>
      </c>
      <c r="C4353" s="2">
        <v>45760.42083333333</v>
      </c>
      <c r="D4353" t="s">
        <v>24</v>
      </c>
      <c r="E4353" t="s">
        <v>32</v>
      </c>
      <c r="F4353" t="s">
        <v>80</v>
      </c>
      <c r="G4353" t="s">
        <v>18</v>
      </c>
      <c r="H4353" t="s">
        <v>65</v>
      </c>
      <c r="I4353" t="s">
        <v>36</v>
      </c>
      <c r="J4353" t="s">
        <v>21</v>
      </c>
      <c r="K4353">
        <v>24</v>
      </c>
      <c r="L4353">
        <v>10.1</v>
      </c>
      <c r="M4353">
        <v>4.8</v>
      </c>
      <c r="N4353" t="s">
        <v>22</v>
      </c>
      <c r="O4353" t="str">
        <f t="shared" si="67"/>
        <v>No</v>
      </c>
    </row>
    <row r="4354" spans="1:15" x14ac:dyDescent="0.25">
      <c r="A4354" t="s">
        <v>4415</v>
      </c>
      <c r="B4354" s="1">
        <v>45757</v>
      </c>
      <c r="C4354" s="2">
        <v>45757.093333333331</v>
      </c>
      <c r="D4354" t="s">
        <v>24</v>
      </c>
      <c r="E4354" t="s">
        <v>39</v>
      </c>
      <c r="F4354" t="s">
        <v>78</v>
      </c>
      <c r="G4354" t="s">
        <v>56</v>
      </c>
      <c r="H4354" t="s">
        <v>35</v>
      </c>
      <c r="I4354" t="s">
        <v>45</v>
      </c>
      <c r="J4354" t="s">
        <v>46</v>
      </c>
      <c r="K4354">
        <v>24</v>
      </c>
      <c r="L4354">
        <v>2.2400000000000002</v>
      </c>
      <c r="M4354">
        <v>4.4000000000000004</v>
      </c>
      <c r="N4354" t="s">
        <v>22</v>
      </c>
      <c r="O4354" t="str">
        <f t="shared" si="67"/>
        <v>No</v>
      </c>
    </row>
    <row r="4355" spans="1:15" x14ac:dyDescent="0.25">
      <c r="A4355" t="s">
        <v>4416</v>
      </c>
      <c r="B4355" s="1">
        <v>45732</v>
      </c>
      <c r="C4355" s="2">
        <v>45732.482488425929</v>
      </c>
      <c r="D4355" t="s">
        <v>24</v>
      </c>
      <c r="E4355" t="s">
        <v>45</v>
      </c>
      <c r="F4355" t="s">
        <v>104</v>
      </c>
      <c r="G4355" t="s">
        <v>51</v>
      </c>
      <c r="H4355" t="s">
        <v>54</v>
      </c>
      <c r="I4355" t="s">
        <v>45</v>
      </c>
      <c r="J4355" t="s">
        <v>21</v>
      </c>
      <c r="K4355">
        <v>24</v>
      </c>
      <c r="L4355">
        <v>11.58</v>
      </c>
      <c r="M4355">
        <v>3.6</v>
      </c>
      <c r="N4355" t="s">
        <v>61</v>
      </c>
      <c r="O4355" t="str">
        <f t="shared" ref="O4355:O4418" si="68">IF(L4355&gt;K4355,"Yes","No")</f>
        <v>No</v>
      </c>
    </row>
    <row r="4356" spans="1:15" x14ac:dyDescent="0.25">
      <c r="A4356" t="s">
        <v>4417</v>
      </c>
      <c r="B4356" s="1">
        <v>45745</v>
      </c>
      <c r="C4356" s="2">
        <v>45745.800833333335</v>
      </c>
      <c r="D4356" t="s">
        <v>15</v>
      </c>
      <c r="E4356" t="s">
        <v>32</v>
      </c>
      <c r="F4356" t="s">
        <v>33</v>
      </c>
      <c r="G4356" t="s">
        <v>56</v>
      </c>
      <c r="H4356" t="s">
        <v>27</v>
      </c>
      <c r="I4356" t="s">
        <v>28</v>
      </c>
      <c r="J4356" t="s">
        <v>46</v>
      </c>
      <c r="K4356">
        <v>48</v>
      </c>
      <c r="L4356">
        <v>19.22</v>
      </c>
      <c r="M4356">
        <v>3.4</v>
      </c>
      <c r="N4356" t="s">
        <v>22</v>
      </c>
      <c r="O4356" t="str">
        <f t="shared" si="68"/>
        <v>No</v>
      </c>
    </row>
    <row r="4357" spans="1:15" x14ac:dyDescent="0.25">
      <c r="A4357" t="s">
        <v>4418</v>
      </c>
      <c r="B4357" s="1">
        <v>45807</v>
      </c>
      <c r="C4357" s="2">
        <v>45807.066250000003</v>
      </c>
      <c r="D4357" t="s">
        <v>24</v>
      </c>
      <c r="E4357" t="s">
        <v>39</v>
      </c>
      <c r="F4357" t="s">
        <v>119</v>
      </c>
      <c r="G4357" t="s">
        <v>51</v>
      </c>
      <c r="H4357" t="s">
        <v>54</v>
      </c>
      <c r="I4357" t="s">
        <v>36</v>
      </c>
      <c r="J4357" t="s">
        <v>21</v>
      </c>
      <c r="K4357">
        <v>24</v>
      </c>
      <c r="L4357">
        <v>1.59</v>
      </c>
      <c r="M4357">
        <v>3.9</v>
      </c>
      <c r="N4357" t="s">
        <v>22</v>
      </c>
      <c r="O4357" t="str">
        <f t="shared" si="68"/>
        <v>No</v>
      </c>
    </row>
    <row r="4358" spans="1:15" x14ac:dyDescent="0.25">
      <c r="A4358" t="s">
        <v>4419</v>
      </c>
      <c r="B4358" s="1">
        <v>45832</v>
      </c>
      <c r="C4358" s="2">
        <v>45832.701666666668</v>
      </c>
      <c r="D4358" t="s">
        <v>15</v>
      </c>
      <c r="E4358" t="s">
        <v>32</v>
      </c>
      <c r="F4358" t="s">
        <v>75</v>
      </c>
      <c r="G4358" t="s">
        <v>34</v>
      </c>
      <c r="H4358" t="s">
        <v>65</v>
      </c>
      <c r="I4358" t="s">
        <v>28</v>
      </c>
      <c r="J4358" t="s">
        <v>46</v>
      </c>
      <c r="K4358">
        <v>48</v>
      </c>
      <c r="L4358">
        <v>16.84</v>
      </c>
      <c r="M4358">
        <v>3.1</v>
      </c>
      <c r="N4358" t="s">
        <v>22</v>
      </c>
      <c r="O4358" t="str">
        <f t="shared" si="68"/>
        <v>No</v>
      </c>
    </row>
    <row r="4359" spans="1:15" x14ac:dyDescent="0.25">
      <c r="A4359" t="s">
        <v>4420</v>
      </c>
      <c r="B4359" s="1">
        <v>45704</v>
      </c>
      <c r="C4359" s="2">
        <v>45704.195833333331</v>
      </c>
      <c r="D4359" t="s">
        <v>24</v>
      </c>
      <c r="E4359" t="s">
        <v>16</v>
      </c>
      <c r="F4359" t="s">
        <v>43</v>
      </c>
      <c r="G4359" t="s">
        <v>34</v>
      </c>
      <c r="H4359" t="s">
        <v>54</v>
      </c>
      <c r="I4359" t="s">
        <v>45</v>
      </c>
      <c r="J4359" t="s">
        <v>85</v>
      </c>
      <c r="K4359">
        <v>24</v>
      </c>
      <c r="L4359">
        <v>4.7</v>
      </c>
      <c r="M4359">
        <v>4.0999999999999996</v>
      </c>
      <c r="N4359" t="s">
        <v>22</v>
      </c>
      <c r="O4359" t="str">
        <f t="shared" si="68"/>
        <v>No</v>
      </c>
    </row>
    <row r="4360" spans="1:15" x14ac:dyDescent="0.25">
      <c r="A4360" t="s">
        <v>4421</v>
      </c>
      <c r="B4360" s="1">
        <v>45779</v>
      </c>
      <c r="C4360" s="2">
        <v>45781.48541666667</v>
      </c>
      <c r="D4360" t="s">
        <v>15</v>
      </c>
      <c r="E4360" t="s">
        <v>16</v>
      </c>
      <c r="F4360" t="s">
        <v>17</v>
      </c>
      <c r="G4360" t="s">
        <v>34</v>
      </c>
      <c r="H4360" t="s">
        <v>44</v>
      </c>
      <c r="I4360" t="s">
        <v>28</v>
      </c>
      <c r="J4360" t="s">
        <v>21</v>
      </c>
      <c r="K4360">
        <v>48</v>
      </c>
      <c r="L4360">
        <v>59.65</v>
      </c>
      <c r="M4360">
        <v>3.2</v>
      </c>
      <c r="N4360" t="s">
        <v>22</v>
      </c>
      <c r="O4360" t="str">
        <f t="shared" si="68"/>
        <v>Yes</v>
      </c>
    </row>
    <row r="4361" spans="1:15" x14ac:dyDescent="0.25">
      <c r="A4361" t="s">
        <v>4422</v>
      </c>
      <c r="B4361" s="1">
        <v>45833</v>
      </c>
      <c r="C4361" s="2">
        <v>45835.504583333335</v>
      </c>
      <c r="D4361" t="s">
        <v>15</v>
      </c>
      <c r="E4361" t="s">
        <v>16</v>
      </c>
      <c r="F4361" t="s">
        <v>58</v>
      </c>
      <c r="G4361" t="s">
        <v>41</v>
      </c>
      <c r="H4361" t="s">
        <v>65</v>
      </c>
      <c r="I4361" t="s">
        <v>36</v>
      </c>
      <c r="J4361" t="s">
        <v>21</v>
      </c>
      <c r="K4361">
        <v>48</v>
      </c>
      <c r="L4361">
        <v>60.11</v>
      </c>
      <c r="M4361">
        <v>4.2</v>
      </c>
      <c r="N4361" t="s">
        <v>22</v>
      </c>
      <c r="O4361" t="str">
        <f t="shared" si="68"/>
        <v>Yes</v>
      </c>
    </row>
    <row r="4362" spans="1:15" x14ac:dyDescent="0.25">
      <c r="A4362" t="s">
        <v>4423</v>
      </c>
      <c r="B4362" s="1">
        <v>45659</v>
      </c>
      <c r="C4362" s="2">
        <v>45660.442083333335</v>
      </c>
      <c r="D4362" t="s">
        <v>15</v>
      </c>
      <c r="E4362" t="s">
        <v>45</v>
      </c>
      <c r="F4362" t="s">
        <v>104</v>
      </c>
      <c r="G4362" t="s">
        <v>51</v>
      </c>
      <c r="H4362" t="s">
        <v>27</v>
      </c>
      <c r="I4362" t="s">
        <v>45</v>
      </c>
      <c r="J4362" t="s">
        <v>46</v>
      </c>
      <c r="K4362">
        <v>48</v>
      </c>
      <c r="L4362">
        <v>34.61</v>
      </c>
      <c r="M4362">
        <v>4.2</v>
      </c>
      <c r="N4362" t="s">
        <v>22</v>
      </c>
      <c r="O4362" t="str">
        <f t="shared" si="68"/>
        <v>No</v>
      </c>
    </row>
    <row r="4363" spans="1:15" x14ac:dyDescent="0.25">
      <c r="A4363" t="s">
        <v>4424</v>
      </c>
      <c r="B4363" s="1">
        <v>45800</v>
      </c>
      <c r="C4363" s="2">
        <v>45800.153333333335</v>
      </c>
      <c r="D4363" t="s">
        <v>38</v>
      </c>
      <c r="E4363" t="s">
        <v>45</v>
      </c>
      <c r="F4363" t="s">
        <v>100</v>
      </c>
      <c r="G4363" t="s">
        <v>51</v>
      </c>
      <c r="H4363" t="s">
        <v>44</v>
      </c>
      <c r="I4363" t="s">
        <v>20</v>
      </c>
      <c r="J4363" t="s">
        <v>85</v>
      </c>
      <c r="K4363">
        <v>8</v>
      </c>
      <c r="L4363">
        <v>3.68</v>
      </c>
      <c r="M4363">
        <v>4.5999999999999996</v>
      </c>
      <c r="N4363" t="s">
        <v>22</v>
      </c>
      <c r="O4363" t="str">
        <f t="shared" si="68"/>
        <v>No</v>
      </c>
    </row>
    <row r="4364" spans="1:15" x14ac:dyDescent="0.25">
      <c r="A4364" t="s">
        <v>4425</v>
      </c>
      <c r="B4364" s="1">
        <v>45747</v>
      </c>
      <c r="C4364" s="2">
        <v>45747.767916666664</v>
      </c>
      <c r="D4364" t="s">
        <v>15</v>
      </c>
      <c r="E4364" t="s">
        <v>25</v>
      </c>
      <c r="F4364" t="s">
        <v>70</v>
      </c>
      <c r="G4364" t="s">
        <v>56</v>
      </c>
      <c r="H4364" t="s">
        <v>19</v>
      </c>
      <c r="I4364" t="s">
        <v>20</v>
      </c>
      <c r="J4364" t="s">
        <v>21</v>
      </c>
      <c r="K4364">
        <v>48</v>
      </c>
      <c r="L4364">
        <v>18.43</v>
      </c>
      <c r="M4364">
        <v>5</v>
      </c>
      <c r="N4364" t="s">
        <v>22</v>
      </c>
      <c r="O4364" t="str">
        <f t="shared" si="68"/>
        <v>No</v>
      </c>
    </row>
    <row r="4365" spans="1:15" x14ac:dyDescent="0.25">
      <c r="A4365" t="s">
        <v>4426</v>
      </c>
      <c r="B4365" s="1">
        <v>45833</v>
      </c>
      <c r="C4365" s="2">
        <v>45833.97625</v>
      </c>
      <c r="D4365" t="s">
        <v>24</v>
      </c>
      <c r="E4365" t="s">
        <v>25</v>
      </c>
      <c r="F4365" t="s">
        <v>53</v>
      </c>
      <c r="G4365" t="s">
        <v>18</v>
      </c>
      <c r="H4365" t="s">
        <v>19</v>
      </c>
      <c r="I4365" t="s">
        <v>36</v>
      </c>
      <c r="J4365" t="s">
        <v>85</v>
      </c>
      <c r="K4365">
        <v>24</v>
      </c>
      <c r="L4365">
        <v>23.43</v>
      </c>
      <c r="M4365">
        <v>2</v>
      </c>
      <c r="N4365" t="s">
        <v>22</v>
      </c>
      <c r="O4365" t="str">
        <f t="shared" si="68"/>
        <v>No</v>
      </c>
    </row>
    <row r="4366" spans="1:15" x14ac:dyDescent="0.25">
      <c r="A4366" t="s">
        <v>4427</v>
      </c>
      <c r="B4366" s="1">
        <v>45762</v>
      </c>
      <c r="C4366" s="2">
        <v>45762.433749999997</v>
      </c>
      <c r="D4366" t="s">
        <v>24</v>
      </c>
      <c r="E4366" t="s">
        <v>39</v>
      </c>
      <c r="F4366" t="s">
        <v>119</v>
      </c>
      <c r="G4366" t="s">
        <v>41</v>
      </c>
      <c r="H4366" t="s">
        <v>27</v>
      </c>
      <c r="I4366" t="s">
        <v>45</v>
      </c>
      <c r="J4366" t="s">
        <v>29</v>
      </c>
      <c r="K4366">
        <v>24</v>
      </c>
      <c r="L4366">
        <v>10.41</v>
      </c>
      <c r="M4366">
        <v>4.7</v>
      </c>
      <c r="N4366" t="s">
        <v>22</v>
      </c>
      <c r="O4366" t="str">
        <f t="shared" si="68"/>
        <v>No</v>
      </c>
    </row>
    <row r="4367" spans="1:15" x14ac:dyDescent="0.25">
      <c r="A4367" t="s">
        <v>4428</v>
      </c>
      <c r="B4367" s="1">
        <v>45809</v>
      </c>
      <c r="C4367" s="2">
        <v>45809.501666666663</v>
      </c>
      <c r="D4367" t="s">
        <v>24</v>
      </c>
      <c r="E4367" t="s">
        <v>16</v>
      </c>
      <c r="F4367" t="s">
        <v>17</v>
      </c>
      <c r="G4367" t="s">
        <v>34</v>
      </c>
      <c r="H4367" t="s">
        <v>54</v>
      </c>
      <c r="I4367" t="s">
        <v>36</v>
      </c>
      <c r="J4367" t="s">
        <v>46</v>
      </c>
      <c r="K4367">
        <v>24</v>
      </c>
      <c r="L4367">
        <v>12.04</v>
      </c>
      <c r="M4367">
        <v>4.5999999999999996</v>
      </c>
      <c r="N4367" t="s">
        <v>22</v>
      </c>
      <c r="O4367" t="str">
        <f t="shared" si="68"/>
        <v>No</v>
      </c>
    </row>
    <row r="4368" spans="1:15" x14ac:dyDescent="0.25">
      <c r="A4368" t="s">
        <v>4429</v>
      </c>
      <c r="B4368" s="1">
        <v>45688</v>
      </c>
      <c r="C4368" s="2">
        <v>45688.622083333335</v>
      </c>
      <c r="D4368" t="s">
        <v>24</v>
      </c>
      <c r="E4368" t="s">
        <v>39</v>
      </c>
      <c r="F4368" t="s">
        <v>87</v>
      </c>
      <c r="G4368" t="s">
        <v>34</v>
      </c>
      <c r="H4368" t="s">
        <v>65</v>
      </c>
      <c r="I4368" t="s">
        <v>36</v>
      </c>
      <c r="J4368" t="s">
        <v>21</v>
      </c>
      <c r="K4368">
        <v>24</v>
      </c>
      <c r="L4368">
        <v>14.93</v>
      </c>
      <c r="M4368">
        <v>4.8</v>
      </c>
      <c r="N4368" t="s">
        <v>22</v>
      </c>
      <c r="O4368" t="str">
        <f t="shared" si="68"/>
        <v>No</v>
      </c>
    </row>
    <row r="4369" spans="1:15" x14ac:dyDescent="0.25">
      <c r="A4369" t="s">
        <v>4430</v>
      </c>
      <c r="B4369" s="1">
        <v>45683</v>
      </c>
      <c r="C4369" s="2">
        <v>45685.894999999997</v>
      </c>
      <c r="D4369" t="s">
        <v>15</v>
      </c>
      <c r="E4369" t="s">
        <v>25</v>
      </c>
      <c r="F4369" t="s">
        <v>26</v>
      </c>
      <c r="G4369" t="s">
        <v>41</v>
      </c>
      <c r="H4369" t="s">
        <v>65</v>
      </c>
      <c r="I4369" t="s">
        <v>20</v>
      </c>
      <c r="J4369" t="s">
        <v>21</v>
      </c>
      <c r="K4369">
        <v>48</v>
      </c>
      <c r="L4369">
        <v>69.48</v>
      </c>
      <c r="M4369">
        <v>2.1</v>
      </c>
      <c r="N4369" t="s">
        <v>22</v>
      </c>
      <c r="O4369" t="str">
        <f t="shared" si="68"/>
        <v>Yes</v>
      </c>
    </row>
    <row r="4370" spans="1:15" x14ac:dyDescent="0.25">
      <c r="A4370" t="s">
        <v>4431</v>
      </c>
      <c r="B4370" s="1">
        <v>45825</v>
      </c>
      <c r="C4370" s="2">
        <v>45825.108749999999</v>
      </c>
      <c r="D4370" t="s">
        <v>24</v>
      </c>
      <c r="E4370" t="s">
        <v>32</v>
      </c>
      <c r="F4370" t="s">
        <v>33</v>
      </c>
      <c r="G4370" t="s">
        <v>56</v>
      </c>
      <c r="H4370" t="s">
        <v>19</v>
      </c>
      <c r="I4370" t="s">
        <v>28</v>
      </c>
      <c r="J4370" t="s">
        <v>46</v>
      </c>
      <c r="K4370">
        <v>24</v>
      </c>
      <c r="L4370">
        <v>2.61</v>
      </c>
      <c r="M4370">
        <v>4.5</v>
      </c>
      <c r="N4370" t="s">
        <v>22</v>
      </c>
      <c r="O4370" t="str">
        <f t="shared" si="68"/>
        <v>No</v>
      </c>
    </row>
    <row r="4371" spans="1:15" x14ac:dyDescent="0.25">
      <c r="A4371" t="s">
        <v>4432</v>
      </c>
      <c r="B4371" s="1">
        <v>45753</v>
      </c>
      <c r="C4371" s="2">
        <v>45753.304583333331</v>
      </c>
      <c r="D4371" t="s">
        <v>24</v>
      </c>
      <c r="E4371" t="s">
        <v>32</v>
      </c>
      <c r="F4371" t="s">
        <v>33</v>
      </c>
      <c r="G4371" t="s">
        <v>56</v>
      </c>
      <c r="H4371" t="s">
        <v>27</v>
      </c>
      <c r="I4371" t="s">
        <v>45</v>
      </c>
      <c r="J4371" t="s">
        <v>46</v>
      </c>
      <c r="K4371">
        <v>24</v>
      </c>
      <c r="L4371">
        <v>7.31</v>
      </c>
      <c r="M4371">
        <v>4</v>
      </c>
      <c r="N4371" t="s">
        <v>22</v>
      </c>
      <c r="O4371" t="str">
        <f t="shared" si="68"/>
        <v>No</v>
      </c>
    </row>
    <row r="4372" spans="1:15" x14ac:dyDescent="0.25">
      <c r="A4372" t="s">
        <v>4433</v>
      </c>
      <c r="B4372" s="1">
        <v>45759</v>
      </c>
      <c r="C4372" s="2">
        <v>45759.153333333335</v>
      </c>
      <c r="D4372" t="s">
        <v>24</v>
      </c>
      <c r="E4372" t="s">
        <v>32</v>
      </c>
      <c r="F4372" t="s">
        <v>33</v>
      </c>
      <c r="G4372" t="s">
        <v>41</v>
      </c>
      <c r="H4372" t="s">
        <v>19</v>
      </c>
      <c r="I4372" t="s">
        <v>36</v>
      </c>
      <c r="J4372" t="s">
        <v>21</v>
      </c>
      <c r="K4372">
        <v>24</v>
      </c>
      <c r="L4372">
        <v>3.68</v>
      </c>
      <c r="M4372">
        <v>4</v>
      </c>
      <c r="N4372" t="s">
        <v>22</v>
      </c>
      <c r="O4372" t="str">
        <f t="shared" si="68"/>
        <v>No</v>
      </c>
    </row>
    <row r="4373" spans="1:15" x14ac:dyDescent="0.25">
      <c r="A4373" t="s">
        <v>4434</v>
      </c>
      <c r="B4373" s="1">
        <v>45688</v>
      </c>
      <c r="C4373" s="2">
        <v>45688.706250000003</v>
      </c>
      <c r="D4373" t="s">
        <v>24</v>
      </c>
      <c r="E4373" t="s">
        <v>16</v>
      </c>
      <c r="F4373" t="s">
        <v>17</v>
      </c>
      <c r="G4373" t="s">
        <v>56</v>
      </c>
      <c r="H4373" t="s">
        <v>44</v>
      </c>
      <c r="I4373" t="s">
        <v>36</v>
      </c>
      <c r="J4373" t="s">
        <v>21</v>
      </c>
      <c r="K4373">
        <v>24</v>
      </c>
      <c r="L4373">
        <v>16.95</v>
      </c>
      <c r="M4373">
        <v>5</v>
      </c>
      <c r="N4373" t="s">
        <v>22</v>
      </c>
      <c r="O4373" t="str">
        <f t="shared" si="68"/>
        <v>No</v>
      </c>
    </row>
    <row r="4374" spans="1:15" x14ac:dyDescent="0.25">
      <c r="A4374" t="s">
        <v>4435</v>
      </c>
      <c r="B4374" s="1">
        <v>45699</v>
      </c>
      <c r="C4374" s="2">
        <v>45699.112500000003</v>
      </c>
      <c r="D4374" t="s">
        <v>24</v>
      </c>
      <c r="E4374" t="s">
        <v>16</v>
      </c>
      <c r="F4374" t="s">
        <v>17</v>
      </c>
      <c r="G4374" t="s">
        <v>34</v>
      </c>
      <c r="H4374" t="s">
        <v>44</v>
      </c>
      <c r="I4374" t="s">
        <v>36</v>
      </c>
      <c r="J4374" t="s">
        <v>46</v>
      </c>
      <c r="K4374">
        <v>24</v>
      </c>
      <c r="L4374">
        <v>2.7</v>
      </c>
      <c r="M4374">
        <v>4.5</v>
      </c>
      <c r="N4374" t="s">
        <v>22</v>
      </c>
      <c r="O4374" t="str">
        <f t="shared" si="68"/>
        <v>No</v>
      </c>
    </row>
    <row r="4375" spans="1:15" x14ac:dyDescent="0.25">
      <c r="A4375" t="s">
        <v>4436</v>
      </c>
      <c r="B4375" s="1">
        <v>45806</v>
      </c>
      <c r="C4375" s="2">
        <v>45806.263749999998</v>
      </c>
      <c r="D4375" t="s">
        <v>24</v>
      </c>
      <c r="E4375" t="s">
        <v>32</v>
      </c>
      <c r="F4375" t="s">
        <v>80</v>
      </c>
      <c r="G4375" t="s">
        <v>18</v>
      </c>
      <c r="H4375" t="s">
        <v>27</v>
      </c>
      <c r="I4375" t="s">
        <v>36</v>
      </c>
      <c r="J4375" t="s">
        <v>21</v>
      </c>
      <c r="K4375">
        <v>24</v>
      </c>
      <c r="L4375">
        <v>6.33</v>
      </c>
      <c r="M4375">
        <v>5</v>
      </c>
      <c r="N4375" t="s">
        <v>22</v>
      </c>
      <c r="O4375" t="str">
        <f t="shared" si="68"/>
        <v>No</v>
      </c>
    </row>
    <row r="4376" spans="1:15" x14ac:dyDescent="0.25">
      <c r="A4376" t="s">
        <v>4437</v>
      </c>
      <c r="B4376" s="1">
        <v>45712</v>
      </c>
      <c r="C4376" s="2">
        <v>45713.161666666667</v>
      </c>
      <c r="D4376" t="s">
        <v>15</v>
      </c>
      <c r="E4376" t="s">
        <v>16</v>
      </c>
      <c r="F4376" t="s">
        <v>17</v>
      </c>
      <c r="G4376" t="s">
        <v>51</v>
      </c>
      <c r="H4376" t="s">
        <v>35</v>
      </c>
      <c r="I4376" t="s">
        <v>20</v>
      </c>
      <c r="J4376" t="s">
        <v>21</v>
      </c>
      <c r="K4376">
        <v>48</v>
      </c>
      <c r="L4376">
        <v>27.88</v>
      </c>
      <c r="M4376">
        <v>4.8</v>
      </c>
      <c r="N4376" t="s">
        <v>22</v>
      </c>
      <c r="O4376" t="str">
        <f t="shared" si="68"/>
        <v>No</v>
      </c>
    </row>
    <row r="4377" spans="1:15" x14ac:dyDescent="0.25">
      <c r="A4377" t="s">
        <v>4438</v>
      </c>
      <c r="B4377" s="1">
        <v>45763</v>
      </c>
      <c r="C4377" s="2">
        <v>45763.879583333335</v>
      </c>
      <c r="D4377" t="s">
        <v>24</v>
      </c>
      <c r="E4377" t="s">
        <v>39</v>
      </c>
      <c r="F4377" t="s">
        <v>119</v>
      </c>
      <c r="G4377" t="s">
        <v>34</v>
      </c>
      <c r="H4377" t="s">
        <v>27</v>
      </c>
      <c r="I4377" t="s">
        <v>36</v>
      </c>
      <c r="J4377" t="s">
        <v>21</v>
      </c>
      <c r="K4377">
        <v>24</v>
      </c>
      <c r="L4377">
        <v>21.11</v>
      </c>
      <c r="M4377">
        <v>3</v>
      </c>
      <c r="N4377" t="s">
        <v>22</v>
      </c>
      <c r="O4377" t="str">
        <f t="shared" si="68"/>
        <v>No</v>
      </c>
    </row>
    <row r="4378" spans="1:15" x14ac:dyDescent="0.25">
      <c r="A4378" t="s">
        <v>4439</v>
      </c>
      <c r="B4378" s="1">
        <v>45715</v>
      </c>
      <c r="C4378" s="2">
        <v>45715.957083333335</v>
      </c>
      <c r="D4378" t="s">
        <v>15</v>
      </c>
      <c r="E4378" t="s">
        <v>25</v>
      </c>
      <c r="F4378" t="s">
        <v>48</v>
      </c>
      <c r="G4378" t="s">
        <v>56</v>
      </c>
      <c r="H4378" t="s">
        <v>19</v>
      </c>
      <c r="I4378" t="s">
        <v>36</v>
      </c>
      <c r="J4378" t="s">
        <v>21</v>
      </c>
      <c r="K4378">
        <v>48</v>
      </c>
      <c r="L4378">
        <v>22.97</v>
      </c>
      <c r="M4378">
        <v>4.0999999999999996</v>
      </c>
      <c r="N4378" t="s">
        <v>22</v>
      </c>
      <c r="O4378" t="str">
        <f t="shared" si="68"/>
        <v>No</v>
      </c>
    </row>
    <row r="4379" spans="1:15" x14ac:dyDescent="0.25">
      <c r="A4379" t="s">
        <v>4440</v>
      </c>
      <c r="B4379" s="1">
        <v>45705</v>
      </c>
      <c r="C4379" s="2">
        <v>45705.267916666664</v>
      </c>
      <c r="D4379" t="s">
        <v>24</v>
      </c>
      <c r="E4379" t="s">
        <v>32</v>
      </c>
      <c r="F4379" t="s">
        <v>75</v>
      </c>
      <c r="G4379" t="s">
        <v>41</v>
      </c>
      <c r="H4379" t="s">
        <v>44</v>
      </c>
      <c r="I4379" t="s">
        <v>20</v>
      </c>
      <c r="J4379" t="s">
        <v>21</v>
      </c>
      <c r="K4379">
        <v>24</v>
      </c>
      <c r="L4379">
        <v>6.43</v>
      </c>
      <c r="M4379">
        <v>4.7</v>
      </c>
      <c r="N4379" t="s">
        <v>22</v>
      </c>
      <c r="O4379" t="str">
        <f t="shared" si="68"/>
        <v>No</v>
      </c>
    </row>
    <row r="4380" spans="1:15" x14ac:dyDescent="0.25">
      <c r="A4380" t="s">
        <v>4441</v>
      </c>
      <c r="B4380" s="1">
        <v>45688</v>
      </c>
      <c r="C4380" s="2">
        <v>45688.396666666667</v>
      </c>
      <c r="D4380" t="s">
        <v>24</v>
      </c>
      <c r="E4380" t="s">
        <v>32</v>
      </c>
      <c r="F4380" t="s">
        <v>80</v>
      </c>
      <c r="G4380" t="s">
        <v>18</v>
      </c>
      <c r="H4380" t="s">
        <v>19</v>
      </c>
      <c r="I4380" t="s">
        <v>36</v>
      </c>
      <c r="J4380" t="s">
        <v>21</v>
      </c>
      <c r="K4380">
        <v>24</v>
      </c>
      <c r="L4380">
        <v>9.52</v>
      </c>
      <c r="M4380">
        <v>4.8</v>
      </c>
      <c r="N4380" t="s">
        <v>22</v>
      </c>
      <c r="O4380" t="str">
        <f t="shared" si="68"/>
        <v>No</v>
      </c>
    </row>
    <row r="4381" spans="1:15" x14ac:dyDescent="0.25">
      <c r="A4381" t="s">
        <v>4442</v>
      </c>
      <c r="B4381" s="1">
        <v>45826</v>
      </c>
      <c r="C4381" s="2">
        <v>45826.762499999997</v>
      </c>
      <c r="D4381" t="s">
        <v>15</v>
      </c>
      <c r="E4381" t="s">
        <v>16</v>
      </c>
      <c r="F4381" t="s">
        <v>17</v>
      </c>
      <c r="G4381" t="s">
        <v>41</v>
      </c>
      <c r="H4381" t="s">
        <v>27</v>
      </c>
      <c r="I4381" t="s">
        <v>36</v>
      </c>
      <c r="J4381" t="s">
        <v>46</v>
      </c>
      <c r="K4381">
        <v>48</v>
      </c>
      <c r="L4381">
        <v>18.3</v>
      </c>
      <c r="M4381">
        <v>4.8</v>
      </c>
      <c r="N4381" t="s">
        <v>22</v>
      </c>
      <c r="O4381" t="str">
        <f t="shared" si="68"/>
        <v>No</v>
      </c>
    </row>
    <row r="4382" spans="1:15" x14ac:dyDescent="0.25">
      <c r="A4382" t="s">
        <v>4443</v>
      </c>
      <c r="B4382" s="1">
        <v>45828</v>
      </c>
      <c r="C4382" s="2">
        <v>45829.929166666669</v>
      </c>
      <c r="D4382" t="s">
        <v>15</v>
      </c>
      <c r="E4382" t="s">
        <v>16</v>
      </c>
      <c r="F4382" t="s">
        <v>60</v>
      </c>
      <c r="G4382" t="s">
        <v>18</v>
      </c>
      <c r="H4382" t="s">
        <v>65</v>
      </c>
      <c r="I4382" t="s">
        <v>45</v>
      </c>
      <c r="J4382" t="s">
        <v>46</v>
      </c>
      <c r="K4382">
        <v>48</v>
      </c>
      <c r="L4382">
        <v>46.3</v>
      </c>
      <c r="M4382">
        <v>5</v>
      </c>
      <c r="N4382" t="s">
        <v>22</v>
      </c>
      <c r="O4382" t="str">
        <f t="shared" si="68"/>
        <v>No</v>
      </c>
    </row>
    <row r="4383" spans="1:15" x14ac:dyDescent="0.25">
      <c r="A4383" t="s">
        <v>4444</v>
      </c>
      <c r="B4383" s="1">
        <v>45678</v>
      </c>
      <c r="C4383" s="2">
        <v>45678.292916666665</v>
      </c>
      <c r="D4383" t="s">
        <v>24</v>
      </c>
      <c r="E4383" t="s">
        <v>25</v>
      </c>
      <c r="F4383" t="s">
        <v>53</v>
      </c>
      <c r="G4383" t="s">
        <v>51</v>
      </c>
      <c r="H4383" t="s">
        <v>54</v>
      </c>
      <c r="I4383" t="s">
        <v>36</v>
      </c>
      <c r="J4383" t="s">
        <v>21</v>
      </c>
      <c r="K4383">
        <v>24</v>
      </c>
      <c r="L4383">
        <v>7.03</v>
      </c>
      <c r="M4383">
        <v>5</v>
      </c>
      <c r="N4383" t="s">
        <v>22</v>
      </c>
      <c r="O4383" t="str">
        <f t="shared" si="68"/>
        <v>No</v>
      </c>
    </row>
    <row r="4384" spans="1:15" x14ac:dyDescent="0.25">
      <c r="A4384" t="s">
        <v>4445</v>
      </c>
      <c r="B4384" s="1">
        <v>45721</v>
      </c>
      <c r="C4384" s="2">
        <v>45721.923333333332</v>
      </c>
      <c r="D4384" t="s">
        <v>24</v>
      </c>
      <c r="E4384" t="s">
        <v>16</v>
      </c>
      <c r="F4384" t="s">
        <v>60</v>
      </c>
      <c r="G4384" t="s">
        <v>18</v>
      </c>
      <c r="H4384" t="s">
        <v>35</v>
      </c>
      <c r="I4384" t="s">
        <v>45</v>
      </c>
      <c r="J4384" t="s">
        <v>21</v>
      </c>
      <c r="K4384">
        <v>24</v>
      </c>
      <c r="L4384">
        <v>22.16</v>
      </c>
      <c r="M4384">
        <v>4.3</v>
      </c>
      <c r="N4384" t="s">
        <v>22</v>
      </c>
      <c r="O4384" t="str">
        <f t="shared" si="68"/>
        <v>No</v>
      </c>
    </row>
    <row r="4385" spans="1:15" x14ac:dyDescent="0.25">
      <c r="A4385" t="s">
        <v>4446</v>
      </c>
      <c r="B4385" s="1">
        <v>45760</v>
      </c>
      <c r="C4385" s="2">
        <v>45760.157083333332</v>
      </c>
      <c r="D4385" t="s">
        <v>38</v>
      </c>
      <c r="E4385" t="s">
        <v>45</v>
      </c>
      <c r="F4385" t="s">
        <v>112</v>
      </c>
      <c r="G4385" t="s">
        <v>56</v>
      </c>
      <c r="H4385" t="s">
        <v>19</v>
      </c>
      <c r="I4385" t="s">
        <v>45</v>
      </c>
      <c r="J4385" t="s">
        <v>46</v>
      </c>
      <c r="K4385">
        <v>8</v>
      </c>
      <c r="L4385">
        <v>3.77</v>
      </c>
      <c r="M4385">
        <v>5</v>
      </c>
      <c r="N4385" t="s">
        <v>22</v>
      </c>
      <c r="O4385" t="str">
        <f t="shared" si="68"/>
        <v>No</v>
      </c>
    </row>
    <row r="4386" spans="1:15" x14ac:dyDescent="0.25">
      <c r="A4386" t="s">
        <v>4447</v>
      </c>
      <c r="B4386" s="1">
        <v>45727</v>
      </c>
      <c r="C4386" s="2">
        <v>45727.362083333333</v>
      </c>
      <c r="D4386" t="s">
        <v>38</v>
      </c>
      <c r="E4386" t="s">
        <v>39</v>
      </c>
      <c r="F4386" t="s">
        <v>78</v>
      </c>
      <c r="G4386" t="s">
        <v>34</v>
      </c>
      <c r="H4386" t="s">
        <v>44</v>
      </c>
      <c r="I4386" t="s">
        <v>45</v>
      </c>
      <c r="J4386" t="s">
        <v>21</v>
      </c>
      <c r="K4386">
        <v>8</v>
      </c>
      <c r="L4386">
        <v>8.69</v>
      </c>
      <c r="M4386">
        <v>4.5999999999999996</v>
      </c>
      <c r="N4386" t="s">
        <v>22</v>
      </c>
      <c r="O4386" t="str">
        <f t="shared" si="68"/>
        <v>Yes</v>
      </c>
    </row>
    <row r="4387" spans="1:15" x14ac:dyDescent="0.25">
      <c r="A4387" t="s">
        <v>4448</v>
      </c>
      <c r="B4387" s="1">
        <v>45788</v>
      </c>
      <c r="C4387" s="2">
        <v>45788.091666666667</v>
      </c>
      <c r="D4387" t="s">
        <v>31</v>
      </c>
      <c r="E4387" t="s">
        <v>39</v>
      </c>
      <c r="F4387" t="s">
        <v>119</v>
      </c>
      <c r="G4387" t="s">
        <v>18</v>
      </c>
      <c r="H4387" t="s">
        <v>35</v>
      </c>
      <c r="I4387" t="s">
        <v>36</v>
      </c>
      <c r="J4387" t="s">
        <v>85</v>
      </c>
      <c r="K4387">
        <v>4</v>
      </c>
      <c r="L4387">
        <v>2.2000000000000002</v>
      </c>
      <c r="M4387">
        <v>3.9</v>
      </c>
      <c r="N4387" t="s">
        <v>61</v>
      </c>
      <c r="O4387" t="str">
        <f t="shared" si="68"/>
        <v>No</v>
      </c>
    </row>
    <row r="4388" spans="1:15" x14ac:dyDescent="0.25">
      <c r="A4388" t="s">
        <v>4449</v>
      </c>
      <c r="B4388" s="1">
        <v>45705</v>
      </c>
      <c r="C4388" s="2">
        <v>45705.322916666664</v>
      </c>
      <c r="D4388" t="s">
        <v>24</v>
      </c>
      <c r="E4388" t="s">
        <v>45</v>
      </c>
      <c r="F4388" t="s">
        <v>50</v>
      </c>
      <c r="G4388" t="s">
        <v>34</v>
      </c>
      <c r="H4388" t="s">
        <v>65</v>
      </c>
      <c r="I4388" t="s">
        <v>36</v>
      </c>
      <c r="J4388" t="s">
        <v>46</v>
      </c>
      <c r="K4388">
        <v>24</v>
      </c>
      <c r="L4388">
        <v>7.75</v>
      </c>
      <c r="M4388">
        <v>3.6</v>
      </c>
      <c r="N4388" t="s">
        <v>22</v>
      </c>
      <c r="O4388" t="str">
        <f t="shared" si="68"/>
        <v>No</v>
      </c>
    </row>
    <row r="4389" spans="1:15" x14ac:dyDescent="0.25">
      <c r="A4389" t="s">
        <v>4450</v>
      </c>
      <c r="B4389" s="1">
        <v>45668</v>
      </c>
      <c r="C4389" s="2">
        <v>45670.144999999997</v>
      </c>
      <c r="D4389" t="s">
        <v>15</v>
      </c>
      <c r="E4389" t="s">
        <v>32</v>
      </c>
      <c r="F4389" t="s">
        <v>80</v>
      </c>
      <c r="G4389" t="s">
        <v>18</v>
      </c>
      <c r="H4389" t="s">
        <v>54</v>
      </c>
      <c r="I4389" t="s">
        <v>45</v>
      </c>
      <c r="J4389" t="s">
        <v>85</v>
      </c>
      <c r="K4389">
        <v>48</v>
      </c>
      <c r="L4389">
        <v>51.48</v>
      </c>
      <c r="M4389">
        <v>3.3</v>
      </c>
      <c r="N4389" t="s">
        <v>22</v>
      </c>
      <c r="O4389" t="str">
        <f t="shared" si="68"/>
        <v>Yes</v>
      </c>
    </row>
    <row r="4390" spans="1:15" x14ac:dyDescent="0.25">
      <c r="A4390" t="s">
        <v>4451</v>
      </c>
      <c r="B4390" s="1">
        <v>45718</v>
      </c>
      <c r="C4390" s="2">
        <v>45719.916666666664</v>
      </c>
      <c r="D4390" t="s">
        <v>24</v>
      </c>
      <c r="E4390" t="s">
        <v>25</v>
      </c>
      <c r="F4390" t="s">
        <v>53</v>
      </c>
      <c r="G4390" t="s">
        <v>51</v>
      </c>
      <c r="H4390" t="s">
        <v>27</v>
      </c>
      <c r="I4390" t="s">
        <v>36</v>
      </c>
      <c r="J4390" t="s">
        <v>46</v>
      </c>
      <c r="K4390">
        <v>24</v>
      </c>
      <c r="L4390">
        <v>46</v>
      </c>
      <c r="M4390">
        <v>1.8</v>
      </c>
      <c r="N4390" t="s">
        <v>22</v>
      </c>
      <c r="O4390" t="str">
        <f t="shared" si="68"/>
        <v>Yes</v>
      </c>
    </row>
    <row r="4391" spans="1:15" x14ac:dyDescent="0.25">
      <c r="A4391" t="s">
        <v>4452</v>
      </c>
      <c r="B4391" s="1">
        <v>45766</v>
      </c>
      <c r="C4391" s="2">
        <v>45766.578333333331</v>
      </c>
      <c r="D4391" t="s">
        <v>24</v>
      </c>
      <c r="E4391" t="s">
        <v>32</v>
      </c>
      <c r="F4391" t="s">
        <v>75</v>
      </c>
      <c r="G4391" t="s">
        <v>41</v>
      </c>
      <c r="H4391" t="s">
        <v>35</v>
      </c>
      <c r="I4391" t="s">
        <v>36</v>
      </c>
      <c r="J4391" t="s">
        <v>85</v>
      </c>
      <c r="K4391">
        <v>24</v>
      </c>
      <c r="L4391">
        <v>13.88</v>
      </c>
      <c r="M4391">
        <v>3.7</v>
      </c>
      <c r="N4391" t="s">
        <v>22</v>
      </c>
      <c r="O4391" t="str">
        <f t="shared" si="68"/>
        <v>No</v>
      </c>
    </row>
    <row r="4392" spans="1:15" x14ac:dyDescent="0.25">
      <c r="A4392" t="s">
        <v>4453</v>
      </c>
      <c r="B4392" s="1">
        <v>45690</v>
      </c>
      <c r="C4392" s="2">
        <v>45690.972500000003</v>
      </c>
      <c r="D4392" t="s">
        <v>24</v>
      </c>
      <c r="E4392" t="s">
        <v>16</v>
      </c>
      <c r="F4392" t="s">
        <v>60</v>
      </c>
      <c r="G4392" t="s">
        <v>18</v>
      </c>
      <c r="H4392" t="s">
        <v>27</v>
      </c>
      <c r="I4392" t="s">
        <v>36</v>
      </c>
      <c r="J4392" t="s">
        <v>46</v>
      </c>
      <c r="K4392">
        <v>24</v>
      </c>
      <c r="L4392">
        <v>23.34</v>
      </c>
      <c r="M4392">
        <v>3.9</v>
      </c>
      <c r="N4392" t="s">
        <v>22</v>
      </c>
      <c r="O4392" t="str">
        <f t="shared" si="68"/>
        <v>No</v>
      </c>
    </row>
    <row r="4393" spans="1:15" x14ac:dyDescent="0.25">
      <c r="A4393" t="s">
        <v>4454</v>
      </c>
      <c r="B4393" s="1">
        <v>45805</v>
      </c>
      <c r="C4393" s="2">
        <v>45805.559583333335</v>
      </c>
      <c r="D4393" t="s">
        <v>24</v>
      </c>
      <c r="E4393" t="s">
        <v>32</v>
      </c>
      <c r="F4393" t="s">
        <v>64</v>
      </c>
      <c r="G4393" t="s">
        <v>34</v>
      </c>
      <c r="H4393" t="s">
        <v>65</v>
      </c>
      <c r="I4393" t="s">
        <v>36</v>
      </c>
      <c r="J4393" t="s">
        <v>21</v>
      </c>
      <c r="K4393">
        <v>24</v>
      </c>
      <c r="L4393">
        <v>13.43</v>
      </c>
      <c r="M4393">
        <v>4</v>
      </c>
      <c r="N4393" t="s">
        <v>22</v>
      </c>
      <c r="O4393" t="str">
        <f t="shared" si="68"/>
        <v>No</v>
      </c>
    </row>
    <row r="4394" spans="1:15" x14ac:dyDescent="0.25">
      <c r="A4394" t="s">
        <v>4455</v>
      </c>
      <c r="B4394" s="1">
        <v>45660</v>
      </c>
      <c r="C4394" s="2">
        <v>45660.567083333335</v>
      </c>
      <c r="D4394" t="s">
        <v>15</v>
      </c>
      <c r="E4394" t="s">
        <v>16</v>
      </c>
      <c r="F4394" t="s">
        <v>43</v>
      </c>
      <c r="G4394" t="s">
        <v>56</v>
      </c>
      <c r="H4394" t="s">
        <v>27</v>
      </c>
      <c r="I4394" t="s">
        <v>36</v>
      </c>
      <c r="J4394" t="s">
        <v>46</v>
      </c>
      <c r="K4394">
        <v>48</v>
      </c>
      <c r="L4394">
        <v>13.61</v>
      </c>
      <c r="M4394">
        <v>5</v>
      </c>
      <c r="N4394" t="s">
        <v>22</v>
      </c>
      <c r="O4394" t="str">
        <f t="shared" si="68"/>
        <v>No</v>
      </c>
    </row>
    <row r="4395" spans="1:15" x14ac:dyDescent="0.25">
      <c r="A4395" t="s">
        <v>4456</v>
      </c>
      <c r="B4395" s="1">
        <v>45670</v>
      </c>
      <c r="C4395" s="2">
        <v>45672.23541666667</v>
      </c>
      <c r="D4395" t="s">
        <v>15</v>
      </c>
      <c r="E4395" t="s">
        <v>25</v>
      </c>
      <c r="F4395" t="s">
        <v>48</v>
      </c>
      <c r="G4395" t="s">
        <v>56</v>
      </c>
      <c r="H4395" t="s">
        <v>35</v>
      </c>
      <c r="I4395" t="s">
        <v>28</v>
      </c>
      <c r="J4395" t="s">
        <v>21</v>
      </c>
      <c r="K4395">
        <v>48</v>
      </c>
      <c r="L4395">
        <v>53.65</v>
      </c>
      <c r="M4395">
        <v>3.9</v>
      </c>
      <c r="N4395" t="s">
        <v>22</v>
      </c>
      <c r="O4395" t="str">
        <f t="shared" si="68"/>
        <v>Yes</v>
      </c>
    </row>
    <row r="4396" spans="1:15" x14ac:dyDescent="0.25">
      <c r="A4396" t="s">
        <v>4457</v>
      </c>
      <c r="B4396" s="1">
        <v>45750</v>
      </c>
      <c r="C4396" s="2">
        <v>45750.354166666664</v>
      </c>
      <c r="D4396" t="s">
        <v>15</v>
      </c>
      <c r="E4396" t="s">
        <v>32</v>
      </c>
      <c r="F4396" t="s">
        <v>64</v>
      </c>
      <c r="G4396" t="s">
        <v>56</v>
      </c>
      <c r="H4396" t="s">
        <v>19</v>
      </c>
      <c r="I4396" t="s">
        <v>45</v>
      </c>
      <c r="J4396" t="s">
        <v>21</v>
      </c>
      <c r="K4396">
        <v>48</v>
      </c>
      <c r="L4396">
        <v>8.5</v>
      </c>
      <c r="M4396">
        <v>5</v>
      </c>
      <c r="N4396" t="s">
        <v>22</v>
      </c>
      <c r="O4396" t="str">
        <f t="shared" si="68"/>
        <v>No</v>
      </c>
    </row>
    <row r="4397" spans="1:15" x14ac:dyDescent="0.25">
      <c r="A4397" t="s">
        <v>4458</v>
      </c>
      <c r="B4397" s="1">
        <v>45750</v>
      </c>
      <c r="C4397" s="2">
        <v>45750.307500000003</v>
      </c>
      <c r="D4397" t="s">
        <v>15</v>
      </c>
      <c r="E4397" t="s">
        <v>32</v>
      </c>
      <c r="F4397" t="s">
        <v>75</v>
      </c>
      <c r="G4397" t="s">
        <v>18</v>
      </c>
      <c r="H4397" t="s">
        <v>44</v>
      </c>
      <c r="I4397" t="s">
        <v>45</v>
      </c>
      <c r="J4397" t="s">
        <v>21</v>
      </c>
      <c r="K4397">
        <v>48</v>
      </c>
      <c r="L4397">
        <v>7.38</v>
      </c>
      <c r="M4397">
        <v>4</v>
      </c>
      <c r="N4397" t="s">
        <v>22</v>
      </c>
      <c r="O4397" t="str">
        <f t="shared" si="68"/>
        <v>No</v>
      </c>
    </row>
    <row r="4398" spans="1:15" x14ac:dyDescent="0.25">
      <c r="A4398" t="s">
        <v>4459</v>
      </c>
      <c r="B4398" s="1">
        <v>45711</v>
      </c>
      <c r="C4398" s="2">
        <v>45711.375833333332</v>
      </c>
      <c r="D4398" t="s">
        <v>38</v>
      </c>
      <c r="E4398" t="s">
        <v>39</v>
      </c>
      <c r="F4398" t="s">
        <v>78</v>
      </c>
      <c r="G4398" t="s">
        <v>34</v>
      </c>
      <c r="H4398" t="s">
        <v>54</v>
      </c>
      <c r="I4398" t="s">
        <v>36</v>
      </c>
      <c r="J4398" t="s">
        <v>46</v>
      </c>
      <c r="K4398">
        <v>8</v>
      </c>
      <c r="L4398">
        <v>9.02</v>
      </c>
      <c r="M4398">
        <v>3.1</v>
      </c>
      <c r="N4398" t="s">
        <v>22</v>
      </c>
      <c r="O4398" t="str">
        <f t="shared" si="68"/>
        <v>Yes</v>
      </c>
    </row>
    <row r="4399" spans="1:15" x14ac:dyDescent="0.25">
      <c r="A4399" t="s">
        <v>4460</v>
      </c>
      <c r="B4399" s="1">
        <v>45704</v>
      </c>
      <c r="C4399" s="2">
        <v>45704.819166666668</v>
      </c>
      <c r="D4399" t="s">
        <v>15</v>
      </c>
      <c r="E4399" t="s">
        <v>32</v>
      </c>
      <c r="F4399" t="s">
        <v>33</v>
      </c>
      <c r="G4399" t="s">
        <v>18</v>
      </c>
      <c r="H4399" t="s">
        <v>44</v>
      </c>
      <c r="I4399" t="s">
        <v>36</v>
      </c>
      <c r="J4399" t="s">
        <v>46</v>
      </c>
      <c r="K4399">
        <v>48</v>
      </c>
      <c r="L4399">
        <v>19.66</v>
      </c>
      <c r="M4399">
        <v>3.3</v>
      </c>
      <c r="N4399" t="s">
        <v>22</v>
      </c>
      <c r="O4399" t="str">
        <f t="shared" si="68"/>
        <v>No</v>
      </c>
    </row>
    <row r="4400" spans="1:15" x14ac:dyDescent="0.25">
      <c r="A4400" t="s">
        <v>4461</v>
      </c>
      <c r="B4400" s="1">
        <v>45670</v>
      </c>
      <c r="C4400" s="2">
        <v>45670.198750000003</v>
      </c>
      <c r="D4400" t="s">
        <v>24</v>
      </c>
      <c r="E4400" t="s">
        <v>39</v>
      </c>
      <c r="F4400" t="s">
        <v>40</v>
      </c>
      <c r="G4400" t="s">
        <v>41</v>
      </c>
      <c r="H4400" t="s">
        <v>54</v>
      </c>
      <c r="I4400" t="s">
        <v>20</v>
      </c>
      <c r="J4400" t="s">
        <v>29</v>
      </c>
      <c r="K4400">
        <v>24</v>
      </c>
      <c r="L4400">
        <v>4.7699999999999996</v>
      </c>
      <c r="M4400">
        <v>5</v>
      </c>
      <c r="N4400" t="s">
        <v>22</v>
      </c>
      <c r="O4400" t="str">
        <f t="shared" si="68"/>
        <v>No</v>
      </c>
    </row>
    <row r="4401" spans="1:15" x14ac:dyDescent="0.25">
      <c r="A4401" t="s">
        <v>4462</v>
      </c>
      <c r="B4401" s="1">
        <v>45777</v>
      </c>
      <c r="C4401" s="2">
        <v>45777.497916666667</v>
      </c>
      <c r="D4401" t="s">
        <v>38</v>
      </c>
      <c r="E4401" t="s">
        <v>45</v>
      </c>
      <c r="F4401" t="s">
        <v>104</v>
      </c>
      <c r="G4401" t="s">
        <v>34</v>
      </c>
      <c r="H4401" t="s">
        <v>54</v>
      </c>
      <c r="I4401" t="s">
        <v>20</v>
      </c>
      <c r="J4401" t="s">
        <v>21</v>
      </c>
      <c r="K4401">
        <v>8</v>
      </c>
      <c r="L4401">
        <v>11.95</v>
      </c>
      <c r="M4401">
        <v>4.5</v>
      </c>
      <c r="N4401" t="s">
        <v>22</v>
      </c>
      <c r="O4401" t="str">
        <f t="shared" si="68"/>
        <v>Yes</v>
      </c>
    </row>
    <row r="4402" spans="1:15" x14ac:dyDescent="0.25">
      <c r="A4402" t="s">
        <v>4463</v>
      </c>
      <c r="B4402" s="1">
        <v>45726</v>
      </c>
      <c r="C4402" s="2">
        <v>45726.845833333333</v>
      </c>
      <c r="D4402" t="s">
        <v>24</v>
      </c>
      <c r="E4402" t="s">
        <v>32</v>
      </c>
      <c r="F4402" t="s">
        <v>64</v>
      </c>
      <c r="G4402" t="s">
        <v>41</v>
      </c>
      <c r="H4402" t="s">
        <v>19</v>
      </c>
      <c r="I4402" t="s">
        <v>28</v>
      </c>
      <c r="J4402" t="s">
        <v>85</v>
      </c>
      <c r="K4402">
        <v>24</v>
      </c>
      <c r="L4402">
        <v>20.3</v>
      </c>
      <c r="M4402">
        <v>4.0999999999999996</v>
      </c>
      <c r="N4402" t="s">
        <v>22</v>
      </c>
      <c r="O4402" t="str">
        <f t="shared" si="68"/>
        <v>No</v>
      </c>
    </row>
    <row r="4403" spans="1:15" x14ac:dyDescent="0.25">
      <c r="A4403" t="s">
        <v>4464</v>
      </c>
      <c r="B4403" s="1">
        <v>45679</v>
      </c>
      <c r="C4403" s="2">
        <v>45679.479166666664</v>
      </c>
      <c r="D4403" t="s">
        <v>24</v>
      </c>
      <c r="E4403" t="s">
        <v>39</v>
      </c>
      <c r="F4403" t="s">
        <v>78</v>
      </c>
      <c r="G4403" t="s">
        <v>34</v>
      </c>
      <c r="H4403" t="s">
        <v>65</v>
      </c>
      <c r="I4403" t="s">
        <v>36</v>
      </c>
      <c r="J4403" t="s">
        <v>46</v>
      </c>
      <c r="K4403">
        <v>24</v>
      </c>
      <c r="L4403">
        <v>11.5</v>
      </c>
      <c r="M4403">
        <v>4.5999999999999996</v>
      </c>
      <c r="N4403" t="s">
        <v>22</v>
      </c>
      <c r="O4403" t="str">
        <f t="shared" si="68"/>
        <v>No</v>
      </c>
    </row>
    <row r="4404" spans="1:15" x14ac:dyDescent="0.25">
      <c r="A4404" t="s">
        <v>4465</v>
      </c>
      <c r="B4404" s="1">
        <v>45730</v>
      </c>
      <c r="C4404" s="2">
        <v>45730.66</v>
      </c>
      <c r="D4404" t="s">
        <v>24</v>
      </c>
      <c r="E4404" t="s">
        <v>39</v>
      </c>
      <c r="F4404" t="s">
        <v>40</v>
      </c>
      <c r="G4404" t="s">
        <v>18</v>
      </c>
      <c r="H4404" t="s">
        <v>35</v>
      </c>
      <c r="I4404" t="s">
        <v>36</v>
      </c>
      <c r="J4404" t="s">
        <v>21</v>
      </c>
      <c r="K4404">
        <v>24</v>
      </c>
      <c r="L4404">
        <v>15.84</v>
      </c>
      <c r="M4404">
        <v>3.9</v>
      </c>
      <c r="N4404" t="s">
        <v>22</v>
      </c>
      <c r="O4404" t="str">
        <f t="shared" si="68"/>
        <v>No</v>
      </c>
    </row>
    <row r="4405" spans="1:15" x14ac:dyDescent="0.25">
      <c r="A4405" t="s">
        <v>4466</v>
      </c>
      <c r="B4405" s="1">
        <v>45827</v>
      </c>
      <c r="C4405" s="2">
        <v>45827.604166666664</v>
      </c>
      <c r="D4405" t="s">
        <v>24</v>
      </c>
      <c r="E4405" t="s">
        <v>39</v>
      </c>
      <c r="F4405" t="s">
        <v>119</v>
      </c>
      <c r="G4405" t="s">
        <v>41</v>
      </c>
      <c r="H4405" t="s">
        <v>35</v>
      </c>
      <c r="I4405" t="s">
        <v>20</v>
      </c>
      <c r="J4405" t="s">
        <v>21</v>
      </c>
      <c r="K4405">
        <v>24</v>
      </c>
      <c r="L4405">
        <v>14.5</v>
      </c>
      <c r="M4405">
        <v>4.0999999999999996</v>
      </c>
      <c r="N4405" t="s">
        <v>22</v>
      </c>
      <c r="O4405" t="str">
        <f t="shared" si="68"/>
        <v>No</v>
      </c>
    </row>
    <row r="4406" spans="1:15" x14ac:dyDescent="0.25">
      <c r="A4406" t="s">
        <v>4467</v>
      </c>
      <c r="B4406" s="1">
        <v>45705</v>
      </c>
      <c r="C4406" s="2">
        <v>45705.83625</v>
      </c>
      <c r="D4406" t="s">
        <v>24</v>
      </c>
      <c r="E4406" t="s">
        <v>32</v>
      </c>
      <c r="F4406" t="s">
        <v>64</v>
      </c>
      <c r="G4406" t="s">
        <v>18</v>
      </c>
      <c r="H4406" t="s">
        <v>54</v>
      </c>
      <c r="I4406" t="s">
        <v>36</v>
      </c>
      <c r="J4406" t="s">
        <v>21</v>
      </c>
      <c r="K4406">
        <v>24</v>
      </c>
      <c r="L4406">
        <v>20.07</v>
      </c>
      <c r="M4406">
        <v>4.8</v>
      </c>
      <c r="N4406" t="s">
        <v>22</v>
      </c>
      <c r="O4406" t="str">
        <f t="shared" si="68"/>
        <v>No</v>
      </c>
    </row>
    <row r="4407" spans="1:15" x14ac:dyDescent="0.25">
      <c r="A4407" t="s">
        <v>4468</v>
      </c>
      <c r="B4407" s="1">
        <v>45819</v>
      </c>
      <c r="C4407" s="2">
        <v>45819.154999999999</v>
      </c>
      <c r="D4407" t="s">
        <v>38</v>
      </c>
      <c r="E4407" t="s">
        <v>16</v>
      </c>
      <c r="F4407" t="s">
        <v>58</v>
      </c>
      <c r="G4407" t="s">
        <v>51</v>
      </c>
      <c r="H4407" t="s">
        <v>54</v>
      </c>
      <c r="I4407" t="s">
        <v>36</v>
      </c>
      <c r="J4407" t="s">
        <v>21</v>
      </c>
      <c r="K4407">
        <v>8</v>
      </c>
      <c r="L4407">
        <v>3.72</v>
      </c>
      <c r="M4407">
        <v>4.5</v>
      </c>
      <c r="N4407" t="s">
        <v>22</v>
      </c>
      <c r="O4407" t="str">
        <f t="shared" si="68"/>
        <v>No</v>
      </c>
    </row>
    <row r="4408" spans="1:15" x14ac:dyDescent="0.25">
      <c r="A4408" t="s">
        <v>4469</v>
      </c>
      <c r="B4408" s="1">
        <v>45704</v>
      </c>
      <c r="C4408" s="2">
        <v>45704.29583333333</v>
      </c>
      <c r="D4408" t="s">
        <v>38</v>
      </c>
      <c r="E4408" t="s">
        <v>16</v>
      </c>
      <c r="F4408" t="s">
        <v>43</v>
      </c>
      <c r="G4408" t="s">
        <v>56</v>
      </c>
      <c r="H4408" t="s">
        <v>54</v>
      </c>
      <c r="I4408" t="s">
        <v>36</v>
      </c>
      <c r="J4408" t="s">
        <v>46</v>
      </c>
      <c r="K4408">
        <v>8</v>
      </c>
      <c r="L4408">
        <v>7.1</v>
      </c>
      <c r="M4408">
        <v>4.4000000000000004</v>
      </c>
      <c r="N4408" t="s">
        <v>22</v>
      </c>
      <c r="O4408" t="str">
        <f t="shared" si="68"/>
        <v>No</v>
      </c>
    </row>
    <row r="4409" spans="1:15" x14ac:dyDescent="0.25">
      <c r="A4409" t="s">
        <v>4470</v>
      </c>
      <c r="B4409" s="1">
        <v>45691</v>
      </c>
      <c r="C4409" s="2">
        <v>45691.191250000003</v>
      </c>
      <c r="D4409" t="s">
        <v>38</v>
      </c>
      <c r="E4409" t="s">
        <v>25</v>
      </c>
      <c r="F4409" t="s">
        <v>48</v>
      </c>
      <c r="G4409" t="s">
        <v>41</v>
      </c>
      <c r="H4409" t="s">
        <v>44</v>
      </c>
      <c r="I4409" t="s">
        <v>36</v>
      </c>
      <c r="J4409" t="s">
        <v>21</v>
      </c>
      <c r="K4409">
        <v>8</v>
      </c>
      <c r="L4409">
        <v>4.59</v>
      </c>
      <c r="M4409">
        <v>5</v>
      </c>
      <c r="N4409" t="s">
        <v>22</v>
      </c>
      <c r="O4409" t="str">
        <f t="shared" si="68"/>
        <v>No</v>
      </c>
    </row>
    <row r="4410" spans="1:15" x14ac:dyDescent="0.25">
      <c r="A4410" t="s">
        <v>4471</v>
      </c>
      <c r="B4410" s="1">
        <v>45705</v>
      </c>
      <c r="C4410" s="2">
        <v>45705.020833333336</v>
      </c>
      <c r="D4410" t="s">
        <v>31</v>
      </c>
      <c r="E4410" t="s">
        <v>39</v>
      </c>
      <c r="F4410" t="s">
        <v>119</v>
      </c>
      <c r="G4410" t="s">
        <v>18</v>
      </c>
      <c r="H4410" t="s">
        <v>35</v>
      </c>
      <c r="I4410" t="s">
        <v>20</v>
      </c>
      <c r="J4410" t="s">
        <v>21</v>
      </c>
      <c r="K4410">
        <v>4</v>
      </c>
      <c r="L4410">
        <v>0.5</v>
      </c>
      <c r="M4410">
        <v>5</v>
      </c>
      <c r="N4410" t="s">
        <v>22</v>
      </c>
      <c r="O4410" t="str">
        <f t="shared" si="68"/>
        <v>No</v>
      </c>
    </row>
    <row r="4411" spans="1:15" x14ac:dyDescent="0.25">
      <c r="A4411" t="s">
        <v>4472</v>
      </c>
      <c r="B4411" s="1">
        <v>45716</v>
      </c>
      <c r="C4411" s="2">
        <v>45716.338333333333</v>
      </c>
      <c r="D4411" t="s">
        <v>24</v>
      </c>
      <c r="E4411" t="s">
        <v>16</v>
      </c>
      <c r="F4411" t="s">
        <v>43</v>
      </c>
      <c r="G4411" t="s">
        <v>18</v>
      </c>
      <c r="H4411" t="s">
        <v>27</v>
      </c>
      <c r="I4411" t="s">
        <v>20</v>
      </c>
      <c r="J4411" t="s">
        <v>46</v>
      </c>
      <c r="K4411">
        <v>24</v>
      </c>
      <c r="L4411">
        <v>8.1199999999999992</v>
      </c>
      <c r="M4411">
        <v>4.5999999999999996</v>
      </c>
      <c r="N4411" t="s">
        <v>61</v>
      </c>
      <c r="O4411" t="str">
        <f t="shared" si="68"/>
        <v>No</v>
      </c>
    </row>
    <row r="4412" spans="1:15" x14ac:dyDescent="0.25">
      <c r="A4412" t="s">
        <v>4473</v>
      </c>
      <c r="B4412" s="1">
        <v>45679</v>
      </c>
      <c r="C4412" s="2">
        <v>45679.259166666663</v>
      </c>
      <c r="D4412" t="s">
        <v>38</v>
      </c>
      <c r="E4412" t="s">
        <v>45</v>
      </c>
      <c r="F4412" t="s">
        <v>104</v>
      </c>
      <c r="G4412" t="s">
        <v>51</v>
      </c>
      <c r="H4412" t="s">
        <v>44</v>
      </c>
      <c r="I4412" t="s">
        <v>45</v>
      </c>
      <c r="J4412" t="s">
        <v>21</v>
      </c>
      <c r="K4412">
        <v>8</v>
      </c>
      <c r="L4412">
        <v>6.22</v>
      </c>
      <c r="M4412">
        <v>4.0999999999999996</v>
      </c>
      <c r="N4412" t="s">
        <v>22</v>
      </c>
      <c r="O4412" t="str">
        <f t="shared" si="68"/>
        <v>No</v>
      </c>
    </row>
    <row r="4413" spans="1:15" x14ac:dyDescent="0.25">
      <c r="A4413" t="s">
        <v>4474</v>
      </c>
      <c r="B4413" s="1">
        <v>45764</v>
      </c>
      <c r="C4413" s="2">
        <v>45764.15</v>
      </c>
      <c r="D4413" t="s">
        <v>24</v>
      </c>
      <c r="E4413" t="s">
        <v>25</v>
      </c>
      <c r="F4413" t="s">
        <v>48</v>
      </c>
      <c r="G4413" t="s">
        <v>34</v>
      </c>
      <c r="H4413" t="s">
        <v>54</v>
      </c>
      <c r="I4413" t="s">
        <v>36</v>
      </c>
      <c r="J4413" t="s">
        <v>29</v>
      </c>
      <c r="K4413">
        <v>24</v>
      </c>
      <c r="L4413">
        <v>3.6</v>
      </c>
      <c r="M4413">
        <v>4.5999999999999996</v>
      </c>
      <c r="N4413" t="s">
        <v>22</v>
      </c>
      <c r="O4413" t="str">
        <f t="shared" si="68"/>
        <v>No</v>
      </c>
    </row>
    <row r="4414" spans="1:15" x14ac:dyDescent="0.25">
      <c r="A4414" t="s">
        <v>4475</v>
      </c>
      <c r="B4414" s="1">
        <v>45718</v>
      </c>
      <c r="C4414" s="2">
        <v>45718.574166666665</v>
      </c>
      <c r="D4414" t="s">
        <v>24</v>
      </c>
      <c r="E4414" t="s">
        <v>45</v>
      </c>
      <c r="F4414" t="s">
        <v>100</v>
      </c>
      <c r="G4414" t="s">
        <v>18</v>
      </c>
      <c r="H4414" t="s">
        <v>19</v>
      </c>
      <c r="I4414" t="s">
        <v>20</v>
      </c>
      <c r="J4414" t="s">
        <v>21</v>
      </c>
      <c r="K4414">
        <v>24</v>
      </c>
      <c r="L4414">
        <v>13.78</v>
      </c>
      <c r="M4414">
        <v>4.5999999999999996</v>
      </c>
      <c r="N4414" t="s">
        <v>22</v>
      </c>
      <c r="O4414" t="str">
        <f t="shared" si="68"/>
        <v>No</v>
      </c>
    </row>
    <row r="4415" spans="1:15" x14ac:dyDescent="0.25">
      <c r="A4415" t="s">
        <v>4476</v>
      </c>
      <c r="B4415" s="1">
        <v>45787</v>
      </c>
      <c r="C4415" s="2">
        <v>45787.136666666665</v>
      </c>
      <c r="D4415" t="s">
        <v>38</v>
      </c>
      <c r="E4415" t="s">
        <v>32</v>
      </c>
      <c r="F4415" t="s">
        <v>33</v>
      </c>
      <c r="G4415" t="s">
        <v>34</v>
      </c>
      <c r="H4415" t="s">
        <v>35</v>
      </c>
      <c r="I4415" t="s">
        <v>45</v>
      </c>
      <c r="J4415" t="s">
        <v>21</v>
      </c>
      <c r="K4415">
        <v>8</v>
      </c>
      <c r="L4415">
        <v>3.28</v>
      </c>
      <c r="M4415">
        <v>4.2</v>
      </c>
      <c r="N4415" t="s">
        <v>22</v>
      </c>
      <c r="O4415" t="str">
        <f t="shared" si="68"/>
        <v>No</v>
      </c>
    </row>
    <row r="4416" spans="1:15" x14ac:dyDescent="0.25">
      <c r="A4416" t="s">
        <v>4477</v>
      </c>
      <c r="B4416" s="1">
        <v>45746</v>
      </c>
      <c r="C4416" s="2">
        <v>45746.504166666666</v>
      </c>
      <c r="D4416" t="s">
        <v>38</v>
      </c>
      <c r="E4416" t="s">
        <v>45</v>
      </c>
      <c r="F4416" t="s">
        <v>50</v>
      </c>
      <c r="G4416" t="s">
        <v>56</v>
      </c>
      <c r="H4416" t="s">
        <v>65</v>
      </c>
      <c r="I4416" t="s">
        <v>20</v>
      </c>
      <c r="J4416" t="s">
        <v>29</v>
      </c>
      <c r="K4416">
        <v>8</v>
      </c>
      <c r="L4416">
        <v>12.1</v>
      </c>
      <c r="M4416">
        <v>3.4</v>
      </c>
      <c r="N4416" t="s">
        <v>22</v>
      </c>
      <c r="O4416" t="str">
        <f t="shared" si="68"/>
        <v>Yes</v>
      </c>
    </row>
    <row r="4417" spans="1:15" x14ac:dyDescent="0.25">
      <c r="A4417" t="s">
        <v>4478</v>
      </c>
      <c r="B4417" s="1">
        <v>45738</v>
      </c>
      <c r="C4417" s="2">
        <v>45738.302916666667</v>
      </c>
      <c r="D4417" t="s">
        <v>38</v>
      </c>
      <c r="E4417" t="s">
        <v>25</v>
      </c>
      <c r="F4417" t="s">
        <v>70</v>
      </c>
      <c r="G4417" t="s">
        <v>41</v>
      </c>
      <c r="H4417" t="s">
        <v>35</v>
      </c>
      <c r="I4417" t="s">
        <v>45</v>
      </c>
      <c r="J4417" t="s">
        <v>21</v>
      </c>
      <c r="K4417">
        <v>8</v>
      </c>
      <c r="L4417">
        <v>7.27</v>
      </c>
      <c r="M4417">
        <v>4.5999999999999996</v>
      </c>
      <c r="N4417" t="s">
        <v>22</v>
      </c>
      <c r="O4417" t="str">
        <f t="shared" si="68"/>
        <v>No</v>
      </c>
    </row>
    <row r="4418" spans="1:15" x14ac:dyDescent="0.25">
      <c r="A4418" t="s">
        <v>4479</v>
      </c>
      <c r="B4418" s="1">
        <v>45743</v>
      </c>
      <c r="C4418" s="2">
        <v>45743.157916666663</v>
      </c>
      <c r="D4418" t="s">
        <v>24</v>
      </c>
      <c r="E4418" t="s">
        <v>25</v>
      </c>
      <c r="F4418" t="s">
        <v>70</v>
      </c>
      <c r="G4418" t="s">
        <v>18</v>
      </c>
      <c r="H4418" t="s">
        <v>19</v>
      </c>
      <c r="I4418" t="s">
        <v>28</v>
      </c>
      <c r="J4418" t="s">
        <v>21</v>
      </c>
      <c r="K4418">
        <v>24</v>
      </c>
      <c r="L4418">
        <v>3.79</v>
      </c>
      <c r="M4418">
        <v>3.7</v>
      </c>
      <c r="N4418" t="s">
        <v>22</v>
      </c>
      <c r="O4418" t="str">
        <f t="shared" si="68"/>
        <v>No</v>
      </c>
    </row>
    <row r="4419" spans="1:15" x14ac:dyDescent="0.25">
      <c r="A4419" t="s">
        <v>4480</v>
      </c>
      <c r="B4419" s="1">
        <v>45686</v>
      </c>
      <c r="C4419" s="2">
        <v>45686.805</v>
      </c>
      <c r="D4419" t="s">
        <v>24</v>
      </c>
      <c r="E4419" t="s">
        <v>16</v>
      </c>
      <c r="F4419" t="s">
        <v>58</v>
      </c>
      <c r="G4419" t="s">
        <v>34</v>
      </c>
      <c r="H4419" t="s">
        <v>65</v>
      </c>
      <c r="I4419" t="s">
        <v>36</v>
      </c>
      <c r="J4419" t="s">
        <v>85</v>
      </c>
      <c r="K4419">
        <v>24</v>
      </c>
      <c r="L4419">
        <v>19.32</v>
      </c>
      <c r="M4419">
        <v>2.8</v>
      </c>
      <c r="N4419" t="s">
        <v>22</v>
      </c>
      <c r="O4419" t="str">
        <f t="shared" ref="O4419:O4482" si="69">IF(L4419&gt;K4419,"Yes","No")</f>
        <v>No</v>
      </c>
    </row>
    <row r="4420" spans="1:15" x14ac:dyDescent="0.25">
      <c r="A4420" t="s">
        <v>4481</v>
      </c>
      <c r="B4420" s="1">
        <v>45787</v>
      </c>
      <c r="C4420" s="2">
        <v>45787.807916666665</v>
      </c>
      <c r="D4420" t="s">
        <v>15</v>
      </c>
      <c r="E4420" t="s">
        <v>45</v>
      </c>
      <c r="F4420" t="s">
        <v>104</v>
      </c>
      <c r="G4420" t="s">
        <v>34</v>
      </c>
      <c r="H4420" t="s">
        <v>54</v>
      </c>
      <c r="I4420" t="s">
        <v>45</v>
      </c>
      <c r="J4420" t="s">
        <v>21</v>
      </c>
      <c r="K4420">
        <v>48</v>
      </c>
      <c r="L4420">
        <v>19.39</v>
      </c>
      <c r="M4420">
        <v>4.5</v>
      </c>
      <c r="N4420" t="s">
        <v>22</v>
      </c>
      <c r="O4420" t="str">
        <f t="shared" si="69"/>
        <v>No</v>
      </c>
    </row>
    <row r="4421" spans="1:15" x14ac:dyDescent="0.25">
      <c r="A4421" t="s">
        <v>4482</v>
      </c>
      <c r="B4421" s="1">
        <v>45676</v>
      </c>
      <c r="C4421" s="2">
        <v>45676.537499999999</v>
      </c>
      <c r="D4421" t="s">
        <v>24</v>
      </c>
      <c r="E4421" t="s">
        <v>39</v>
      </c>
      <c r="F4421" t="s">
        <v>119</v>
      </c>
      <c r="G4421" t="s">
        <v>51</v>
      </c>
      <c r="H4421" t="s">
        <v>19</v>
      </c>
      <c r="I4421" t="s">
        <v>20</v>
      </c>
      <c r="J4421" t="s">
        <v>29</v>
      </c>
      <c r="K4421">
        <v>24</v>
      </c>
      <c r="L4421">
        <v>12.9</v>
      </c>
      <c r="M4421">
        <v>4.8</v>
      </c>
      <c r="N4421" t="s">
        <v>22</v>
      </c>
      <c r="O4421" t="str">
        <f t="shared" si="69"/>
        <v>No</v>
      </c>
    </row>
    <row r="4422" spans="1:15" x14ac:dyDescent="0.25">
      <c r="A4422" t="s">
        <v>4483</v>
      </c>
      <c r="B4422" s="1">
        <v>45788</v>
      </c>
      <c r="C4422" s="2">
        <v>45788.135833333334</v>
      </c>
      <c r="D4422" t="s">
        <v>38</v>
      </c>
      <c r="E4422" t="s">
        <v>25</v>
      </c>
      <c r="F4422" t="s">
        <v>53</v>
      </c>
      <c r="G4422" t="s">
        <v>18</v>
      </c>
      <c r="H4422" t="s">
        <v>44</v>
      </c>
      <c r="I4422" t="s">
        <v>20</v>
      </c>
      <c r="J4422" t="s">
        <v>85</v>
      </c>
      <c r="K4422">
        <v>8</v>
      </c>
      <c r="L4422">
        <v>3.26</v>
      </c>
      <c r="M4422">
        <v>4.7</v>
      </c>
      <c r="N4422" t="s">
        <v>22</v>
      </c>
      <c r="O4422" t="str">
        <f t="shared" si="69"/>
        <v>No</v>
      </c>
    </row>
    <row r="4423" spans="1:15" x14ac:dyDescent="0.25">
      <c r="A4423" t="s">
        <v>4484</v>
      </c>
      <c r="B4423" s="1">
        <v>45838</v>
      </c>
      <c r="C4423" s="2">
        <v>45838.514999999999</v>
      </c>
      <c r="D4423" t="s">
        <v>38</v>
      </c>
      <c r="E4423" t="s">
        <v>16</v>
      </c>
      <c r="F4423" t="s">
        <v>43</v>
      </c>
      <c r="G4423" t="s">
        <v>51</v>
      </c>
      <c r="H4423" t="s">
        <v>27</v>
      </c>
      <c r="I4423" t="s">
        <v>28</v>
      </c>
      <c r="J4423" t="s">
        <v>21</v>
      </c>
      <c r="K4423">
        <v>8</v>
      </c>
      <c r="L4423">
        <v>12.36</v>
      </c>
      <c r="M4423">
        <v>2.4</v>
      </c>
      <c r="N4423" t="s">
        <v>22</v>
      </c>
      <c r="O4423" t="str">
        <f t="shared" si="69"/>
        <v>Yes</v>
      </c>
    </row>
    <row r="4424" spans="1:15" x14ac:dyDescent="0.25">
      <c r="A4424" t="s">
        <v>4485</v>
      </c>
      <c r="B4424" s="1">
        <v>45796</v>
      </c>
      <c r="C4424" s="2">
        <v>45797.46166666667</v>
      </c>
      <c r="D4424" t="s">
        <v>24</v>
      </c>
      <c r="E4424" t="s">
        <v>25</v>
      </c>
      <c r="F4424" t="s">
        <v>53</v>
      </c>
      <c r="G4424" t="s">
        <v>51</v>
      </c>
      <c r="H4424" t="s">
        <v>27</v>
      </c>
      <c r="I4424" t="s">
        <v>36</v>
      </c>
      <c r="J4424" t="s">
        <v>46</v>
      </c>
      <c r="K4424">
        <v>24</v>
      </c>
      <c r="L4424">
        <v>35.08</v>
      </c>
      <c r="M4424">
        <v>3.8</v>
      </c>
      <c r="N4424" t="s">
        <v>22</v>
      </c>
      <c r="O4424" t="str">
        <f t="shared" si="69"/>
        <v>Yes</v>
      </c>
    </row>
    <row r="4425" spans="1:15" x14ac:dyDescent="0.25">
      <c r="A4425" t="s">
        <v>4486</v>
      </c>
      <c r="B4425" s="1">
        <v>45740</v>
      </c>
      <c r="C4425" s="2">
        <v>45740.291250000002</v>
      </c>
      <c r="D4425" t="s">
        <v>24</v>
      </c>
      <c r="E4425" t="s">
        <v>25</v>
      </c>
      <c r="F4425" t="s">
        <v>26</v>
      </c>
      <c r="G4425" t="s">
        <v>51</v>
      </c>
      <c r="H4425" t="s">
        <v>44</v>
      </c>
      <c r="I4425" t="s">
        <v>45</v>
      </c>
      <c r="J4425" t="s">
        <v>46</v>
      </c>
      <c r="K4425">
        <v>24</v>
      </c>
      <c r="L4425">
        <v>6.99</v>
      </c>
      <c r="M4425">
        <v>5</v>
      </c>
      <c r="N4425" t="s">
        <v>22</v>
      </c>
      <c r="O4425" t="str">
        <f t="shared" si="69"/>
        <v>No</v>
      </c>
    </row>
    <row r="4426" spans="1:15" x14ac:dyDescent="0.25">
      <c r="A4426" t="s">
        <v>4487</v>
      </c>
      <c r="B4426" s="1">
        <v>45714</v>
      </c>
      <c r="C4426" s="2">
        <v>45715.085416666669</v>
      </c>
      <c r="D4426" t="s">
        <v>24</v>
      </c>
      <c r="E4426" t="s">
        <v>32</v>
      </c>
      <c r="F4426" t="s">
        <v>33</v>
      </c>
      <c r="G4426" t="s">
        <v>56</v>
      </c>
      <c r="H4426" t="s">
        <v>65</v>
      </c>
      <c r="I4426" t="s">
        <v>36</v>
      </c>
      <c r="J4426" t="s">
        <v>85</v>
      </c>
      <c r="K4426">
        <v>24</v>
      </c>
      <c r="L4426">
        <v>26.05</v>
      </c>
      <c r="M4426">
        <v>3.1</v>
      </c>
      <c r="N4426" t="s">
        <v>22</v>
      </c>
      <c r="O4426" t="str">
        <f t="shared" si="69"/>
        <v>Yes</v>
      </c>
    </row>
    <row r="4427" spans="1:15" x14ac:dyDescent="0.25">
      <c r="A4427" t="s">
        <v>4488</v>
      </c>
      <c r="B4427" s="1">
        <v>45815</v>
      </c>
      <c r="C4427" s="2">
        <v>45815.662083333336</v>
      </c>
      <c r="D4427" t="s">
        <v>15</v>
      </c>
      <c r="E4427" t="s">
        <v>39</v>
      </c>
      <c r="F4427" t="s">
        <v>78</v>
      </c>
      <c r="G4427" t="s">
        <v>56</v>
      </c>
      <c r="H4427" t="s">
        <v>54</v>
      </c>
      <c r="I4427" t="s">
        <v>45</v>
      </c>
      <c r="J4427" t="s">
        <v>21</v>
      </c>
      <c r="K4427">
        <v>48</v>
      </c>
      <c r="L4427">
        <v>15.89</v>
      </c>
      <c r="M4427">
        <v>4.0999999999999996</v>
      </c>
      <c r="N4427" t="s">
        <v>22</v>
      </c>
      <c r="O4427" t="str">
        <f t="shared" si="69"/>
        <v>No</v>
      </c>
    </row>
    <row r="4428" spans="1:15" x14ac:dyDescent="0.25">
      <c r="A4428" t="s">
        <v>4489</v>
      </c>
      <c r="B4428" s="1">
        <v>45704</v>
      </c>
      <c r="C4428" s="2">
        <v>45704.553333333337</v>
      </c>
      <c r="D4428" t="s">
        <v>15</v>
      </c>
      <c r="E4428" t="s">
        <v>39</v>
      </c>
      <c r="F4428" t="s">
        <v>119</v>
      </c>
      <c r="G4428" t="s">
        <v>34</v>
      </c>
      <c r="H4428" t="s">
        <v>65</v>
      </c>
      <c r="I4428" t="s">
        <v>36</v>
      </c>
      <c r="J4428" t="s">
        <v>46</v>
      </c>
      <c r="K4428">
        <v>48</v>
      </c>
      <c r="L4428">
        <v>13.28</v>
      </c>
      <c r="M4428">
        <v>4.7</v>
      </c>
      <c r="N4428" t="s">
        <v>22</v>
      </c>
      <c r="O4428" t="str">
        <f t="shared" si="69"/>
        <v>No</v>
      </c>
    </row>
    <row r="4429" spans="1:15" x14ac:dyDescent="0.25">
      <c r="A4429" t="s">
        <v>4490</v>
      </c>
      <c r="B4429" s="1">
        <v>45745</v>
      </c>
      <c r="C4429" s="2">
        <v>45745.191666666666</v>
      </c>
      <c r="D4429" t="s">
        <v>38</v>
      </c>
      <c r="E4429" t="s">
        <v>25</v>
      </c>
      <c r="F4429" t="s">
        <v>48</v>
      </c>
      <c r="G4429" t="s">
        <v>34</v>
      </c>
      <c r="H4429" t="s">
        <v>65</v>
      </c>
      <c r="I4429" t="s">
        <v>36</v>
      </c>
      <c r="J4429" t="s">
        <v>21</v>
      </c>
      <c r="K4429">
        <v>8</v>
      </c>
      <c r="L4429">
        <v>4.5999999999999996</v>
      </c>
      <c r="M4429">
        <v>4.2</v>
      </c>
      <c r="N4429" t="s">
        <v>22</v>
      </c>
      <c r="O4429" t="str">
        <f t="shared" si="69"/>
        <v>No</v>
      </c>
    </row>
    <row r="4430" spans="1:15" x14ac:dyDescent="0.25">
      <c r="A4430" t="s">
        <v>4491</v>
      </c>
      <c r="B4430" s="1">
        <v>45797</v>
      </c>
      <c r="C4430" s="2">
        <v>45797.515416666669</v>
      </c>
      <c r="D4430" t="s">
        <v>24</v>
      </c>
      <c r="E4430" t="s">
        <v>16</v>
      </c>
      <c r="F4430" t="s">
        <v>43</v>
      </c>
      <c r="G4430" t="s">
        <v>56</v>
      </c>
      <c r="H4430" t="s">
        <v>65</v>
      </c>
      <c r="I4430" t="s">
        <v>28</v>
      </c>
      <c r="J4430" t="s">
        <v>46</v>
      </c>
      <c r="K4430">
        <v>24</v>
      </c>
      <c r="L4430">
        <v>12.37</v>
      </c>
      <c r="M4430">
        <v>5</v>
      </c>
      <c r="N4430" t="s">
        <v>22</v>
      </c>
      <c r="O4430" t="str">
        <f t="shared" si="69"/>
        <v>No</v>
      </c>
    </row>
    <row r="4431" spans="1:15" x14ac:dyDescent="0.25">
      <c r="A4431" t="s">
        <v>4492</v>
      </c>
      <c r="B4431" s="1">
        <v>45824</v>
      </c>
      <c r="C4431" s="2">
        <v>45824.039583333331</v>
      </c>
      <c r="D4431" t="s">
        <v>31</v>
      </c>
      <c r="E4431" t="s">
        <v>25</v>
      </c>
      <c r="F4431" t="s">
        <v>26</v>
      </c>
      <c r="G4431" t="s">
        <v>18</v>
      </c>
      <c r="H4431" t="s">
        <v>44</v>
      </c>
      <c r="I4431" t="s">
        <v>20</v>
      </c>
      <c r="J4431" t="s">
        <v>46</v>
      </c>
      <c r="K4431">
        <v>4</v>
      </c>
      <c r="L4431">
        <v>0.95</v>
      </c>
      <c r="M4431">
        <v>4.9000000000000004</v>
      </c>
      <c r="N4431" t="s">
        <v>22</v>
      </c>
      <c r="O4431" t="str">
        <f t="shared" si="69"/>
        <v>No</v>
      </c>
    </row>
    <row r="4432" spans="1:15" x14ac:dyDescent="0.25">
      <c r="A4432" t="s">
        <v>4493</v>
      </c>
      <c r="B4432" s="1">
        <v>45824</v>
      </c>
      <c r="C4432" s="2">
        <v>45824.234583333331</v>
      </c>
      <c r="D4432" t="s">
        <v>15</v>
      </c>
      <c r="E4432" t="s">
        <v>25</v>
      </c>
      <c r="F4432" t="s">
        <v>26</v>
      </c>
      <c r="G4432" t="s">
        <v>56</v>
      </c>
      <c r="H4432" t="s">
        <v>54</v>
      </c>
      <c r="I4432" t="s">
        <v>45</v>
      </c>
      <c r="J4432" t="s">
        <v>85</v>
      </c>
      <c r="K4432">
        <v>48</v>
      </c>
      <c r="L4432">
        <v>5.63</v>
      </c>
      <c r="M4432">
        <v>4.7</v>
      </c>
      <c r="N4432" t="s">
        <v>22</v>
      </c>
      <c r="O4432" t="str">
        <f t="shared" si="69"/>
        <v>No</v>
      </c>
    </row>
    <row r="4433" spans="1:15" x14ac:dyDescent="0.25">
      <c r="A4433" t="s">
        <v>4494</v>
      </c>
      <c r="B4433" s="1">
        <v>45673</v>
      </c>
      <c r="C4433" s="2">
        <v>45673.178738425922</v>
      </c>
      <c r="D4433" t="s">
        <v>38</v>
      </c>
      <c r="E4433" t="s">
        <v>16</v>
      </c>
      <c r="F4433" t="s">
        <v>43</v>
      </c>
      <c r="G4433" t="s">
        <v>56</v>
      </c>
      <c r="H4433" t="s">
        <v>65</v>
      </c>
      <c r="I4433" t="s">
        <v>36</v>
      </c>
      <c r="J4433" t="s">
        <v>21</v>
      </c>
      <c r="K4433">
        <v>8</v>
      </c>
      <c r="L4433">
        <v>4.29</v>
      </c>
      <c r="M4433">
        <v>4</v>
      </c>
      <c r="N4433" t="s">
        <v>22</v>
      </c>
      <c r="O4433" t="str">
        <f t="shared" si="69"/>
        <v>No</v>
      </c>
    </row>
    <row r="4434" spans="1:15" x14ac:dyDescent="0.25">
      <c r="A4434" t="s">
        <v>4495</v>
      </c>
      <c r="B4434" s="1">
        <v>45820</v>
      </c>
      <c r="C4434" s="2">
        <v>45820.237500000003</v>
      </c>
      <c r="D4434" t="s">
        <v>24</v>
      </c>
      <c r="E4434" t="s">
        <v>32</v>
      </c>
      <c r="F4434" t="s">
        <v>64</v>
      </c>
      <c r="G4434" t="s">
        <v>51</v>
      </c>
      <c r="H4434" t="s">
        <v>54</v>
      </c>
      <c r="I4434" t="s">
        <v>36</v>
      </c>
      <c r="J4434" t="s">
        <v>21</v>
      </c>
      <c r="K4434">
        <v>24</v>
      </c>
      <c r="L4434">
        <v>5.7</v>
      </c>
      <c r="M4434">
        <v>3.7</v>
      </c>
      <c r="N4434" t="s">
        <v>22</v>
      </c>
      <c r="O4434" t="str">
        <f t="shared" si="69"/>
        <v>No</v>
      </c>
    </row>
    <row r="4435" spans="1:15" x14ac:dyDescent="0.25">
      <c r="A4435" t="s">
        <v>4496</v>
      </c>
      <c r="B4435" s="1">
        <v>45678</v>
      </c>
      <c r="C4435" s="2">
        <v>45678.43041666667</v>
      </c>
      <c r="D4435" t="s">
        <v>24</v>
      </c>
      <c r="E4435" t="s">
        <v>16</v>
      </c>
      <c r="F4435" t="s">
        <v>58</v>
      </c>
      <c r="G4435" t="s">
        <v>18</v>
      </c>
      <c r="H4435" t="s">
        <v>35</v>
      </c>
      <c r="I4435" t="s">
        <v>36</v>
      </c>
      <c r="J4435" t="s">
        <v>85</v>
      </c>
      <c r="K4435">
        <v>24</v>
      </c>
      <c r="L4435">
        <v>10.33</v>
      </c>
      <c r="M4435">
        <v>5</v>
      </c>
      <c r="N4435" t="s">
        <v>22</v>
      </c>
      <c r="O4435" t="str">
        <f t="shared" si="69"/>
        <v>No</v>
      </c>
    </row>
    <row r="4436" spans="1:15" x14ac:dyDescent="0.25">
      <c r="A4436" t="s">
        <v>4497</v>
      </c>
      <c r="B4436" s="1">
        <v>45763</v>
      </c>
      <c r="C4436" s="2">
        <v>45764.159166666665</v>
      </c>
      <c r="D4436" t="s">
        <v>24</v>
      </c>
      <c r="E4436" t="s">
        <v>45</v>
      </c>
      <c r="F4436" t="s">
        <v>100</v>
      </c>
      <c r="G4436" t="s">
        <v>41</v>
      </c>
      <c r="H4436" t="s">
        <v>27</v>
      </c>
      <c r="I4436" t="s">
        <v>36</v>
      </c>
      <c r="J4436" t="s">
        <v>46</v>
      </c>
      <c r="K4436">
        <v>24</v>
      </c>
      <c r="L4436">
        <v>27.82</v>
      </c>
      <c r="M4436">
        <v>4</v>
      </c>
      <c r="N4436" t="s">
        <v>22</v>
      </c>
      <c r="O4436" t="str">
        <f t="shared" si="69"/>
        <v>Yes</v>
      </c>
    </row>
    <row r="4437" spans="1:15" x14ac:dyDescent="0.25">
      <c r="A4437" t="s">
        <v>4498</v>
      </c>
      <c r="B4437" s="1">
        <v>45826</v>
      </c>
      <c r="C4437" s="2">
        <v>45826.454583333332</v>
      </c>
      <c r="D4437" t="s">
        <v>24</v>
      </c>
      <c r="E4437" t="s">
        <v>16</v>
      </c>
      <c r="F4437" t="s">
        <v>58</v>
      </c>
      <c r="G4437" t="s">
        <v>34</v>
      </c>
      <c r="H4437" t="s">
        <v>19</v>
      </c>
      <c r="I4437" t="s">
        <v>28</v>
      </c>
      <c r="J4437" t="s">
        <v>21</v>
      </c>
      <c r="K4437">
        <v>24</v>
      </c>
      <c r="L4437">
        <v>10.91</v>
      </c>
      <c r="M4437">
        <v>4.4000000000000004</v>
      </c>
      <c r="N4437" t="s">
        <v>22</v>
      </c>
      <c r="O4437" t="str">
        <f t="shared" si="69"/>
        <v>No</v>
      </c>
    </row>
    <row r="4438" spans="1:15" x14ac:dyDescent="0.25">
      <c r="A4438" t="s">
        <v>4499</v>
      </c>
      <c r="B4438" s="1">
        <v>45776</v>
      </c>
      <c r="C4438" s="2">
        <v>45776.037083333336</v>
      </c>
      <c r="D4438" t="s">
        <v>38</v>
      </c>
      <c r="E4438" t="s">
        <v>45</v>
      </c>
      <c r="F4438" t="s">
        <v>100</v>
      </c>
      <c r="G4438" t="s">
        <v>34</v>
      </c>
      <c r="H4438" t="s">
        <v>65</v>
      </c>
      <c r="I4438" t="s">
        <v>45</v>
      </c>
      <c r="J4438" t="s">
        <v>21</v>
      </c>
      <c r="K4438">
        <v>8</v>
      </c>
      <c r="L4438">
        <v>0.89</v>
      </c>
      <c r="M4438">
        <v>4.9000000000000004</v>
      </c>
      <c r="N4438" t="s">
        <v>22</v>
      </c>
      <c r="O4438" t="str">
        <f t="shared" si="69"/>
        <v>No</v>
      </c>
    </row>
    <row r="4439" spans="1:15" x14ac:dyDescent="0.25">
      <c r="A4439" t="s">
        <v>4500</v>
      </c>
      <c r="B4439" s="1">
        <v>45829</v>
      </c>
      <c r="C4439" s="2">
        <v>45830.07</v>
      </c>
      <c r="D4439" t="s">
        <v>24</v>
      </c>
      <c r="E4439" t="s">
        <v>45</v>
      </c>
      <c r="F4439" t="s">
        <v>112</v>
      </c>
      <c r="G4439" t="s">
        <v>41</v>
      </c>
      <c r="H4439" t="s">
        <v>19</v>
      </c>
      <c r="I4439" t="s">
        <v>36</v>
      </c>
      <c r="J4439" t="s">
        <v>85</v>
      </c>
      <c r="K4439">
        <v>24</v>
      </c>
      <c r="L4439">
        <v>25.68</v>
      </c>
      <c r="M4439">
        <v>3.6</v>
      </c>
      <c r="N4439" t="s">
        <v>22</v>
      </c>
      <c r="O4439" t="str">
        <f t="shared" si="69"/>
        <v>Yes</v>
      </c>
    </row>
    <row r="4440" spans="1:15" x14ac:dyDescent="0.25">
      <c r="A4440" t="s">
        <v>4501</v>
      </c>
      <c r="B4440" s="1">
        <v>45720</v>
      </c>
      <c r="C4440" s="2">
        <v>45721.460833333331</v>
      </c>
      <c r="D4440" t="s">
        <v>15</v>
      </c>
      <c r="E4440" t="s">
        <v>39</v>
      </c>
      <c r="F4440" t="s">
        <v>78</v>
      </c>
      <c r="G4440" t="s">
        <v>18</v>
      </c>
      <c r="H4440" t="s">
        <v>65</v>
      </c>
      <c r="I4440" t="s">
        <v>20</v>
      </c>
      <c r="J4440" t="s">
        <v>85</v>
      </c>
      <c r="K4440">
        <v>48</v>
      </c>
      <c r="L4440">
        <v>35.06</v>
      </c>
      <c r="M4440">
        <v>3</v>
      </c>
      <c r="N4440" t="s">
        <v>22</v>
      </c>
      <c r="O4440" t="str">
        <f t="shared" si="69"/>
        <v>No</v>
      </c>
    </row>
    <row r="4441" spans="1:15" x14ac:dyDescent="0.25">
      <c r="A4441" t="s">
        <v>4502</v>
      </c>
      <c r="B4441" s="1">
        <v>45714</v>
      </c>
      <c r="C4441" s="2">
        <v>45715.904999999999</v>
      </c>
      <c r="D4441" t="s">
        <v>15</v>
      </c>
      <c r="E4441" t="s">
        <v>25</v>
      </c>
      <c r="F4441" t="s">
        <v>70</v>
      </c>
      <c r="G4441" t="s">
        <v>56</v>
      </c>
      <c r="H4441" t="s">
        <v>65</v>
      </c>
      <c r="I4441" t="s">
        <v>36</v>
      </c>
      <c r="J4441" t="s">
        <v>21</v>
      </c>
      <c r="K4441">
        <v>48</v>
      </c>
      <c r="L4441">
        <v>45.72</v>
      </c>
      <c r="M4441">
        <v>2.9</v>
      </c>
      <c r="N4441" t="s">
        <v>22</v>
      </c>
      <c r="O4441" t="str">
        <f t="shared" si="69"/>
        <v>No</v>
      </c>
    </row>
    <row r="4442" spans="1:15" x14ac:dyDescent="0.25">
      <c r="A4442" t="s">
        <v>4503</v>
      </c>
      <c r="B4442" s="1">
        <v>45717</v>
      </c>
      <c r="C4442" s="2">
        <v>45717.507916666669</v>
      </c>
      <c r="D4442" t="s">
        <v>24</v>
      </c>
      <c r="E4442" t="s">
        <v>16</v>
      </c>
      <c r="F4442" t="s">
        <v>58</v>
      </c>
      <c r="G4442" t="s">
        <v>51</v>
      </c>
      <c r="H4442" t="s">
        <v>19</v>
      </c>
      <c r="I4442" t="s">
        <v>36</v>
      </c>
      <c r="J4442" t="s">
        <v>46</v>
      </c>
      <c r="K4442">
        <v>24</v>
      </c>
      <c r="L4442">
        <v>12.19</v>
      </c>
      <c r="M4442">
        <v>4.3</v>
      </c>
      <c r="N4442" t="s">
        <v>22</v>
      </c>
      <c r="O4442" t="str">
        <f t="shared" si="69"/>
        <v>No</v>
      </c>
    </row>
    <row r="4443" spans="1:15" x14ac:dyDescent="0.25">
      <c r="A4443" t="s">
        <v>4504</v>
      </c>
      <c r="B4443" s="1">
        <v>45722</v>
      </c>
      <c r="C4443" s="2">
        <v>45722.505416666667</v>
      </c>
      <c r="D4443" t="s">
        <v>24</v>
      </c>
      <c r="E4443" t="s">
        <v>39</v>
      </c>
      <c r="F4443" t="s">
        <v>78</v>
      </c>
      <c r="G4443" t="s">
        <v>51</v>
      </c>
      <c r="H4443" t="s">
        <v>27</v>
      </c>
      <c r="I4443" t="s">
        <v>36</v>
      </c>
      <c r="J4443" t="s">
        <v>21</v>
      </c>
      <c r="K4443">
        <v>24</v>
      </c>
      <c r="L4443">
        <v>12.13</v>
      </c>
      <c r="M4443">
        <v>4.2</v>
      </c>
      <c r="N4443" t="s">
        <v>22</v>
      </c>
      <c r="O4443" t="str">
        <f t="shared" si="69"/>
        <v>No</v>
      </c>
    </row>
    <row r="4444" spans="1:15" x14ac:dyDescent="0.25">
      <c r="A4444" t="s">
        <v>4505</v>
      </c>
      <c r="B4444" s="1">
        <v>45781</v>
      </c>
      <c r="C4444" s="2">
        <v>45782.996249999997</v>
      </c>
      <c r="D4444" t="s">
        <v>24</v>
      </c>
      <c r="E4444" t="s">
        <v>32</v>
      </c>
      <c r="F4444" t="s">
        <v>75</v>
      </c>
      <c r="G4444" t="s">
        <v>18</v>
      </c>
      <c r="H4444" t="s">
        <v>35</v>
      </c>
      <c r="I4444" t="s">
        <v>36</v>
      </c>
      <c r="J4444" t="s">
        <v>21</v>
      </c>
      <c r="K4444">
        <v>24</v>
      </c>
      <c r="L4444">
        <v>47.91</v>
      </c>
      <c r="M4444">
        <v>2.6</v>
      </c>
      <c r="N4444" t="s">
        <v>61</v>
      </c>
      <c r="O4444" t="str">
        <f t="shared" si="69"/>
        <v>Yes</v>
      </c>
    </row>
    <row r="4445" spans="1:15" x14ac:dyDescent="0.25">
      <c r="A4445" t="s">
        <v>4506</v>
      </c>
      <c r="B4445" s="1">
        <v>45739</v>
      </c>
      <c r="C4445" s="2">
        <v>45739.734583333331</v>
      </c>
      <c r="D4445" t="s">
        <v>24</v>
      </c>
      <c r="E4445" t="s">
        <v>32</v>
      </c>
      <c r="F4445" t="s">
        <v>80</v>
      </c>
      <c r="G4445" t="s">
        <v>18</v>
      </c>
      <c r="H4445" t="s">
        <v>35</v>
      </c>
      <c r="I4445" t="s">
        <v>45</v>
      </c>
      <c r="J4445" t="s">
        <v>46</v>
      </c>
      <c r="K4445">
        <v>24</v>
      </c>
      <c r="L4445">
        <v>17.63</v>
      </c>
      <c r="M4445">
        <v>5</v>
      </c>
      <c r="N4445" t="s">
        <v>22</v>
      </c>
      <c r="O4445" t="str">
        <f t="shared" si="69"/>
        <v>No</v>
      </c>
    </row>
    <row r="4446" spans="1:15" x14ac:dyDescent="0.25">
      <c r="A4446" t="s">
        <v>4507</v>
      </c>
      <c r="B4446" s="1">
        <v>45791</v>
      </c>
      <c r="C4446" s="2">
        <v>45792.057916666665</v>
      </c>
      <c r="D4446" t="s">
        <v>24</v>
      </c>
      <c r="E4446" t="s">
        <v>32</v>
      </c>
      <c r="F4446" t="s">
        <v>80</v>
      </c>
      <c r="G4446" t="s">
        <v>56</v>
      </c>
      <c r="H4446" t="s">
        <v>27</v>
      </c>
      <c r="I4446" t="s">
        <v>20</v>
      </c>
      <c r="J4446" t="s">
        <v>21</v>
      </c>
      <c r="K4446">
        <v>24</v>
      </c>
      <c r="L4446">
        <v>25.39</v>
      </c>
      <c r="M4446">
        <v>3.5</v>
      </c>
      <c r="N4446" t="s">
        <v>22</v>
      </c>
      <c r="O4446" t="str">
        <f t="shared" si="69"/>
        <v>Yes</v>
      </c>
    </row>
    <row r="4447" spans="1:15" x14ac:dyDescent="0.25">
      <c r="A4447" t="s">
        <v>4508</v>
      </c>
      <c r="B4447" s="1">
        <v>45733</v>
      </c>
      <c r="C4447" s="2">
        <v>45734.032916666663</v>
      </c>
      <c r="D4447" t="s">
        <v>38</v>
      </c>
      <c r="E4447" t="s">
        <v>16</v>
      </c>
      <c r="F4447" t="s">
        <v>58</v>
      </c>
      <c r="G4447" t="s">
        <v>18</v>
      </c>
      <c r="H4447" t="s">
        <v>65</v>
      </c>
      <c r="I4447" t="s">
        <v>45</v>
      </c>
      <c r="J4447" t="s">
        <v>21</v>
      </c>
      <c r="K4447">
        <v>8</v>
      </c>
      <c r="L4447">
        <v>24.79</v>
      </c>
      <c r="M4447">
        <v>1</v>
      </c>
      <c r="N4447" t="s">
        <v>22</v>
      </c>
      <c r="O4447" t="str">
        <f t="shared" si="69"/>
        <v>Yes</v>
      </c>
    </row>
    <row r="4448" spans="1:15" x14ac:dyDescent="0.25">
      <c r="A4448" t="s">
        <v>4509</v>
      </c>
      <c r="B4448" s="1">
        <v>45713</v>
      </c>
      <c r="C4448" s="2">
        <v>45713.652083333334</v>
      </c>
      <c r="D4448" t="s">
        <v>38</v>
      </c>
      <c r="E4448" t="s">
        <v>32</v>
      </c>
      <c r="F4448" t="s">
        <v>75</v>
      </c>
      <c r="G4448" t="s">
        <v>56</v>
      </c>
      <c r="H4448" t="s">
        <v>27</v>
      </c>
      <c r="I4448" t="s">
        <v>20</v>
      </c>
      <c r="J4448" t="s">
        <v>21</v>
      </c>
      <c r="K4448">
        <v>8</v>
      </c>
      <c r="L4448">
        <v>15.65</v>
      </c>
      <c r="M4448">
        <v>2.7</v>
      </c>
      <c r="N4448" t="s">
        <v>22</v>
      </c>
      <c r="O4448" t="str">
        <f t="shared" si="69"/>
        <v>Yes</v>
      </c>
    </row>
    <row r="4449" spans="1:15" x14ac:dyDescent="0.25">
      <c r="A4449" t="s">
        <v>4510</v>
      </c>
      <c r="B4449" s="1">
        <v>45692</v>
      </c>
      <c r="C4449" s="2">
        <v>45692.186666666668</v>
      </c>
      <c r="D4449" t="s">
        <v>24</v>
      </c>
      <c r="E4449" t="s">
        <v>39</v>
      </c>
      <c r="F4449" t="s">
        <v>119</v>
      </c>
      <c r="G4449" t="s">
        <v>18</v>
      </c>
      <c r="H4449" t="s">
        <v>27</v>
      </c>
      <c r="I4449" t="s">
        <v>28</v>
      </c>
      <c r="J4449" t="s">
        <v>21</v>
      </c>
      <c r="K4449">
        <v>24</v>
      </c>
      <c r="L4449">
        <v>4.4800000000000004</v>
      </c>
      <c r="M4449">
        <v>3.9</v>
      </c>
      <c r="N4449" t="s">
        <v>22</v>
      </c>
      <c r="O4449" t="str">
        <f t="shared" si="69"/>
        <v>No</v>
      </c>
    </row>
    <row r="4450" spans="1:15" x14ac:dyDescent="0.25">
      <c r="A4450" t="s">
        <v>4511</v>
      </c>
      <c r="B4450" s="1">
        <v>45757</v>
      </c>
      <c r="C4450" s="2">
        <v>45757.228750000002</v>
      </c>
      <c r="D4450" t="s">
        <v>24</v>
      </c>
      <c r="E4450" t="s">
        <v>16</v>
      </c>
      <c r="F4450" t="s">
        <v>43</v>
      </c>
      <c r="G4450" t="s">
        <v>41</v>
      </c>
      <c r="H4450" t="s">
        <v>27</v>
      </c>
      <c r="I4450" t="s">
        <v>20</v>
      </c>
      <c r="J4450" t="s">
        <v>21</v>
      </c>
      <c r="K4450">
        <v>24</v>
      </c>
      <c r="L4450">
        <v>5.49</v>
      </c>
      <c r="M4450">
        <v>4.8</v>
      </c>
      <c r="N4450" t="s">
        <v>22</v>
      </c>
      <c r="O4450" t="str">
        <f t="shared" si="69"/>
        <v>No</v>
      </c>
    </row>
    <row r="4451" spans="1:15" x14ac:dyDescent="0.25">
      <c r="A4451" t="s">
        <v>4512</v>
      </c>
      <c r="B4451" s="1">
        <v>45820</v>
      </c>
      <c r="C4451" s="2">
        <v>45820.051249999997</v>
      </c>
      <c r="D4451" t="s">
        <v>38</v>
      </c>
      <c r="E4451" t="s">
        <v>39</v>
      </c>
      <c r="F4451" t="s">
        <v>40</v>
      </c>
      <c r="G4451" t="s">
        <v>51</v>
      </c>
      <c r="H4451" t="s">
        <v>65</v>
      </c>
      <c r="I4451" t="s">
        <v>28</v>
      </c>
      <c r="J4451" t="s">
        <v>85</v>
      </c>
      <c r="K4451">
        <v>8</v>
      </c>
      <c r="L4451">
        <v>1.23</v>
      </c>
      <c r="M4451">
        <v>4.3</v>
      </c>
      <c r="N4451" t="s">
        <v>22</v>
      </c>
      <c r="O4451" t="str">
        <f t="shared" si="69"/>
        <v>No</v>
      </c>
    </row>
    <row r="4452" spans="1:15" x14ac:dyDescent="0.25">
      <c r="A4452" t="s">
        <v>4513</v>
      </c>
      <c r="B4452" s="1">
        <v>45813</v>
      </c>
      <c r="C4452" s="2">
        <v>45813.5</v>
      </c>
      <c r="D4452" t="s">
        <v>24</v>
      </c>
      <c r="E4452" t="s">
        <v>25</v>
      </c>
      <c r="F4452" t="s">
        <v>26</v>
      </c>
      <c r="G4452" t="s">
        <v>51</v>
      </c>
      <c r="H4452" t="s">
        <v>19</v>
      </c>
      <c r="I4452" t="s">
        <v>28</v>
      </c>
      <c r="J4452" t="s">
        <v>21</v>
      </c>
      <c r="K4452">
        <v>24</v>
      </c>
      <c r="L4452">
        <v>12</v>
      </c>
      <c r="M4452">
        <v>4.5</v>
      </c>
      <c r="N4452" t="s">
        <v>22</v>
      </c>
      <c r="O4452" t="str">
        <f t="shared" si="69"/>
        <v>No</v>
      </c>
    </row>
    <row r="4453" spans="1:15" x14ac:dyDescent="0.25">
      <c r="A4453" t="s">
        <v>4514</v>
      </c>
      <c r="B4453" s="1">
        <v>45703</v>
      </c>
      <c r="C4453" s="2">
        <v>45703.375833333332</v>
      </c>
      <c r="D4453" t="s">
        <v>31</v>
      </c>
      <c r="E4453" t="s">
        <v>39</v>
      </c>
      <c r="F4453" t="s">
        <v>119</v>
      </c>
      <c r="G4453" t="s">
        <v>18</v>
      </c>
      <c r="H4453" t="s">
        <v>54</v>
      </c>
      <c r="I4453" t="s">
        <v>20</v>
      </c>
      <c r="J4453" t="s">
        <v>46</v>
      </c>
      <c r="K4453">
        <v>4</v>
      </c>
      <c r="L4453">
        <v>9.02</v>
      </c>
      <c r="M4453">
        <v>2.2000000000000002</v>
      </c>
      <c r="N4453" t="s">
        <v>22</v>
      </c>
      <c r="O4453" t="str">
        <f t="shared" si="69"/>
        <v>Yes</v>
      </c>
    </row>
    <row r="4454" spans="1:15" x14ac:dyDescent="0.25">
      <c r="A4454" t="s">
        <v>4515</v>
      </c>
      <c r="B4454" s="1">
        <v>45744</v>
      </c>
      <c r="C4454" s="2">
        <v>45744.025416666664</v>
      </c>
      <c r="D4454" t="s">
        <v>15</v>
      </c>
      <c r="E4454" t="s">
        <v>32</v>
      </c>
      <c r="F4454" t="s">
        <v>75</v>
      </c>
      <c r="G4454" t="s">
        <v>56</v>
      </c>
      <c r="H4454" t="s">
        <v>35</v>
      </c>
      <c r="I4454" t="s">
        <v>36</v>
      </c>
      <c r="J4454" t="s">
        <v>21</v>
      </c>
      <c r="K4454">
        <v>48</v>
      </c>
      <c r="L4454">
        <v>0.61</v>
      </c>
      <c r="M4454">
        <v>4.9000000000000004</v>
      </c>
      <c r="N4454" t="s">
        <v>22</v>
      </c>
      <c r="O4454" t="str">
        <f t="shared" si="69"/>
        <v>No</v>
      </c>
    </row>
    <row r="4455" spans="1:15" x14ac:dyDescent="0.25">
      <c r="A4455" t="s">
        <v>4516</v>
      </c>
      <c r="B4455" s="1">
        <v>45785</v>
      </c>
      <c r="C4455" s="2">
        <v>45785.328750000001</v>
      </c>
      <c r="D4455" t="s">
        <v>24</v>
      </c>
      <c r="E4455" t="s">
        <v>45</v>
      </c>
      <c r="F4455" t="s">
        <v>104</v>
      </c>
      <c r="G4455" t="s">
        <v>56</v>
      </c>
      <c r="H4455" t="s">
        <v>54</v>
      </c>
      <c r="I4455" t="s">
        <v>36</v>
      </c>
      <c r="J4455" t="s">
        <v>29</v>
      </c>
      <c r="K4455">
        <v>24</v>
      </c>
      <c r="L4455">
        <v>7.89</v>
      </c>
      <c r="M4455">
        <v>5</v>
      </c>
      <c r="N4455" t="s">
        <v>22</v>
      </c>
      <c r="O4455" t="str">
        <f t="shared" si="69"/>
        <v>No</v>
      </c>
    </row>
    <row r="4456" spans="1:15" x14ac:dyDescent="0.25">
      <c r="A4456" t="s">
        <v>4517</v>
      </c>
      <c r="B4456" s="1">
        <v>45768</v>
      </c>
      <c r="C4456" s="2">
        <v>45768.50708333333</v>
      </c>
      <c r="D4456" t="s">
        <v>24</v>
      </c>
      <c r="E4456" t="s">
        <v>25</v>
      </c>
      <c r="F4456" t="s">
        <v>70</v>
      </c>
      <c r="G4456" t="s">
        <v>41</v>
      </c>
      <c r="H4456" t="s">
        <v>27</v>
      </c>
      <c r="I4456" t="s">
        <v>20</v>
      </c>
      <c r="J4456" t="s">
        <v>46</v>
      </c>
      <c r="K4456">
        <v>24</v>
      </c>
      <c r="L4456">
        <v>12.17</v>
      </c>
      <c r="M4456">
        <v>4.9000000000000004</v>
      </c>
      <c r="N4456" t="s">
        <v>22</v>
      </c>
      <c r="O4456" t="str">
        <f t="shared" si="69"/>
        <v>No</v>
      </c>
    </row>
    <row r="4457" spans="1:15" x14ac:dyDescent="0.25">
      <c r="A4457" t="s">
        <v>4518</v>
      </c>
      <c r="B4457" s="1">
        <v>45670</v>
      </c>
      <c r="C4457" s="2">
        <v>45670.209583333337</v>
      </c>
      <c r="D4457" t="s">
        <v>24</v>
      </c>
      <c r="E4457" t="s">
        <v>16</v>
      </c>
      <c r="F4457" t="s">
        <v>43</v>
      </c>
      <c r="G4457" t="s">
        <v>56</v>
      </c>
      <c r="H4457" t="s">
        <v>65</v>
      </c>
      <c r="I4457" t="s">
        <v>20</v>
      </c>
      <c r="J4457" t="s">
        <v>85</v>
      </c>
      <c r="K4457">
        <v>24</v>
      </c>
      <c r="L4457">
        <v>5.03</v>
      </c>
      <c r="M4457">
        <v>5</v>
      </c>
      <c r="N4457" t="s">
        <v>22</v>
      </c>
      <c r="O4457" t="str">
        <f t="shared" si="69"/>
        <v>No</v>
      </c>
    </row>
    <row r="4458" spans="1:15" x14ac:dyDescent="0.25">
      <c r="A4458" t="s">
        <v>4519</v>
      </c>
      <c r="B4458" s="1">
        <v>45764</v>
      </c>
      <c r="C4458" s="2">
        <v>45764.834999999999</v>
      </c>
      <c r="D4458" t="s">
        <v>15</v>
      </c>
      <c r="E4458" t="s">
        <v>25</v>
      </c>
      <c r="F4458" t="s">
        <v>53</v>
      </c>
      <c r="G4458" t="s">
        <v>56</v>
      </c>
      <c r="H4458" t="s">
        <v>19</v>
      </c>
      <c r="I4458" t="s">
        <v>20</v>
      </c>
      <c r="J4458" t="s">
        <v>21</v>
      </c>
      <c r="K4458">
        <v>48</v>
      </c>
      <c r="L4458">
        <v>20.04</v>
      </c>
      <c r="M4458">
        <v>5</v>
      </c>
      <c r="N4458" t="s">
        <v>22</v>
      </c>
      <c r="O4458" t="str">
        <f t="shared" si="69"/>
        <v>No</v>
      </c>
    </row>
    <row r="4459" spans="1:15" x14ac:dyDescent="0.25">
      <c r="A4459" t="s">
        <v>4520</v>
      </c>
      <c r="B4459" s="1">
        <v>45665</v>
      </c>
      <c r="C4459" s="2">
        <v>45665.440405092595</v>
      </c>
      <c r="D4459" t="s">
        <v>24</v>
      </c>
      <c r="E4459" t="s">
        <v>32</v>
      </c>
      <c r="F4459" t="s">
        <v>75</v>
      </c>
      <c r="G4459" t="s">
        <v>34</v>
      </c>
      <c r="H4459" t="s">
        <v>44</v>
      </c>
      <c r="I4459" t="s">
        <v>45</v>
      </c>
      <c r="J4459" t="s">
        <v>21</v>
      </c>
      <c r="K4459">
        <v>24</v>
      </c>
      <c r="L4459">
        <v>10.57</v>
      </c>
      <c r="M4459">
        <v>4.3</v>
      </c>
      <c r="N4459" t="s">
        <v>22</v>
      </c>
      <c r="O4459" t="str">
        <f t="shared" si="69"/>
        <v>No</v>
      </c>
    </row>
    <row r="4460" spans="1:15" x14ac:dyDescent="0.25">
      <c r="A4460" t="s">
        <v>4521</v>
      </c>
      <c r="B4460" s="1">
        <v>45679</v>
      </c>
      <c r="C4460" s="2">
        <v>45679.138749999998</v>
      </c>
      <c r="D4460" t="s">
        <v>24</v>
      </c>
      <c r="E4460" t="s">
        <v>25</v>
      </c>
      <c r="F4460" t="s">
        <v>48</v>
      </c>
      <c r="G4460" t="s">
        <v>18</v>
      </c>
      <c r="H4460" t="s">
        <v>65</v>
      </c>
      <c r="I4460" t="s">
        <v>20</v>
      </c>
      <c r="J4460" t="s">
        <v>21</v>
      </c>
      <c r="K4460">
        <v>24</v>
      </c>
      <c r="L4460">
        <v>3.33</v>
      </c>
      <c r="M4460">
        <v>4.4000000000000004</v>
      </c>
      <c r="N4460" t="s">
        <v>22</v>
      </c>
      <c r="O4460" t="str">
        <f t="shared" si="69"/>
        <v>No</v>
      </c>
    </row>
    <row r="4461" spans="1:15" x14ac:dyDescent="0.25">
      <c r="A4461" t="s">
        <v>4522</v>
      </c>
      <c r="B4461" s="1">
        <v>45776</v>
      </c>
      <c r="C4461" s="2">
        <v>45776.310833333337</v>
      </c>
      <c r="D4461" t="s">
        <v>38</v>
      </c>
      <c r="E4461" t="s">
        <v>32</v>
      </c>
      <c r="F4461" t="s">
        <v>33</v>
      </c>
      <c r="G4461" t="s">
        <v>51</v>
      </c>
      <c r="H4461" t="s">
        <v>35</v>
      </c>
      <c r="I4461" t="s">
        <v>20</v>
      </c>
      <c r="J4461" t="s">
        <v>21</v>
      </c>
      <c r="K4461">
        <v>8</v>
      </c>
      <c r="L4461">
        <v>7.46</v>
      </c>
      <c r="M4461">
        <v>4.0999999999999996</v>
      </c>
      <c r="N4461" t="s">
        <v>61</v>
      </c>
      <c r="O4461" t="str">
        <f t="shared" si="69"/>
        <v>No</v>
      </c>
    </row>
    <row r="4462" spans="1:15" x14ac:dyDescent="0.25">
      <c r="A4462" t="s">
        <v>4523</v>
      </c>
      <c r="B4462" s="1">
        <v>45676</v>
      </c>
      <c r="C4462" s="2">
        <v>45676.421666666669</v>
      </c>
      <c r="D4462" t="s">
        <v>24</v>
      </c>
      <c r="E4462" t="s">
        <v>16</v>
      </c>
      <c r="F4462" t="s">
        <v>60</v>
      </c>
      <c r="G4462" t="s">
        <v>18</v>
      </c>
      <c r="H4462" t="s">
        <v>54</v>
      </c>
      <c r="I4462" t="s">
        <v>45</v>
      </c>
      <c r="J4462" t="s">
        <v>21</v>
      </c>
      <c r="K4462">
        <v>24</v>
      </c>
      <c r="L4462">
        <v>10.119999999999999</v>
      </c>
      <c r="M4462">
        <v>5</v>
      </c>
      <c r="N4462" t="s">
        <v>22</v>
      </c>
      <c r="O4462" t="str">
        <f t="shared" si="69"/>
        <v>No</v>
      </c>
    </row>
    <row r="4463" spans="1:15" x14ac:dyDescent="0.25">
      <c r="A4463" t="s">
        <v>4524</v>
      </c>
      <c r="B4463" s="1">
        <v>45719</v>
      </c>
      <c r="C4463" s="2">
        <v>45719.388333333336</v>
      </c>
      <c r="D4463" t="s">
        <v>15</v>
      </c>
      <c r="E4463" t="s">
        <v>32</v>
      </c>
      <c r="F4463" t="s">
        <v>64</v>
      </c>
      <c r="G4463" t="s">
        <v>41</v>
      </c>
      <c r="H4463" t="s">
        <v>54</v>
      </c>
      <c r="I4463" t="s">
        <v>36</v>
      </c>
      <c r="J4463" t="s">
        <v>46</v>
      </c>
      <c r="K4463">
        <v>48</v>
      </c>
      <c r="L4463">
        <v>9.32</v>
      </c>
      <c r="M4463">
        <v>5</v>
      </c>
      <c r="N4463" t="s">
        <v>22</v>
      </c>
      <c r="O4463" t="str">
        <f t="shared" si="69"/>
        <v>No</v>
      </c>
    </row>
    <row r="4464" spans="1:15" x14ac:dyDescent="0.25">
      <c r="A4464" t="s">
        <v>4525</v>
      </c>
      <c r="B4464" s="1">
        <v>45764</v>
      </c>
      <c r="C4464" s="2">
        <v>45764.513333333336</v>
      </c>
      <c r="D4464" t="s">
        <v>24</v>
      </c>
      <c r="E4464" t="s">
        <v>25</v>
      </c>
      <c r="F4464" t="s">
        <v>53</v>
      </c>
      <c r="G4464" t="s">
        <v>18</v>
      </c>
      <c r="H4464" t="s">
        <v>44</v>
      </c>
      <c r="I4464" t="s">
        <v>45</v>
      </c>
      <c r="J4464" t="s">
        <v>21</v>
      </c>
      <c r="K4464">
        <v>24</v>
      </c>
      <c r="L4464">
        <v>12.32</v>
      </c>
      <c r="M4464">
        <v>3.9</v>
      </c>
      <c r="N4464" t="s">
        <v>22</v>
      </c>
      <c r="O4464" t="str">
        <f t="shared" si="69"/>
        <v>No</v>
      </c>
    </row>
    <row r="4465" spans="1:15" x14ac:dyDescent="0.25">
      <c r="A4465" t="s">
        <v>4526</v>
      </c>
      <c r="B4465" s="1">
        <v>45776</v>
      </c>
      <c r="C4465" s="2">
        <v>45776.909166666665</v>
      </c>
      <c r="D4465" t="s">
        <v>24</v>
      </c>
      <c r="E4465" t="s">
        <v>32</v>
      </c>
      <c r="F4465" t="s">
        <v>80</v>
      </c>
      <c r="G4465" t="s">
        <v>34</v>
      </c>
      <c r="H4465" t="s">
        <v>65</v>
      </c>
      <c r="I4465" t="s">
        <v>36</v>
      </c>
      <c r="J4465" t="s">
        <v>46</v>
      </c>
      <c r="K4465">
        <v>24</v>
      </c>
      <c r="L4465">
        <v>21.82</v>
      </c>
      <c r="M4465">
        <v>4.2</v>
      </c>
      <c r="N4465" t="s">
        <v>22</v>
      </c>
      <c r="O4465" t="str">
        <f t="shared" si="69"/>
        <v>No</v>
      </c>
    </row>
    <row r="4466" spans="1:15" x14ac:dyDescent="0.25">
      <c r="A4466" t="s">
        <v>4527</v>
      </c>
      <c r="B4466" s="1">
        <v>45738</v>
      </c>
      <c r="C4466" s="2">
        <v>45738.956250000003</v>
      </c>
      <c r="D4466" t="s">
        <v>15</v>
      </c>
      <c r="E4466" t="s">
        <v>32</v>
      </c>
      <c r="F4466" t="s">
        <v>75</v>
      </c>
      <c r="G4466" t="s">
        <v>18</v>
      </c>
      <c r="H4466" t="s">
        <v>54</v>
      </c>
      <c r="I4466" t="s">
        <v>36</v>
      </c>
      <c r="J4466" t="s">
        <v>46</v>
      </c>
      <c r="K4466">
        <v>48</v>
      </c>
      <c r="L4466">
        <v>22.95</v>
      </c>
      <c r="M4466">
        <v>4.5999999999999996</v>
      </c>
      <c r="N4466" t="s">
        <v>61</v>
      </c>
      <c r="O4466" t="str">
        <f t="shared" si="69"/>
        <v>No</v>
      </c>
    </row>
    <row r="4467" spans="1:15" x14ac:dyDescent="0.25">
      <c r="A4467" t="s">
        <v>4528</v>
      </c>
      <c r="B4467" s="1">
        <v>45675</v>
      </c>
      <c r="C4467" s="2">
        <v>45675.212083333332</v>
      </c>
      <c r="D4467" t="s">
        <v>24</v>
      </c>
      <c r="E4467" t="s">
        <v>32</v>
      </c>
      <c r="F4467" t="s">
        <v>80</v>
      </c>
      <c r="G4467" t="s">
        <v>34</v>
      </c>
      <c r="H4467" t="s">
        <v>65</v>
      </c>
      <c r="I4467" t="s">
        <v>45</v>
      </c>
      <c r="J4467" t="s">
        <v>21</v>
      </c>
      <c r="K4467">
        <v>24</v>
      </c>
      <c r="L4467">
        <v>5.09</v>
      </c>
      <c r="M4467">
        <v>5</v>
      </c>
      <c r="N4467" t="s">
        <v>22</v>
      </c>
      <c r="O4467" t="str">
        <f t="shared" si="69"/>
        <v>No</v>
      </c>
    </row>
    <row r="4468" spans="1:15" x14ac:dyDescent="0.25">
      <c r="A4468" t="s">
        <v>4529</v>
      </c>
      <c r="B4468" s="1">
        <v>45802</v>
      </c>
      <c r="C4468" s="2">
        <v>45802.588750000003</v>
      </c>
      <c r="D4468" t="s">
        <v>24</v>
      </c>
      <c r="E4468" t="s">
        <v>25</v>
      </c>
      <c r="F4468" t="s">
        <v>53</v>
      </c>
      <c r="G4468" t="s">
        <v>51</v>
      </c>
      <c r="H4468" t="s">
        <v>27</v>
      </c>
      <c r="I4468" t="s">
        <v>36</v>
      </c>
      <c r="J4468" t="s">
        <v>46</v>
      </c>
      <c r="K4468">
        <v>24</v>
      </c>
      <c r="L4468">
        <v>14.13</v>
      </c>
      <c r="M4468">
        <v>4.5</v>
      </c>
      <c r="N4468" t="s">
        <v>22</v>
      </c>
      <c r="O4468" t="str">
        <f t="shared" si="69"/>
        <v>No</v>
      </c>
    </row>
    <row r="4469" spans="1:15" x14ac:dyDescent="0.25">
      <c r="A4469" t="s">
        <v>4530</v>
      </c>
      <c r="B4469" s="1">
        <v>45829</v>
      </c>
      <c r="C4469" s="2">
        <v>45832.731666666667</v>
      </c>
      <c r="D4469" t="s">
        <v>15</v>
      </c>
      <c r="E4469" t="s">
        <v>39</v>
      </c>
      <c r="F4469" t="s">
        <v>119</v>
      </c>
      <c r="G4469" t="s">
        <v>51</v>
      </c>
      <c r="H4469" t="s">
        <v>19</v>
      </c>
      <c r="I4469" t="s">
        <v>28</v>
      </c>
      <c r="J4469" t="s">
        <v>21</v>
      </c>
      <c r="K4469">
        <v>48</v>
      </c>
      <c r="L4469">
        <v>89.56</v>
      </c>
      <c r="M4469">
        <v>2.9</v>
      </c>
      <c r="N4469" t="s">
        <v>22</v>
      </c>
      <c r="O4469" t="str">
        <f t="shared" si="69"/>
        <v>Yes</v>
      </c>
    </row>
    <row r="4470" spans="1:15" x14ac:dyDescent="0.25">
      <c r="A4470" t="s">
        <v>4531</v>
      </c>
      <c r="B4470" s="1">
        <v>45818</v>
      </c>
      <c r="C4470" s="2">
        <v>45818.317083333335</v>
      </c>
      <c r="D4470" t="s">
        <v>24</v>
      </c>
      <c r="E4470" t="s">
        <v>16</v>
      </c>
      <c r="F4470" t="s">
        <v>43</v>
      </c>
      <c r="G4470" t="s">
        <v>51</v>
      </c>
      <c r="H4470" t="s">
        <v>54</v>
      </c>
      <c r="I4470" t="s">
        <v>45</v>
      </c>
      <c r="J4470" t="s">
        <v>85</v>
      </c>
      <c r="K4470">
        <v>24</v>
      </c>
      <c r="L4470">
        <v>7.61</v>
      </c>
      <c r="M4470">
        <v>3.9</v>
      </c>
      <c r="N4470" t="s">
        <v>22</v>
      </c>
      <c r="O4470" t="str">
        <f t="shared" si="69"/>
        <v>No</v>
      </c>
    </row>
    <row r="4471" spans="1:15" x14ac:dyDescent="0.25">
      <c r="A4471" t="s">
        <v>4532</v>
      </c>
      <c r="B4471" s="1">
        <v>45793</v>
      </c>
      <c r="C4471" s="2">
        <v>45793.24291666667</v>
      </c>
      <c r="D4471" t="s">
        <v>24</v>
      </c>
      <c r="E4471" t="s">
        <v>39</v>
      </c>
      <c r="F4471" t="s">
        <v>119</v>
      </c>
      <c r="G4471" t="s">
        <v>56</v>
      </c>
      <c r="H4471" t="s">
        <v>54</v>
      </c>
      <c r="I4471" t="s">
        <v>45</v>
      </c>
      <c r="J4471" t="s">
        <v>46</v>
      </c>
      <c r="K4471">
        <v>24</v>
      </c>
      <c r="L4471">
        <v>5.83</v>
      </c>
      <c r="M4471">
        <v>5</v>
      </c>
      <c r="N4471" t="s">
        <v>22</v>
      </c>
      <c r="O4471" t="str">
        <f t="shared" si="69"/>
        <v>No</v>
      </c>
    </row>
    <row r="4472" spans="1:15" x14ac:dyDescent="0.25">
      <c r="A4472" t="s">
        <v>4533</v>
      </c>
      <c r="B4472" s="1">
        <v>45730</v>
      </c>
      <c r="C4472" s="2">
        <v>45730.12</v>
      </c>
      <c r="D4472" t="s">
        <v>38</v>
      </c>
      <c r="E4472" t="s">
        <v>25</v>
      </c>
      <c r="F4472" t="s">
        <v>70</v>
      </c>
      <c r="G4472" t="s">
        <v>51</v>
      </c>
      <c r="H4472" t="s">
        <v>65</v>
      </c>
      <c r="I4472" t="s">
        <v>36</v>
      </c>
      <c r="J4472" t="s">
        <v>29</v>
      </c>
      <c r="K4472">
        <v>8</v>
      </c>
      <c r="L4472">
        <v>2.88</v>
      </c>
      <c r="M4472">
        <v>3.7</v>
      </c>
      <c r="N4472" t="s">
        <v>22</v>
      </c>
      <c r="O4472" t="str">
        <f t="shared" si="69"/>
        <v>No</v>
      </c>
    </row>
    <row r="4473" spans="1:15" x14ac:dyDescent="0.25">
      <c r="A4473" t="s">
        <v>4534</v>
      </c>
      <c r="B4473" s="1">
        <v>45816</v>
      </c>
      <c r="C4473" s="2">
        <v>45816.259166666663</v>
      </c>
      <c r="D4473" t="s">
        <v>24</v>
      </c>
      <c r="E4473" t="s">
        <v>32</v>
      </c>
      <c r="F4473" t="s">
        <v>33</v>
      </c>
      <c r="G4473" t="s">
        <v>41</v>
      </c>
      <c r="H4473" t="s">
        <v>54</v>
      </c>
      <c r="I4473" t="s">
        <v>20</v>
      </c>
      <c r="J4473" t="s">
        <v>21</v>
      </c>
      <c r="K4473">
        <v>24</v>
      </c>
      <c r="L4473">
        <v>6.22</v>
      </c>
      <c r="M4473">
        <v>4.7</v>
      </c>
      <c r="N4473" t="s">
        <v>22</v>
      </c>
      <c r="O4473" t="str">
        <f t="shared" si="69"/>
        <v>No</v>
      </c>
    </row>
    <row r="4474" spans="1:15" x14ac:dyDescent="0.25">
      <c r="A4474" t="s">
        <v>4535</v>
      </c>
      <c r="B4474" s="1">
        <v>45746</v>
      </c>
      <c r="C4474" s="2">
        <v>45746.537916666668</v>
      </c>
      <c r="D4474" t="s">
        <v>15</v>
      </c>
      <c r="E4474" t="s">
        <v>45</v>
      </c>
      <c r="F4474" t="s">
        <v>112</v>
      </c>
      <c r="G4474" t="s">
        <v>51</v>
      </c>
      <c r="H4474" t="s">
        <v>19</v>
      </c>
      <c r="I4474" t="s">
        <v>45</v>
      </c>
      <c r="J4474" t="s">
        <v>46</v>
      </c>
      <c r="K4474">
        <v>48</v>
      </c>
      <c r="L4474">
        <v>12.91</v>
      </c>
      <c r="M4474">
        <v>4.3</v>
      </c>
      <c r="N4474" t="s">
        <v>22</v>
      </c>
      <c r="O4474" t="str">
        <f t="shared" si="69"/>
        <v>No</v>
      </c>
    </row>
    <row r="4475" spans="1:15" x14ac:dyDescent="0.25">
      <c r="A4475" t="s">
        <v>4536</v>
      </c>
      <c r="B4475" s="1">
        <v>45682</v>
      </c>
      <c r="C4475" s="2">
        <v>45682.029166666667</v>
      </c>
      <c r="D4475" t="s">
        <v>31</v>
      </c>
      <c r="E4475" t="s">
        <v>39</v>
      </c>
      <c r="F4475" t="s">
        <v>119</v>
      </c>
      <c r="G4475" t="s">
        <v>51</v>
      </c>
      <c r="H4475" t="s">
        <v>54</v>
      </c>
      <c r="I4475" t="s">
        <v>45</v>
      </c>
      <c r="J4475" t="s">
        <v>85</v>
      </c>
      <c r="K4475">
        <v>4</v>
      </c>
      <c r="L4475">
        <v>0.7</v>
      </c>
      <c r="M4475">
        <v>4.4000000000000004</v>
      </c>
      <c r="N4475" t="s">
        <v>22</v>
      </c>
      <c r="O4475" t="str">
        <f t="shared" si="69"/>
        <v>No</v>
      </c>
    </row>
    <row r="4476" spans="1:15" x14ac:dyDescent="0.25">
      <c r="A4476" t="s">
        <v>4537</v>
      </c>
      <c r="B4476" s="1">
        <v>45811</v>
      </c>
      <c r="C4476" s="2">
        <v>45812.055</v>
      </c>
      <c r="D4476" t="s">
        <v>24</v>
      </c>
      <c r="E4476" t="s">
        <v>32</v>
      </c>
      <c r="F4476" t="s">
        <v>75</v>
      </c>
      <c r="G4476" t="s">
        <v>41</v>
      </c>
      <c r="H4476" t="s">
        <v>35</v>
      </c>
      <c r="I4476" t="s">
        <v>45</v>
      </c>
      <c r="J4476" t="s">
        <v>21</v>
      </c>
      <c r="K4476">
        <v>24</v>
      </c>
      <c r="L4476">
        <v>25.32</v>
      </c>
      <c r="M4476">
        <v>4.0999999999999996</v>
      </c>
      <c r="N4476" t="s">
        <v>22</v>
      </c>
      <c r="O4476" t="str">
        <f t="shared" si="69"/>
        <v>Yes</v>
      </c>
    </row>
    <row r="4477" spans="1:15" x14ac:dyDescent="0.25">
      <c r="A4477" t="s">
        <v>4538</v>
      </c>
      <c r="B4477" s="1">
        <v>45715</v>
      </c>
      <c r="C4477" s="2">
        <v>45716.703750000001</v>
      </c>
      <c r="D4477" t="s">
        <v>15</v>
      </c>
      <c r="E4477" t="s">
        <v>32</v>
      </c>
      <c r="F4477" t="s">
        <v>64</v>
      </c>
      <c r="G4477" t="s">
        <v>56</v>
      </c>
      <c r="H4477" t="s">
        <v>19</v>
      </c>
      <c r="I4477" t="s">
        <v>45</v>
      </c>
      <c r="J4477" t="s">
        <v>21</v>
      </c>
      <c r="K4477">
        <v>48</v>
      </c>
      <c r="L4477">
        <v>40.89</v>
      </c>
      <c r="M4477">
        <v>4</v>
      </c>
      <c r="N4477" t="s">
        <v>22</v>
      </c>
      <c r="O4477" t="str">
        <f t="shared" si="69"/>
        <v>No</v>
      </c>
    </row>
    <row r="4478" spans="1:15" x14ac:dyDescent="0.25">
      <c r="A4478" t="s">
        <v>4539</v>
      </c>
      <c r="B4478" s="1">
        <v>45827</v>
      </c>
      <c r="C4478" s="2">
        <v>45827.1325</v>
      </c>
      <c r="D4478" t="s">
        <v>38</v>
      </c>
      <c r="E4478" t="s">
        <v>32</v>
      </c>
      <c r="F4478" t="s">
        <v>75</v>
      </c>
      <c r="G4478" t="s">
        <v>56</v>
      </c>
      <c r="H4478" t="s">
        <v>19</v>
      </c>
      <c r="I4478" t="s">
        <v>45</v>
      </c>
      <c r="J4478" t="s">
        <v>29</v>
      </c>
      <c r="K4478">
        <v>8</v>
      </c>
      <c r="L4478">
        <v>3.18</v>
      </c>
      <c r="M4478">
        <v>3</v>
      </c>
      <c r="N4478" t="s">
        <v>22</v>
      </c>
      <c r="O4478" t="str">
        <f t="shared" si="69"/>
        <v>No</v>
      </c>
    </row>
    <row r="4479" spans="1:15" x14ac:dyDescent="0.25">
      <c r="A4479" t="s">
        <v>4540</v>
      </c>
      <c r="B4479" s="1">
        <v>45724</v>
      </c>
      <c r="C4479" s="2">
        <v>45724.613333333335</v>
      </c>
      <c r="D4479" t="s">
        <v>15</v>
      </c>
      <c r="E4479" t="s">
        <v>39</v>
      </c>
      <c r="F4479" t="s">
        <v>87</v>
      </c>
      <c r="G4479" t="s">
        <v>18</v>
      </c>
      <c r="H4479" t="s">
        <v>27</v>
      </c>
      <c r="I4479" t="s">
        <v>20</v>
      </c>
      <c r="J4479" t="s">
        <v>21</v>
      </c>
      <c r="K4479">
        <v>48</v>
      </c>
      <c r="L4479">
        <v>14.72</v>
      </c>
      <c r="M4479">
        <v>4.5</v>
      </c>
      <c r="N4479" t="s">
        <v>22</v>
      </c>
      <c r="O4479" t="str">
        <f t="shared" si="69"/>
        <v>No</v>
      </c>
    </row>
    <row r="4480" spans="1:15" x14ac:dyDescent="0.25">
      <c r="A4480" t="s">
        <v>4541</v>
      </c>
      <c r="B4480" s="1">
        <v>45815</v>
      </c>
      <c r="C4480" s="2">
        <v>45815.228750000002</v>
      </c>
      <c r="D4480" t="s">
        <v>38</v>
      </c>
      <c r="E4480" t="s">
        <v>32</v>
      </c>
      <c r="F4480" t="s">
        <v>64</v>
      </c>
      <c r="G4480" t="s">
        <v>41</v>
      </c>
      <c r="H4480" t="s">
        <v>65</v>
      </c>
      <c r="I4480" t="s">
        <v>20</v>
      </c>
      <c r="J4480" t="s">
        <v>21</v>
      </c>
      <c r="K4480">
        <v>8</v>
      </c>
      <c r="L4480">
        <v>5.49</v>
      </c>
      <c r="M4480">
        <v>3.9</v>
      </c>
      <c r="N4480" t="s">
        <v>22</v>
      </c>
      <c r="O4480" t="str">
        <f t="shared" si="69"/>
        <v>No</v>
      </c>
    </row>
    <row r="4481" spans="1:15" x14ac:dyDescent="0.25">
      <c r="A4481" t="s">
        <v>4542</v>
      </c>
      <c r="B4481" s="1">
        <v>45755</v>
      </c>
      <c r="C4481" s="2">
        <v>45755.580833333333</v>
      </c>
      <c r="D4481" t="s">
        <v>24</v>
      </c>
      <c r="E4481" t="s">
        <v>45</v>
      </c>
      <c r="F4481" t="s">
        <v>100</v>
      </c>
      <c r="G4481" t="s">
        <v>41</v>
      </c>
      <c r="H4481" t="s">
        <v>65</v>
      </c>
      <c r="I4481" t="s">
        <v>36</v>
      </c>
      <c r="J4481" t="s">
        <v>46</v>
      </c>
      <c r="K4481">
        <v>24</v>
      </c>
      <c r="L4481">
        <v>13.94</v>
      </c>
      <c r="M4481">
        <v>5</v>
      </c>
      <c r="N4481" t="s">
        <v>22</v>
      </c>
      <c r="O4481" t="str">
        <f t="shared" si="69"/>
        <v>No</v>
      </c>
    </row>
    <row r="4482" spans="1:15" x14ac:dyDescent="0.25">
      <c r="A4482" t="s">
        <v>4543</v>
      </c>
      <c r="B4482" s="1">
        <v>45742</v>
      </c>
      <c r="C4482" s="2">
        <v>45742.094166666669</v>
      </c>
      <c r="D4482" t="s">
        <v>31</v>
      </c>
      <c r="E4482" t="s">
        <v>16</v>
      </c>
      <c r="F4482" t="s">
        <v>60</v>
      </c>
      <c r="G4482" t="s">
        <v>18</v>
      </c>
      <c r="H4482" t="s">
        <v>35</v>
      </c>
      <c r="I4482" t="s">
        <v>28</v>
      </c>
      <c r="J4482" t="s">
        <v>46</v>
      </c>
      <c r="K4482">
        <v>4</v>
      </c>
      <c r="L4482">
        <v>2.2599999999999998</v>
      </c>
      <c r="M4482">
        <v>3.5</v>
      </c>
      <c r="N4482" t="s">
        <v>22</v>
      </c>
      <c r="O4482" t="str">
        <f t="shared" si="69"/>
        <v>No</v>
      </c>
    </row>
    <row r="4483" spans="1:15" x14ac:dyDescent="0.25">
      <c r="A4483" t="s">
        <v>4544</v>
      </c>
      <c r="B4483" s="1">
        <v>45711</v>
      </c>
      <c r="C4483" s="2">
        <v>45711.214166666665</v>
      </c>
      <c r="D4483" t="s">
        <v>31</v>
      </c>
      <c r="E4483" t="s">
        <v>32</v>
      </c>
      <c r="F4483" t="s">
        <v>64</v>
      </c>
      <c r="G4483" t="s">
        <v>18</v>
      </c>
      <c r="H4483" t="s">
        <v>27</v>
      </c>
      <c r="I4483" t="s">
        <v>36</v>
      </c>
      <c r="J4483" t="s">
        <v>21</v>
      </c>
      <c r="K4483">
        <v>4</v>
      </c>
      <c r="L4483">
        <v>5.14</v>
      </c>
      <c r="M4483">
        <v>4.7</v>
      </c>
      <c r="N4483" t="s">
        <v>22</v>
      </c>
      <c r="O4483" t="str">
        <f t="shared" ref="O4483:O4546" si="70">IF(L4483&gt;K4483,"Yes","No")</f>
        <v>Yes</v>
      </c>
    </row>
    <row r="4484" spans="1:15" x14ac:dyDescent="0.25">
      <c r="A4484" t="s">
        <v>4545</v>
      </c>
      <c r="B4484" s="1">
        <v>45809</v>
      </c>
      <c r="C4484" s="2">
        <v>45810.493333333332</v>
      </c>
      <c r="D4484" t="s">
        <v>15</v>
      </c>
      <c r="E4484" t="s">
        <v>39</v>
      </c>
      <c r="F4484" t="s">
        <v>40</v>
      </c>
      <c r="G4484" t="s">
        <v>18</v>
      </c>
      <c r="H4484" t="s">
        <v>35</v>
      </c>
      <c r="I4484" t="s">
        <v>36</v>
      </c>
      <c r="J4484" t="s">
        <v>21</v>
      </c>
      <c r="K4484">
        <v>48</v>
      </c>
      <c r="L4484">
        <v>35.840000000000003</v>
      </c>
      <c r="M4484">
        <v>4.7</v>
      </c>
      <c r="N4484" t="s">
        <v>22</v>
      </c>
      <c r="O4484" t="str">
        <f t="shared" si="70"/>
        <v>No</v>
      </c>
    </row>
    <row r="4485" spans="1:15" x14ac:dyDescent="0.25">
      <c r="A4485" t="s">
        <v>4546</v>
      </c>
      <c r="B4485" s="1">
        <v>45668</v>
      </c>
      <c r="C4485" s="2">
        <v>45669.307916666665</v>
      </c>
      <c r="D4485" t="s">
        <v>38</v>
      </c>
      <c r="E4485" t="s">
        <v>32</v>
      </c>
      <c r="F4485" t="s">
        <v>64</v>
      </c>
      <c r="G4485" t="s">
        <v>51</v>
      </c>
      <c r="H4485" t="s">
        <v>35</v>
      </c>
      <c r="I4485" t="s">
        <v>36</v>
      </c>
      <c r="J4485" t="s">
        <v>21</v>
      </c>
      <c r="K4485">
        <v>8</v>
      </c>
      <c r="L4485">
        <v>31.39</v>
      </c>
      <c r="M4485">
        <v>1</v>
      </c>
      <c r="N4485" t="s">
        <v>22</v>
      </c>
      <c r="O4485" t="str">
        <f t="shared" si="70"/>
        <v>Yes</v>
      </c>
    </row>
    <row r="4486" spans="1:15" x14ac:dyDescent="0.25">
      <c r="A4486" t="s">
        <v>4547</v>
      </c>
      <c r="B4486" s="1">
        <v>45742</v>
      </c>
      <c r="C4486" s="2">
        <v>45742.332083333335</v>
      </c>
      <c r="D4486" t="s">
        <v>24</v>
      </c>
      <c r="E4486" t="s">
        <v>32</v>
      </c>
      <c r="F4486" t="s">
        <v>75</v>
      </c>
      <c r="G4486" t="s">
        <v>56</v>
      </c>
      <c r="H4486" t="s">
        <v>54</v>
      </c>
      <c r="I4486" t="s">
        <v>36</v>
      </c>
      <c r="J4486" t="s">
        <v>21</v>
      </c>
      <c r="K4486">
        <v>24</v>
      </c>
      <c r="L4486">
        <v>7.97</v>
      </c>
      <c r="M4486">
        <v>4.3</v>
      </c>
      <c r="N4486" t="s">
        <v>22</v>
      </c>
      <c r="O4486" t="str">
        <f t="shared" si="70"/>
        <v>No</v>
      </c>
    </row>
    <row r="4487" spans="1:15" x14ac:dyDescent="0.25">
      <c r="A4487" t="s">
        <v>4548</v>
      </c>
      <c r="B4487" s="1">
        <v>45724</v>
      </c>
      <c r="C4487" s="2">
        <v>45725.918333333335</v>
      </c>
      <c r="D4487" t="s">
        <v>24</v>
      </c>
      <c r="E4487" t="s">
        <v>39</v>
      </c>
      <c r="F4487" t="s">
        <v>78</v>
      </c>
      <c r="G4487" t="s">
        <v>41</v>
      </c>
      <c r="H4487" t="s">
        <v>44</v>
      </c>
      <c r="I4487" t="s">
        <v>36</v>
      </c>
      <c r="J4487" t="s">
        <v>21</v>
      </c>
      <c r="K4487">
        <v>24</v>
      </c>
      <c r="L4487">
        <v>46.04</v>
      </c>
      <c r="M4487">
        <v>2.2999999999999998</v>
      </c>
      <c r="N4487" t="s">
        <v>22</v>
      </c>
      <c r="O4487" t="str">
        <f t="shared" si="70"/>
        <v>Yes</v>
      </c>
    </row>
    <row r="4488" spans="1:15" x14ac:dyDescent="0.25">
      <c r="A4488" t="s">
        <v>4549</v>
      </c>
      <c r="B4488" s="1">
        <v>45756</v>
      </c>
      <c r="C4488" s="2">
        <v>45756.720405092594</v>
      </c>
      <c r="D4488" t="s">
        <v>24</v>
      </c>
      <c r="E4488" t="s">
        <v>32</v>
      </c>
      <c r="F4488" t="s">
        <v>33</v>
      </c>
      <c r="G4488" t="s">
        <v>41</v>
      </c>
      <c r="H4488" t="s">
        <v>35</v>
      </c>
      <c r="I4488" t="s">
        <v>20</v>
      </c>
      <c r="J4488" t="s">
        <v>46</v>
      </c>
      <c r="K4488">
        <v>24</v>
      </c>
      <c r="L4488">
        <v>17.29</v>
      </c>
      <c r="M4488">
        <v>4.3</v>
      </c>
      <c r="N4488" t="s">
        <v>22</v>
      </c>
      <c r="O4488" t="str">
        <f t="shared" si="70"/>
        <v>No</v>
      </c>
    </row>
    <row r="4489" spans="1:15" x14ac:dyDescent="0.25">
      <c r="A4489" t="s">
        <v>4550</v>
      </c>
      <c r="B4489" s="1">
        <v>45704</v>
      </c>
      <c r="C4489" s="2">
        <v>45704.407500000001</v>
      </c>
      <c r="D4489" t="s">
        <v>15</v>
      </c>
      <c r="E4489" t="s">
        <v>32</v>
      </c>
      <c r="F4489" t="s">
        <v>64</v>
      </c>
      <c r="G4489" t="s">
        <v>51</v>
      </c>
      <c r="H4489" t="s">
        <v>65</v>
      </c>
      <c r="I4489" t="s">
        <v>45</v>
      </c>
      <c r="J4489" t="s">
        <v>29</v>
      </c>
      <c r="K4489">
        <v>48</v>
      </c>
      <c r="L4489">
        <v>9.7799999999999994</v>
      </c>
      <c r="M4489">
        <v>4.2</v>
      </c>
      <c r="N4489" t="s">
        <v>22</v>
      </c>
      <c r="O4489" t="str">
        <f t="shared" si="70"/>
        <v>No</v>
      </c>
    </row>
    <row r="4490" spans="1:15" x14ac:dyDescent="0.25">
      <c r="A4490" t="s">
        <v>4551</v>
      </c>
      <c r="B4490" s="1">
        <v>45778</v>
      </c>
      <c r="C4490" s="2">
        <v>45778.5625</v>
      </c>
      <c r="D4490" t="s">
        <v>15</v>
      </c>
      <c r="E4490" t="s">
        <v>45</v>
      </c>
      <c r="F4490" t="s">
        <v>104</v>
      </c>
      <c r="G4490" t="s">
        <v>34</v>
      </c>
      <c r="H4490" t="s">
        <v>54</v>
      </c>
      <c r="I4490" t="s">
        <v>28</v>
      </c>
      <c r="J4490" t="s">
        <v>85</v>
      </c>
      <c r="K4490">
        <v>48</v>
      </c>
      <c r="L4490">
        <v>13.5</v>
      </c>
      <c r="M4490">
        <v>4.5999999999999996</v>
      </c>
      <c r="N4490" t="s">
        <v>61</v>
      </c>
      <c r="O4490" t="str">
        <f t="shared" si="70"/>
        <v>No</v>
      </c>
    </row>
    <row r="4491" spans="1:15" x14ac:dyDescent="0.25">
      <c r="A4491" t="s">
        <v>4552</v>
      </c>
      <c r="B4491" s="1">
        <v>45727</v>
      </c>
      <c r="C4491" s="2">
        <v>45728.633750000001</v>
      </c>
      <c r="D4491" t="s">
        <v>15</v>
      </c>
      <c r="E4491" t="s">
        <v>16</v>
      </c>
      <c r="F4491" t="s">
        <v>17</v>
      </c>
      <c r="G4491" t="s">
        <v>34</v>
      </c>
      <c r="H4491" t="s">
        <v>65</v>
      </c>
      <c r="I4491" t="s">
        <v>36</v>
      </c>
      <c r="J4491" t="s">
        <v>85</v>
      </c>
      <c r="K4491">
        <v>48</v>
      </c>
      <c r="L4491">
        <v>39.21</v>
      </c>
      <c r="M4491">
        <v>3.3</v>
      </c>
      <c r="N4491" t="s">
        <v>22</v>
      </c>
      <c r="O4491" t="str">
        <f t="shared" si="70"/>
        <v>No</v>
      </c>
    </row>
    <row r="4492" spans="1:15" x14ac:dyDescent="0.25">
      <c r="A4492" t="s">
        <v>4553</v>
      </c>
      <c r="B4492" s="1">
        <v>45692</v>
      </c>
      <c r="C4492" s="2">
        <v>45692.319166666668</v>
      </c>
      <c r="D4492" t="s">
        <v>15</v>
      </c>
      <c r="E4492" t="s">
        <v>45</v>
      </c>
      <c r="F4492" t="s">
        <v>100</v>
      </c>
      <c r="G4492" t="s">
        <v>51</v>
      </c>
      <c r="H4492" t="s">
        <v>44</v>
      </c>
      <c r="I4492" t="s">
        <v>45</v>
      </c>
      <c r="J4492" t="s">
        <v>85</v>
      </c>
      <c r="K4492">
        <v>48</v>
      </c>
      <c r="L4492">
        <v>7.66</v>
      </c>
      <c r="M4492">
        <v>5</v>
      </c>
      <c r="N4492" t="s">
        <v>22</v>
      </c>
      <c r="O4492" t="str">
        <f t="shared" si="70"/>
        <v>No</v>
      </c>
    </row>
    <row r="4493" spans="1:15" x14ac:dyDescent="0.25">
      <c r="A4493" t="s">
        <v>4554</v>
      </c>
      <c r="B4493" s="1">
        <v>45693</v>
      </c>
      <c r="C4493" s="2">
        <v>45693.95416666667</v>
      </c>
      <c r="D4493" t="s">
        <v>15</v>
      </c>
      <c r="E4493" t="s">
        <v>32</v>
      </c>
      <c r="F4493" t="s">
        <v>75</v>
      </c>
      <c r="G4493" t="s">
        <v>18</v>
      </c>
      <c r="H4493" t="s">
        <v>54</v>
      </c>
      <c r="I4493" t="s">
        <v>36</v>
      </c>
      <c r="J4493" t="s">
        <v>21</v>
      </c>
      <c r="K4493">
        <v>48</v>
      </c>
      <c r="L4493">
        <v>22.9</v>
      </c>
      <c r="M4493">
        <v>4.5</v>
      </c>
      <c r="N4493" t="s">
        <v>22</v>
      </c>
      <c r="O4493" t="str">
        <f t="shared" si="70"/>
        <v>No</v>
      </c>
    </row>
    <row r="4494" spans="1:15" x14ac:dyDescent="0.25">
      <c r="A4494" t="s">
        <v>4555</v>
      </c>
      <c r="B4494" s="1">
        <v>45784</v>
      </c>
      <c r="C4494" s="2">
        <v>45784.798750000002</v>
      </c>
      <c r="D4494" t="s">
        <v>38</v>
      </c>
      <c r="E4494" t="s">
        <v>25</v>
      </c>
      <c r="F4494" t="s">
        <v>53</v>
      </c>
      <c r="G4494" t="s">
        <v>51</v>
      </c>
      <c r="H4494" t="s">
        <v>27</v>
      </c>
      <c r="I4494" t="s">
        <v>45</v>
      </c>
      <c r="J4494" t="s">
        <v>21</v>
      </c>
      <c r="K4494">
        <v>8</v>
      </c>
      <c r="L4494">
        <v>19.170000000000002</v>
      </c>
      <c r="M4494">
        <v>1.8</v>
      </c>
      <c r="N4494" t="s">
        <v>61</v>
      </c>
      <c r="O4494" t="str">
        <f t="shared" si="70"/>
        <v>Yes</v>
      </c>
    </row>
    <row r="4495" spans="1:15" x14ac:dyDescent="0.25">
      <c r="A4495" t="s">
        <v>4556</v>
      </c>
      <c r="B4495" s="1">
        <v>45705</v>
      </c>
      <c r="C4495" s="2">
        <v>45705.022083333337</v>
      </c>
      <c r="D4495" t="s">
        <v>24</v>
      </c>
      <c r="E4495" t="s">
        <v>39</v>
      </c>
      <c r="F4495" t="s">
        <v>87</v>
      </c>
      <c r="G4495" t="s">
        <v>41</v>
      </c>
      <c r="H4495" t="s">
        <v>54</v>
      </c>
      <c r="I4495" t="s">
        <v>36</v>
      </c>
      <c r="J4495" t="s">
        <v>21</v>
      </c>
      <c r="K4495">
        <v>24</v>
      </c>
      <c r="L4495">
        <v>0.53</v>
      </c>
      <c r="M4495">
        <v>4.8</v>
      </c>
      <c r="N4495" t="s">
        <v>22</v>
      </c>
      <c r="O4495" t="str">
        <f t="shared" si="70"/>
        <v>No</v>
      </c>
    </row>
    <row r="4496" spans="1:15" x14ac:dyDescent="0.25">
      <c r="A4496" t="s">
        <v>4557</v>
      </c>
      <c r="B4496" s="1">
        <v>45713</v>
      </c>
      <c r="C4496" s="2">
        <v>45713.158333333333</v>
      </c>
      <c r="D4496" t="s">
        <v>38</v>
      </c>
      <c r="E4496" t="s">
        <v>32</v>
      </c>
      <c r="F4496" t="s">
        <v>33</v>
      </c>
      <c r="G4496" t="s">
        <v>41</v>
      </c>
      <c r="H4496" t="s">
        <v>27</v>
      </c>
      <c r="I4496" t="s">
        <v>45</v>
      </c>
      <c r="J4496" t="s">
        <v>46</v>
      </c>
      <c r="K4496">
        <v>8</v>
      </c>
      <c r="L4496">
        <v>3.8</v>
      </c>
      <c r="M4496">
        <v>4</v>
      </c>
      <c r="N4496" t="s">
        <v>61</v>
      </c>
      <c r="O4496" t="str">
        <f t="shared" si="70"/>
        <v>No</v>
      </c>
    </row>
    <row r="4497" spans="1:15" x14ac:dyDescent="0.25">
      <c r="A4497" t="s">
        <v>4558</v>
      </c>
      <c r="B4497" s="1">
        <v>45771</v>
      </c>
      <c r="C4497" s="2">
        <v>45771.09375</v>
      </c>
      <c r="D4497" t="s">
        <v>38</v>
      </c>
      <c r="E4497" t="s">
        <v>25</v>
      </c>
      <c r="F4497" t="s">
        <v>70</v>
      </c>
      <c r="G4497" t="s">
        <v>41</v>
      </c>
      <c r="H4497" t="s">
        <v>27</v>
      </c>
      <c r="I4497" t="s">
        <v>20</v>
      </c>
      <c r="J4497" t="s">
        <v>85</v>
      </c>
      <c r="K4497">
        <v>8</v>
      </c>
      <c r="L4497">
        <v>2.25</v>
      </c>
      <c r="M4497">
        <v>4.9000000000000004</v>
      </c>
      <c r="N4497" t="s">
        <v>22</v>
      </c>
      <c r="O4497" t="str">
        <f t="shared" si="70"/>
        <v>No</v>
      </c>
    </row>
    <row r="4498" spans="1:15" x14ac:dyDescent="0.25">
      <c r="A4498" t="s">
        <v>4559</v>
      </c>
      <c r="B4498" s="1">
        <v>45717</v>
      </c>
      <c r="C4498" s="2">
        <v>45717.655833333331</v>
      </c>
      <c r="D4498" t="s">
        <v>38</v>
      </c>
      <c r="E4498" t="s">
        <v>32</v>
      </c>
      <c r="F4498" t="s">
        <v>33</v>
      </c>
      <c r="G4498" t="s">
        <v>41</v>
      </c>
      <c r="H4498" t="s">
        <v>44</v>
      </c>
      <c r="I4498" t="s">
        <v>36</v>
      </c>
      <c r="J4498" t="s">
        <v>21</v>
      </c>
      <c r="K4498">
        <v>8</v>
      </c>
      <c r="L4498">
        <v>15.74</v>
      </c>
      <c r="M4498">
        <v>1.8</v>
      </c>
      <c r="N4498" t="s">
        <v>22</v>
      </c>
      <c r="O4498" t="str">
        <f t="shared" si="70"/>
        <v>Yes</v>
      </c>
    </row>
    <row r="4499" spans="1:15" x14ac:dyDescent="0.25">
      <c r="A4499" t="s">
        <v>4560</v>
      </c>
      <c r="B4499" s="1">
        <v>45728</v>
      </c>
      <c r="C4499" s="2">
        <v>45728.447083333333</v>
      </c>
      <c r="D4499" t="s">
        <v>24</v>
      </c>
      <c r="E4499" t="s">
        <v>39</v>
      </c>
      <c r="F4499" t="s">
        <v>78</v>
      </c>
      <c r="G4499" t="s">
        <v>18</v>
      </c>
      <c r="H4499" t="s">
        <v>65</v>
      </c>
      <c r="I4499" t="s">
        <v>36</v>
      </c>
      <c r="J4499" t="s">
        <v>21</v>
      </c>
      <c r="K4499">
        <v>24</v>
      </c>
      <c r="L4499">
        <v>10.73</v>
      </c>
      <c r="M4499">
        <v>5</v>
      </c>
      <c r="N4499" t="s">
        <v>22</v>
      </c>
      <c r="O4499" t="str">
        <f t="shared" si="70"/>
        <v>No</v>
      </c>
    </row>
    <row r="4500" spans="1:15" x14ac:dyDescent="0.25">
      <c r="A4500" t="s">
        <v>4561</v>
      </c>
      <c r="B4500" s="1">
        <v>45702</v>
      </c>
      <c r="C4500" s="2">
        <v>45702.080833333333</v>
      </c>
      <c r="D4500" t="s">
        <v>38</v>
      </c>
      <c r="E4500" t="s">
        <v>25</v>
      </c>
      <c r="F4500" t="s">
        <v>53</v>
      </c>
      <c r="G4500" t="s">
        <v>41</v>
      </c>
      <c r="H4500" t="s">
        <v>19</v>
      </c>
      <c r="I4500" t="s">
        <v>36</v>
      </c>
      <c r="J4500" t="s">
        <v>21</v>
      </c>
      <c r="K4500">
        <v>8</v>
      </c>
      <c r="L4500">
        <v>1.94</v>
      </c>
      <c r="M4500">
        <v>4.8</v>
      </c>
      <c r="N4500" t="s">
        <v>61</v>
      </c>
      <c r="O4500" t="str">
        <f t="shared" si="70"/>
        <v>No</v>
      </c>
    </row>
    <row r="4501" spans="1:15" x14ac:dyDescent="0.25">
      <c r="A4501" t="s">
        <v>4562</v>
      </c>
      <c r="B4501" s="1">
        <v>45720</v>
      </c>
      <c r="C4501" s="2">
        <v>45720.054166666669</v>
      </c>
      <c r="D4501" t="s">
        <v>38</v>
      </c>
      <c r="E4501" t="s">
        <v>16</v>
      </c>
      <c r="F4501" t="s">
        <v>17</v>
      </c>
      <c r="G4501" t="s">
        <v>34</v>
      </c>
      <c r="H4501" t="s">
        <v>35</v>
      </c>
      <c r="I4501" t="s">
        <v>36</v>
      </c>
      <c r="J4501" t="s">
        <v>21</v>
      </c>
      <c r="K4501">
        <v>8</v>
      </c>
      <c r="L4501">
        <v>1.3</v>
      </c>
      <c r="M4501">
        <v>4.5</v>
      </c>
      <c r="N4501" t="s">
        <v>22</v>
      </c>
      <c r="O4501" t="str">
        <f t="shared" si="70"/>
        <v>No</v>
      </c>
    </row>
    <row r="4502" spans="1:15" x14ac:dyDescent="0.25">
      <c r="A4502" t="s">
        <v>4563</v>
      </c>
      <c r="B4502" s="1">
        <v>45783</v>
      </c>
      <c r="C4502" s="2">
        <v>45783.061249999999</v>
      </c>
      <c r="D4502" t="s">
        <v>38</v>
      </c>
      <c r="E4502" t="s">
        <v>16</v>
      </c>
      <c r="F4502" t="s">
        <v>58</v>
      </c>
      <c r="G4502" t="s">
        <v>51</v>
      </c>
      <c r="H4502" t="s">
        <v>27</v>
      </c>
      <c r="I4502" t="s">
        <v>45</v>
      </c>
      <c r="J4502" t="s">
        <v>46</v>
      </c>
      <c r="K4502">
        <v>8</v>
      </c>
      <c r="L4502">
        <v>1.47</v>
      </c>
      <c r="M4502">
        <v>5</v>
      </c>
      <c r="N4502" t="s">
        <v>22</v>
      </c>
      <c r="O4502" t="str">
        <f t="shared" si="70"/>
        <v>No</v>
      </c>
    </row>
    <row r="4503" spans="1:15" x14ac:dyDescent="0.25">
      <c r="A4503" t="s">
        <v>4564</v>
      </c>
      <c r="B4503" s="1">
        <v>45754</v>
      </c>
      <c r="C4503" s="2">
        <v>45754.590833333335</v>
      </c>
      <c r="D4503" t="s">
        <v>38</v>
      </c>
      <c r="E4503" t="s">
        <v>39</v>
      </c>
      <c r="F4503" t="s">
        <v>40</v>
      </c>
      <c r="G4503" t="s">
        <v>51</v>
      </c>
      <c r="H4503" t="s">
        <v>44</v>
      </c>
      <c r="I4503" t="s">
        <v>45</v>
      </c>
      <c r="J4503" t="s">
        <v>21</v>
      </c>
      <c r="K4503">
        <v>8</v>
      </c>
      <c r="L4503">
        <v>14.18</v>
      </c>
      <c r="M4503">
        <v>3.1</v>
      </c>
      <c r="N4503" t="s">
        <v>22</v>
      </c>
      <c r="O4503" t="str">
        <f t="shared" si="70"/>
        <v>Yes</v>
      </c>
    </row>
    <row r="4504" spans="1:15" x14ac:dyDescent="0.25">
      <c r="A4504" t="s">
        <v>4565</v>
      </c>
      <c r="B4504" s="1">
        <v>45838</v>
      </c>
      <c r="C4504" s="2">
        <v>45838.042500000003</v>
      </c>
      <c r="D4504" t="s">
        <v>24</v>
      </c>
      <c r="E4504" t="s">
        <v>32</v>
      </c>
      <c r="F4504" t="s">
        <v>80</v>
      </c>
      <c r="G4504" t="s">
        <v>41</v>
      </c>
      <c r="H4504" t="s">
        <v>19</v>
      </c>
      <c r="I4504" t="s">
        <v>20</v>
      </c>
      <c r="J4504" t="s">
        <v>21</v>
      </c>
      <c r="K4504">
        <v>24</v>
      </c>
      <c r="L4504">
        <v>1.02</v>
      </c>
      <c r="M4504">
        <v>4.3</v>
      </c>
      <c r="N4504" t="s">
        <v>22</v>
      </c>
      <c r="O4504" t="str">
        <f t="shared" si="70"/>
        <v>No</v>
      </c>
    </row>
    <row r="4505" spans="1:15" x14ac:dyDescent="0.25">
      <c r="A4505" t="s">
        <v>4566</v>
      </c>
      <c r="B4505" s="1">
        <v>45797</v>
      </c>
      <c r="C4505" s="2">
        <v>45797.739583333336</v>
      </c>
      <c r="D4505" t="s">
        <v>24</v>
      </c>
      <c r="E4505" t="s">
        <v>45</v>
      </c>
      <c r="F4505" t="s">
        <v>50</v>
      </c>
      <c r="G4505" t="s">
        <v>34</v>
      </c>
      <c r="H4505" t="s">
        <v>35</v>
      </c>
      <c r="I4505" t="s">
        <v>28</v>
      </c>
      <c r="J4505" t="s">
        <v>85</v>
      </c>
      <c r="K4505">
        <v>24</v>
      </c>
      <c r="L4505">
        <v>17.75</v>
      </c>
      <c r="M4505">
        <v>5</v>
      </c>
      <c r="N4505" t="s">
        <v>22</v>
      </c>
      <c r="O4505" t="str">
        <f t="shared" si="70"/>
        <v>No</v>
      </c>
    </row>
    <row r="4506" spans="1:15" x14ac:dyDescent="0.25">
      <c r="A4506" t="s">
        <v>4567</v>
      </c>
      <c r="B4506" s="1">
        <v>45661</v>
      </c>
      <c r="C4506" s="2">
        <v>45661.456666666665</v>
      </c>
      <c r="D4506" t="s">
        <v>38</v>
      </c>
      <c r="E4506" t="s">
        <v>32</v>
      </c>
      <c r="F4506" t="s">
        <v>64</v>
      </c>
      <c r="G4506" t="s">
        <v>41</v>
      </c>
      <c r="H4506" t="s">
        <v>44</v>
      </c>
      <c r="I4506" t="s">
        <v>36</v>
      </c>
      <c r="J4506" t="s">
        <v>21</v>
      </c>
      <c r="K4506">
        <v>8</v>
      </c>
      <c r="L4506">
        <v>10.96</v>
      </c>
      <c r="M4506">
        <v>1.7</v>
      </c>
      <c r="N4506" t="s">
        <v>22</v>
      </c>
      <c r="O4506" t="str">
        <f t="shared" si="70"/>
        <v>Yes</v>
      </c>
    </row>
    <row r="4507" spans="1:15" x14ac:dyDescent="0.25">
      <c r="A4507" t="s">
        <v>4568</v>
      </c>
      <c r="B4507" s="1">
        <v>45726</v>
      </c>
      <c r="C4507" s="2">
        <v>45726.469583333332</v>
      </c>
      <c r="D4507" t="s">
        <v>24</v>
      </c>
      <c r="E4507" t="s">
        <v>32</v>
      </c>
      <c r="F4507" t="s">
        <v>33</v>
      </c>
      <c r="G4507" t="s">
        <v>34</v>
      </c>
      <c r="H4507" t="s">
        <v>65</v>
      </c>
      <c r="I4507" t="s">
        <v>28</v>
      </c>
      <c r="J4507" t="s">
        <v>21</v>
      </c>
      <c r="K4507">
        <v>24</v>
      </c>
      <c r="L4507">
        <v>11.27</v>
      </c>
      <c r="M4507">
        <v>5</v>
      </c>
      <c r="N4507" t="s">
        <v>22</v>
      </c>
      <c r="O4507" t="str">
        <f t="shared" si="70"/>
        <v>No</v>
      </c>
    </row>
    <row r="4508" spans="1:15" x14ac:dyDescent="0.25">
      <c r="A4508" t="s">
        <v>4569</v>
      </c>
      <c r="B4508" s="1">
        <v>45710</v>
      </c>
      <c r="C4508" s="2">
        <v>45710.0625</v>
      </c>
      <c r="D4508" t="s">
        <v>38</v>
      </c>
      <c r="E4508" t="s">
        <v>32</v>
      </c>
      <c r="F4508" t="s">
        <v>64</v>
      </c>
      <c r="G4508" t="s">
        <v>51</v>
      </c>
      <c r="H4508" t="s">
        <v>65</v>
      </c>
      <c r="I4508" t="s">
        <v>20</v>
      </c>
      <c r="J4508" t="s">
        <v>46</v>
      </c>
      <c r="K4508">
        <v>8</v>
      </c>
      <c r="L4508">
        <v>1.5</v>
      </c>
      <c r="M4508">
        <v>4.7</v>
      </c>
      <c r="N4508" t="s">
        <v>22</v>
      </c>
      <c r="O4508" t="str">
        <f t="shared" si="70"/>
        <v>No</v>
      </c>
    </row>
    <row r="4509" spans="1:15" x14ac:dyDescent="0.25">
      <c r="A4509" t="s">
        <v>4570</v>
      </c>
      <c r="B4509" s="1">
        <v>45764</v>
      </c>
      <c r="C4509" s="2">
        <v>45765.475416666668</v>
      </c>
      <c r="D4509" t="s">
        <v>15</v>
      </c>
      <c r="E4509" t="s">
        <v>45</v>
      </c>
      <c r="F4509" t="s">
        <v>100</v>
      </c>
      <c r="G4509" t="s">
        <v>18</v>
      </c>
      <c r="H4509" t="s">
        <v>19</v>
      </c>
      <c r="I4509" t="s">
        <v>36</v>
      </c>
      <c r="J4509" t="s">
        <v>21</v>
      </c>
      <c r="K4509">
        <v>48</v>
      </c>
      <c r="L4509">
        <v>35.409999999999997</v>
      </c>
      <c r="M4509">
        <v>4.8</v>
      </c>
      <c r="N4509" t="s">
        <v>22</v>
      </c>
      <c r="O4509" t="str">
        <f t="shared" si="70"/>
        <v>No</v>
      </c>
    </row>
    <row r="4510" spans="1:15" x14ac:dyDescent="0.25">
      <c r="A4510" t="s">
        <v>4571</v>
      </c>
      <c r="B4510" s="1">
        <v>45706</v>
      </c>
      <c r="C4510" s="2">
        <v>45706.458333333336</v>
      </c>
      <c r="D4510" t="s">
        <v>15</v>
      </c>
      <c r="E4510" t="s">
        <v>25</v>
      </c>
      <c r="F4510" t="s">
        <v>70</v>
      </c>
      <c r="G4510" t="s">
        <v>41</v>
      </c>
      <c r="H4510" t="s">
        <v>19</v>
      </c>
      <c r="I4510" t="s">
        <v>20</v>
      </c>
      <c r="J4510" t="s">
        <v>46</v>
      </c>
      <c r="K4510">
        <v>48</v>
      </c>
      <c r="L4510">
        <v>11</v>
      </c>
      <c r="M4510">
        <v>5</v>
      </c>
      <c r="N4510" t="s">
        <v>22</v>
      </c>
      <c r="O4510" t="str">
        <f t="shared" si="70"/>
        <v>No</v>
      </c>
    </row>
    <row r="4511" spans="1:15" x14ac:dyDescent="0.25">
      <c r="A4511" t="s">
        <v>4572</v>
      </c>
      <c r="B4511" s="1">
        <v>45832</v>
      </c>
      <c r="C4511" s="2">
        <v>45832.301249999997</v>
      </c>
      <c r="D4511" t="s">
        <v>24</v>
      </c>
      <c r="E4511" t="s">
        <v>39</v>
      </c>
      <c r="F4511" t="s">
        <v>78</v>
      </c>
      <c r="G4511" t="s">
        <v>51</v>
      </c>
      <c r="H4511" t="s">
        <v>27</v>
      </c>
      <c r="I4511" t="s">
        <v>45</v>
      </c>
      <c r="J4511" t="s">
        <v>21</v>
      </c>
      <c r="K4511">
        <v>24</v>
      </c>
      <c r="L4511">
        <v>7.23</v>
      </c>
      <c r="M4511">
        <v>4.4000000000000004</v>
      </c>
      <c r="N4511" t="s">
        <v>22</v>
      </c>
      <c r="O4511" t="str">
        <f t="shared" si="70"/>
        <v>No</v>
      </c>
    </row>
    <row r="4512" spans="1:15" x14ac:dyDescent="0.25">
      <c r="A4512" t="s">
        <v>4573</v>
      </c>
      <c r="B4512" s="1">
        <v>45712</v>
      </c>
      <c r="C4512" s="2">
        <v>45712.512916666667</v>
      </c>
      <c r="D4512" t="s">
        <v>15</v>
      </c>
      <c r="E4512" t="s">
        <v>45</v>
      </c>
      <c r="F4512" t="s">
        <v>104</v>
      </c>
      <c r="G4512" t="s">
        <v>34</v>
      </c>
      <c r="H4512" t="s">
        <v>65</v>
      </c>
      <c r="I4512" t="s">
        <v>20</v>
      </c>
      <c r="J4512" t="s">
        <v>21</v>
      </c>
      <c r="K4512">
        <v>48</v>
      </c>
      <c r="L4512">
        <v>12.31</v>
      </c>
      <c r="M4512">
        <v>4.4000000000000004</v>
      </c>
      <c r="N4512" t="s">
        <v>22</v>
      </c>
      <c r="O4512" t="str">
        <f t="shared" si="70"/>
        <v>No</v>
      </c>
    </row>
    <row r="4513" spans="1:15" x14ac:dyDescent="0.25">
      <c r="A4513" t="s">
        <v>4574</v>
      </c>
      <c r="B4513" s="1">
        <v>45752</v>
      </c>
      <c r="C4513" s="2">
        <v>45752.044583333336</v>
      </c>
      <c r="D4513" t="s">
        <v>31</v>
      </c>
      <c r="E4513" t="s">
        <v>32</v>
      </c>
      <c r="F4513" t="s">
        <v>75</v>
      </c>
      <c r="G4513" t="s">
        <v>56</v>
      </c>
      <c r="H4513" t="s">
        <v>54</v>
      </c>
      <c r="I4513" t="s">
        <v>20</v>
      </c>
      <c r="J4513" t="s">
        <v>21</v>
      </c>
      <c r="K4513">
        <v>4</v>
      </c>
      <c r="L4513">
        <v>1.07</v>
      </c>
      <c r="M4513">
        <v>4.9000000000000004</v>
      </c>
      <c r="N4513" t="s">
        <v>22</v>
      </c>
      <c r="O4513" t="str">
        <f t="shared" si="70"/>
        <v>No</v>
      </c>
    </row>
    <row r="4514" spans="1:15" x14ac:dyDescent="0.25">
      <c r="A4514" t="s">
        <v>4575</v>
      </c>
      <c r="B4514" s="1">
        <v>45680</v>
      </c>
      <c r="C4514" s="2">
        <v>45682.019166666665</v>
      </c>
      <c r="D4514" t="s">
        <v>15</v>
      </c>
      <c r="E4514" t="s">
        <v>45</v>
      </c>
      <c r="F4514" t="s">
        <v>112</v>
      </c>
      <c r="G4514" t="s">
        <v>41</v>
      </c>
      <c r="H4514" t="s">
        <v>65</v>
      </c>
      <c r="I4514" t="s">
        <v>20</v>
      </c>
      <c r="J4514" t="s">
        <v>29</v>
      </c>
      <c r="K4514">
        <v>48</v>
      </c>
      <c r="L4514">
        <v>48.46</v>
      </c>
      <c r="M4514">
        <v>3.1</v>
      </c>
      <c r="N4514" t="s">
        <v>22</v>
      </c>
      <c r="O4514" t="str">
        <f t="shared" si="70"/>
        <v>Yes</v>
      </c>
    </row>
    <row r="4515" spans="1:15" x14ac:dyDescent="0.25">
      <c r="A4515" t="s">
        <v>4576</v>
      </c>
      <c r="B4515" s="1">
        <v>45822</v>
      </c>
      <c r="C4515" s="2">
        <v>45822.426666666666</v>
      </c>
      <c r="D4515" t="s">
        <v>24</v>
      </c>
      <c r="E4515" t="s">
        <v>32</v>
      </c>
      <c r="F4515" t="s">
        <v>33</v>
      </c>
      <c r="G4515" t="s">
        <v>56</v>
      </c>
      <c r="H4515" t="s">
        <v>44</v>
      </c>
      <c r="I4515" t="s">
        <v>20</v>
      </c>
      <c r="J4515" t="s">
        <v>21</v>
      </c>
      <c r="K4515">
        <v>24</v>
      </c>
      <c r="L4515">
        <v>10.24</v>
      </c>
      <c r="M4515">
        <v>4.3</v>
      </c>
      <c r="N4515" t="s">
        <v>22</v>
      </c>
      <c r="O4515" t="str">
        <f t="shared" si="70"/>
        <v>No</v>
      </c>
    </row>
    <row r="4516" spans="1:15" x14ac:dyDescent="0.25">
      <c r="A4516" t="s">
        <v>4577</v>
      </c>
      <c r="B4516" s="1">
        <v>45823</v>
      </c>
      <c r="C4516" s="2">
        <v>45824.54583333333</v>
      </c>
      <c r="D4516" t="s">
        <v>15</v>
      </c>
      <c r="E4516" t="s">
        <v>39</v>
      </c>
      <c r="F4516" t="s">
        <v>78</v>
      </c>
      <c r="G4516" t="s">
        <v>56</v>
      </c>
      <c r="H4516" t="s">
        <v>65</v>
      </c>
      <c r="I4516" t="s">
        <v>20</v>
      </c>
      <c r="J4516" t="s">
        <v>85</v>
      </c>
      <c r="K4516">
        <v>48</v>
      </c>
      <c r="L4516">
        <v>37.1</v>
      </c>
      <c r="M4516">
        <v>3.8</v>
      </c>
      <c r="N4516" t="s">
        <v>22</v>
      </c>
      <c r="O4516" t="str">
        <f t="shared" si="70"/>
        <v>No</v>
      </c>
    </row>
    <row r="4517" spans="1:15" x14ac:dyDescent="0.25">
      <c r="A4517" t="s">
        <v>4578</v>
      </c>
      <c r="B4517" s="1">
        <v>45801</v>
      </c>
      <c r="C4517" s="2">
        <v>45801.128750000003</v>
      </c>
      <c r="D4517" t="s">
        <v>31</v>
      </c>
      <c r="E4517" t="s">
        <v>32</v>
      </c>
      <c r="F4517" t="s">
        <v>75</v>
      </c>
      <c r="G4517" t="s">
        <v>18</v>
      </c>
      <c r="H4517" t="s">
        <v>65</v>
      </c>
      <c r="I4517" t="s">
        <v>36</v>
      </c>
      <c r="J4517" t="s">
        <v>21</v>
      </c>
      <c r="K4517">
        <v>4</v>
      </c>
      <c r="L4517">
        <v>3.09</v>
      </c>
      <c r="M4517">
        <v>3.3</v>
      </c>
      <c r="N4517" t="s">
        <v>22</v>
      </c>
      <c r="O4517" t="str">
        <f t="shared" si="70"/>
        <v>No</v>
      </c>
    </row>
    <row r="4518" spans="1:15" x14ac:dyDescent="0.25">
      <c r="A4518" t="s">
        <v>4579</v>
      </c>
      <c r="B4518" s="1">
        <v>45721</v>
      </c>
      <c r="C4518" s="2">
        <v>45721.500833333332</v>
      </c>
      <c r="D4518" t="s">
        <v>24</v>
      </c>
      <c r="E4518" t="s">
        <v>45</v>
      </c>
      <c r="F4518" t="s">
        <v>104</v>
      </c>
      <c r="G4518" t="s">
        <v>34</v>
      </c>
      <c r="H4518" t="s">
        <v>44</v>
      </c>
      <c r="I4518" t="s">
        <v>28</v>
      </c>
      <c r="J4518" t="s">
        <v>29</v>
      </c>
      <c r="K4518">
        <v>24</v>
      </c>
      <c r="L4518">
        <v>12.02</v>
      </c>
      <c r="M4518">
        <v>4.0999999999999996</v>
      </c>
      <c r="N4518" t="s">
        <v>22</v>
      </c>
      <c r="O4518" t="str">
        <f t="shared" si="70"/>
        <v>No</v>
      </c>
    </row>
    <row r="4519" spans="1:15" x14ac:dyDescent="0.25">
      <c r="A4519" t="s">
        <v>4580</v>
      </c>
      <c r="B4519" s="1">
        <v>45668</v>
      </c>
      <c r="C4519" s="2">
        <v>45670.852083333331</v>
      </c>
      <c r="D4519" t="s">
        <v>15</v>
      </c>
      <c r="E4519" t="s">
        <v>45</v>
      </c>
      <c r="F4519" t="s">
        <v>112</v>
      </c>
      <c r="G4519" t="s">
        <v>18</v>
      </c>
      <c r="H4519" t="s">
        <v>35</v>
      </c>
      <c r="I4519" t="s">
        <v>45</v>
      </c>
      <c r="J4519" t="s">
        <v>85</v>
      </c>
      <c r="K4519">
        <v>48</v>
      </c>
      <c r="L4519">
        <v>68.45</v>
      </c>
      <c r="M4519">
        <v>3.8</v>
      </c>
      <c r="N4519" t="s">
        <v>22</v>
      </c>
      <c r="O4519" t="str">
        <f t="shared" si="70"/>
        <v>Yes</v>
      </c>
    </row>
    <row r="4520" spans="1:15" x14ac:dyDescent="0.25">
      <c r="A4520" t="s">
        <v>4581</v>
      </c>
      <c r="B4520" s="1">
        <v>45786</v>
      </c>
      <c r="C4520" s="2">
        <v>45786.423750000002</v>
      </c>
      <c r="D4520" t="s">
        <v>15</v>
      </c>
      <c r="E4520" t="s">
        <v>16</v>
      </c>
      <c r="F4520" t="s">
        <v>43</v>
      </c>
      <c r="G4520" t="s">
        <v>18</v>
      </c>
      <c r="H4520" t="s">
        <v>27</v>
      </c>
      <c r="I4520" t="s">
        <v>20</v>
      </c>
      <c r="J4520" t="s">
        <v>21</v>
      </c>
      <c r="K4520">
        <v>48</v>
      </c>
      <c r="L4520">
        <v>10.17</v>
      </c>
      <c r="M4520">
        <v>5</v>
      </c>
      <c r="N4520" t="s">
        <v>22</v>
      </c>
      <c r="O4520" t="str">
        <f t="shared" si="70"/>
        <v>No</v>
      </c>
    </row>
    <row r="4521" spans="1:15" x14ac:dyDescent="0.25">
      <c r="A4521" t="s">
        <v>4582</v>
      </c>
      <c r="B4521" s="1">
        <v>45735</v>
      </c>
      <c r="C4521" s="2">
        <v>45735.457083333335</v>
      </c>
      <c r="D4521" t="s">
        <v>24</v>
      </c>
      <c r="E4521" t="s">
        <v>32</v>
      </c>
      <c r="F4521" t="s">
        <v>33</v>
      </c>
      <c r="G4521" t="s">
        <v>51</v>
      </c>
      <c r="H4521" t="s">
        <v>54</v>
      </c>
      <c r="I4521" t="s">
        <v>20</v>
      </c>
      <c r="J4521" t="s">
        <v>46</v>
      </c>
      <c r="K4521">
        <v>24</v>
      </c>
      <c r="L4521">
        <v>10.97</v>
      </c>
      <c r="M4521">
        <v>4.3</v>
      </c>
      <c r="N4521" t="s">
        <v>22</v>
      </c>
      <c r="O4521" t="str">
        <f t="shared" si="70"/>
        <v>No</v>
      </c>
    </row>
    <row r="4522" spans="1:15" x14ac:dyDescent="0.25">
      <c r="A4522" t="s">
        <v>4583</v>
      </c>
      <c r="B4522" s="1">
        <v>45837</v>
      </c>
      <c r="C4522" s="2">
        <v>45837.020833333336</v>
      </c>
      <c r="D4522" t="s">
        <v>31</v>
      </c>
      <c r="E4522" t="s">
        <v>32</v>
      </c>
      <c r="F4522" t="s">
        <v>75</v>
      </c>
      <c r="G4522" t="s">
        <v>51</v>
      </c>
      <c r="H4522" t="s">
        <v>54</v>
      </c>
      <c r="I4522" t="s">
        <v>36</v>
      </c>
      <c r="J4522" t="s">
        <v>46</v>
      </c>
      <c r="K4522">
        <v>4</v>
      </c>
      <c r="L4522">
        <v>0.5</v>
      </c>
      <c r="M4522">
        <v>4.9000000000000004</v>
      </c>
      <c r="N4522" t="s">
        <v>22</v>
      </c>
      <c r="O4522" t="str">
        <f t="shared" si="70"/>
        <v>No</v>
      </c>
    </row>
    <row r="4523" spans="1:15" x14ac:dyDescent="0.25">
      <c r="A4523" t="s">
        <v>4584</v>
      </c>
      <c r="B4523" s="1">
        <v>45784</v>
      </c>
      <c r="C4523" s="2">
        <v>45784.087916666664</v>
      </c>
      <c r="D4523" t="s">
        <v>31</v>
      </c>
      <c r="E4523" t="s">
        <v>39</v>
      </c>
      <c r="F4523" t="s">
        <v>87</v>
      </c>
      <c r="G4523" t="s">
        <v>51</v>
      </c>
      <c r="H4523" t="s">
        <v>35</v>
      </c>
      <c r="I4523" t="s">
        <v>36</v>
      </c>
      <c r="J4523" t="s">
        <v>46</v>
      </c>
      <c r="K4523">
        <v>4</v>
      </c>
      <c r="L4523">
        <v>2.11</v>
      </c>
      <c r="M4523">
        <v>4.2</v>
      </c>
      <c r="N4523" t="s">
        <v>22</v>
      </c>
      <c r="O4523" t="str">
        <f t="shared" si="70"/>
        <v>No</v>
      </c>
    </row>
    <row r="4524" spans="1:15" x14ac:dyDescent="0.25">
      <c r="A4524" t="s">
        <v>4585</v>
      </c>
      <c r="B4524" s="1">
        <v>45755</v>
      </c>
      <c r="C4524" s="2">
        <v>45755.964999999997</v>
      </c>
      <c r="D4524" t="s">
        <v>24</v>
      </c>
      <c r="E4524" t="s">
        <v>39</v>
      </c>
      <c r="F4524" t="s">
        <v>78</v>
      </c>
      <c r="G4524" t="s">
        <v>56</v>
      </c>
      <c r="H4524" t="s">
        <v>35</v>
      </c>
      <c r="I4524" t="s">
        <v>20</v>
      </c>
      <c r="J4524" t="s">
        <v>29</v>
      </c>
      <c r="K4524">
        <v>24</v>
      </c>
      <c r="L4524">
        <v>23.16</v>
      </c>
      <c r="M4524">
        <v>2.7</v>
      </c>
      <c r="N4524" t="s">
        <v>22</v>
      </c>
      <c r="O4524" t="str">
        <f t="shared" si="70"/>
        <v>No</v>
      </c>
    </row>
    <row r="4525" spans="1:15" x14ac:dyDescent="0.25">
      <c r="A4525" t="s">
        <v>4586</v>
      </c>
      <c r="B4525" s="1">
        <v>45836</v>
      </c>
      <c r="C4525" s="2">
        <v>45836.137916666667</v>
      </c>
      <c r="D4525" t="s">
        <v>24</v>
      </c>
      <c r="E4525" t="s">
        <v>32</v>
      </c>
      <c r="F4525" t="s">
        <v>64</v>
      </c>
      <c r="G4525" t="s">
        <v>18</v>
      </c>
      <c r="H4525" t="s">
        <v>54</v>
      </c>
      <c r="I4525" t="s">
        <v>28</v>
      </c>
      <c r="J4525" t="s">
        <v>21</v>
      </c>
      <c r="K4525">
        <v>24</v>
      </c>
      <c r="L4525">
        <v>3.31</v>
      </c>
      <c r="M4525">
        <v>4.2</v>
      </c>
      <c r="N4525" t="s">
        <v>22</v>
      </c>
      <c r="O4525" t="str">
        <f t="shared" si="70"/>
        <v>No</v>
      </c>
    </row>
    <row r="4526" spans="1:15" x14ac:dyDescent="0.25">
      <c r="A4526" t="s">
        <v>4587</v>
      </c>
      <c r="B4526" s="1">
        <v>45802</v>
      </c>
      <c r="C4526" s="2">
        <v>45802.622916666667</v>
      </c>
      <c r="D4526" t="s">
        <v>15</v>
      </c>
      <c r="E4526" t="s">
        <v>16</v>
      </c>
      <c r="F4526" t="s">
        <v>43</v>
      </c>
      <c r="G4526" t="s">
        <v>18</v>
      </c>
      <c r="H4526" t="s">
        <v>19</v>
      </c>
      <c r="I4526" t="s">
        <v>20</v>
      </c>
      <c r="J4526" t="s">
        <v>85</v>
      </c>
      <c r="K4526">
        <v>48</v>
      </c>
      <c r="L4526">
        <v>14.95</v>
      </c>
      <c r="M4526">
        <v>5</v>
      </c>
      <c r="N4526" t="s">
        <v>22</v>
      </c>
      <c r="O4526" t="str">
        <f t="shared" si="70"/>
        <v>No</v>
      </c>
    </row>
    <row r="4527" spans="1:15" x14ac:dyDescent="0.25">
      <c r="A4527" t="s">
        <v>4588</v>
      </c>
      <c r="B4527" s="1">
        <v>45740</v>
      </c>
      <c r="C4527" s="2">
        <v>45740.260833333334</v>
      </c>
      <c r="D4527" t="s">
        <v>24</v>
      </c>
      <c r="E4527" t="s">
        <v>16</v>
      </c>
      <c r="F4527" t="s">
        <v>58</v>
      </c>
      <c r="G4527" t="s">
        <v>41</v>
      </c>
      <c r="H4527" t="s">
        <v>54</v>
      </c>
      <c r="I4527" t="s">
        <v>45</v>
      </c>
      <c r="J4527" t="s">
        <v>21</v>
      </c>
      <c r="K4527">
        <v>24</v>
      </c>
      <c r="L4527">
        <v>6.26</v>
      </c>
      <c r="M4527">
        <v>5</v>
      </c>
      <c r="N4527" t="s">
        <v>22</v>
      </c>
      <c r="O4527" t="str">
        <f t="shared" si="70"/>
        <v>No</v>
      </c>
    </row>
    <row r="4528" spans="1:15" x14ac:dyDescent="0.25">
      <c r="A4528" t="s">
        <v>4589</v>
      </c>
      <c r="B4528" s="1">
        <v>45661</v>
      </c>
      <c r="C4528" s="2">
        <v>45661.020833333336</v>
      </c>
      <c r="D4528" t="s">
        <v>24</v>
      </c>
      <c r="E4528" t="s">
        <v>45</v>
      </c>
      <c r="F4528" t="s">
        <v>50</v>
      </c>
      <c r="G4528" t="s">
        <v>41</v>
      </c>
      <c r="H4528" t="s">
        <v>44</v>
      </c>
      <c r="I4528" t="s">
        <v>36</v>
      </c>
      <c r="J4528" t="s">
        <v>21</v>
      </c>
      <c r="K4528">
        <v>24</v>
      </c>
      <c r="L4528">
        <v>0.5</v>
      </c>
      <c r="M4528">
        <v>4.4000000000000004</v>
      </c>
      <c r="N4528" t="s">
        <v>22</v>
      </c>
      <c r="O4528" t="str">
        <f t="shared" si="70"/>
        <v>No</v>
      </c>
    </row>
    <row r="4529" spans="1:15" x14ac:dyDescent="0.25">
      <c r="A4529" t="s">
        <v>4590</v>
      </c>
      <c r="B4529" s="1">
        <v>45674</v>
      </c>
      <c r="C4529" s="2">
        <v>45674.370416666665</v>
      </c>
      <c r="D4529" t="s">
        <v>15</v>
      </c>
      <c r="E4529" t="s">
        <v>39</v>
      </c>
      <c r="F4529" t="s">
        <v>40</v>
      </c>
      <c r="G4529" t="s">
        <v>56</v>
      </c>
      <c r="H4529" t="s">
        <v>19</v>
      </c>
      <c r="I4529" t="s">
        <v>45</v>
      </c>
      <c r="J4529" t="s">
        <v>21</v>
      </c>
      <c r="K4529">
        <v>48</v>
      </c>
      <c r="L4529">
        <v>8.89</v>
      </c>
      <c r="M4529">
        <v>5</v>
      </c>
      <c r="N4529" t="s">
        <v>22</v>
      </c>
      <c r="O4529" t="str">
        <f t="shared" si="70"/>
        <v>No</v>
      </c>
    </row>
    <row r="4530" spans="1:15" x14ac:dyDescent="0.25">
      <c r="A4530" t="s">
        <v>4591</v>
      </c>
      <c r="B4530" s="1">
        <v>45738</v>
      </c>
      <c r="C4530" s="2">
        <v>45738.815821759257</v>
      </c>
      <c r="D4530" t="s">
        <v>24</v>
      </c>
      <c r="E4530" t="s">
        <v>39</v>
      </c>
      <c r="F4530" t="s">
        <v>119</v>
      </c>
      <c r="G4530" t="s">
        <v>56</v>
      </c>
      <c r="H4530" t="s">
        <v>35</v>
      </c>
      <c r="I4530" t="s">
        <v>36</v>
      </c>
      <c r="J4530" t="s">
        <v>21</v>
      </c>
      <c r="K4530">
        <v>24</v>
      </c>
      <c r="L4530">
        <v>19.579999999999998</v>
      </c>
      <c r="M4530">
        <v>3.2</v>
      </c>
      <c r="N4530" t="s">
        <v>22</v>
      </c>
      <c r="O4530" t="str">
        <f t="shared" si="70"/>
        <v>No</v>
      </c>
    </row>
    <row r="4531" spans="1:15" x14ac:dyDescent="0.25">
      <c r="A4531" t="s">
        <v>4592</v>
      </c>
      <c r="B4531" s="1">
        <v>45759</v>
      </c>
      <c r="C4531" s="2">
        <v>45759.161249999997</v>
      </c>
      <c r="D4531" t="s">
        <v>38</v>
      </c>
      <c r="E4531" t="s">
        <v>16</v>
      </c>
      <c r="F4531" t="s">
        <v>43</v>
      </c>
      <c r="G4531" t="s">
        <v>51</v>
      </c>
      <c r="H4531" t="s">
        <v>27</v>
      </c>
      <c r="I4531" t="s">
        <v>20</v>
      </c>
      <c r="J4531" t="s">
        <v>21</v>
      </c>
      <c r="K4531">
        <v>8</v>
      </c>
      <c r="L4531">
        <v>3.87</v>
      </c>
      <c r="M4531">
        <v>4.0999999999999996</v>
      </c>
      <c r="N4531" t="s">
        <v>22</v>
      </c>
      <c r="O4531" t="str">
        <f t="shared" si="70"/>
        <v>No</v>
      </c>
    </row>
    <row r="4532" spans="1:15" x14ac:dyDescent="0.25">
      <c r="A4532" t="s">
        <v>4593</v>
      </c>
      <c r="B4532" s="1">
        <v>45663</v>
      </c>
      <c r="C4532" s="2">
        <v>45664.281666666669</v>
      </c>
      <c r="D4532" t="s">
        <v>15</v>
      </c>
      <c r="E4532" t="s">
        <v>32</v>
      </c>
      <c r="F4532" t="s">
        <v>75</v>
      </c>
      <c r="G4532" t="s">
        <v>34</v>
      </c>
      <c r="H4532" t="s">
        <v>27</v>
      </c>
      <c r="I4532" t="s">
        <v>45</v>
      </c>
      <c r="J4532" t="s">
        <v>21</v>
      </c>
      <c r="K4532">
        <v>48</v>
      </c>
      <c r="L4532">
        <v>30.76</v>
      </c>
      <c r="M4532">
        <v>4.2</v>
      </c>
      <c r="N4532" t="s">
        <v>61</v>
      </c>
      <c r="O4532" t="str">
        <f t="shared" si="70"/>
        <v>No</v>
      </c>
    </row>
    <row r="4533" spans="1:15" x14ac:dyDescent="0.25">
      <c r="A4533" t="s">
        <v>4594</v>
      </c>
      <c r="B4533" s="1">
        <v>45680</v>
      </c>
      <c r="C4533" s="2">
        <v>45681.935833333337</v>
      </c>
      <c r="D4533" t="s">
        <v>15</v>
      </c>
      <c r="E4533" t="s">
        <v>16</v>
      </c>
      <c r="F4533" t="s">
        <v>17</v>
      </c>
      <c r="G4533" t="s">
        <v>56</v>
      </c>
      <c r="H4533" t="s">
        <v>19</v>
      </c>
      <c r="I4533" t="s">
        <v>36</v>
      </c>
      <c r="J4533" t="s">
        <v>46</v>
      </c>
      <c r="K4533">
        <v>48</v>
      </c>
      <c r="L4533">
        <v>46.46</v>
      </c>
      <c r="M4533">
        <v>3.7</v>
      </c>
      <c r="N4533" t="s">
        <v>61</v>
      </c>
      <c r="O4533" t="str">
        <f t="shared" si="70"/>
        <v>No</v>
      </c>
    </row>
    <row r="4534" spans="1:15" x14ac:dyDescent="0.25">
      <c r="A4534" t="s">
        <v>4595</v>
      </c>
      <c r="B4534" s="1">
        <v>45785</v>
      </c>
      <c r="C4534" s="2">
        <v>45788.337916666664</v>
      </c>
      <c r="D4534" t="s">
        <v>15</v>
      </c>
      <c r="E4534" t="s">
        <v>25</v>
      </c>
      <c r="F4534" t="s">
        <v>53</v>
      </c>
      <c r="G4534" t="s">
        <v>41</v>
      </c>
      <c r="H4534" t="s">
        <v>27</v>
      </c>
      <c r="I4534" t="s">
        <v>45</v>
      </c>
      <c r="J4534" t="s">
        <v>21</v>
      </c>
      <c r="K4534">
        <v>48</v>
      </c>
      <c r="L4534">
        <v>80.11</v>
      </c>
      <c r="M4534">
        <v>2.5</v>
      </c>
      <c r="N4534" t="s">
        <v>22</v>
      </c>
      <c r="O4534" t="str">
        <f t="shared" si="70"/>
        <v>Yes</v>
      </c>
    </row>
    <row r="4535" spans="1:15" x14ac:dyDescent="0.25">
      <c r="A4535" t="s">
        <v>4596</v>
      </c>
      <c r="B4535" s="1">
        <v>45794</v>
      </c>
      <c r="C4535" s="2">
        <v>45794.36791666667</v>
      </c>
      <c r="D4535" t="s">
        <v>15</v>
      </c>
      <c r="E4535" t="s">
        <v>32</v>
      </c>
      <c r="F4535" t="s">
        <v>80</v>
      </c>
      <c r="G4535" t="s">
        <v>41</v>
      </c>
      <c r="H4535" t="s">
        <v>27</v>
      </c>
      <c r="I4535" t="s">
        <v>28</v>
      </c>
      <c r="J4535" t="s">
        <v>21</v>
      </c>
      <c r="K4535">
        <v>48</v>
      </c>
      <c r="L4535">
        <v>8.83</v>
      </c>
      <c r="M4535">
        <v>4.9000000000000004</v>
      </c>
      <c r="N4535" t="s">
        <v>22</v>
      </c>
      <c r="O4535" t="str">
        <f t="shared" si="70"/>
        <v>No</v>
      </c>
    </row>
    <row r="4536" spans="1:15" x14ac:dyDescent="0.25">
      <c r="A4536" t="s">
        <v>4597</v>
      </c>
      <c r="B4536" s="1">
        <v>45663</v>
      </c>
      <c r="C4536" s="2">
        <v>45664.498333333337</v>
      </c>
      <c r="D4536" t="s">
        <v>15</v>
      </c>
      <c r="E4536" t="s">
        <v>39</v>
      </c>
      <c r="F4536" t="s">
        <v>78</v>
      </c>
      <c r="G4536" t="s">
        <v>18</v>
      </c>
      <c r="H4536" t="s">
        <v>35</v>
      </c>
      <c r="I4536" t="s">
        <v>45</v>
      </c>
      <c r="J4536" t="s">
        <v>29</v>
      </c>
      <c r="K4536">
        <v>48</v>
      </c>
      <c r="L4536">
        <v>35.96</v>
      </c>
      <c r="M4536">
        <v>4.5999999999999996</v>
      </c>
      <c r="N4536" t="s">
        <v>22</v>
      </c>
      <c r="O4536" t="str">
        <f t="shared" si="70"/>
        <v>No</v>
      </c>
    </row>
    <row r="4537" spans="1:15" x14ac:dyDescent="0.25">
      <c r="A4537" t="s">
        <v>4598</v>
      </c>
      <c r="B4537" s="1">
        <v>45749</v>
      </c>
      <c r="C4537" s="2">
        <v>45749.300833333335</v>
      </c>
      <c r="D4537" t="s">
        <v>24</v>
      </c>
      <c r="E4537" t="s">
        <v>25</v>
      </c>
      <c r="F4537" t="s">
        <v>70</v>
      </c>
      <c r="G4537" t="s">
        <v>18</v>
      </c>
      <c r="H4537" t="s">
        <v>65</v>
      </c>
      <c r="I4537" t="s">
        <v>36</v>
      </c>
      <c r="J4537" t="s">
        <v>29</v>
      </c>
      <c r="K4537">
        <v>24</v>
      </c>
      <c r="L4537">
        <v>7.22</v>
      </c>
      <c r="M4537">
        <v>3.7</v>
      </c>
      <c r="N4537" t="s">
        <v>22</v>
      </c>
      <c r="O4537" t="str">
        <f t="shared" si="70"/>
        <v>No</v>
      </c>
    </row>
    <row r="4538" spans="1:15" x14ac:dyDescent="0.25">
      <c r="A4538" t="s">
        <v>4599</v>
      </c>
      <c r="B4538" s="1">
        <v>45672</v>
      </c>
      <c r="C4538" s="2">
        <v>45672.402083333334</v>
      </c>
      <c r="D4538" t="s">
        <v>15</v>
      </c>
      <c r="E4538" t="s">
        <v>16</v>
      </c>
      <c r="F4538" t="s">
        <v>58</v>
      </c>
      <c r="G4538" t="s">
        <v>41</v>
      </c>
      <c r="H4538" t="s">
        <v>27</v>
      </c>
      <c r="I4538" t="s">
        <v>45</v>
      </c>
      <c r="J4538" t="s">
        <v>46</v>
      </c>
      <c r="K4538">
        <v>48</v>
      </c>
      <c r="L4538">
        <v>9.65</v>
      </c>
      <c r="M4538">
        <v>4.8</v>
      </c>
      <c r="N4538" t="s">
        <v>22</v>
      </c>
      <c r="O4538" t="str">
        <f t="shared" si="70"/>
        <v>No</v>
      </c>
    </row>
    <row r="4539" spans="1:15" x14ac:dyDescent="0.25">
      <c r="A4539" t="s">
        <v>4600</v>
      </c>
      <c r="B4539" s="1">
        <v>45788</v>
      </c>
      <c r="C4539" s="2">
        <v>45788.130833333336</v>
      </c>
      <c r="D4539" t="s">
        <v>38</v>
      </c>
      <c r="E4539" t="s">
        <v>16</v>
      </c>
      <c r="F4539" t="s">
        <v>43</v>
      </c>
      <c r="G4539" t="s">
        <v>51</v>
      </c>
      <c r="H4539" t="s">
        <v>35</v>
      </c>
      <c r="I4539" t="s">
        <v>45</v>
      </c>
      <c r="J4539" t="s">
        <v>21</v>
      </c>
      <c r="K4539">
        <v>8</v>
      </c>
      <c r="L4539">
        <v>3.14</v>
      </c>
      <c r="M4539">
        <v>5</v>
      </c>
      <c r="N4539" t="s">
        <v>22</v>
      </c>
      <c r="O4539" t="str">
        <f t="shared" si="70"/>
        <v>No</v>
      </c>
    </row>
    <row r="4540" spans="1:15" x14ac:dyDescent="0.25">
      <c r="A4540" t="s">
        <v>4601</v>
      </c>
      <c r="B4540" s="1">
        <v>45808</v>
      </c>
      <c r="C4540" s="2">
        <v>45808.258333333331</v>
      </c>
      <c r="D4540" t="s">
        <v>38</v>
      </c>
      <c r="E4540" t="s">
        <v>25</v>
      </c>
      <c r="F4540" t="s">
        <v>53</v>
      </c>
      <c r="G4540" t="s">
        <v>18</v>
      </c>
      <c r="H4540" t="s">
        <v>65</v>
      </c>
      <c r="I4540" t="s">
        <v>36</v>
      </c>
      <c r="J4540" t="s">
        <v>29</v>
      </c>
      <c r="K4540">
        <v>8</v>
      </c>
      <c r="L4540">
        <v>6.2</v>
      </c>
      <c r="M4540">
        <v>3.8</v>
      </c>
      <c r="N4540" t="s">
        <v>22</v>
      </c>
      <c r="O4540" t="str">
        <f t="shared" si="70"/>
        <v>No</v>
      </c>
    </row>
    <row r="4541" spans="1:15" x14ac:dyDescent="0.25">
      <c r="A4541" t="s">
        <v>4602</v>
      </c>
      <c r="B4541" s="1">
        <v>45815</v>
      </c>
      <c r="C4541" s="2">
        <v>45815.173333333332</v>
      </c>
      <c r="D4541" t="s">
        <v>38</v>
      </c>
      <c r="E4541" t="s">
        <v>16</v>
      </c>
      <c r="F4541" t="s">
        <v>60</v>
      </c>
      <c r="G4541" t="s">
        <v>51</v>
      </c>
      <c r="H4541" t="s">
        <v>44</v>
      </c>
      <c r="I4541" t="s">
        <v>20</v>
      </c>
      <c r="J4541" t="s">
        <v>21</v>
      </c>
      <c r="K4541">
        <v>8</v>
      </c>
      <c r="L4541">
        <v>4.16</v>
      </c>
      <c r="M4541">
        <v>4</v>
      </c>
      <c r="N4541" t="s">
        <v>22</v>
      </c>
      <c r="O4541" t="str">
        <f t="shared" si="70"/>
        <v>No</v>
      </c>
    </row>
    <row r="4542" spans="1:15" x14ac:dyDescent="0.25">
      <c r="A4542" t="s">
        <v>4603</v>
      </c>
      <c r="B4542" s="1">
        <v>45766</v>
      </c>
      <c r="C4542" s="2">
        <v>45766.352083333331</v>
      </c>
      <c r="D4542" t="s">
        <v>24</v>
      </c>
      <c r="E4542" t="s">
        <v>32</v>
      </c>
      <c r="F4542" t="s">
        <v>64</v>
      </c>
      <c r="G4542" t="s">
        <v>18</v>
      </c>
      <c r="H4542" t="s">
        <v>27</v>
      </c>
      <c r="I4542" t="s">
        <v>36</v>
      </c>
      <c r="J4542" t="s">
        <v>21</v>
      </c>
      <c r="K4542">
        <v>24</v>
      </c>
      <c r="L4542">
        <v>8.4499999999999993</v>
      </c>
      <c r="M4542">
        <v>4</v>
      </c>
      <c r="N4542" t="s">
        <v>22</v>
      </c>
      <c r="O4542" t="str">
        <f t="shared" si="70"/>
        <v>No</v>
      </c>
    </row>
    <row r="4543" spans="1:15" x14ac:dyDescent="0.25">
      <c r="A4543" t="s">
        <v>4604</v>
      </c>
      <c r="B4543" s="1">
        <v>45771</v>
      </c>
      <c r="C4543" s="2">
        <v>45772.67083333333</v>
      </c>
      <c r="D4543" t="s">
        <v>15</v>
      </c>
      <c r="E4543" t="s">
        <v>25</v>
      </c>
      <c r="F4543" t="s">
        <v>70</v>
      </c>
      <c r="G4543" t="s">
        <v>41</v>
      </c>
      <c r="H4543" t="s">
        <v>65</v>
      </c>
      <c r="I4543" t="s">
        <v>45</v>
      </c>
      <c r="J4543" t="s">
        <v>29</v>
      </c>
      <c r="K4543">
        <v>48</v>
      </c>
      <c r="L4543">
        <v>40.1</v>
      </c>
      <c r="M4543">
        <v>5</v>
      </c>
      <c r="N4543" t="s">
        <v>22</v>
      </c>
      <c r="O4543" t="str">
        <f t="shared" si="70"/>
        <v>No</v>
      </c>
    </row>
    <row r="4544" spans="1:15" x14ac:dyDescent="0.25">
      <c r="A4544" t="s">
        <v>4605</v>
      </c>
      <c r="B4544" s="1">
        <v>45825</v>
      </c>
      <c r="C4544" s="2">
        <v>45826.578333333331</v>
      </c>
      <c r="D4544" t="s">
        <v>15</v>
      </c>
      <c r="E4544" t="s">
        <v>45</v>
      </c>
      <c r="F4544" t="s">
        <v>100</v>
      </c>
      <c r="G4544" t="s">
        <v>41</v>
      </c>
      <c r="H4544" t="s">
        <v>27</v>
      </c>
      <c r="I4544" t="s">
        <v>36</v>
      </c>
      <c r="J4544" t="s">
        <v>21</v>
      </c>
      <c r="K4544">
        <v>48</v>
      </c>
      <c r="L4544">
        <v>37.880000000000003</v>
      </c>
      <c r="M4544">
        <v>5</v>
      </c>
      <c r="N4544" t="s">
        <v>22</v>
      </c>
      <c r="O4544" t="str">
        <f t="shared" si="70"/>
        <v>No</v>
      </c>
    </row>
    <row r="4545" spans="1:15" x14ac:dyDescent="0.25">
      <c r="A4545" t="s">
        <v>4606</v>
      </c>
      <c r="B4545" s="1">
        <v>45768</v>
      </c>
      <c r="C4545" s="2">
        <v>45768.667500000003</v>
      </c>
      <c r="D4545" t="s">
        <v>15</v>
      </c>
      <c r="E4545" t="s">
        <v>32</v>
      </c>
      <c r="F4545" t="s">
        <v>64</v>
      </c>
      <c r="G4545" t="s">
        <v>56</v>
      </c>
      <c r="H4545" t="s">
        <v>44</v>
      </c>
      <c r="I4545" t="s">
        <v>45</v>
      </c>
      <c r="J4545" t="s">
        <v>21</v>
      </c>
      <c r="K4545">
        <v>48</v>
      </c>
      <c r="L4545">
        <v>16.02</v>
      </c>
      <c r="M4545">
        <v>4.4000000000000004</v>
      </c>
      <c r="N4545" t="s">
        <v>22</v>
      </c>
      <c r="O4545" t="str">
        <f t="shared" si="70"/>
        <v>No</v>
      </c>
    </row>
    <row r="4546" spans="1:15" x14ac:dyDescent="0.25">
      <c r="A4546" t="s">
        <v>4607</v>
      </c>
      <c r="B4546" s="1">
        <v>45738</v>
      </c>
      <c r="C4546" s="2">
        <v>45738.124166666668</v>
      </c>
      <c r="D4546" t="s">
        <v>31</v>
      </c>
      <c r="E4546" t="s">
        <v>32</v>
      </c>
      <c r="F4546" t="s">
        <v>33</v>
      </c>
      <c r="G4546" t="s">
        <v>56</v>
      </c>
      <c r="H4546" t="s">
        <v>54</v>
      </c>
      <c r="I4546" t="s">
        <v>45</v>
      </c>
      <c r="J4546" t="s">
        <v>21</v>
      </c>
      <c r="K4546">
        <v>4</v>
      </c>
      <c r="L4546">
        <v>2.98</v>
      </c>
      <c r="M4546">
        <v>4.9000000000000004</v>
      </c>
      <c r="N4546" t="s">
        <v>22</v>
      </c>
      <c r="O4546" t="str">
        <f t="shared" si="70"/>
        <v>No</v>
      </c>
    </row>
    <row r="4547" spans="1:15" x14ac:dyDescent="0.25">
      <c r="A4547" t="s">
        <v>4608</v>
      </c>
      <c r="B4547" s="1">
        <v>45794</v>
      </c>
      <c r="C4547" s="2">
        <v>45794.084999999999</v>
      </c>
      <c r="D4547" t="s">
        <v>31</v>
      </c>
      <c r="E4547" t="s">
        <v>16</v>
      </c>
      <c r="F4547" t="s">
        <v>60</v>
      </c>
      <c r="G4547" t="s">
        <v>56</v>
      </c>
      <c r="H4547" t="s">
        <v>54</v>
      </c>
      <c r="I4547" t="s">
        <v>45</v>
      </c>
      <c r="J4547" t="s">
        <v>21</v>
      </c>
      <c r="K4547">
        <v>4</v>
      </c>
      <c r="L4547">
        <v>2.04</v>
      </c>
      <c r="M4547">
        <v>4</v>
      </c>
      <c r="N4547" t="s">
        <v>22</v>
      </c>
      <c r="O4547" t="str">
        <f t="shared" ref="O4547:O4610" si="71">IF(L4547&gt;K4547,"Yes","No")</f>
        <v>No</v>
      </c>
    </row>
    <row r="4548" spans="1:15" x14ac:dyDescent="0.25">
      <c r="A4548" t="s">
        <v>4609</v>
      </c>
      <c r="B4548" s="1">
        <v>45764</v>
      </c>
      <c r="C4548" s="2">
        <v>45764.262499999997</v>
      </c>
      <c r="D4548" t="s">
        <v>24</v>
      </c>
      <c r="E4548" t="s">
        <v>16</v>
      </c>
      <c r="F4548" t="s">
        <v>43</v>
      </c>
      <c r="G4548" t="s">
        <v>34</v>
      </c>
      <c r="H4548" t="s">
        <v>65</v>
      </c>
      <c r="I4548" t="s">
        <v>36</v>
      </c>
      <c r="J4548" t="s">
        <v>21</v>
      </c>
      <c r="K4548">
        <v>24</v>
      </c>
      <c r="L4548">
        <v>6.3</v>
      </c>
      <c r="M4548">
        <v>4.5999999999999996</v>
      </c>
      <c r="N4548" t="s">
        <v>22</v>
      </c>
      <c r="O4548" t="str">
        <f t="shared" si="71"/>
        <v>No</v>
      </c>
    </row>
    <row r="4549" spans="1:15" x14ac:dyDescent="0.25">
      <c r="A4549" t="s">
        <v>4610</v>
      </c>
      <c r="B4549" s="1">
        <v>45810</v>
      </c>
      <c r="C4549" s="2">
        <v>45810.785833333335</v>
      </c>
      <c r="D4549" t="s">
        <v>24</v>
      </c>
      <c r="E4549" t="s">
        <v>39</v>
      </c>
      <c r="F4549" t="s">
        <v>87</v>
      </c>
      <c r="G4549" t="s">
        <v>51</v>
      </c>
      <c r="H4549" t="s">
        <v>54</v>
      </c>
      <c r="I4549" t="s">
        <v>36</v>
      </c>
      <c r="J4549" t="s">
        <v>46</v>
      </c>
      <c r="K4549">
        <v>24</v>
      </c>
      <c r="L4549">
        <v>18.86</v>
      </c>
      <c r="M4549">
        <v>3.4</v>
      </c>
      <c r="N4549" t="s">
        <v>22</v>
      </c>
      <c r="O4549" t="str">
        <f t="shared" si="71"/>
        <v>No</v>
      </c>
    </row>
    <row r="4550" spans="1:15" x14ac:dyDescent="0.25">
      <c r="A4550" t="s">
        <v>4611</v>
      </c>
      <c r="B4550" s="1">
        <v>45752</v>
      </c>
      <c r="C4550" s="2">
        <v>45752.804583333331</v>
      </c>
      <c r="D4550" t="s">
        <v>24</v>
      </c>
      <c r="E4550" t="s">
        <v>16</v>
      </c>
      <c r="F4550" t="s">
        <v>17</v>
      </c>
      <c r="G4550" t="s">
        <v>51</v>
      </c>
      <c r="H4550" t="s">
        <v>44</v>
      </c>
      <c r="I4550" t="s">
        <v>20</v>
      </c>
      <c r="J4550" t="s">
        <v>29</v>
      </c>
      <c r="K4550">
        <v>24</v>
      </c>
      <c r="L4550">
        <v>19.309999999999999</v>
      </c>
      <c r="M4550">
        <v>2.8</v>
      </c>
      <c r="N4550" t="s">
        <v>22</v>
      </c>
      <c r="O4550" t="str">
        <f t="shared" si="71"/>
        <v>No</v>
      </c>
    </row>
    <row r="4551" spans="1:15" x14ac:dyDescent="0.25">
      <c r="A4551" t="s">
        <v>4612</v>
      </c>
      <c r="B4551" s="1">
        <v>45815</v>
      </c>
      <c r="C4551" s="2">
        <v>45815.339166666665</v>
      </c>
      <c r="D4551" t="s">
        <v>15</v>
      </c>
      <c r="E4551" t="s">
        <v>16</v>
      </c>
      <c r="F4551" t="s">
        <v>17</v>
      </c>
      <c r="G4551" t="s">
        <v>41</v>
      </c>
      <c r="H4551" t="s">
        <v>44</v>
      </c>
      <c r="I4551" t="s">
        <v>28</v>
      </c>
      <c r="J4551" t="s">
        <v>85</v>
      </c>
      <c r="K4551">
        <v>48</v>
      </c>
      <c r="L4551">
        <v>8.14</v>
      </c>
      <c r="M4551">
        <v>4.4000000000000004</v>
      </c>
      <c r="N4551" t="s">
        <v>22</v>
      </c>
      <c r="O4551" t="str">
        <f t="shared" si="71"/>
        <v>No</v>
      </c>
    </row>
    <row r="4552" spans="1:15" x14ac:dyDescent="0.25">
      <c r="A4552" t="s">
        <v>4613</v>
      </c>
      <c r="B4552" s="1">
        <v>45666</v>
      </c>
      <c r="C4552" s="2">
        <v>45666.123333333337</v>
      </c>
      <c r="D4552" t="s">
        <v>31</v>
      </c>
      <c r="E4552" t="s">
        <v>16</v>
      </c>
      <c r="F4552" t="s">
        <v>17</v>
      </c>
      <c r="G4552" t="s">
        <v>56</v>
      </c>
      <c r="H4552" t="s">
        <v>27</v>
      </c>
      <c r="I4552" t="s">
        <v>36</v>
      </c>
      <c r="J4552" t="s">
        <v>21</v>
      </c>
      <c r="K4552">
        <v>4</v>
      </c>
      <c r="L4552">
        <v>2.96</v>
      </c>
      <c r="M4552">
        <v>3.8</v>
      </c>
      <c r="N4552" t="s">
        <v>22</v>
      </c>
      <c r="O4552" t="str">
        <f t="shared" si="71"/>
        <v>No</v>
      </c>
    </row>
    <row r="4553" spans="1:15" x14ac:dyDescent="0.25">
      <c r="A4553" t="s">
        <v>4614</v>
      </c>
      <c r="B4553" s="1">
        <v>45664</v>
      </c>
      <c r="C4553" s="2">
        <v>45666.118333333332</v>
      </c>
      <c r="D4553" t="s">
        <v>15</v>
      </c>
      <c r="E4553" t="s">
        <v>32</v>
      </c>
      <c r="F4553" t="s">
        <v>80</v>
      </c>
      <c r="G4553" t="s">
        <v>51</v>
      </c>
      <c r="H4553" t="s">
        <v>44</v>
      </c>
      <c r="I4553" t="s">
        <v>36</v>
      </c>
      <c r="J4553" t="s">
        <v>46</v>
      </c>
      <c r="K4553">
        <v>48</v>
      </c>
      <c r="L4553">
        <v>50.84</v>
      </c>
      <c r="M4553">
        <v>4</v>
      </c>
      <c r="N4553" t="s">
        <v>22</v>
      </c>
      <c r="O4553" t="str">
        <f t="shared" si="71"/>
        <v>Yes</v>
      </c>
    </row>
    <row r="4554" spans="1:15" x14ac:dyDescent="0.25">
      <c r="A4554" t="s">
        <v>4615</v>
      </c>
      <c r="B4554" s="1">
        <v>45675</v>
      </c>
      <c r="C4554" s="2">
        <v>45675.188333333332</v>
      </c>
      <c r="D4554" t="s">
        <v>24</v>
      </c>
      <c r="E4554" t="s">
        <v>32</v>
      </c>
      <c r="F4554" t="s">
        <v>33</v>
      </c>
      <c r="G4554" t="s">
        <v>56</v>
      </c>
      <c r="H4554" t="s">
        <v>19</v>
      </c>
      <c r="I4554" t="s">
        <v>28</v>
      </c>
      <c r="J4554" t="s">
        <v>29</v>
      </c>
      <c r="K4554">
        <v>24</v>
      </c>
      <c r="L4554">
        <v>4.5199999999999996</v>
      </c>
      <c r="M4554">
        <v>5</v>
      </c>
      <c r="N4554" t="s">
        <v>22</v>
      </c>
      <c r="O4554" t="str">
        <f t="shared" si="71"/>
        <v>No</v>
      </c>
    </row>
    <row r="4555" spans="1:15" x14ac:dyDescent="0.25">
      <c r="A4555" t="s">
        <v>4616</v>
      </c>
      <c r="B4555" s="1">
        <v>45758</v>
      </c>
      <c r="C4555" s="2">
        <v>45758.582916666666</v>
      </c>
      <c r="D4555" t="s">
        <v>24</v>
      </c>
      <c r="E4555" t="s">
        <v>39</v>
      </c>
      <c r="F4555" t="s">
        <v>78</v>
      </c>
      <c r="G4555" t="s">
        <v>34</v>
      </c>
      <c r="H4555" t="s">
        <v>65</v>
      </c>
      <c r="I4555" t="s">
        <v>36</v>
      </c>
      <c r="J4555" t="s">
        <v>21</v>
      </c>
      <c r="K4555">
        <v>24</v>
      </c>
      <c r="L4555">
        <v>13.99</v>
      </c>
      <c r="M4555">
        <v>4.2</v>
      </c>
      <c r="N4555" t="s">
        <v>22</v>
      </c>
      <c r="O4555" t="str">
        <f t="shared" si="71"/>
        <v>No</v>
      </c>
    </row>
    <row r="4556" spans="1:15" x14ac:dyDescent="0.25">
      <c r="A4556" t="s">
        <v>4617</v>
      </c>
      <c r="B4556" s="1">
        <v>45786</v>
      </c>
      <c r="C4556" s="2">
        <v>45786.384166666663</v>
      </c>
      <c r="D4556" t="s">
        <v>15</v>
      </c>
      <c r="E4556" t="s">
        <v>45</v>
      </c>
      <c r="F4556" t="s">
        <v>50</v>
      </c>
      <c r="G4556" t="s">
        <v>56</v>
      </c>
      <c r="H4556" t="s">
        <v>27</v>
      </c>
      <c r="I4556" t="s">
        <v>28</v>
      </c>
      <c r="J4556" t="s">
        <v>21</v>
      </c>
      <c r="K4556">
        <v>48</v>
      </c>
      <c r="L4556">
        <v>9.2200000000000006</v>
      </c>
      <c r="M4556">
        <v>4.0999999999999996</v>
      </c>
      <c r="N4556" t="s">
        <v>22</v>
      </c>
      <c r="O4556" t="str">
        <f t="shared" si="71"/>
        <v>No</v>
      </c>
    </row>
    <row r="4557" spans="1:15" x14ac:dyDescent="0.25">
      <c r="A4557" t="s">
        <v>4618</v>
      </c>
      <c r="B4557" s="1">
        <v>45697</v>
      </c>
      <c r="C4557" s="2">
        <v>45697.210416666669</v>
      </c>
      <c r="D4557" t="s">
        <v>24</v>
      </c>
      <c r="E4557" t="s">
        <v>16</v>
      </c>
      <c r="F4557" t="s">
        <v>43</v>
      </c>
      <c r="G4557" t="s">
        <v>18</v>
      </c>
      <c r="H4557" t="s">
        <v>65</v>
      </c>
      <c r="I4557" t="s">
        <v>20</v>
      </c>
      <c r="J4557" t="s">
        <v>21</v>
      </c>
      <c r="K4557">
        <v>24</v>
      </c>
      <c r="L4557">
        <v>5.05</v>
      </c>
      <c r="M4557">
        <v>4.3</v>
      </c>
      <c r="N4557" t="s">
        <v>22</v>
      </c>
      <c r="O4557" t="str">
        <f t="shared" si="71"/>
        <v>No</v>
      </c>
    </row>
    <row r="4558" spans="1:15" x14ac:dyDescent="0.25">
      <c r="A4558" t="s">
        <v>4619</v>
      </c>
      <c r="B4558" s="1">
        <v>45686</v>
      </c>
      <c r="C4558" s="2">
        <v>45686.033750000002</v>
      </c>
      <c r="D4558" t="s">
        <v>38</v>
      </c>
      <c r="E4558" t="s">
        <v>39</v>
      </c>
      <c r="F4558" t="s">
        <v>87</v>
      </c>
      <c r="G4558" t="s">
        <v>34</v>
      </c>
      <c r="H4558" t="s">
        <v>27</v>
      </c>
      <c r="I4558" t="s">
        <v>36</v>
      </c>
      <c r="J4558" t="s">
        <v>21</v>
      </c>
      <c r="K4558">
        <v>8</v>
      </c>
      <c r="L4558">
        <v>0.81</v>
      </c>
      <c r="M4558">
        <v>5</v>
      </c>
      <c r="N4558" t="s">
        <v>22</v>
      </c>
      <c r="O4558" t="str">
        <f t="shared" si="71"/>
        <v>No</v>
      </c>
    </row>
    <row r="4559" spans="1:15" x14ac:dyDescent="0.25">
      <c r="A4559" t="s">
        <v>4620</v>
      </c>
      <c r="B4559" s="1">
        <v>45813</v>
      </c>
      <c r="C4559" s="2">
        <v>45815.317083333335</v>
      </c>
      <c r="D4559" t="s">
        <v>15</v>
      </c>
      <c r="E4559" t="s">
        <v>45</v>
      </c>
      <c r="F4559" t="s">
        <v>100</v>
      </c>
      <c r="G4559" t="s">
        <v>18</v>
      </c>
      <c r="H4559" t="s">
        <v>44</v>
      </c>
      <c r="I4559" t="s">
        <v>36</v>
      </c>
      <c r="J4559" t="s">
        <v>21</v>
      </c>
      <c r="K4559">
        <v>48</v>
      </c>
      <c r="L4559">
        <v>55.61</v>
      </c>
      <c r="M4559">
        <v>4</v>
      </c>
      <c r="N4559" t="s">
        <v>22</v>
      </c>
      <c r="O4559" t="str">
        <f t="shared" si="71"/>
        <v>Yes</v>
      </c>
    </row>
    <row r="4560" spans="1:15" x14ac:dyDescent="0.25">
      <c r="A4560" t="s">
        <v>4621</v>
      </c>
      <c r="B4560" s="1">
        <v>45793</v>
      </c>
      <c r="C4560" s="2">
        <v>45794.066250000003</v>
      </c>
      <c r="D4560" t="s">
        <v>24</v>
      </c>
      <c r="E4560" t="s">
        <v>39</v>
      </c>
      <c r="F4560" t="s">
        <v>78</v>
      </c>
      <c r="G4560" t="s">
        <v>56</v>
      </c>
      <c r="H4560" t="s">
        <v>19</v>
      </c>
      <c r="I4560" t="s">
        <v>28</v>
      </c>
      <c r="J4560" t="s">
        <v>46</v>
      </c>
      <c r="K4560">
        <v>24</v>
      </c>
      <c r="L4560">
        <v>25.59</v>
      </c>
      <c r="M4560">
        <v>4.5999999999999996</v>
      </c>
      <c r="N4560" t="s">
        <v>22</v>
      </c>
      <c r="O4560" t="str">
        <f t="shared" si="71"/>
        <v>Yes</v>
      </c>
    </row>
    <row r="4561" spans="1:15" x14ac:dyDescent="0.25">
      <c r="A4561" t="s">
        <v>4622</v>
      </c>
      <c r="B4561" s="1">
        <v>45775</v>
      </c>
      <c r="C4561" s="2">
        <v>45776.11041666667</v>
      </c>
      <c r="D4561" t="s">
        <v>24</v>
      </c>
      <c r="E4561" t="s">
        <v>16</v>
      </c>
      <c r="F4561" t="s">
        <v>43</v>
      </c>
      <c r="G4561" t="s">
        <v>41</v>
      </c>
      <c r="H4561" t="s">
        <v>65</v>
      </c>
      <c r="I4561" t="s">
        <v>36</v>
      </c>
      <c r="J4561" t="s">
        <v>46</v>
      </c>
      <c r="K4561">
        <v>24</v>
      </c>
      <c r="L4561">
        <v>26.65</v>
      </c>
      <c r="M4561">
        <v>4.8</v>
      </c>
      <c r="N4561" t="s">
        <v>22</v>
      </c>
      <c r="O4561" t="str">
        <f t="shared" si="71"/>
        <v>Yes</v>
      </c>
    </row>
    <row r="4562" spans="1:15" x14ac:dyDescent="0.25">
      <c r="A4562" t="s">
        <v>4623</v>
      </c>
      <c r="B4562" s="1">
        <v>45746</v>
      </c>
      <c r="C4562" s="2">
        <v>45746.72625</v>
      </c>
      <c r="D4562" t="s">
        <v>15</v>
      </c>
      <c r="E4562" t="s">
        <v>32</v>
      </c>
      <c r="F4562" t="s">
        <v>75</v>
      </c>
      <c r="G4562" t="s">
        <v>41</v>
      </c>
      <c r="H4562" t="s">
        <v>27</v>
      </c>
      <c r="I4562" t="s">
        <v>45</v>
      </c>
      <c r="J4562" t="s">
        <v>21</v>
      </c>
      <c r="K4562">
        <v>48</v>
      </c>
      <c r="L4562">
        <v>17.43</v>
      </c>
      <c r="M4562">
        <v>4.0999999999999996</v>
      </c>
      <c r="N4562" t="s">
        <v>22</v>
      </c>
      <c r="O4562" t="str">
        <f t="shared" si="71"/>
        <v>No</v>
      </c>
    </row>
    <row r="4563" spans="1:15" x14ac:dyDescent="0.25">
      <c r="A4563" t="s">
        <v>4624</v>
      </c>
      <c r="B4563" s="1">
        <v>45734</v>
      </c>
      <c r="C4563" s="2">
        <v>45735.932083333333</v>
      </c>
      <c r="D4563" t="s">
        <v>15</v>
      </c>
      <c r="E4563" t="s">
        <v>25</v>
      </c>
      <c r="F4563" t="s">
        <v>26</v>
      </c>
      <c r="G4563" t="s">
        <v>41</v>
      </c>
      <c r="H4563" t="s">
        <v>19</v>
      </c>
      <c r="I4563" t="s">
        <v>36</v>
      </c>
      <c r="J4563" t="s">
        <v>21</v>
      </c>
      <c r="K4563">
        <v>48</v>
      </c>
      <c r="L4563">
        <v>46.37</v>
      </c>
      <c r="M4563">
        <v>4.4000000000000004</v>
      </c>
      <c r="N4563" t="s">
        <v>22</v>
      </c>
      <c r="O4563" t="str">
        <f t="shared" si="71"/>
        <v>No</v>
      </c>
    </row>
    <row r="4564" spans="1:15" x14ac:dyDescent="0.25">
      <c r="A4564" t="s">
        <v>4625</v>
      </c>
      <c r="B4564" s="1">
        <v>45661</v>
      </c>
      <c r="C4564" s="2">
        <v>45661.398738425924</v>
      </c>
      <c r="D4564" t="s">
        <v>15</v>
      </c>
      <c r="E4564" t="s">
        <v>16</v>
      </c>
      <c r="F4564" t="s">
        <v>17</v>
      </c>
      <c r="G4564" t="s">
        <v>56</v>
      </c>
      <c r="H4564" t="s">
        <v>27</v>
      </c>
      <c r="I4564" t="s">
        <v>45</v>
      </c>
      <c r="J4564" t="s">
        <v>21</v>
      </c>
      <c r="K4564">
        <v>48</v>
      </c>
      <c r="L4564">
        <v>9.57</v>
      </c>
      <c r="M4564">
        <v>4.2</v>
      </c>
      <c r="N4564" t="s">
        <v>22</v>
      </c>
      <c r="O4564" t="str">
        <f t="shared" si="71"/>
        <v>No</v>
      </c>
    </row>
    <row r="4565" spans="1:15" x14ac:dyDescent="0.25">
      <c r="A4565" t="s">
        <v>4626</v>
      </c>
      <c r="B4565" s="1">
        <v>45692</v>
      </c>
      <c r="C4565" s="2">
        <v>45692.334166666667</v>
      </c>
      <c r="D4565" t="s">
        <v>15</v>
      </c>
      <c r="E4565" t="s">
        <v>25</v>
      </c>
      <c r="F4565" t="s">
        <v>26</v>
      </c>
      <c r="G4565" t="s">
        <v>34</v>
      </c>
      <c r="H4565" t="s">
        <v>35</v>
      </c>
      <c r="I4565" t="s">
        <v>20</v>
      </c>
      <c r="J4565" t="s">
        <v>21</v>
      </c>
      <c r="K4565">
        <v>48</v>
      </c>
      <c r="L4565">
        <v>8.02</v>
      </c>
      <c r="M4565">
        <v>5</v>
      </c>
      <c r="N4565" t="s">
        <v>22</v>
      </c>
      <c r="O4565" t="str">
        <f t="shared" si="71"/>
        <v>No</v>
      </c>
    </row>
    <row r="4566" spans="1:15" x14ac:dyDescent="0.25">
      <c r="A4566" t="s">
        <v>4627</v>
      </c>
      <c r="B4566" s="1">
        <v>45820</v>
      </c>
      <c r="C4566" s="2">
        <v>45820.368750000001</v>
      </c>
      <c r="D4566" t="s">
        <v>24</v>
      </c>
      <c r="E4566" t="s">
        <v>39</v>
      </c>
      <c r="F4566" t="s">
        <v>119</v>
      </c>
      <c r="G4566" t="s">
        <v>41</v>
      </c>
      <c r="H4566" t="s">
        <v>44</v>
      </c>
      <c r="I4566" t="s">
        <v>45</v>
      </c>
      <c r="J4566" t="s">
        <v>29</v>
      </c>
      <c r="K4566">
        <v>24</v>
      </c>
      <c r="L4566">
        <v>8.85</v>
      </c>
      <c r="M4566">
        <v>5</v>
      </c>
      <c r="N4566" t="s">
        <v>22</v>
      </c>
      <c r="O4566" t="str">
        <f t="shared" si="71"/>
        <v>No</v>
      </c>
    </row>
    <row r="4567" spans="1:15" x14ac:dyDescent="0.25">
      <c r="A4567" t="s">
        <v>4628</v>
      </c>
      <c r="B4567" s="1">
        <v>45719</v>
      </c>
      <c r="C4567" s="2">
        <v>45719.34</v>
      </c>
      <c r="D4567" t="s">
        <v>38</v>
      </c>
      <c r="E4567" t="s">
        <v>39</v>
      </c>
      <c r="F4567" t="s">
        <v>119</v>
      </c>
      <c r="G4567" t="s">
        <v>34</v>
      </c>
      <c r="H4567" t="s">
        <v>65</v>
      </c>
      <c r="I4567" t="s">
        <v>36</v>
      </c>
      <c r="J4567" t="s">
        <v>21</v>
      </c>
      <c r="K4567">
        <v>8</v>
      </c>
      <c r="L4567">
        <v>8.16</v>
      </c>
      <c r="M4567">
        <v>2.4</v>
      </c>
      <c r="N4567" t="s">
        <v>22</v>
      </c>
      <c r="O4567" t="str">
        <f t="shared" si="71"/>
        <v>Yes</v>
      </c>
    </row>
    <row r="4568" spans="1:15" x14ac:dyDescent="0.25">
      <c r="A4568" t="s">
        <v>4629</v>
      </c>
      <c r="B4568" s="1">
        <v>45785</v>
      </c>
      <c r="C4568" s="2">
        <v>45785.597083333334</v>
      </c>
      <c r="D4568" t="s">
        <v>24</v>
      </c>
      <c r="E4568" t="s">
        <v>32</v>
      </c>
      <c r="F4568" t="s">
        <v>64</v>
      </c>
      <c r="G4568" t="s">
        <v>34</v>
      </c>
      <c r="H4568" t="s">
        <v>35</v>
      </c>
      <c r="I4568" t="s">
        <v>45</v>
      </c>
      <c r="J4568" t="s">
        <v>46</v>
      </c>
      <c r="K4568">
        <v>24</v>
      </c>
      <c r="L4568">
        <v>14.33</v>
      </c>
      <c r="M4568">
        <v>4.5</v>
      </c>
      <c r="N4568" t="s">
        <v>22</v>
      </c>
      <c r="O4568" t="str">
        <f t="shared" si="71"/>
        <v>No</v>
      </c>
    </row>
    <row r="4569" spans="1:15" x14ac:dyDescent="0.25">
      <c r="A4569" t="s">
        <v>4630</v>
      </c>
      <c r="B4569" s="1">
        <v>45785</v>
      </c>
      <c r="C4569" s="2">
        <v>45785.110833333332</v>
      </c>
      <c r="D4569" t="s">
        <v>38</v>
      </c>
      <c r="E4569" t="s">
        <v>45</v>
      </c>
      <c r="F4569" t="s">
        <v>100</v>
      </c>
      <c r="G4569" t="s">
        <v>41</v>
      </c>
      <c r="H4569" t="s">
        <v>65</v>
      </c>
      <c r="I4569" t="s">
        <v>45</v>
      </c>
      <c r="J4569" t="s">
        <v>21</v>
      </c>
      <c r="K4569">
        <v>8</v>
      </c>
      <c r="L4569">
        <v>2.66</v>
      </c>
      <c r="M4569">
        <v>4</v>
      </c>
      <c r="N4569" t="s">
        <v>22</v>
      </c>
      <c r="O4569" t="str">
        <f t="shared" si="71"/>
        <v>No</v>
      </c>
    </row>
    <row r="4570" spans="1:15" x14ac:dyDescent="0.25">
      <c r="A4570" t="s">
        <v>4631</v>
      </c>
      <c r="B4570" s="1">
        <v>45714</v>
      </c>
      <c r="C4570" s="2">
        <v>45714.317499999997</v>
      </c>
      <c r="D4570" t="s">
        <v>24</v>
      </c>
      <c r="E4570" t="s">
        <v>32</v>
      </c>
      <c r="F4570" t="s">
        <v>64</v>
      </c>
      <c r="G4570" t="s">
        <v>41</v>
      </c>
      <c r="H4570" t="s">
        <v>27</v>
      </c>
      <c r="I4570" t="s">
        <v>36</v>
      </c>
      <c r="J4570" t="s">
        <v>21</v>
      </c>
      <c r="K4570">
        <v>24</v>
      </c>
      <c r="L4570">
        <v>7.62</v>
      </c>
      <c r="M4570">
        <v>4.4000000000000004</v>
      </c>
      <c r="N4570" t="s">
        <v>22</v>
      </c>
      <c r="O4570" t="str">
        <f t="shared" si="71"/>
        <v>No</v>
      </c>
    </row>
    <row r="4571" spans="1:15" x14ac:dyDescent="0.25">
      <c r="A4571" t="s">
        <v>4632</v>
      </c>
      <c r="B4571" s="1">
        <v>45694</v>
      </c>
      <c r="C4571" s="2">
        <v>45695.16</v>
      </c>
      <c r="D4571" t="s">
        <v>24</v>
      </c>
      <c r="E4571" t="s">
        <v>16</v>
      </c>
      <c r="F4571" t="s">
        <v>43</v>
      </c>
      <c r="G4571" t="s">
        <v>34</v>
      </c>
      <c r="H4571" t="s">
        <v>44</v>
      </c>
      <c r="I4571" t="s">
        <v>20</v>
      </c>
      <c r="J4571" t="s">
        <v>29</v>
      </c>
      <c r="K4571">
        <v>24</v>
      </c>
      <c r="L4571">
        <v>27.84</v>
      </c>
      <c r="M4571">
        <v>3.2</v>
      </c>
      <c r="N4571" t="s">
        <v>22</v>
      </c>
      <c r="O4571" t="str">
        <f t="shared" si="71"/>
        <v>Yes</v>
      </c>
    </row>
    <row r="4572" spans="1:15" x14ac:dyDescent="0.25">
      <c r="A4572" t="s">
        <v>4633</v>
      </c>
      <c r="B4572" s="1">
        <v>45783</v>
      </c>
      <c r="C4572" s="2">
        <v>45783.854583333334</v>
      </c>
      <c r="D4572" t="s">
        <v>24</v>
      </c>
      <c r="E4572" t="s">
        <v>16</v>
      </c>
      <c r="F4572" t="s">
        <v>43</v>
      </c>
      <c r="G4572" t="s">
        <v>56</v>
      </c>
      <c r="H4572" t="s">
        <v>54</v>
      </c>
      <c r="I4572" t="s">
        <v>45</v>
      </c>
      <c r="J4572" t="s">
        <v>21</v>
      </c>
      <c r="K4572">
        <v>24</v>
      </c>
      <c r="L4572">
        <v>20.51</v>
      </c>
      <c r="M4572">
        <v>4.5999999999999996</v>
      </c>
      <c r="N4572" t="s">
        <v>22</v>
      </c>
      <c r="O4572" t="str">
        <f t="shared" si="71"/>
        <v>No</v>
      </c>
    </row>
    <row r="4573" spans="1:15" x14ac:dyDescent="0.25">
      <c r="A4573" t="s">
        <v>4634</v>
      </c>
      <c r="B4573" s="1">
        <v>45674</v>
      </c>
      <c r="C4573" s="2">
        <v>45676.40625</v>
      </c>
      <c r="D4573" t="s">
        <v>15</v>
      </c>
      <c r="E4573" t="s">
        <v>32</v>
      </c>
      <c r="F4573" t="s">
        <v>33</v>
      </c>
      <c r="G4573" t="s">
        <v>41</v>
      </c>
      <c r="H4573" t="s">
        <v>27</v>
      </c>
      <c r="I4573" t="s">
        <v>36</v>
      </c>
      <c r="J4573" t="s">
        <v>21</v>
      </c>
      <c r="K4573">
        <v>48</v>
      </c>
      <c r="L4573">
        <v>57.75</v>
      </c>
      <c r="M4573">
        <v>3.1</v>
      </c>
      <c r="N4573" t="s">
        <v>22</v>
      </c>
      <c r="O4573" t="str">
        <f t="shared" si="71"/>
        <v>Yes</v>
      </c>
    </row>
    <row r="4574" spans="1:15" x14ac:dyDescent="0.25">
      <c r="A4574" t="s">
        <v>4635</v>
      </c>
      <c r="B4574" s="1">
        <v>45747</v>
      </c>
      <c r="C4574" s="2">
        <v>45748.145833333336</v>
      </c>
      <c r="D4574" t="s">
        <v>24</v>
      </c>
      <c r="E4574" t="s">
        <v>39</v>
      </c>
      <c r="F4574" t="s">
        <v>87</v>
      </c>
      <c r="G4574" t="s">
        <v>34</v>
      </c>
      <c r="H4574" t="s">
        <v>19</v>
      </c>
      <c r="I4574" t="s">
        <v>28</v>
      </c>
      <c r="J4574" t="s">
        <v>46</v>
      </c>
      <c r="K4574">
        <v>24</v>
      </c>
      <c r="L4574">
        <v>27.5</v>
      </c>
      <c r="M4574">
        <v>2.8</v>
      </c>
      <c r="N4574" t="s">
        <v>22</v>
      </c>
      <c r="O4574" t="str">
        <f t="shared" si="71"/>
        <v>Yes</v>
      </c>
    </row>
    <row r="4575" spans="1:15" x14ac:dyDescent="0.25">
      <c r="A4575" t="s">
        <v>4636</v>
      </c>
      <c r="B4575" s="1">
        <v>45818</v>
      </c>
      <c r="C4575" s="2">
        <v>45818.080416666664</v>
      </c>
      <c r="D4575" t="s">
        <v>24</v>
      </c>
      <c r="E4575" t="s">
        <v>32</v>
      </c>
      <c r="F4575" t="s">
        <v>75</v>
      </c>
      <c r="G4575" t="s">
        <v>56</v>
      </c>
      <c r="H4575" t="s">
        <v>27</v>
      </c>
      <c r="I4575" t="s">
        <v>36</v>
      </c>
      <c r="J4575" t="s">
        <v>21</v>
      </c>
      <c r="K4575">
        <v>24</v>
      </c>
      <c r="L4575">
        <v>1.93</v>
      </c>
      <c r="M4575">
        <v>4.4000000000000004</v>
      </c>
      <c r="N4575" t="s">
        <v>22</v>
      </c>
      <c r="O4575" t="str">
        <f t="shared" si="71"/>
        <v>No</v>
      </c>
    </row>
    <row r="4576" spans="1:15" x14ac:dyDescent="0.25">
      <c r="A4576" t="s">
        <v>4637</v>
      </c>
      <c r="B4576" s="1">
        <v>45786</v>
      </c>
      <c r="C4576" s="2">
        <v>45786.350416666668</v>
      </c>
      <c r="D4576" t="s">
        <v>38</v>
      </c>
      <c r="E4576" t="s">
        <v>16</v>
      </c>
      <c r="F4576" t="s">
        <v>43</v>
      </c>
      <c r="G4576" t="s">
        <v>51</v>
      </c>
      <c r="H4576" t="s">
        <v>35</v>
      </c>
      <c r="I4576" t="s">
        <v>36</v>
      </c>
      <c r="J4576" t="s">
        <v>29</v>
      </c>
      <c r="K4576">
        <v>8</v>
      </c>
      <c r="L4576">
        <v>8.41</v>
      </c>
      <c r="M4576">
        <v>3.6</v>
      </c>
      <c r="N4576" t="s">
        <v>22</v>
      </c>
      <c r="O4576" t="str">
        <f t="shared" si="71"/>
        <v>Yes</v>
      </c>
    </row>
    <row r="4577" spans="1:15" x14ac:dyDescent="0.25">
      <c r="A4577" t="s">
        <v>4638</v>
      </c>
      <c r="B4577" s="1">
        <v>45796</v>
      </c>
      <c r="C4577" s="2">
        <v>45796.866249999999</v>
      </c>
      <c r="D4577" t="s">
        <v>24</v>
      </c>
      <c r="E4577" t="s">
        <v>45</v>
      </c>
      <c r="F4577" t="s">
        <v>100</v>
      </c>
      <c r="G4577" t="s">
        <v>51</v>
      </c>
      <c r="H4577" t="s">
        <v>19</v>
      </c>
      <c r="I4577" t="s">
        <v>36</v>
      </c>
      <c r="J4577" t="s">
        <v>85</v>
      </c>
      <c r="K4577">
        <v>24</v>
      </c>
      <c r="L4577">
        <v>20.79</v>
      </c>
      <c r="M4577">
        <v>4.2</v>
      </c>
      <c r="N4577" t="s">
        <v>22</v>
      </c>
      <c r="O4577" t="str">
        <f t="shared" si="71"/>
        <v>No</v>
      </c>
    </row>
    <row r="4578" spans="1:15" x14ac:dyDescent="0.25">
      <c r="A4578" t="s">
        <v>4639</v>
      </c>
      <c r="B4578" s="1">
        <v>45673</v>
      </c>
      <c r="C4578" s="2">
        <v>45673.439583333333</v>
      </c>
      <c r="D4578" t="s">
        <v>15</v>
      </c>
      <c r="E4578" t="s">
        <v>39</v>
      </c>
      <c r="F4578" t="s">
        <v>40</v>
      </c>
      <c r="G4578" t="s">
        <v>18</v>
      </c>
      <c r="H4578" t="s">
        <v>19</v>
      </c>
      <c r="I4578" t="s">
        <v>36</v>
      </c>
      <c r="J4578" t="s">
        <v>21</v>
      </c>
      <c r="K4578">
        <v>48</v>
      </c>
      <c r="L4578">
        <v>10.55</v>
      </c>
      <c r="M4578">
        <v>5</v>
      </c>
      <c r="N4578" t="s">
        <v>61</v>
      </c>
      <c r="O4578" t="str">
        <f t="shared" si="71"/>
        <v>No</v>
      </c>
    </row>
    <row r="4579" spans="1:15" x14ac:dyDescent="0.25">
      <c r="A4579" t="s">
        <v>4640</v>
      </c>
      <c r="B4579" s="1">
        <v>45694</v>
      </c>
      <c r="C4579" s="2">
        <v>45694.061249999999</v>
      </c>
      <c r="D4579" t="s">
        <v>31</v>
      </c>
      <c r="E4579" t="s">
        <v>45</v>
      </c>
      <c r="F4579" t="s">
        <v>50</v>
      </c>
      <c r="G4579" t="s">
        <v>18</v>
      </c>
      <c r="H4579" t="s">
        <v>35</v>
      </c>
      <c r="I4579" t="s">
        <v>36</v>
      </c>
      <c r="J4579" t="s">
        <v>21</v>
      </c>
      <c r="K4579">
        <v>4</v>
      </c>
      <c r="L4579">
        <v>1.47</v>
      </c>
      <c r="M4579">
        <v>4.9000000000000004</v>
      </c>
      <c r="N4579" t="s">
        <v>22</v>
      </c>
      <c r="O4579" t="str">
        <f t="shared" si="71"/>
        <v>No</v>
      </c>
    </row>
    <row r="4580" spans="1:15" x14ac:dyDescent="0.25">
      <c r="A4580" t="s">
        <v>4641</v>
      </c>
      <c r="B4580" s="1">
        <v>45707</v>
      </c>
      <c r="C4580" s="2">
        <v>45707.871249999997</v>
      </c>
      <c r="D4580" t="s">
        <v>15</v>
      </c>
      <c r="E4580" t="s">
        <v>32</v>
      </c>
      <c r="F4580" t="s">
        <v>33</v>
      </c>
      <c r="G4580" t="s">
        <v>41</v>
      </c>
      <c r="H4580" t="s">
        <v>54</v>
      </c>
      <c r="I4580" t="s">
        <v>36</v>
      </c>
      <c r="J4580" t="s">
        <v>46</v>
      </c>
      <c r="K4580">
        <v>48</v>
      </c>
      <c r="L4580">
        <v>20.91</v>
      </c>
      <c r="M4580">
        <v>4.9000000000000004</v>
      </c>
      <c r="N4580" t="s">
        <v>22</v>
      </c>
      <c r="O4580" t="str">
        <f t="shared" si="71"/>
        <v>No</v>
      </c>
    </row>
    <row r="4581" spans="1:15" x14ac:dyDescent="0.25">
      <c r="A4581" t="s">
        <v>4642</v>
      </c>
      <c r="B4581" s="1">
        <v>45710</v>
      </c>
      <c r="C4581" s="2">
        <v>45710.273738425924</v>
      </c>
      <c r="D4581" t="s">
        <v>31</v>
      </c>
      <c r="E4581" t="s">
        <v>39</v>
      </c>
      <c r="F4581" t="s">
        <v>119</v>
      </c>
      <c r="G4581" t="s">
        <v>56</v>
      </c>
      <c r="H4581" t="s">
        <v>27</v>
      </c>
      <c r="I4581" t="s">
        <v>20</v>
      </c>
      <c r="J4581" t="s">
        <v>21</v>
      </c>
      <c r="K4581">
        <v>4</v>
      </c>
      <c r="L4581">
        <v>6.57</v>
      </c>
      <c r="M4581">
        <v>3.5</v>
      </c>
      <c r="N4581" t="s">
        <v>22</v>
      </c>
      <c r="O4581" t="str">
        <f t="shared" si="71"/>
        <v>Yes</v>
      </c>
    </row>
    <row r="4582" spans="1:15" x14ac:dyDescent="0.25">
      <c r="A4582" t="s">
        <v>4643</v>
      </c>
      <c r="B4582" s="1">
        <v>45693</v>
      </c>
      <c r="C4582" s="2">
        <v>45693.175000000003</v>
      </c>
      <c r="D4582" t="s">
        <v>38</v>
      </c>
      <c r="E4582" t="s">
        <v>45</v>
      </c>
      <c r="F4582" t="s">
        <v>112</v>
      </c>
      <c r="G4582" t="s">
        <v>34</v>
      </c>
      <c r="H4582" t="s">
        <v>44</v>
      </c>
      <c r="I4582" t="s">
        <v>45</v>
      </c>
      <c r="J4582" t="s">
        <v>21</v>
      </c>
      <c r="K4582">
        <v>8</v>
      </c>
      <c r="L4582">
        <v>4.2</v>
      </c>
      <c r="M4582">
        <v>4.9000000000000004</v>
      </c>
      <c r="N4582" t="s">
        <v>22</v>
      </c>
      <c r="O4582" t="str">
        <f t="shared" si="71"/>
        <v>No</v>
      </c>
    </row>
    <row r="4583" spans="1:15" x14ac:dyDescent="0.25">
      <c r="A4583" t="s">
        <v>4644</v>
      </c>
      <c r="B4583" s="1">
        <v>45833</v>
      </c>
      <c r="C4583" s="2">
        <v>45833.279583333337</v>
      </c>
      <c r="D4583" t="s">
        <v>38</v>
      </c>
      <c r="E4583" t="s">
        <v>25</v>
      </c>
      <c r="F4583" t="s">
        <v>53</v>
      </c>
      <c r="G4583" t="s">
        <v>51</v>
      </c>
      <c r="H4583" t="s">
        <v>44</v>
      </c>
      <c r="I4583" t="s">
        <v>36</v>
      </c>
      <c r="J4583" t="s">
        <v>21</v>
      </c>
      <c r="K4583">
        <v>8</v>
      </c>
      <c r="L4583">
        <v>6.71</v>
      </c>
      <c r="M4583">
        <v>4.7</v>
      </c>
      <c r="N4583" t="s">
        <v>22</v>
      </c>
      <c r="O4583" t="str">
        <f t="shared" si="71"/>
        <v>No</v>
      </c>
    </row>
    <row r="4584" spans="1:15" x14ac:dyDescent="0.25">
      <c r="A4584" t="s">
        <v>4645</v>
      </c>
      <c r="B4584" s="1">
        <v>45687</v>
      </c>
      <c r="C4584" s="2">
        <v>45687.346666666665</v>
      </c>
      <c r="D4584" t="s">
        <v>38</v>
      </c>
      <c r="E4584" t="s">
        <v>39</v>
      </c>
      <c r="F4584" t="s">
        <v>40</v>
      </c>
      <c r="G4584" t="s">
        <v>51</v>
      </c>
      <c r="H4584" t="s">
        <v>27</v>
      </c>
      <c r="I4584" t="s">
        <v>20</v>
      </c>
      <c r="J4584" t="s">
        <v>29</v>
      </c>
      <c r="K4584">
        <v>8</v>
      </c>
      <c r="L4584">
        <v>8.32</v>
      </c>
      <c r="M4584">
        <v>5</v>
      </c>
      <c r="N4584" t="s">
        <v>22</v>
      </c>
      <c r="O4584" t="str">
        <f t="shared" si="71"/>
        <v>Yes</v>
      </c>
    </row>
    <row r="4585" spans="1:15" x14ac:dyDescent="0.25">
      <c r="A4585" t="s">
        <v>4646</v>
      </c>
      <c r="B4585" s="1">
        <v>45786</v>
      </c>
      <c r="C4585" s="2">
        <v>45786.695</v>
      </c>
      <c r="D4585" t="s">
        <v>15</v>
      </c>
      <c r="E4585" t="s">
        <v>16</v>
      </c>
      <c r="F4585" t="s">
        <v>17</v>
      </c>
      <c r="G4585" t="s">
        <v>41</v>
      </c>
      <c r="H4585" t="s">
        <v>54</v>
      </c>
      <c r="I4585" t="s">
        <v>20</v>
      </c>
      <c r="J4585" t="s">
        <v>29</v>
      </c>
      <c r="K4585">
        <v>48</v>
      </c>
      <c r="L4585">
        <v>16.68</v>
      </c>
      <c r="M4585">
        <v>5</v>
      </c>
      <c r="N4585" t="s">
        <v>22</v>
      </c>
      <c r="O4585" t="str">
        <f t="shared" si="71"/>
        <v>No</v>
      </c>
    </row>
    <row r="4586" spans="1:15" x14ac:dyDescent="0.25">
      <c r="A4586" t="s">
        <v>4647</v>
      </c>
      <c r="B4586" s="1">
        <v>45764</v>
      </c>
      <c r="C4586" s="2">
        <v>45765.139166666668</v>
      </c>
      <c r="D4586" t="s">
        <v>24</v>
      </c>
      <c r="E4586" t="s">
        <v>45</v>
      </c>
      <c r="F4586" t="s">
        <v>104</v>
      </c>
      <c r="G4586" t="s">
        <v>56</v>
      </c>
      <c r="H4586" t="s">
        <v>44</v>
      </c>
      <c r="I4586" t="s">
        <v>45</v>
      </c>
      <c r="J4586" t="s">
        <v>21</v>
      </c>
      <c r="K4586">
        <v>24</v>
      </c>
      <c r="L4586">
        <v>27.34</v>
      </c>
      <c r="M4586">
        <v>3.8</v>
      </c>
      <c r="N4586" t="s">
        <v>22</v>
      </c>
      <c r="O4586" t="str">
        <f t="shared" si="71"/>
        <v>Yes</v>
      </c>
    </row>
    <row r="4587" spans="1:15" x14ac:dyDescent="0.25">
      <c r="A4587" t="s">
        <v>4648</v>
      </c>
      <c r="B4587" s="1">
        <v>45768</v>
      </c>
      <c r="C4587" s="2">
        <v>45768.160000000003</v>
      </c>
      <c r="D4587" t="s">
        <v>38</v>
      </c>
      <c r="E4587" t="s">
        <v>25</v>
      </c>
      <c r="F4587" t="s">
        <v>53</v>
      </c>
      <c r="G4587" t="s">
        <v>34</v>
      </c>
      <c r="H4587" t="s">
        <v>19</v>
      </c>
      <c r="I4587" t="s">
        <v>28</v>
      </c>
      <c r="J4587" t="s">
        <v>21</v>
      </c>
      <c r="K4587">
        <v>8</v>
      </c>
      <c r="L4587">
        <v>3.84</v>
      </c>
      <c r="M4587">
        <v>4.0999999999999996</v>
      </c>
      <c r="N4587" t="s">
        <v>22</v>
      </c>
      <c r="O4587" t="str">
        <f t="shared" si="71"/>
        <v>No</v>
      </c>
    </row>
    <row r="4588" spans="1:15" x14ac:dyDescent="0.25">
      <c r="A4588" t="s">
        <v>4649</v>
      </c>
      <c r="B4588" s="1">
        <v>45696</v>
      </c>
      <c r="C4588" s="2">
        <v>45696.806666666664</v>
      </c>
      <c r="D4588" t="s">
        <v>38</v>
      </c>
      <c r="E4588" t="s">
        <v>16</v>
      </c>
      <c r="F4588" t="s">
        <v>17</v>
      </c>
      <c r="G4588" t="s">
        <v>41</v>
      </c>
      <c r="H4588" t="s">
        <v>19</v>
      </c>
      <c r="I4588" t="s">
        <v>36</v>
      </c>
      <c r="J4588" t="s">
        <v>85</v>
      </c>
      <c r="K4588">
        <v>8</v>
      </c>
      <c r="L4588">
        <v>19.36</v>
      </c>
      <c r="M4588">
        <v>2.2999999999999998</v>
      </c>
      <c r="N4588" t="s">
        <v>22</v>
      </c>
      <c r="O4588" t="str">
        <f t="shared" si="71"/>
        <v>Yes</v>
      </c>
    </row>
    <row r="4589" spans="1:15" x14ac:dyDescent="0.25">
      <c r="A4589" t="s">
        <v>4650</v>
      </c>
      <c r="B4589" s="1">
        <v>45713</v>
      </c>
      <c r="C4589" s="2">
        <v>45713.432500000003</v>
      </c>
      <c r="D4589" t="s">
        <v>15</v>
      </c>
      <c r="E4589" t="s">
        <v>32</v>
      </c>
      <c r="F4589" t="s">
        <v>75</v>
      </c>
      <c r="G4589" t="s">
        <v>18</v>
      </c>
      <c r="H4589" t="s">
        <v>44</v>
      </c>
      <c r="I4589" t="s">
        <v>36</v>
      </c>
      <c r="J4589" t="s">
        <v>21</v>
      </c>
      <c r="K4589">
        <v>48</v>
      </c>
      <c r="L4589">
        <v>10.38</v>
      </c>
      <c r="M4589">
        <v>5</v>
      </c>
      <c r="N4589" t="s">
        <v>22</v>
      </c>
      <c r="O4589" t="str">
        <f t="shared" si="71"/>
        <v>No</v>
      </c>
    </row>
    <row r="4590" spans="1:15" x14ac:dyDescent="0.25">
      <c r="A4590" t="s">
        <v>4651</v>
      </c>
      <c r="B4590" s="1">
        <v>45767</v>
      </c>
      <c r="C4590" s="2">
        <v>45767.887071759258</v>
      </c>
      <c r="D4590" t="s">
        <v>15</v>
      </c>
      <c r="E4590" t="s">
        <v>32</v>
      </c>
      <c r="F4590" t="s">
        <v>33</v>
      </c>
      <c r="G4590" t="s">
        <v>51</v>
      </c>
      <c r="H4590" t="s">
        <v>44</v>
      </c>
      <c r="I4590" t="s">
        <v>36</v>
      </c>
      <c r="J4590" t="s">
        <v>21</v>
      </c>
      <c r="K4590">
        <v>48</v>
      </c>
      <c r="L4590">
        <v>21.29</v>
      </c>
      <c r="M4590">
        <v>3.7</v>
      </c>
      <c r="N4590" t="s">
        <v>22</v>
      </c>
      <c r="O4590" t="str">
        <f t="shared" si="71"/>
        <v>No</v>
      </c>
    </row>
    <row r="4591" spans="1:15" x14ac:dyDescent="0.25">
      <c r="A4591" t="s">
        <v>4652</v>
      </c>
      <c r="B4591" s="1">
        <v>45712</v>
      </c>
      <c r="C4591" s="2">
        <v>45713.074166666665</v>
      </c>
      <c r="D4591" t="s">
        <v>24</v>
      </c>
      <c r="E4591" t="s">
        <v>16</v>
      </c>
      <c r="F4591" t="s">
        <v>60</v>
      </c>
      <c r="G4591" t="s">
        <v>41</v>
      </c>
      <c r="H4591" t="s">
        <v>19</v>
      </c>
      <c r="I4591" t="s">
        <v>36</v>
      </c>
      <c r="J4591" t="s">
        <v>21</v>
      </c>
      <c r="K4591">
        <v>24</v>
      </c>
      <c r="L4591">
        <v>25.78</v>
      </c>
      <c r="M4591">
        <v>4.5</v>
      </c>
      <c r="N4591" t="s">
        <v>22</v>
      </c>
      <c r="O4591" t="str">
        <f t="shared" si="71"/>
        <v>Yes</v>
      </c>
    </row>
    <row r="4592" spans="1:15" x14ac:dyDescent="0.25">
      <c r="A4592" t="s">
        <v>4653</v>
      </c>
      <c r="B4592" s="1">
        <v>45783</v>
      </c>
      <c r="C4592" s="2">
        <v>45783.271666666667</v>
      </c>
      <c r="D4592" t="s">
        <v>24</v>
      </c>
      <c r="E4592" t="s">
        <v>16</v>
      </c>
      <c r="F4592" t="s">
        <v>58</v>
      </c>
      <c r="G4592" t="s">
        <v>18</v>
      </c>
      <c r="H4592" t="s">
        <v>65</v>
      </c>
      <c r="I4592" t="s">
        <v>45</v>
      </c>
      <c r="J4592" t="s">
        <v>21</v>
      </c>
      <c r="K4592">
        <v>24</v>
      </c>
      <c r="L4592">
        <v>6.52</v>
      </c>
      <c r="M4592">
        <v>4.4000000000000004</v>
      </c>
      <c r="N4592" t="s">
        <v>22</v>
      </c>
      <c r="O4592" t="str">
        <f t="shared" si="71"/>
        <v>No</v>
      </c>
    </row>
    <row r="4593" spans="1:15" x14ac:dyDescent="0.25">
      <c r="A4593" t="s">
        <v>4654</v>
      </c>
      <c r="B4593" s="1">
        <v>45665</v>
      </c>
      <c r="C4593" s="2">
        <v>45665.905833333331</v>
      </c>
      <c r="D4593" t="s">
        <v>24</v>
      </c>
      <c r="E4593" t="s">
        <v>32</v>
      </c>
      <c r="F4593" t="s">
        <v>64</v>
      </c>
      <c r="G4593" t="s">
        <v>34</v>
      </c>
      <c r="H4593" t="s">
        <v>65</v>
      </c>
      <c r="I4593" t="s">
        <v>36</v>
      </c>
      <c r="J4593" t="s">
        <v>21</v>
      </c>
      <c r="K4593">
        <v>24</v>
      </c>
      <c r="L4593">
        <v>21.74</v>
      </c>
      <c r="M4593">
        <v>3.8</v>
      </c>
      <c r="N4593" t="s">
        <v>22</v>
      </c>
      <c r="O4593" t="str">
        <f t="shared" si="71"/>
        <v>No</v>
      </c>
    </row>
    <row r="4594" spans="1:15" x14ac:dyDescent="0.25">
      <c r="A4594" t="s">
        <v>4655</v>
      </c>
      <c r="B4594" s="1">
        <v>45671</v>
      </c>
      <c r="C4594" s="2">
        <v>45671.128333333334</v>
      </c>
      <c r="D4594" t="s">
        <v>38</v>
      </c>
      <c r="E4594" t="s">
        <v>39</v>
      </c>
      <c r="F4594" t="s">
        <v>78</v>
      </c>
      <c r="G4594" t="s">
        <v>41</v>
      </c>
      <c r="H4594" t="s">
        <v>65</v>
      </c>
      <c r="I4594" t="s">
        <v>45</v>
      </c>
      <c r="J4594" t="s">
        <v>21</v>
      </c>
      <c r="K4594">
        <v>8</v>
      </c>
      <c r="L4594">
        <v>3.08</v>
      </c>
      <c r="M4594">
        <v>4.9000000000000004</v>
      </c>
      <c r="N4594" t="s">
        <v>22</v>
      </c>
      <c r="O4594" t="str">
        <f t="shared" si="71"/>
        <v>No</v>
      </c>
    </row>
    <row r="4595" spans="1:15" x14ac:dyDescent="0.25">
      <c r="A4595" t="s">
        <v>4656</v>
      </c>
      <c r="B4595" s="1">
        <v>45789</v>
      </c>
      <c r="C4595" s="2">
        <v>45789.062083333331</v>
      </c>
      <c r="D4595" t="s">
        <v>38</v>
      </c>
      <c r="E4595" t="s">
        <v>39</v>
      </c>
      <c r="F4595" t="s">
        <v>87</v>
      </c>
      <c r="G4595" t="s">
        <v>56</v>
      </c>
      <c r="H4595" t="s">
        <v>35</v>
      </c>
      <c r="I4595" t="s">
        <v>28</v>
      </c>
      <c r="J4595" t="s">
        <v>21</v>
      </c>
      <c r="K4595">
        <v>8</v>
      </c>
      <c r="L4595">
        <v>1.49</v>
      </c>
      <c r="M4595">
        <v>4.4000000000000004</v>
      </c>
      <c r="N4595" t="s">
        <v>22</v>
      </c>
      <c r="O4595" t="str">
        <f t="shared" si="71"/>
        <v>No</v>
      </c>
    </row>
    <row r="4596" spans="1:15" x14ac:dyDescent="0.25">
      <c r="A4596" t="s">
        <v>4657</v>
      </c>
      <c r="B4596" s="1">
        <v>45769</v>
      </c>
      <c r="C4596" s="2">
        <v>45769.152499999997</v>
      </c>
      <c r="D4596" t="s">
        <v>24</v>
      </c>
      <c r="E4596" t="s">
        <v>16</v>
      </c>
      <c r="F4596" t="s">
        <v>60</v>
      </c>
      <c r="G4596" t="s">
        <v>18</v>
      </c>
      <c r="H4596" t="s">
        <v>44</v>
      </c>
      <c r="I4596" t="s">
        <v>20</v>
      </c>
      <c r="J4596" t="s">
        <v>46</v>
      </c>
      <c r="K4596">
        <v>24</v>
      </c>
      <c r="L4596">
        <v>3.66</v>
      </c>
      <c r="M4596">
        <v>5</v>
      </c>
      <c r="N4596" t="s">
        <v>22</v>
      </c>
      <c r="O4596" t="str">
        <f t="shared" si="71"/>
        <v>No</v>
      </c>
    </row>
    <row r="4597" spans="1:15" x14ac:dyDescent="0.25">
      <c r="A4597" t="s">
        <v>4658</v>
      </c>
      <c r="B4597" s="1">
        <v>45665</v>
      </c>
      <c r="C4597" s="2">
        <v>45666.160416666666</v>
      </c>
      <c r="D4597" t="s">
        <v>15</v>
      </c>
      <c r="E4597" t="s">
        <v>39</v>
      </c>
      <c r="F4597" t="s">
        <v>40</v>
      </c>
      <c r="G4597" t="s">
        <v>18</v>
      </c>
      <c r="H4597" t="s">
        <v>65</v>
      </c>
      <c r="I4597" t="s">
        <v>45</v>
      </c>
      <c r="J4597" t="s">
        <v>21</v>
      </c>
      <c r="K4597">
        <v>48</v>
      </c>
      <c r="L4597">
        <v>27.85</v>
      </c>
      <c r="M4597">
        <v>3.6</v>
      </c>
      <c r="N4597" t="s">
        <v>22</v>
      </c>
      <c r="O4597" t="str">
        <f t="shared" si="71"/>
        <v>No</v>
      </c>
    </row>
    <row r="4598" spans="1:15" x14ac:dyDescent="0.25">
      <c r="A4598" t="s">
        <v>4659</v>
      </c>
      <c r="B4598" s="1">
        <v>45820</v>
      </c>
      <c r="C4598" s="2">
        <v>45820.71</v>
      </c>
      <c r="D4598" t="s">
        <v>24</v>
      </c>
      <c r="E4598" t="s">
        <v>39</v>
      </c>
      <c r="F4598" t="s">
        <v>40</v>
      </c>
      <c r="G4598" t="s">
        <v>18</v>
      </c>
      <c r="H4598" t="s">
        <v>27</v>
      </c>
      <c r="I4598" t="s">
        <v>45</v>
      </c>
      <c r="J4598" t="s">
        <v>46</v>
      </c>
      <c r="K4598">
        <v>24</v>
      </c>
      <c r="L4598">
        <v>17.04</v>
      </c>
      <c r="M4598">
        <v>4.7</v>
      </c>
      <c r="N4598" t="s">
        <v>22</v>
      </c>
      <c r="O4598" t="str">
        <f t="shared" si="71"/>
        <v>No</v>
      </c>
    </row>
    <row r="4599" spans="1:15" x14ac:dyDescent="0.25">
      <c r="A4599" t="s">
        <v>4660</v>
      </c>
      <c r="B4599" s="1">
        <v>45658</v>
      </c>
      <c r="C4599" s="2">
        <v>45658.205833333333</v>
      </c>
      <c r="D4599" t="s">
        <v>24</v>
      </c>
      <c r="E4599" t="s">
        <v>32</v>
      </c>
      <c r="F4599" t="s">
        <v>75</v>
      </c>
      <c r="G4599" t="s">
        <v>18</v>
      </c>
      <c r="H4599" t="s">
        <v>54</v>
      </c>
      <c r="I4599" t="s">
        <v>20</v>
      </c>
      <c r="J4599" t="s">
        <v>46</v>
      </c>
      <c r="K4599">
        <v>24</v>
      </c>
      <c r="L4599">
        <v>4.9400000000000004</v>
      </c>
      <c r="M4599">
        <v>4.9000000000000004</v>
      </c>
      <c r="N4599" t="s">
        <v>22</v>
      </c>
      <c r="O4599" t="str">
        <f t="shared" si="71"/>
        <v>No</v>
      </c>
    </row>
    <row r="4600" spans="1:15" x14ac:dyDescent="0.25">
      <c r="A4600" t="s">
        <v>4661</v>
      </c>
      <c r="B4600" s="1">
        <v>45830</v>
      </c>
      <c r="C4600" s="2">
        <v>45831.513333333336</v>
      </c>
      <c r="D4600" t="s">
        <v>15</v>
      </c>
      <c r="E4600" t="s">
        <v>25</v>
      </c>
      <c r="F4600" t="s">
        <v>53</v>
      </c>
      <c r="G4600" t="s">
        <v>51</v>
      </c>
      <c r="H4600" t="s">
        <v>19</v>
      </c>
      <c r="I4600" t="s">
        <v>45</v>
      </c>
      <c r="J4600" t="s">
        <v>21</v>
      </c>
      <c r="K4600">
        <v>48</v>
      </c>
      <c r="L4600">
        <v>36.32</v>
      </c>
      <c r="M4600">
        <v>4.0999999999999996</v>
      </c>
      <c r="N4600" t="s">
        <v>22</v>
      </c>
      <c r="O4600" t="str">
        <f t="shared" si="71"/>
        <v>No</v>
      </c>
    </row>
    <row r="4601" spans="1:15" x14ac:dyDescent="0.25">
      <c r="A4601" t="s">
        <v>4662</v>
      </c>
      <c r="B4601" s="1">
        <v>45790</v>
      </c>
      <c r="C4601" s="2">
        <v>45790.280416666668</v>
      </c>
      <c r="D4601" t="s">
        <v>15</v>
      </c>
      <c r="E4601" t="s">
        <v>16</v>
      </c>
      <c r="F4601" t="s">
        <v>58</v>
      </c>
      <c r="G4601" t="s">
        <v>41</v>
      </c>
      <c r="H4601" t="s">
        <v>65</v>
      </c>
      <c r="I4601" t="s">
        <v>36</v>
      </c>
      <c r="J4601" t="s">
        <v>85</v>
      </c>
      <c r="K4601">
        <v>48</v>
      </c>
      <c r="L4601">
        <v>6.73</v>
      </c>
      <c r="M4601">
        <v>5</v>
      </c>
      <c r="N4601" t="s">
        <v>22</v>
      </c>
      <c r="O4601" t="str">
        <f t="shared" si="71"/>
        <v>No</v>
      </c>
    </row>
    <row r="4602" spans="1:15" x14ac:dyDescent="0.25">
      <c r="A4602" t="s">
        <v>4663</v>
      </c>
      <c r="B4602" s="1">
        <v>45836</v>
      </c>
      <c r="C4602" s="2">
        <v>45836.352083333331</v>
      </c>
      <c r="D4602" t="s">
        <v>24</v>
      </c>
      <c r="E4602" t="s">
        <v>32</v>
      </c>
      <c r="F4602" t="s">
        <v>33</v>
      </c>
      <c r="G4602" t="s">
        <v>41</v>
      </c>
      <c r="H4602" t="s">
        <v>65</v>
      </c>
      <c r="I4602" t="s">
        <v>36</v>
      </c>
      <c r="J4602" t="s">
        <v>21</v>
      </c>
      <c r="K4602">
        <v>24</v>
      </c>
      <c r="L4602">
        <v>8.4499999999999993</v>
      </c>
      <c r="M4602">
        <v>4.5999999999999996</v>
      </c>
      <c r="N4602" t="s">
        <v>22</v>
      </c>
      <c r="O4602" t="str">
        <f t="shared" si="71"/>
        <v>No</v>
      </c>
    </row>
    <row r="4603" spans="1:15" x14ac:dyDescent="0.25">
      <c r="A4603" t="s">
        <v>4664</v>
      </c>
      <c r="B4603" s="1">
        <v>45829</v>
      </c>
      <c r="C4603" s="2">
        <v>45829.942083333335</v>
      </c>
      <c r="D4603" t="s">
        <v>15</v>
      </c>
      <c r="E4603" t="s">
        <v>39</v>
      </c>
      <c r="F4603" t="s">
        <v>40</v>
      </c>
      <c r="G4603" t="s">
        <v>18</v>
      </c>
      <c r="H4603" t="s">
        <v>54</v>
      </c>
      <c r="I4603" t="s">
        <v>36</v>
      </c>
      <c r="J4603" t="s">
        <v>21</v>
      </c>
      <c r="K4603">
        <v>48</v>
      </c>
      <c r="L4603">
        <v>22.61</v>
      </c>
      <c r="M4603">
        <v>4.7</v>
      </c>
      <c r="N4603" t="s">
        <v>22</v>
      </c>
      <c r="O4603" t="str">
        <f t="shared" si="71"/>
        <v>No</v>
      </c>
    </row>
    <row r="4604" spans="1:15" x14ac:dyDescent="0.25">
      <c r="A4604" t="s">
        <v>4665</v>
      </c>
      <c r="B4604" s="1">
        <v>45714</v>
      </c>
      <c r="C4604" s="2">
        <v>45714.441250000003</v>
      </c>
      <c r="D4604" t="s">
        <v>24</v>
      </c>
      <c r="E4604" t="s">
        <v>39</v>
      </c>
      <c r="F4604" t="s">
        <v>40</v>
      </c>
      <c r="G4604" t="s">
        <v>34</v>
      </c>
      <c r="H4604" t="s">
        <v>27</v>
      </c>
      <c r="I4604" t="s">
        <v>45</v>
      </c>
      <c r="J4604" t="s">
        <v>21</v>
      </c>
      <c r="K4604">
        <v>24</v>
      </c>
      <c r="L4604">
        <v>10.59</v>
      </c>
      <c r="M4604">
        <v>4.3</v>
      </c>
      <c r="N4604" t="s">
        <v>22</v>
      </c>
      <c r="O4604" t="str">
        <f t="shared" si="71"/>
        <v>No</v>
      </c>
    </row>
    <row r="4605" spans="1:15" x14ac:dyDescent="0.25">
      <c r="A4605" t="s">
        <v>4666</v>
      </c>
      <c r="B4605" s="1">
        <v>45794</v>
      </c>
      <c r="C4605" s="2">
        <v>45795.117083333331</v>
      </c>
      <c r="D4605" t="s">
        <v>15</v>
      </c>
      <c r="E4605" t="s">
        <v>16</v>
      </c>
      <c r="F4605" t="s">
        <v>58</v>
      </c>
      <c r="G4605" t="s">
        <v>18</v>
      </c>
      <c r="H4605" t="s">
        <v>54</v>
      </c>
      <c r="I4605" t="s">
        <v>45</v>
      </c>
      <c r="J4605" t="s">
        <v>21</v>
      </c>
      <c r="K4605">
        <v>48</v>
      </c>
      <c r="L4605">
        <v>26.81</v>
      </c>
      <c r="M4605">
        <v>4.0999999999999996</v>
      </c>
      <c r="N4605" t="s">
        <v>22</v>
      </c>
      <c r="O4605" t="str">
        <f t="shared" si="71"/>
        <v>No</v>
      </c>
    </row>
    <row r="4606" spans="1:15" x14ac:dyDescent="0.25">
      <c r="A4606" t="s">
        <v>4667</v>
      </c>
      <c r="B4606" s="1">
        <v>45696</v>
      </c>
      <c r="C4606" s="2">
        <v>45696.912499999999</v>
      </c>
      <c r="D4606" t="s">
        <v>15</v>
      </c>
      <c r="E4606" t="s">
        <v>16</v>
      </c>
      <c r="F4606" t="s">
        <v>58</v>
      </c>
      <c r="G4606" t="s">
        <v>41</v>
      </c>
      <c r="H4606" t="s">
        <v>65</v>
      </c>
      <c r="I4606" t="s">
        <v>36</v>
      </c>
      <c r="J4606" t="s">
        <v>21</v>
      </c>
      <c r="K4606">
        <v>48</v>
      </c>
      <c r="L4606">
        <v>21.9</v>
      </c>
      <c r="M4606">
        <v>3.3</v>
      </c>
      <c r="N4606" t="s">
        <v>22</v>
      </c>
      <c r="O4606" t="str">
        <f t="shared" si="71"/>
        <v>No</v>
      </c>
    </row>
    <row r="4607" spans="1:15" x14ac:dyDescent="0.25">
      <c r="A4607" t="s">
        <v>4668</v>
      </c>
      <c r="B4607" s="1">
        <v>45743</v>
      </c>
      <c r="C4607" s="2">
        <v>45743.814166666663</v>
      </c>
      <c r="D4607" t="s">
        <v>15</v>
      </c>
      <c r="E4607" t="s">
        <v>16</v>
      </c>
      <c r="F4607" t="s">
        <v>60</v>
      </c>
      <c r="G4607" t="s">
        <v>56</v>
      </c>
      <c r="H4607" t="s">
        <v>54</v>
      </c>
      <c r="I4607" t="s">
        <v>36</v>
      </c>
      <c r="J4607" t="s">
        <v>29</v>
      </c>
      <c r="K4607">
        <v>48</v>
      </c>
      <c r="L4607">
        <v>19.54</v>
      </c>
      <c r="M4607">
        <v>5</v>
      </c>
      <c r="N4607" t="s">
        <v>22</v>
      </c>
      <c r="O4607" t="str">
        <f t="shared" si="71"/>
        <v>No</v>
      </c>
    </row>
    <row r="4608" spans="1:15" x14ac:dyDescent="0.25">
      <c r="A4608" t="s">
        <v>4669</v>
      </c>
      <c r="B4608" s="1">
        <v>45701</v>
      </c>
      <c r="C4608" s="2">
        <v>45701.405833333331</v>
      </c>
      <c r="D4608" t="s">
        <v>24</v>
      </c>
      <c r="E4608" t="s">
        <v>16</v>
      </c>
      <c r="F4608" t="s">
        <v>43</v>
      </c>
      <c r="G4608" t="s">
        <v>51</v>
      </c>
      <c r="H4608" t="s">
        <v>19</v>
      </c>
      <c r="I4608" t="s">
        <v>20</v>
      </c>
      <c r="J4608" t="s">
        <v>29</v>
      </c>
      <c r="K4608">
        <v>24</v>
      </c>
      <c r="L4608">
        <v>9.74</v>
      </c>
      <c r="M4608">
        <v>3.8</v>
      </c>
      <c r="N4608" t="s">
        <v>22</v>
      </c>
      <c r="O4608" t="str">
        <f t="shared" si="71"/>
        <v>No</v>
      </c>
    </row>
    <row r="4609" spans="1:15" x14ac:dyDescent="0.25">
      <c r="A4609" t="s">
        <v>4670</v>
      </c>
      <c r="B4609" s="1">
        <v>45745</v>
      </c>
      <c r="C4609" s="2">
        <v>45745.294166666667</v>
      </c>
      <c r="D4609" t="s">
        <v>24</v>
      </c>
      <c r="E4609" t="s">
        <v>32</v>
      </c>
      <c r="F4609" t="s">
        <v>80</v>
      </c>
      <c r="G4609" t="s">
        <v>56</v>
      </c>
      <c r="H4609" t="s">
        <v>35</v>
      </c>
      <c r="I4609" t="s">
        <v>36</v>
      </c>
      <c r="J4609" t="s">
        <v>21</v>
      </c>
      <c r="K4609">
        <v>24</v>
      </c>
      <c r="L4609">
        <v>7.06</v>
      </c>
      <c r="M4609">
        <v>5</v>
      </c>
      <c r="N4609" t="s">
        <v>22</v>
      </c>
      <c r="O4609" t="str">
        <f t="shared" si="71"/>
        <v>No</v>
      </c>
    </row>
    <row r="4610" spans="1:15" x14ac:dyDescent="0.25">
      <c r="A4610" t="s">
        <v>4671</v>
      </c>
      <c r="B4610" s="1">
        <v>45815</v>
      </c>
      <c r="C4610" s="2">
        <v>45815.768333333333</v>
      </c>
      <c r="D4610" t="s">
        <v>24</v>
      </c>
      <c r="E4610" t="s">
        <v>39</v>
      </c>
      <c r="F4610" t="s">
        <v>119</v>
      </c>
      <c r="G4610" t="s">
        <v>41</v>
      </c>
      <c r="H4610" t="s">
        <v>35</v>
      </c>
      <c r="I4610" t="s">
        <v>36</v>
      </c>
      <c r="J4610" t="s">
        <v>21</v>
      </c>
      <c r="K4610">
        <v>24</v>
      </c>
      <c r="L4610">
        <v>18.440000000000001</v>
      </c>
      <c r="M4610">
        <v>3.9</v>
      </c>
      <c r="N4610" t="s">
        <v>61</v>
      </c>
      <c r="O4610" t="str">
        <f t="shared" si="71"/>
        <v>No</v>
      </c>
    </row>
    <row r="4611" spans="1:15" x14ac:dyDescent="0.25">
      <c r="A4611" t="s">
        <v>4672</v>
      </c>
      <c r="B4611" s="1">
        <v>45736</v>
      </c>
      <c r="C4611" s="2">
        <v>45736.820416666669</v>
      </c>
      <c r="D4611" t="s">
        <v>15</v>
      </c>
      <c r="E4611" t="s">
        <v>32</v>
      </c>
      <c r="F4611" t="s">
        <v>64</v>
      </c>
      <c r="G4611" t="s">
        <v>34</v>
      </c>
      <c r="H4611" t="s">
        <v>44</v>
      </c>
      <c r="I4611" t="s">
        <v>36</v>
      </c>
      <c r="J4611" t="s">
        <v>21</v>
      </c>
      <c r="K4611">
        <v>48</v>
      </c>
      <c r="L4611">
        <v>19.690000000000001</v>
      </c>
      <c r="M4611">
        <v>5</v>
      </c>
      <c r="N4611" t="s">
        <v>22</v>
      </c>
      <c r="O4611" t="str">
        <f t="shared" ref="O4611:O4674" si="72">IF(L4611&gt;K4611,"Yes","No")</f>
        <v>No</v>
      </c>
    </row>
    <row r="4612" spans="1:15" x14ac:dyDescent="0.25">
      <c r="A4612" t="s">
        <v>4673</v>
      </c>
      <c r="B4612" s="1">
        <v>45674</v>
      </c>
      <c r="C4612" s="2">
        <v>45674.044166666667</v>
      </c>
      <c r="D4612" t="s">
        <v>31</v>
      </c>
      <c r="E4612" t="s">
        <v>39</v>
      </c>
      <c r="F4612" t="s">
        <v>87</v>
      </c>
      <c r="G4612" t="s">
        <v>34</v>
      </c>
      <c r="H4612" t="s">
        <v>19</v>
      </c>
      <c r="I4612" t="s">
        <v>36</v>
      </c>
      <c r="J4612" t="s">
        <v>21</v>
      </c>
      <c r="K4612">
        <v>4</v>
      </c>
      <c r="L4612">
        <v>1.06</v>
      </c>
      <c r="M4612">
        <v>5</v>
      </c>
      <c r="N4612" t="s">
        <v>22</v>
      </c>
      <c r="O4612" t="str">
        <f t="shared" si="72"/>
        <v>No</v>
      </c>
    </row>
    <row r="4613" spans="1:15" x14ac:dyDescent="0.25">
      <c r="A4613" t="s">
        <v>4674</v>
      </c>
      <c r="B4613" s="1">
        <v>45716</v>
      </c>
      <c r="C4613" s="2">
        <v>45716.732916666668</v>
      </c>
      <c r="D4613" t="s">
        <v>24</v>
      </c>
      <c r="E4613" t="s">
        <v>39</v>
      </c>
      <c r="F4613" t="s">
        <v>119</v>
      </c>
      <c r="G4613" t="s">
        <v>34</v>
      </c>
      <c r="H4613" t="s">
        <v>35</v>
      </c>
      <c r="I4613" t="s">
        <v>20</v>
      </c>
      <c r="J4613" t="s">
        <v>21</v>
      </c>
      <c r="K4613">
        <v>24</v>
      </c>
      <c r="L4613">
        <v>17.59</v>
      </c>
      <c r="M4613">
        <v>4.7</v>
      </c>
      <c r="N4613" t="s">
        <v>22</v>
      </c>
      <c r="O4613" t="str">
        <f t="shared" si="72"/>
        <v>No</v>
      </c>
    </row>
    <row r="4614" spans="1:15" x14ac:dyDescent="0.25">
      <c r="A4614" t="s">
        <v>4675</v>
      </c>
      <c r="B4614" s="1">
        <v>45800</v>
      </c>
      <c r="C4614" s="2">
        <v>45800.654583333337</v>
      </c>
      <c r="D4614" t="s">
        <v>24</v>
      </c>
      <c r="E4614" t="s">
        <v>25</v>
      </c>
      <c r="F4614" t="s">
        <v>53</v>
      </c>
      <c r="G4614" t="s">
        <v>34</v>
      </c>
      <c r="H4614" t="s">
        <v>54</v>
      </c>
      <c r="I4614" t="s">
        <v>36</v>
      </c>
      <c r="J4614" t="s">
        <v>21</v>
      </c>
      <c r="K4614">
        <v>24</v>
      </c>
      <c r="L4614">
        <v>15.71</v>
      </c>
      <c r="M4614">
        <v>4.2</v>
      </c>
      <c r="N4614" t="s">
        <v>22</v>
      </c>
      <c r="O4614" t="str">
        <f t="shared" si="72"/>
        <v>No</v>
      </c>
    </row>
    <row r="4615" spans="1:15" x14ac:dyDescent="0.25">
      <c r="A4615" t="s">
        <v>4676</v>
      </c>
      <c r="B4615" s="1">
        <v>45752</v>
      </c>
      <c r="C4615" s="2">
        <v>45752.197500000002</v>
      </c>
      <c r="D4615" t="s">
        <v>24</v>
      </c>
      <c r="E4615" t="s">
        <v>32</v>
      </c>
      <c r="F4615" t="s">
        <v>64</v>
      </c>
      <c r="G4615" t="s">
        <v>18</v>
      </c>
      <c r="H4615" t="s">
        <v>44</v>
      </c>
      <c r="I4615" t="s">
        <v>36</v>
      </c>
      <c r="J4615" t="s">
        <v>21</v>
      </c>
      <c r="K4615">
        <v>24</v>
      </c>
      <c r="L4615">
        <v>4.74</v>
      </c>
      <c r="M4615">
        <v>4</v>
      </c>
      <c r="N4615" t="s">
        <v>22</v>
      </c>
      <c r="O4615" t="str">
        <f t="shared" si="72"/>
        <v>No</v>
      </c>
    </row>
    <row r="4616" spans="1:15" x14ac:dyDescent="0.25">
      <c r="A4616" t="s">
        <v>4677</v>
      </c>
      <c r="B4616" s="1">
        <v>45759</v>
      </c>
      <c r="C4616" s="2">
        <v>45759.429583333331</v>
      </c>
      <c r="D4616" t="s">
        <v>38</v>
      </c>
      <c r="E4616" t="s">
        <v>16</v>
      </c>
      <c r="F4616" t="s">
        <v>60</v>
      </c>
      <c r="G4616" t="s">
        <v>56</v>
      </c>
      <c r="H4616" t="s">
        <v>54</v>
      </c>
      <c r="I4616" t="s">
        <v>28</v>
      </c>
      <c r="J4616" t="s">
        <v>21</v>
      </c>
      <c r="K4616">
        <v>8</v>
      </c>
      <c r="L4616">
        <v>10.31</v>
      </c>
      <c r="M4616">
        <v>3.3</v>
      </c>
      <c r="N4616" t="s">
        <v>22</v>
      </c>
      <c r="O4616" t="str">
        <f t="shared" si="72"/>
        <v>Yes</v>
      </c>
    </row>
    <row r="4617" spans="1:15" x14ac:dyDescent="0.25">
      <c r="A4617" t="s">
        <v>4678</v>
      </c>
      <c r="B4617" s="1">
        <v>45736</v>
      </c>
      <c r="C4617" s="2">
        <v>45736.118333333332</v>
      </c>
      <c r="D4617" t="s">
        <v>38</v>
      </c>
      <c r="E4617" t="s">
        <v>39</v>
      </c>
      <c r="F4617" t="s">
        <v>40</v>
      </c>
      <c r="G4617" t="s">
        <v>34</v>
      </c>
      <c r="H4617" t="s">
        <v>35</v>
      </c>
      <c r="I4617" t="s">
        <v>45</v>
      </c>
      <c r="J4617" t="s">
        <v>46</v>
      </c>
      <c r="K4617">
        <v>8</v>
      </c>
      <c r="L4617">
        <v>2.84</v>
      </c>
      <c r="M4617">
        <v>4.4000000000000004</v>
      </c>
      <c r="N4617" t="s">
        <v>22</v>
      </c>
      <c r="O4617" t="str">
        <f t="shared" si="72"/>
        <v>No</v>
      </c>
    </row>
    <row r="4618" spans="1:15" x14ac:dyDescent="0.25">
      <c r="A4618" t="s">
        <v>4679</v>
      </c>
      <c r="B4618" s="1">
        <v>45710</v>
      </c>
      <c r="C4618" s="2">
        <v>45710.368333333332</v>
      </c>
      <c r="D4618" t="s">
        <v>24</v>
      </c>
      <c r="E4618" t="s">
        <v>39</v>
      </c>
      <c r="F4618" t="s">
        <v>78</v>
      </c>
      <c r="G4618" t="s">
        <v>56</v>
      </c>
      <c r="H4618" t="s">
        <v>54</v>
      </c>
      <c r="I4618" t="s">
        <v>45</v>
      </c>
      <c r="J4618" t="s">
        <v>21</v>
      </c>
      <c r="K4618">
        <v>24</v>
      </c>
      <c r="L4618">
        <v>8.84</v>
      </c>
      <c r="M4618">
        <v>4.5</v>
      </c>
      <c r="N4618" t="s">
        <v>22</v>
      </c>
      <c r="O4618" t="str">
        <f t="shared" si="72"/>
        <v>No</v>
      </c>
    </row>
    <row r="4619" spans="1:15" x14ac:dyDescent="0.25">
      <c r="A4619" t="s">
        <v>4680</v>
      </c>
      <c r="B4619" s="1">
        <v>45766</v>
      </c>
      <c r="C4619" s="2">
        <v>45766.483749999999</v>
      </c>
      <c r="D4619" t="s">
        <v>24</v>
      </c>
      <c r="E4619" t="s">
        <v>16</v>
      </c>
      <c r="F4619" t="s">
        <v>58</v>
      </c>
      <c r="G4619" t="s">
        <v>34</v>
      </c>
      <c r="H4619" t="s">
        <v>44</v>
      </c>
      <c r="I4619" t="s">
        <v>45</v>
      </c>
      <c r="J4619" t="s">
        <v>21</v>
      </c>
      <c r="K4619">
        <v>24</v>
      </c>
      <c r="L4619">
        <v>11.61</v>
      </c>
      <c r="M4619">
        <v>3.6</v>
      </c>
      <c r="N4619" t="s">
        <v>61</v>
      </c>
      <c r="O4619" t="str">
        <f t="shared" si="72"/>
        <v>No</v>
      </c>
    </row>
    <row r="4620" spans="1:15" x14ac:dyDescent="0.25">
      <c r="A4620" t="s">
        <v>4681</v>
      </c>
      <c r="B4620" s="1">
        <v>45772</v>
      </c>
      <c r="C4620" s="2">
        <v>45773.277916666666</v>
      </c>
      <c r="D4620" t="s">
        <v>15</v>
      </c>
      <c r="E4620" t="s">
        <v>32</v>
      </c>
      <c r="F4620" t="s">
        <v>33</v>
      </c>
      <c r="G4620" t="s">
        <v>51</v>
      </c>
      <c r="H4620" t="s">
        <v>44</v>
      </c>
      <c r="I4620" t="s">
        <v>36</v>
      </c>
      <c r="J4620" t="s">
        <v>85</v>
      </c>
      <c r="K4620">
        <v>48</v>
      </c>
      <c r="L4620">
        <v>30.67</v>
      </c>
      <c r="M4620">
        <v>4</v>
      </c>
      <c r="N4620" t="s">
        <v>61</v>
      </c>
      <c r="O4620" t="str">
        <f t="shared" si="72"/>
        <v>No</v>
      </c>
    </row>
    <row r="4621" spans="1:15" x14ac:dyDescent="0.25">
      <c r="A4621" t="s">
        <v>4682</v>
      </c>
      <c r="B4621" s="1">
        <v>45820</v>
      </c>
      <c r="C4621" s="2">
        <v>45820.501666666663</v>
      </c>
      <c r="D4621" t="s">
        <v>24</v>
      </c>
      <c r="E4621" t="s">
        <v>39</v>
      </c>
      <c r="F4621" t="s">
        <v>40</v>
      </c>
      <c r="G4621" t="s">
        <v>34</v>
      </c>
      <c r="H4621" t="s">
        <v>27</v>
      </c>
      <c r="I4621" t="s">
        <v>36</v>
      </c>
      <c r="J4621" t="s">
        <v>46</v>
      </c>
      <c r="K4621">
        <v>24</v>
      </c>
      <c r="L4621">
        <v>12.04</v>
      </c>
      <c r="M4621">
        <v>2.5</v>
      </c>
      <c r="N4621" t="s">
        <v>22</v>
      </c>
      <c r="O4621" t="str">
        <f t="shared" si="72"/>
        <v>No</v>
      </c>
    </row>
    <row r="4622" spans="1:15" x14ac:dyDescent="0.25">
      <c r="A4622" t="s">
        <v>4683</v>
      </c>
      <c r="B4622" s="1">
        <v>45769</v>
      </c>
      <c r="C4622" s="2">
        <v>45769.245416666665</v>
      </c>
      <c r="D4622" t="s">
        <v>24</v>
      </c>
      <c r="E4622" t="s">
        <v>39</v>
      </c>
      <c r="F4622" t="s">
        <v>78</v>
      </c>
      <c r="G4622" t="s">
        <v>41</v>
      </c>
      <c r="H4622" t="s">
        <v>35</v>
      </c>
      <c r="I4622" t="s">
        <v>36</v>
      </c>
      <c r="J4622" t="s">
        <v>21</v>
      </c>
      <c r="K4622">
        <v>24</v>
      </c>
      <c r="L4622">
        <v>5.89</v>
      </c>
      <c r="M4622">
        <v>4.5</v>
      </c>
      <c r="N4622" t="s">
        <v>22</v>
      </c>
      <c r="O4622" t="str">
        <f t="shared" si="72"/>
        <v>No</v>
      </c>
    </row>
    <row r="4623" spans="1:15" x14ac:dyDescent="0.25">
      <c r="A4623" t="s">
        <v>4684</v>
      </c>
      <c r="B4623" s="1">
        <v>45838</v>
      </c>
      <c r="C4623" s="2">
        <v>45838.176666666666</v>
      </c>
      <c r="D4623" t="s">
        <v>15</v>
      </c>
      <c r="E4623" t="s">
        <v>16</v>
      </c>
      <c r="F4623" t="s">
        <v>17</v>
      </c>
      <c r="G4623" t="s">
        <v>51</v>
      </c>
      <c r="H4623" t="s">
        <v>27</v>
      </c>
      <c r="I4623" t="s">
        <v>36</v>
      </c>
      <c r="J4623" t="s">
        <v>21</v>
      </c>
      <c r="K4623">
        <v>48</v>
      </c>
      <c r="L4623">
        <v>4.24</v>
      </c>
      <c r="M4623">
        <v>5</v>
      </c>
      <c r="N4623" t="s">
        <v>22</v>
      </c>
      <c r="O4623" t="str">
        <f t="shared" si="72"/>
        <v>No</v>
      </c>
    </row>
    <row r="4624" spans="1:15" x14ac:dyDescent="0.25">
      <c r="A4624" t="s">
        <v>4685</v>
      </c>
      <c r="B4624" s="1">
        <v>45807</v>
      </c>
      <c r="C4624" s="2">
        <v>45807.212083333332</v>
      </c>
      <c r="D4624" t="s">
        <v>31</v>
      </c>
      <c r="E4624" t="s">
        <v>32</v>
      </c>
      <c r="F4624" t="s">
        <v>33</v>
      </c>
      <c r="G4624" t="s">
        <v>34</v>
      </c>
      <c r="H4624" t="s">
        <v>35</v>
      </c>
      <c r="I4624" t="s">
        <v>36</v>
      </c>
      <c r="J4624" t="s">
        <v>46</v>
      </c>
      <c r="K4624">
        <v>4</v>
      </c>
      <c r="L4624">
        <v>5.09</v>
      </c>
      <c r="M4624">
        <v>3</v>
      </c>
      <c r="N4624" t="s">
        <v>22</v>
      </c>
      <c r="O4624" t="str">
        <f t="shared" si="72"/>
        <v>Yes</v>
      </c>
    </row>
    <row r="4625" spans="1:15" x14ac:dyDescent="0.25">
      <c r="A4625" t="s">
        <v>4686</v>
      </c>
      <c r="B4625" s="1">
        <v>45672</v>
      </c>
      <c r="C4625" s="2">
        <v>45672.072500000002</v>
      </c>
      <c r="D4625" t="s">
        <v>38</v>
      </c>
      <c r="E4625" t="s">
        <v>45</v>
      </c>
      <c r="F4625" t="s">
        <v>50</v>
      </c>
      <c r="G4625" t="s">
        <v>41</v>
      </c>
      <c r="H4625" t="s">
        <v>19</v>
      </c>
      <c r="I4625" t="s">
        <v>45</v>
      </c>
      <c r="J4625" t="s">
        <v>46</v>
      </c>
      <c r="K4625">
        <v>8</v>
      </c>
      <c r="L4625">
        <v>1.74</v>
      </c>
      <c r="M4625">
        <v>4.5999999999999996</v>
      </c>
      <c r="N4625" t="s">
        <v>22</v>
      </c>
      <c r="O4625" t="str">
        <f t="shared" si="72"/>
        <v>No</v>
      </c>
    </row>
    <row r="4626" spans="1:15" x14ac:dyDescent="0.25">
      <c r="A4626" t="s">
        <v>4687</v>
      </c>
      <c r="B4626" s="1">
        <v>45728</v>
      </c>
      <c r="C4626" s="2">
        <v>45729.38958333333</v>
      </c>
      <c r="D4626" t="s">
        <v>15</v>
      </c>
      <c r="E4626" t="s">
        <v>45</v>
      </c>
      <c r="F4626" t="s">
        <v>104</v>
      </c>
      <c r="G4626" t="s">
        <v>51</v>
      </c>
      <c r="H4626" t="s">
        <v>19</v>
      </c>
      <c r="I4626" t="s">
        <v>36</v>
      </c>
      <c r="J4626" t="s">
        <v>21</v>
      </c>
      <c r="K4626">
        <v>48</v>
      </c>
      <c r="L4626">
        <v>33.35</v>
      </c>
      <c r="M4626">
        <v>4.3</v>
      </c>
      <c r="N4626" t="s">
        <v>22</v>
      </c>
      <c r="O4626" t="str">
        <f t="shared" si="72"/>
        <v>No</v>
      </c>
    </row>
    <row r="4627" spans="1:15" x14ac:dyDescent="0.25">
      <c r="A4627" t="s">
        <v>4688</v>
      </c>
      <c r="B4627" s="1">
        <v>45727</v>
      </c>
      <c r="C4627" s="2">
        <v>45727.082916666666</v>
      </c>
      <c r="D4627" t="s">
        <v>31</v>
      </c>
      <c r="E4627" t="s">
        <v>25</v>
      </c>
      <c r="F4627" t="s">
        <v>53</v>
      </c>
      <c r="G4627" t="s">
        <v>41</v>
      </c>
      <c r="H4627" t="s">
        <v>54</v>
      </c>
      <c r="I4627" t="s">
        <v>36</v>
      </c>
      <c r="J4627" t="s">
        <v>46</v>
      </c>
      <c r="K4627">
        <v>4</v>
      </c>
      <c r="L4627">
        <v>1.99</v>
      </c>
      <c r="M4627">
        <v>5</v>
      </c>
      <c r="N4627" t="s">
        <v>22</v>
      </c>
      <c r="O4627" t="str">
        <f t="shared" si="72"/>
        <v>No</v>
      </c>
    </row>
    <row r="4628" spans="1:15" x14ac:dyDescent="0.25">
      <c r="A4628" t="s">
        <v>4689</v>
      </c>
      <c r="B4628" s="1">
        <v>45658</v>
      </c>
      <c r="C4628" s="2">
        <v>45658.065821759257</v>
      </c>
      <c r="D4628" t="s">
        <v>24</v>
      </c>
      <c r="E4628" t="s">
        <v>39</v>
      </c>
      <c r="F4628" t="s">
        <v>119</v>
      </c>
      <c r="G4628" t="s">
        <v>34</v>
      </c>
      <c r="H4628" t="s">
        <v>35</v>
      </c>
      <c r="I4628" t="s">
        <v>45</v>
      </c>
      <c r="J4628" t="s">
        <v>21</v>
      </c>
      <c r="K4628">
        <v>24</v>
      </c>
      <c r="L4628">
        <v>1.58</v>
      </c>
      <c r="M4628">
        <v>5</v>
      </c>
      <c r="N4628" t="s">
        <v>22</v>
      </c>
      <c r="O4628" t="str">
        <f t="shared" si="72"/>
        <v>No</v>
      </c>
    </row>
    <row r="4629" spans="1:15" x14ac:dyDescent="0.25">
      <c r="A4629" t="s">
        <v>4690</v>
      </c>
      <c r="B4629" s="1">
        <v>45690</v>
      </c>
      <c r="C4629" s="2">
        <v>45690.289166666669</v>
      </c>
      <c r="D4629" t="s">
        <v>24</v>
      </c>
      <c r="E4629" t="s">
        <v>16</v>
      </c>
      <c r="F4629" t="s">
        <v>43</v>
      </c>
      <c r="G4629" t="s">
        <v>34</v>
      </c>
      <c r="H4629" t="s">
        <v>44</v>
      </c>
      <c r="I4629" t="s">
        <v>36</v>
      </c>
      <c r="J4629" t="s">
        <v>21</v>
      </c>
      <c r="K4629">
        <v>24</v>
      </c>
      <c r="L4629">
        <v>6.94</v>
      </c>
      <c r="M4629">
        <v>4.9000000000000004</v>
      </c>
      <c r="N4629" t="s">
        <v>22</v>
      </c>
      <c r="O4629" t="str">
        <f t="shared" si="72"/>
        <v>No</v>
      </c>
    </row>
    <row r="4630" spans="1:15" x14ac:dyDescent="0.25">
      <c r="A4630" t="s">
        <v>4691</v>
      </c>
      <c r="B4630" s="1">
        <v>45795</v>
      </c>
      <c r="C4630" s="2">
        <v>45795.494166666664</v>
      </c>
      <c r="D4630" t="s">
        <v>38</v>
      </c>
      <c r="E4630" t="s">
        <v>32</v>
      </c>
      <c r="F4630" t="s">
        <v>80</v>
      </c>
      <c r="G4630" t="s">
        <v>41</v>
      </c>
      <c r="H4630" t="s">
        <v>44</v>
      </c>
      <c r="I4630" t="s">
        <v>45</v>
      </c>
      <c r="J4630" t="s">
        <v>29</v>
      </c>
      <c r="K4630">
        <v>8</v>
      </c>
      <c r="L4630">
        <v>11.86</v>
      </c>
      <c r="M4630">
        <v>3.2</v>
      </c>
      <c r="N4630" t="s">
        <v>22</v>
      </c>
      <c r="O4630" t="str">
        <f t="shared" si="72"/>
        <v>Yes</v>
      </c>
    </row>
    <row r="4631" spans="1:15" x14ac:dyDescent="0.25">
      <c r="A4631" t="s">
        <v>4692</v>
      </c>
      <c r="B4631" s="1">
        <v>45721</v>
      </c>
      <c r="C4631" s="2">
        <v>45721.096250000002</v>
      </c>
      <c r="D4631" t="s">
        <v>24</v>
      </c>
      <c r="E4631" t="s">
        <v>25</v>
      </c>
      <c r="F4631" t="s">
        <v>48</v>
      </c>
      <c r="G4631" t="s">
        <v>56</v>
      </c>
      <c r="H4631" t="s">
        <v>35</v>
      </c>
      <c r="I4631" t="s">
        <v>36</v>
      </c>
      <c r="J4631" t="s">
        <v>21</v>
      </c>
      <c r="K4631">
        <v>24</v>
      </c>
      <c r="L4631">
        <v>2.31</v>
      </c>
      <c r="M4631">
        <v>5</v>
      </c>
      <c r="N4631" t="s">
        <v>22</v>
      </c>
      <c r="O4631" t="str">
        <f t="shared" si="72"/>
        <v>No</v>
      </c>
    </row>
    <row r="4632" spans="1:15" x14ac:dyDescent="0.25">
      <c r="A4632" t="s">
        <v>4693</v>
      </c>
      <c r="B4632" s="1">
        <v>45684</v>
      </c>
      <c r="C4632" s="2">
        <v>45684.380416666667</v>
      </c>
      <c r="D4632" t="s">
        <v>24</v>
      </c>
      <c r="E4632" t="s">
        <v>16</v>
      </c>
      <c r="F4632" t="s">
        <v>60</v>
      </c>
      <c r="G4632" t="s">
        <v>18</v>
      </c>
      <c r="H4632" t="s">
        <v>35</v>
      </c>
      <c r="I4632" t="s">
        <v>20</v>
      </c>
      <c r="J4632" t="s">
        <v>21</v>
      </c>
      <c r="K4632">
        <v>24</v>
      </c>
      <c r="L4632">
        <v>9.1300000000000008</v>
      </c>
      <c r="M4632">
        <v>5</v>
      </c>
      <c r="N4632" t="s">
        <v>22</v>
      </c>
      <c r="O4632" t="str">
        <f t="shared" si="72"/>
        <v>No</v>
      </c>
    </row>
    <row r="4633" spans="1:15" x14ac:dyDescent="0.25">
      <c r="A4633" t="s">
        <v>4694</v>
      </c>
      <c r="B4633" s="1">
        <v>45710</v>
      </c>
      <c r="C4633" s="2">
        <v>45710.638749999998</v>
      </c>
      <c r="D4633" t="s">
        <v>24</v>
      </c>
      <c r="E4633" t="s">
        <v>32</v>
      </c>
      <c r="F4633" t="s">
        <v>33</v>
      </c>
      <c r="G4633" t="s">
        <v>34</v>
      </c>
      <c r="H4633" t="s">
        <v>65</v>
      </c>
      <c r="I4633" t="s">
        <v>20</v>
      </c>
      <c r="J4633" t="s">
        <v>29</v>
      </c>
      <c r="K4633">
        <v>24</v>
      </c>
      <c r="L4633">
        <v>15.33</v>
      </c>
      <c r="M4633">
        <v>4.5999999999999996</v>
      </c>
      <c r="N4633" t="s">
        <v>22</v>
      </c>
      <c r="O4633" t="str">
        <f t="shared" si="72"/>
        <v>No</v>
      </c>
    </row>
    <row r="4634" spans="1:15" x14ac:dyDescent="0.25">
      <c r="A4634" t="s">
        <v>4695</v>
      </c>
      <c r="B4634" s="1">
        <v>45707</v>
      </c>
      <c r="C4634" s="2">
        <v>45707.437083333331</v>
      </c>
      <c r="D4634" t="s">
        <v>15</v>
      </c>
      <c r="E4634" t="s">
        <v>39</v>
      </c>
      <c r="F4634" t="s">
        <v>119</v>
      </c>
      <c r="G4634" t="s">
        <v>18</v>
      </c>
      <c r="H4634" t="s">
        <v>54</v>
      </c>
      <c r="I4634" t="s">
        <v>45</v>
      </c>
      <c r="J4634" t="s">
        <v>21</v>
      </c>
      <c r="K4634">
        <v>48</v>
      </c>
      <c r="L4634">
        <v>10.49</v>
      </c>
      <c r="M4634">
        <v>4.9000000000000004</v>
      </c>
      <c r="N4634" t="s">
        <v>22</v>
      </c>
      <c r="O4634" t="str">
        <f t="shared" si="72"/>
        <v>No</v>
      </c>
    </row>
    <row r="4635" spans="1:15" x14ac:dyDescent="0.25">
      <c r="A4635" t="s">
        <v>4696</v>
      </c>
      <c r="B4635" s="1">
        <v>45689</v>
      </c>
      <c r="C4635" s="2">
        <v>45689.541250000002</v>
      </c>
      <c r="D4635" t="s">
        <v>24</v>
      </c>
      <c r="E4635" t="s">
        <v>25</v>
      </c>
      <c r="F4635" t="s">
        <v>53</v>
      </c>
      <c r="G4635" t="s">
        <v>51</v>
      </c>
      <c r="H4635" t="s">
        <v>65</v>
      </c>
      <c r="I4635" t="s">
        <v>20</v>
      </c>
      <c r="J4635" t="s">
        <v>85</v>
      </c>
      <c r="K4635">
        <v>24</v>
      </c>
      <c r="L4635">
        <v>12.99</v>
      </c>
      <c r="M4635">
        <v>5</v>
      </c>
      <c r="N4635" t="s">
        <v>22</v>
      </c>
      <c r="O4635" t="str">
        <f t="shared" si="72"/>
        <v>No</v>
      </c>
    </row>
    <row r="4636" spans="1:15" x14ac:dyDescent="0.25">
      <c r="A4636" t="s">
        <v>4697</v>
      </c>
      <c r="B4636" s="1">
        <v>45676</v>
      </c>
      <c r="C4636" s="2">
        <v>45676.741249999999</v>
      </c>
      <c r="D4636" t="s">
        <v>24</v>
      </c>
      <c r="E4636" t="s">
        <v>25</v>
      </c>
      <c r="F4636" t="s">
        <v>48</v>
      </c>
      <c r="G4636" t="s">
        <v>41</v>
      </c>
      <c r="H4636" t="s">
        <v>44</v>
      </c>
      <c r="I4636" t="s">
        <v>36</v>
      </c>
      <c r="J4636" t="s">
        <v>29</v>
      </c>
      <c r="K4636">
        <v>24</v>
      </c>
      <c r="L4636">
        <v>17.79</v>
      </c>
      <c r="M4636">
        <v>4.0999999999999996</v>
      </c>
      <c r="N4636" t="s">
        <v>22</v>
      </c>
      <c r="O4636" t="str">
        <f t="shared" si="72"/>
        <v>No</v>
      </c>
    </row>
    <row r="4637" spans="1:15" x14ac:dyDescent="0.25">
      <c r="A4637" t="s">
        <v>4698</v>
      </c>
      <c r="B4637" s="1">
        <v>45796</v>
      </c>
      <c r="C4637" s="2">
        <v>45796.673750000002</v>
      </c>
      <c r="D4637" t="s">
        <v>24</v>
      </c>
      <c r="E4637" t="s">
        <v>16</v>
      </c>
      <c r="F4637" t="s">
        <v>17</v>
      </c>
      <c r="G4637" t="s">
        <v>18</v>
      </c>
      <c r="H4637" t="s">
        <v>27</v>
      </c>
      <c r="I4637" t="s">
        <v>36</v>
      </c>
      <c r="J4637" t="s">
        <v>46</v>
      </c>
      <c r="K4637">
        <v>24</v>
      </c>
      <c r="L4637">
        <v>16.170000000000002</v>
      </c>
      <c r="M4637">
        <v>3.6</v>
      </c>
      <c r="N4637" t="s">
        <v>22</v>
      </c>
      <c r="O4637" t="str">
        <f t="shared" si="72"/>
        <v>No</v>
      </c>
    </row>
    <row r="4638" spans="1:15" x14ac:dyDescent="0.25">
      <c r="A4638" t="s">
        <v>4699</v>
      </c>
      <c r="B4638" s="1">
        <v>45807</v>
      </c>
      <c r="C4638" s="2">
        <v>45808.08</v>
      </c>
      <c r="D4638" t="s">
        <v>15</v>
      </c>
      <c r="E4638" t="s">
        <v>16</v>
      </c>
      <c r="F4638" t="s">
        <v>60</v>
      </c>
      <c r="G4638" t="s">
        <v>34</v>
      </c>
      <c r="H4638" t="s">
        <v>27</v>
      </c>
      <c r="I4638" t="s">
        <v>36</v>
      </c>
      <c r="J4638" t="s">
        <v>46</v>
      </c>
      <c r="K4638">
        <v>48</v>
      </c>
      <c r="L4638">
        <v>25.92</v>
      </c>
      <c r="M4638">
        <v>4.7</v>
      </c>
      <c r="N4638" t="s">
        <v>22</v>
      </c>
      <c r="O4638" t="str">
        <f t="shared" si="72"/>
        <v>No</v>
      </c>
    </row>
    <row r="4639" spans="1:15" x14ac:dyDescent="0.25">
      <c r="A4639" t="s">
        <v>4700</v>
      </c>
      <c r="B4639" s="1">
        <v>45747</v>
      </c>
      <c r="C4639" s="2">
        <v>45747.862916666665</v>
      </c>
      <c r="D4639" t="s">
        <v>15</v>
      </c>
      <c r="E4639" t="s">
        <v>25</v>
      </c>
      <c r="F4639" t="s">
        <v>26</v>
      </c>
      <c r="G4639" t="s">
        <v>18</v>
      </c>
      <c r="H4639" t="s">
        <v>35</v>
      </c>
      <c r="I4639" t="s">
        <v>36</v>
      </c>
      <c r="J4639" t="s">
        <v>29</v>
      </c>
      <c r="K4639">
        <v>48</v>
      </c>
      <c r="L4639">
        <v>20.71</v>
      </c>
      <c r="M4639">
        <v>4.5999999999999996</v>
      </c>
      <c r="N4639" t="s">
        <v>22</v>
      </c>
      <c r="O4639" t="str">
        <f t="shared" si="72"/>
        <v>No</v>
      </c>
    </row>
    <row r="4640" spans="1:15" x14ac:dyDescent="0.25">
      <c r="A4640" t="s">
        <v>4701</v>
      </c>
      <c r="B4640" s="1">
        <v>45769</v>
      </c>
      <c r="C4640" s="2">
        <v>45769.226666666669</v>
      </c>
      <c r="D4640" t="s">
        <v>24</v>
      </c>
      <c r="E4640" t="s">
        <v>25</v>
      </c>
      <c r="F4640" t="s">
        <v>48</v>
      </c>
      <c r="G4640" t="s">
        <v>51</v>
      </c>
      <c r="H4640" t="s">
        <v>19</v>
      </c>
      <c r="I4640" t="s">
        <v>20</v>
      </c>
      <c r="J4640" t="s">
        <v>21</v>
      </c>
      <c r="K4640">
        <v>24</v>
      </c>
      <c r="L4640">
        <v>5.44</v>
      </c>
      <c r="M4640">
        <v>4.5999999999999996</v>
      </c>
      <c r="N4640" t="s">
        <v>22</v>
      </c>
      <c r="O4640" t="str">
        <f t="shared" si="72"/>
        <v>No</v>
      </c>
    </row>
    <row r="4641" spans="1:15" x14ac:dyDescent="0.25">
      <c r="A4641" t="s">
        <v>4702</v>
      </c>
      <c r="B4641" s="1">
        <v>45824</v>
      </c>
      <c r="C4641" s="2">
        <v>45825.449583333335</v>
      </c>
      <c r="D4641" t="s">
        <v>15</v>
      </c>
      <c r="E4641" t="s">
        <v>25</v>
      </c>
      <c r="F4641" t="s">
        <v>70</v>
      </c>
      <c r="G4641" t="s">
        <v>34</v>
      </c>
      <c r="H4641" t="s">
        <v>19</v>
      </c>
      <c r="I4641" t="s">
        <v>36</v>
      </c>
      <c r="J4641" t="s">
        <v>46</v>
      </c>
      <c r="K4641">
        <v>48</v>
      </c>
      <c r="L4641">
        <v>34.79</v>
      </c>
      <c r="M4641">
        <v>4.5</v>
      </c>
      <c r="N4641" t="s">
        <v>22</v>
      </c>
      <c r="O4641" t="str">
        <f t="shared" si="72"/>
        <v>No</v>
      </c>
    </row>
    <row r="4642" spans="1:15" x14ac:dyDescent="0.25">
      <c r="A4642" t="s">
        <v>4703</v>
      </c>
      <c r="B4642" s="1">
        <v>45810</v>
      </c>
      <c r="C4642" s="2">
        <v>45810.490833333337</v>
      </c>
      <c r="D4642" t="s">
        <v>24</v>
      </c>
      <c r="E4642" t="s">
        <v>39</v>
      </c>
      <c r="F4642" t="s">
        <v>78</v>
      </c>
      <c r="G4642" t="s">
        <v>34</v>
      </c>
      <c r="H4642" t="s">
        <v>44</v>
      </c>
      <c r="I4642" t="s">
        <v>36</v>
      </c>
      <c r="J4642" t="s">
        <v>21</v>
      </c>
      <c r="K4642">
        <v>24</v>
      </c>
      <c r="L4642">
        <v>11.78</v>
      </c>
      <c r="M4642">
        <v>3.2</v>
      </c>
      <c r="N4642" t="s">
        <v>22</v>
      </c>
      <c r="O4642" t="str">
        <f t="shared" si="72"/>
        <v>No</v>
      </c>
    </row>
    <row r="4643" spans="1:15" x14ac:dyDescent="0.25">
      <c r="A4643" t="s">
        <v>4704</v>
      </c>
      <c r="B4643" s="1">
        <v>45663</v>
      </c>
      <c r="C4643" s="2">
        <v>45664.6175</v>
      </c>
      <c r="D4643" t="s">
        <v>24</v>
      </c>
      <c r="E4643" t="s">
        <v>16</v>
      </c>
      <c r="F4643" t="s">
        <v>43</v>
      </c>
      <c r="G4643" t="s">
        <v>41</v>
      </c>
      <c r="H4643" t="s">
        <v>19</v>
      </c>
      <c r="I4643" t="s">
        <v>20</v>
      </c>
      <c r="J4643" t="s">
        <v>29</v>
      </c>
      <c r="K4643">
        <v>24</v>
      </c>
      <c r="L4643">
        <v>38.82</v>
      </c>
      <c r="M4643">
        <v>2.7</v>
      </c>
      <c r="N4643" t="s">
        <v>22</v>
      </c>
      <c r="O4643" t="str">
        <f t="shared" si="72"/>
        <v>Yes</v>
      </c>
    </row>
    <row r="4644" spans="1:15" x14ac:dyDescent="0.25">
      <c r="A4644" t="s">
        <v>4705</v>
      </c>
      <c r="B4644" s="1">
        <v>45830</v>
      </c>
      <c r="C4644" s="2">
        <v>45830.287083333336</v>
      </c>
      <c r="D4644" t="s">
        <v>38</v>
      </c>
      <c r="E4644" t="s">
        <v>25</v>
      </c>
      <c r="F4644" t="s">
        <v>70</v>
      </c>
      <c r="G4644" t="s">
        <v>18</v>
      </c>
      <c r="H4644" t="s">
        <v>54</v>
      </c>
      <c r="I4644" t="s">
        <v>36</v>
      </c>
      <c r="J4644" t="s">
        <v>21</v>
      </c>
      <c r="K4644">
        <v>8</v>
      </c>
      <c r="L4644">
        <v>6.89</v>
      </c>
      <c r="M4644">
        <v>3.4</v>
      </c>
      <c r="N4644" t="s">
        <v>22</v>
      </c>
      <c r="O4644" t="str">
        <f t="shared" si="72"/>
        <v>No</v>
      </c>
    </row>
    <row r="4645" spans="1:15" x14ac:dyDescent="0.25">
      <c r="A4645" t="s">
        <v>4706</v>
      </c>
      <c r="B4645" s="1">
        <v>45670</v>
      </c>
      <c r="C4645" s="2">
        <v>45670.660416666666</v>
      </c>
      <c r="D4645" t="s">
        <v>15</v>
      </c>
      <c r="E4645" t="s">
        <v>32</v>
      </c>
      <c r="F4645" t="s">
        <v>64</v>
      </c>
      <c r="G4645" t="s">
        <v>51</v>
      </c>
      <c r="H4645" t="s">
        <v>65</v>
      </c>
      <c r="I4645" t="s">
        <v>45</v>
      </c>
      <c r="J4645" t="s">
        <v>46</v>
      </c>
      <c r="K4645">
        <v>48</v>
      </c>
      <c r="L4645">
        <v>15.85</v>
      </c>
      <c r="M4645">
        <v>4.0999999999999996</v>
      </c>
      <c r="N4645" t="s">
        <v>22</v>
      </c>
      <c r="O4645" t="str">
        <f t="shared" si="72"/>
        <v>No</v>
      </c>
    </row>
    <row r="4646" spans="1:15" x14ac:dyDescent="0.25">
      <c r="A4646" t="s">
        <v>4707</v>
      </c>
      <c r="B4646" s="1">
        <v>45662</v>
      </c>
      <c r="C4646" s="2">
        <v>45662.195833333331</v>
      </c>
      <c r="D4646" t="s">
        <v>38</v>
      </c>
      <c r="E4646" t="s">
        <v>39</v>
      </c>
      <c r="F4646" t="s">
        <v>119</v>
      </c>
      <c r="G4646" t="s">
        <v>34</v>
      </c>
      <c r="H4646" t="s">
        <v>54</v>
      </c>
      <c r="I4646" t="s">
        <v>36</v>
      </c>
      <c r="J4646" t="s">
        <v>21</v>
      </c>
      <c r="K4646">
        <v>8</v>
      </c>
      <c r="L4646">
        <v>4.7</v>
      </c>
      <c r="M4646">
        <v>4.2</v>
      </c>
      <c r="N4646" t="s">
        <v>22</v>
      </c>
      <c r="O4646" t="str">
        <f t="shared" si="72"/>
        <v>No</v>
      </c>
    </row>
    <row r="4647" spans="1:15" x14ac:dyDescent="0.25">
      <c r="A4647" t="s">
        <v>4708</v>
      </c>
      <c r="B4647" s="1">
        <v>45730</v>
      </c>
      <c r="C4647" s="2">
        <v>45730.056250000001</v>
      </c>
      <c r="D4647" t="s">
        <v>38</v>
      </c>
      <c r="E4647" t="s">
        <v>32</v>
      </c>
      <c r="F4647" t="s">
        <v>33</v>
      </c>
      <c r="G4647" t="s">
        <v>34</v>
      </c>
      <c r="H4647" t="s">
        <v>44</v>
      </c>
      <c r="I4647" t="s">
        <v>28</v>
      </c>
      <c r="J4647" t="s">
        <v>21</v>
      </c>
      <c r="K4647">
        <v>8</v>
      </c>
      <c r="L4647">
        <v>1.35</v>
      </c>
      <c r="M4647">
        <v>4.2</v>
      </c>
      <c r="N4647" t="s">
        <v>22</v>
      </c>
      <c r="O4647" t="str">
        <f t="shared" si="72"/>
        <v>No</v>
      </c>
    </row>
    <row r="4648" spans="1:15" x14ac:dyDescent="0.25">
      <c r="A4648" t="s">
        <v>4709</v>
      </c>
      <c r="B4648" s="1">
        <v>45792</v>
      </c>
      <c r="C4648" s="2">
        <v>45792.083749999998</v>
      </c>
      <c r="D4648" t="s">
        <v>24</v>
      </c>
      <c r="E4648" t="s">
        <v>39</v>
      </c>
      <c r="F4648" t="s">
        <v>87</v>
      </c>
      <c r="G4648" t="s">
        <v>51</v>
      </c>
      <c r="H4648" t="s">
        <v>27</v>
      </c>
      <c r="I4648" t="s">
        <v>36</v>
      </c>
      <c r="J4648" t="s">
        <v>46</v>
      </c>
      <c r="K4648">
        <v>24</v>
      </c>
      <c r="L4648">
        <v>2.0099999999999998</v>
      </c>
      <c r="M4648">
        <v>5</v>
      </c>
      <c r="N4648" t="s">
        <v>22</v>
      </c>
      <c r="O4648" t="str">
        <f t="shared" si="72"/>
        <v>No</v>
      </c>
    </row>
    <row r="4649" spans="1:15" x14ac:dyDescent="0.25">
      <c r="A4649" t="s">
        <v>4710</v>
      </c>
      <c r="B4649" s="1">
        <v>45672</v>
      </c>
      <c r="C4649" s="2">
        <v>45672.107071759259</v>
      </c>
      <c r="D4649" t="s">
        <v>38</v>
      </c>
      <c r="E4649" t="s">
        <v>25</v>
      </c>
      <c r="F4649" t="s">
        <v>53</v>
      </c>
      <c r="G4649" t="s">
        <v>41</v>
      </c>
      <c r="H4649" t="s">
        <v>35</v>
      </c>
      <c r="I4649" t="s">
        <v>20</v>
      </c>
      <c r="J4649" t="s">
        <v>21</v>
      </c>
      <c r="K4649">
        <v>8</v>
      </c>
      <c r="L4649">
        <v>2.57</v>
      </c>
      <c r="M4649">
        <v>4.9000000000000004</v>
      </c>
      <c r="N4649" t="s">
        <v>61</v>
      </c>
      <c r="O4649" t="str">
        <f t="shared" si="72"/>
        <v>No</v>
      </c>
    </row>
    <row r="4650" spans="1:15" x14ac:dyDescent="0.25">
      <c r="A4650" t="s">
        <v>4711</v>
      </c>
      <c r="B4650" s="1">
        <v>45711</v>
      </c>
      <c r="C4650" s="2">
        <v>45711.04583333333</v>
      </c>
      <c r="D4650" t="s">
        <v>38</v>
      </c>
      <c r="E4650" t="s">
        <v>32</v>
      </c>
      <c r="F4650" t="s">
        <v>80</v>
      </c>
      <c r="G4650" t="s">
        <v>51</v>
      </c>
      <c r="H4650" t="s">
        <v>19</v>
      </c>
      <c r="I4650" t="s">
        <v>45</v>
      </c>
      <c r="J4650" t="s">
        <v>21</v>
      </c>
      <c r="K4650">
        <v>8</v>
      </c>
      <c r="L4650">
        <v>1.1000000000000001</v>
      </c>
      <c r="M4650">
        <v>4.3</v>
      </c>
      <c r="N4650" t="s">
        <v>22</v>
      </c>
      <c r="O4650" t="str">
        <f t="shared" si="72"/>
        <v>No</v>
      </c>
    </row>
    <row r="4651" spans="1:15" x14ac:dyDescent="0.25">
      <c r="A4651" t="s">
        <v>4712</v>
      </c>
      <c r="B4651" s="1">
        <v>45705</v>
      </c>
      <c r="C4651" s="2">
        <v>45705.798333333332</v>
      </c>
      <c r="D4651" t="s">
        <v>24</v>
      </c>
      <c r="E4651" t="s">
        <v>16</v>
      </c>
      <c r="F4651" t="s">
        <v>60</v>
      </c>
      <c r="G4651" t="s">
        <v>18</v>
      </c>
      <c r="H4651" t="s">
        <v>65</v>
      </c>
      <c r="I4651" t="s">
        <v>28</v>
      </c>
      <c r="J4651" t="s">
        <v>46</v>
      </c>
      <c r="K4651">
        <v>24</v>
      </c>
      <c r="L4651">
        <v>19.16</v>
      </c>
      <c r="M4651">
        <v>2.9</v>
      </c>
      <c r="N4651" t="s">
        <v>22</v>
      </c>
      <c r="O4651" t="str">
        <f t="shared" si="72"/>
        <v>No</v>
      </c>
    </row>
    <row r="4652" spans="1:15" x14ac:dyDescent="0.25">
      <c r="A4652" t="s">
        <v>4713</v>
      </c>
      <c r="B4652" s="1">
        <v>45729</v>
      </c>
      <c r="C4652" s="2">
        <v>45730.52</v>
      </c>
      <c r="D4652" t="s">
        <v>24</v>
      </c>
      <c r="E4652" t="s">
        <v>32</v>
      </c>
      <c r="F4652" t="s">
        <v>33</v>
      </c>
      <c r="G4652" t="s">
        <v>34</v>
      </c>
      <c r="H4652" t="s">
        <v>65</v>
      </c>
      <c r="I4652" t="s">
        <v>28</v>
      </c>
      <c r="J4652" t="s">
        <v>21</v>
      </c>
      <c r="K4652">
        <v>24</v>
      </c>
      <c r="L4652">
        <v>36.479999999999997</v>
      </c>
      <c r="M4652">
        <v>2.8</v>
      </c>
      <c r="N4652" t="s">
        <v>22</v>
      </c>
      <c r="O4652" t="str">
        <f t="shared" si="72"/>
        <v>Yes</v>
      </c>
    </row>
    <row r="4653" spans="1:15" x14ac:dyDescent="0.25">
      <c r="A4653" t="s">
        <v>4714</v>
      </c>
      <c r="B4653" s="1">
        <v>45836</v>
      </c>
      <c r="C4653" s="2">
        <v>45836.35083333333</v>
      </c>
      <c r="D4653" t="s">
        <v>38</v>
      </c>
      <c r="E4653" t="s">
        <v>45</v>
      </c>
      <c r="F4653" t="s">
        <v>100</v>
      </c>
      <c r="G4653" t="s">
        <v>56</v>
      </c>
      <c r="H4653" t="s">
        <v>54</v>
      </c>
      <c r="I4653" t="s">
        <v>20</v>
      </c>
      <c r="J4653" t="s">
        <v>21</v>
      </c>
      <c r="K4653">
        <v>8</v>
      </c>
      <c r="L4653">
        <v>8.42</v>
      </c>
      <c r="M4653">
        <v>3.5</v>
      </c>
      <c r="N4653" t="s">
        <v>61</v>
      </c>
      <c r="O4653" t="str">
        <f t="shared" si="72"/>
        <v>Yes</v>
      </c>
    </row>
    <row r="4654" spans="1:15" x14ac:dyDescent="0.25">
      <c r="A4654" t="s">
        <v>4715</v>
      </c>
      <c r="B4654" s="1">
        <v>45717</v>
      </c>
      <c r="C4654" s="2">
        <v>45717.061249999999</v>
      </c>
      <c r="D4654" t="s">
        <v>31</v>
      </c>
      <c r="E4654" t="s">
        <v>25</v>
      </c>
      <c r="F4654" t="s">
        <v>53</v>
      </c>
      <c r="G4654" t="s">
        <v>41</v>
      </c>
      <c r="H4654" t="s">
        <v>44</v>
      </c>
      <c r="I4654" t="s">
        <v>36</v>
      </c>
      <c r="J4654" t="s">
        <v>21</v>
      </c>
      <c r="K4654">
        <v>4</v>
      </c>
      <c r="L4654">
        <v>1.47</v>
      </c>
      <c r="M4654">
        <v>4.0999999999999996</v>
      </c>
      <c r="N4654" t="s">
        <v>22</v>
      </c>
      <c r="O4654" t="str">
        <f t="shared" si="72"/>
        <v>No</v>
      </c>
    </row>
    <row r="4655" spans="1:15" x14ac:dyDescent="0.25">
      <c r="A4655" t="s">
        <v>4716</v>
      </c>
      <c r="B4655" s="1">
        <v>45695</v>
      </c>
      <c r="C4655" s="2">
        <v>45695.823333333334</v>
      </c>
      <c r="D4655" t="s">
        <v>24</v>
      </c>
      <c r="E4655" t="s">
        <v>16</v>
      </c>
      <c r="F4655" t="s">
        <v>17</v>
      </c>
      <c r="G4655" t="s">
        <v>34</v>
      </c>
      <c r="H4655" t="s">
        <v>19</v>
      </c>
      <c r="I4655" t="s">
        <v>45</v>
      </c>
      <c r="J4655" t="s">
        <v>29</v>
      </c>
      <c r="K4655">
        <v>24</v>
      </c>
      <c r="L4655">
        <v>19.760000000000002</v>
      </c>
      <c r="M4655">
        <v>5</v>
      </c>
      <c r="N4655" t="s">
        <v>22</v>
      </c>
      <c r="O4655" t="str">
        <f t="shared" si="72"/>
        <v>No</v>
      </c>
    </row>
    <row r="4656" spans="1:15" x14ac:dyDescent="0.25">
      <c r="A4656" t="s">
        <v>4717</v>
      </c>
      <c r="B4656" s="1">
        <v>45680</v>
      </c>
      <c r="C4656" s="2">
        <v>45680.102500000001</v>
      </c>
      <c r="D4656" t="s">
        <v>38</v>
      </c>
      <c r="E4656" t="s">
        <v>16</v>
      </c>
      <c r="F4656" t="s">
        <v>43</v>
      </c>
      <c r="G4656" t="s">
        <v>34</v>
      </c>
      <c r="H4656" t="s">
        <v>65</v>
      </c>
      <c r="I4656" t="s">
        <v>20</v>
      </c>
      <c r="J4656" t="s">
        <v>21</v>
      </c>
      <c r="K4656">
        <v>8</v>
      </c>
      <c r="L4656">
        <v>2.46</v>
      </c>
      <c r="M4656">
        <v>3.6</v>
      </c>
      <c r="N4656" t="s">
        <v>22</v>
      </c>
      <c r="O4656" t="str">
        <f t="shared" si="72"/>
        <v>No</v>
      </c>
    </row>
    <row r="4657" spans="1:15" x14ac:dyDescent="0.25">
      <c r="A4657" t="s">
        <v>4718</v>
      </c>
      <c r="B4657" s="1">
        <v>45693</v>
      </c>
      <c r="C4657" s="2">
        <v>45693.3825</v>
      </c>
      <c r="D4657" t="s">
        <v>38</v>
      </c>
      <c r="E4657" t="s">
        <v>32</v>
      </c>
      <c r="F4657" t="s">
        <v>80</v>
      </c>
      <c r="G4657" t="s">
        <v>56</v>
      </c>
      <c r="H4657" t="s">
        <v>65</v>
      </c>
      <c r="I4657" t="s">
        <v>45</v>
      </c>
      <c r="J4657" t="s">
        <v>21</v>
      </c>
      <c r="K4657">
        <v>8</v>
      </c>
      <c r="L4657">
        <v>9.18</v>
      </c>
      <c r="M4657">
        <v>3.7</v>
      </c>
      <c r="N4657" t="s">
        <v>22</v>
      </c>
      <c r="O4657" t="str">
        <f t="shared" si="72"/>
        <v>Yes</v>
      </c>
    </row>
    <row r="4658" spans="1:15" x14ac:dyDescent="0.25">
      <c r="A4658" t="s">
        <v>4719</v>
      </c>
      <c r="B4658" s="1">
        <v>45682</v>
      </c>
      <c r="C4658" s="2">
        <v>45682.247083333335</v>
      </c>
      <c r="D4658" t="s">
        <v>38</v>
      </c>
      <c r="E4658" t="s">
        <v>25</v>
      </c>
      <c r="F4658" t="s">
        <v>70</v>
      </c>
      <c r="G4658" t="s">
        <v>34</v>
      </c>
      <c r="H4658" t="s">
        <v>65</v>
      </c>
      <c r="I4658" t="s">
        <v>20</v>
      </c>
      <c r="J4658" t="s">
        <v>85</v>
      </c>
      <c r="K4658">
        <v>8</v>
      </c>
      <c r="L4658">
        <v>5.93</v>
      </c>
      <c r="M4658">
        <v>4</v>
      </c>
      <c r="N4658" t="s">
        <v>22</v>
      </c>
      <c r="O4658" t="str">
        <f t="shared" si="72"/>
        <v>No</v>
      </c>
    </row>
    <row r="4659" spans="1:15" x14ac:dyDescent="0.25">
      <c r="A4659" t="s">
        <v>4720</v>
      </c>
      <c r="B4659" s="1">
        <v>45761</v>
      </c>
      <c r="C4659" s="2">
        <v>45761.080833333333</v>
      </c>
      <c r="D4659" t="s">
        <v>31</v>
      </c>
      <c r="E4659" t="s">
        <v>16</v>
      </c>
      <c r="F4659" t="s">
        <v>60</v>
      </c>
      <c r="G4659" t="s">
        <v>41</v>
      </c>
      <c r="H4659" t="s">
        <v>27</v>
      </c>
      <c r="I4659" t="s">
        <v>20</v>
      </c>
      <c r="J4659" t="s">
        <v>46</v>
      </c>
      <c r="K4659">
        <v>4</v>
      </c>
      <c r="L4659">
        <v>1.94</v>
      </c>
      <c r="M4659">
        <v>4.3</v>
      </c>
      <c r="N4659" t="s">
        <v>22</v>
      </c>
      <c r="O4659" t="str">
        <f t="shared" si="72"/>
        <v>No</v>
      </c>
    </row>
    <row r="4660" spans="1:15" x14ac:dyDescent="0.25">
      <c r="A4660" t="s">
        <v>4721</v>
      </c>
      <c r="B4660" s="1">
        <v>45734</v>
      </c>
      <c r="C4660" s="2">
        <v>45734.921249999999</v>
      </c>
      <c r="D4660" t="s">
        <v>15</v>
      </c>
      <c r="E4660" t="s">
        <v>32</v>
      </c>
      <c r="F4660" t="s">
        <v>80</v>
      </c>
      <c r="G4660" t="s">
        <v>18</v>
      </c>
      <c r="H4660" t="s">
        <v>35</v>
      </c>
      <c r="I4660" t="s">
        <v>36</v>
      </c>
      <c r="J4660" t="s">
        <v>46</v>
      </c>
      <c r="K4660">
        <v>48</v>
      </c>
      <c r="L4660">
        <v>22.11</v>
      </c>
      <c r="M4660">
        <v>3.2</v>
      </c>
      <c r="N4660" t="s">
        <v>22</v>
      </c>
      <c r="O4660" t="str">
        <f t="shared" si="72"/>
        <v>No</v>
      </c>
    </row>
    <row r="4661" spans="1:15" x14ac:dyDescent="0.25">
      <c r="A4661" t="s">
        <v>4722</v>
      </c>
      <c r="B4661" s="1">
        <v>45748</v>
      </c>
      <c r="C4661" s="2">
        <v>45749.480833333335</v>
      </c>
      <c r="D4661" t="s">
        <v>15</v>
      </c>
      <c r="E4661" t="s">
        <v>45</v>
      </c>
      <c r="F4661" t="s">
        <v>100</v>
      </c>
      <c r="G4661" t="s">
        <v>41</v>
      </c>
      <c r="H4661" t="s">
        <v>19</v>
      </c>
      <c r="I4661" t="s">
        <v>36</v>
      </c>
      <c r="J4661" t="s">
        <v>21</v>
      </c>
      <c r="K4661">
        <v>48</v>
      </c>
      <c r="L4661">
        <v>35.54</v>
      </c>
      <c r="M4661">
        <v>4.0999999999999996</v>
      </c>
      <c r="N4661" t="s">
        <v>22</v>
      </c>
      <c r="O4661" t="str">
        <f t="shared" si="72"/>
        <v>No</v>
      </c>
    </row>
    <row r="4662" spans="1:15" x14ac:dyDescent="0.25">
      <c r="A4662" t="s">
        <v>4723</v>
      </c>
      <c r="B4662" s="1">
        <v>45808</v>
      </c>
      <c r="C4662" s="2">
        <v>45808.464166666665</v>
      </c>
      <c r="D4662" t="s">
        <v>24</v>
      </c>
      <c r="E4662" t="s">
        <v>32</v>
      </c>
      <c r="F4662" t="s">
        <v>75</v>
      </c>
      <c r="G4662" t="s">
        <v>18</v>
      </c>
      <c r="H4662" t="s">
        <v>35</v>
      </c>
      <c r="I4662" t="s">
        <v>36</v>
      </c>
      <c r="J4662" t="s">
        <v>46</v>
      </c>
      <c r="K4662">
        <v>24</v>
      </c>
      <c r="L4662">
        <v>11.14</v>
      </c>
      <c r="M4662">
        <v>4.5999999999999996</v>
      </c>
      <c r="N4662" t="s">
        <v>22</v>
      </c>
      <c r="O4662" t="str">
        <f t="shared" si="72"/>
        <v>No</v>
      </c>
    </row>
    <row r="4663" spans="1:15" x14ac:dyDescent="0.25">
      <c r="A4663" t="s">
        <v>4724</v>
      </c>
      <c r="B4663" s="1">
        <v>45763</v>
      </c>
      <c r="C4663" s="2">
        <v>45764.012499999997</v>
      </c>
      <c r="D4663" t="s">
        <v>24</v>
      </c>
      <c r="E4663" t="s">
        <v>16</v>
      </c>
      <c r="F4663" t="s">
        <v>60</v>
      </c>
      <c r="G4663" t="s">
        <v>18</v>
      </c>
      <c r="H4663" t="s">
        <v>54</v>
      </c>
      <c r="I4663" t="s">
        <v>45</v>
      </c>
      <c r="J4663" t="s">
        <v>85</v>
      </c>
      <c r="K4663">
        <v>24</v>
      </c>
      <c r="L4663">
        <v>24.3</v>
      </c>
      <c r="M4663">
        <v>4.2</v>
      </c>
      <c r="N4663" t="s">
        <v>22</v>
      </c>
      <c r="O4663" t="str">
        <f t="shared" si="72"/>
        <v>Yes</v>
      </c>
    </row>
    <row r="4664" spans="1:15" x14ac:dyDescent="0.25">
      <c r="A4664" t="s">
        <v>4725</v>
      </c>
      <c r="B4664" s="1">
        <v>45686</v>
      </c>
      <c r="C4664" s="2">
        <v>45686.36041666667</v>
      </c>
      <c r="D4664" t="s">
        <v>24</v>
      </c>
      <c r="E4664" t="s">
        <v>32</v>
      </c>
      <c r="F4664" t="s">
        <v>75</v>
      </c>
      <c r="G4664" t="s">
        <v>56</v>
      </c>
      <c r="H4664" t="s">
        <v>65</v>
      </c>
      <c r="I4664" t="s">
        <v>45</v>
      </c>
      <c r="J4664" t="s">
        <v>29</v>
      </c>
      <c r="K4664">
        <v>24</v>
      </c>
      <c r="L4664">
        <v>8.65</v>
      </c>
      <c r="M4664">
        <v>4.9000000000000004</v>
      </c>
      <c r="N4664" t="s">
        <v>22</v>
      </c>
      <c r="O4664" t="str">
        <f t="shared" si="72"/>
        <v>No</v>
      </c>
    </row>
    <row r="4665" spans="1:15" x14ac:dyDescent="0.25">
      <c r="A4665" t="s">
        <v>4726</v>
      </c>
      <c r="B4665" s="1">
        <v>45726</v>
      </c>
      <c r="C4665" s="2">
        <v>45726.14166666667</v>
      </c>
      <c r="D4665" t="s">
        <v>38</v>
      </c>
      <c r="E4665" t="s">
        <v>16</v>
      </c>
      <c r="F4665" t="s">
        <v>58</v>
      </c>
      <c r="G4665" t="s">
        <v>18</v>
      </c>
      <c r="H4665" t="s">
        <v>19</v>
      </c>
      <c r="I4665" t="s">
        <v>36</v>
      </c>
      <c r="J4665" t="s">
        <v>46</v>
      </c>
      <c r="K4665">
        <v>8</v>
      </c>
      <c r="L4665">
        <v>3.4</v>
      </c>
      <c r="M4665">
        <v>5</v>
      </c>
      <c r="N4665" t="s">
        <v>22</v>
      </c>
      <c r="O4665" t="str">
        <f t="shared" si="72"/>
        <v>No</v>
      </c>
    </row>
    <row r="4666" spans="1:15" x14ac:dyDescent="0.25">
      <c r="A4666" t="s">
        <v>4727</v>
      </c>
      <c r="B4666" s="1">
        <v>45714</v>
      </c>
      <c r="C4666" s="2">
        <v>45714.148333333331</v>
      </c>
      <c r="D4666" t="s">
        <v>38</v>
      </c>
      <c r="E4666" t="s">
        <v>32</v>
      </c>
      <c r="F4666" t="s">
        <v>64</v>
      </c>
      <c r="G4666" t="s">
        <v>56</v>
      </c>
      <c r="H4666" t="s">
        <v>19</v>
      </c>
      <c r="I4666" t="s">
        <v>20</v>
      </c>
      <c r="J4666" t="s">
        <v>46</v>
      </c>
      <c r="K4666">
        <v>8</v>
      </c>
      <c r="L4666">
        <v>3.56</v>
      </c>
      <c r="M4666">
        <v>3.1</v>
      </c>
      <c r="N4666" t="s">
        <v>22</v>
      </c>
      <c r="O4666" t="str">
        <f t="shared" si="72"/>
        <v>No</v>
      </c>
    </row>
    <row r="4667" spans="1:15" x14ac:dyDescent="0.25">
      <c r="A4667" t="s">
        <v>4728</v>
      </c>
      <c r="B4667" s="1">
        <v>45807</v>
      </c>
      <c r="C4667" s="2">
        <v>45807.400416666664</v>
      </c>
      <c r="D4667" t="s">
        <v>24</v>
      </c>
      <c r="E4667" t="s">
        <v>32</v>
      </c>
      <c r="F4667" t="s">
        <v>75</v>
      </c>
      <c r="G4667" t="s">
        <v>18</v>
      </c>
      <c r="H4667" t="s">
        <v>54</v>
      </c>
      <c r="I4667" t="s">
        <v>36</v>
      </c>
      <c r="J4667" t="s">
        <v>46</v>
      </c>
      <c r="K4667">
        <v>24</v>
      </c>
      <c r="L4667">
        <v>9.61</v>
      </c>
      <c r="M4667">
        <v>4.4000000000000004</v>
      </c>
      <c r="N4667" t="s">
        <v>22</v>
      </c>
      <c r="O4667" t="str">
        <f t="shared" si="72"/>
        <v>No</v>
      </c>
    </row>
    <row r="4668" spans="1:15" x14ac:dyDescent="0.25">
      <c r="A4668" t="s">
        <v>4729</v>
      </c>
      <c r="B4668" s="1">
        <v>45713</v>
      </c>
      <c r="C4668" s="2">
        <v>45713.240416666667</v>
      </c>
      <c r="D4668" t="s">
        <v>24</v>
      </c>
      <c r="E4668" t="s">
        <v>39</v>
      </c>
      <c r="F4668" t="s">
        <v>40</v>
      </c>
      <c r="G4668" t="s">
        <v>18</v>
      </c>
      <c r="H4668" t="s">
        <v>35</v>
      </c>
      <c r="I4668" t="s">
        <v>36</v>
      </c>
      <c r="J4668" t="s">
        <v>46</v>
      </c>
      <c r="K4668">
        <v>24</v>
      </c>
      <c r="L4668">
        <v>5.77</v>
      </c>
      <c r="M4668">
        <v>5</v>
      </c>
      <c r="N4668" t="s">
        <v>22</v>
      </c>
      <c r="O4668" t="str">
        <f t="shared" si="72"/>
        <v>No</v>
      </c>
    </row>
    <row r="4669" spans="1:15" x14ac:dyDescent="0.25">
      <c r="A4669" t="s">
        <v>4730</v>
      </c>
      <c r="B4669" s="1">
        <v>45683</v>
      </c>
      <c r="C4669" s="2">
        <v>45683.677499999998</v>
      </c>
      <c r="D4669" t="s">
        <v>15</v>
      </c>
      <c r="E4669" t="s">
        <v>45</v>
      </c>
      <c r="F4669" t="s">
        <v>112</v>
      </c>
      <c r="G4669" t="s">
        <v>34</v>
      </c>
      <c r="H4669" t="s">
        <v>65</v>
      </c>
      <c r="I4669" t="s">
        <v>45</v>
      </c>
      <c r="J4669" t="s">
        <v>46</v>
      </c>
      <c r="K4669">
        <v>48</v>
      </c>
      <c r="L4669">
        <v>16.260000000000002</v>
      </c>
      <c r="M4669">
        <v>5</v>
      </c>
      <c r="N4669" t="s">
        <v>22</v>
      </c>
      <c r="O4669" t="str">
        <f t="shared" si="72"/>
        <v>No</v>
      </c>
    </row>
    <row r="4670" spans="1:15" x14ac:dyDescent="0.25">
      <c r="A4670" t="s">
        <v>4731</v>
      </c>
      <c r="B4670" s="1">
        <v>45791</v>
      </c>
      <c r="C4670" s="2">
        <v>45791.478750000002</v>
      </c>
      <c r="D4670" t="s">
        <v>24</v>
      </c>
      <c r="E4670" t="s">
        <v>32</v>
      </c>
      <c r="F4670" t="s">
        <v>33</v>
      </c>
      <c r="G4670" t="s">
        <v>56</v>
      </c>
      <c r="H4670" t="s">
        <v>27</v>
      </c>
      <c r="I4670" t="s">
        <v>45</v>
      </c>
      <c r="J4670" t="s">
        <v>21</v>
      </c>
      <c r="K4670">
        <v>24</v>
      </c>
      <c r="L4670">
        <v>11.49</v>
      </c>
      <c r="M4670">
        <v>3.5</v>
      </c>
      <c r="N4670" t="s">
        <v>22</v>
      </c>
      <c r="O4670" t="str">
        <f t="shared" si="72"/>
        <v>No</v>
      </c>
    </row>
    <row r="4671" spans="1:15" x14ac:dyDescent="0.25">
      <c r="A4671" t="s">
        <v>4732</v>
      </c>
      <c r="B4671" s="1">
        <v>45735</v>
      </c>
      <c r="C4671" s="2">
        <v>45735.902916666666</v>
      </c>
      <c r="D4671" t="s">
        <v>15</v>
      </c>
      <c r="E4671" t="s">
        <v>16</v>
      </c>
      <c r="F4671" t="s">
        <v>17</v>
      </c>
      <c r="G4671" t="s">
        <v>41</v>
      </c>
      <c r="H4671" t="s">
        <v>35</v>
      </c>
      <c r="I4671" t="s">
        <v>36</v>
      </c>
      <c r="J4671" t="s">
        <v>46</v>
      </c>
      <c r="K4671">
        <v>48</v>
      </c>
      <c r="L4671">
        <v>21.67</v>
      </c>
      <c r="M4671">
        <v>4.5</v>
      </c>
      <c r="N4671" t="s">
        <v>22</v>
      </c>
      <c r="O4671" t="str">
        <f t="shared" si="72"/>
        <v>No</v>
      </c>
    </row>
    <row r="4672" spans="1:15" x14ac:dyDescent="0.25">
      <c r="A4672" t="s">
        <v>4733</v>
      </c>
      <c r="B4672" s="1">
        <v>45675</v>
      </c>
      <c r="C4672" s="2">
        <v>45676.383750000001</v>
      </c>
      <c r="D4672" t="s">
        <v>24</v>
      </c>
      <c r="E4672" t="s">
        <v>16</v>
      </c>
      <c r="F4672" t="s">
        <v>58</v>
      </c>
      <c r="G4672" t="s">
        <v>18</v>
      </c>
      <c r="H4672" t="s">
        <v>27</v>
      </c>
      <c r="I4672" t="s">
        <v>20</v>
      </c>
      <c r="J4672" t="s">
        <v>21</v>
      </c>
      <c r="K4672">
        <v>24</v>
      </c>
      <c r="L4672">
        <v>33.21</v>
      </c>
      <c r="M4672">
        <v>2.7</v>
      </c>
      <c r="N4672" t="s">
        <v>22</v>
      </c>
      <c r="O4672" t="str">
        <f t="shared" si="72"/>
        <v>Yes</v>
      </c>
    </row>
    <row r="4673" spans="1:15" x14ac:dyDescent="0.25">
      <c r="A4673" t="s">
        <v>4734</v>
      </c>
      <c r="B4673" s="1">
        <v>45782</v>
      </c>
      <c r="C4673" s="2">
        <v>45782.641250000001</v>
      </c>
      <c r="D4673" t="s">
        <v>24</v>
      </c>
      <c r="E4673" t="s">
        <v>25</v>
      </c>
      <c r="F4673" t="s">
        <v>70</v>
      </c>
      <c r="G4673" t="s">
        <v>34</v>
      </c>
      <c r="H4673" t="s">
        <v>35</v>
      </c>
      <c r="I4673" t="s">
        <v>20</v>
      </c>
      <c r="J4673" t="s">
        <v>21</v>
      </c>
      <c r="K4673">
        <v>24</v>
      </c>
      <c r="L4673">
        <v>15.39</v>
      </c>
      <c r="M4673">
        <v>4</v>
      </c>
      <c r="N4673" t="s">
        <v>22</v>
      </c>
      <c r="O4673" t="str">
        <f t="shared" si="72"/>
        <v>No</v>
      </c>
    </row>
    <row r="4674" spans="1:15" x14ac:dyDescent="0.25">
      <c r="A4674" t="s">
        <v>4735</v>
      </c>
      <c r="B4674" s="1">
        <v>45696</v>
      </c>
      <c r="C4674" s="2">
        <v>45696.395416666666</v>
      </c>
      <c r="D4674" t="s">
        <v>38</v>
      </c>
      <c r="E4674" t="s">
        <v>39</v>
      </c>
      <c r="F4674" t="s">
        <v>40</v>
      </c>
      <c r="G4674" t="s">
        <v>41</v>
      </c>
      <c r="H4674" t="s">
        <v>19</v>
      </c>
      <c r="I4674" t="s">
        <v>45</v>
      </c>
      <c r="J4674" t="s">
        <v>21</v>
      </c>
      <c r="K4674">
        <v>8</v>
      </c>
      <c r="L4674">
        <v>9.49</v>
      </c>
      <c r="M4674">
        <v>4.9000000000000004</v>
      </c>
      <c r="N4674" t="s">
        <v>22</v>
      </c>
      <c r="O4674" t="str">
        <f t="shared" si="72"/>
        <v>Yes</v>
      </c>
    </row>
    <row r="4675" spans="1:15" x14ac:dyDescent="0.25">
      <c r="A4675" t="s">
        <v>4736</v>
      </c>
      <c r="B4675" s="1">
        <v>45815</v>
      </c>
      <c r="C4675" s="2">
        <v>45815.120416666665</v>
      </c>
      <c r="D4675" t="s">
        <v>24</v>
      </c>
      <c r="E4675" t="s">
        <v>16</v>
      </c>
      <c r="F4675" t="s">
        <v>58</v>
      </c>
      <c r="G4675" t="s">
        <v>34</v>
      </c>
      <c r="H4675" t="s">
        <v>19</v>
      </c>
      <c r="I4675" t="s">
        <v>28</v>
      </c>
      <c r="J4675" t="s">
        <v>21</v>
      </c>
      <c r="K4675">
        <v>24</v>
      </c>
      <c r="L4675">
        <v>2.89</v>
      </c>
      <c r="M4675">
        <v>5</v>
      </c>
      <c r="N4675" t="s">
        <v>22</v>
      </c>
      <c r="O4675" t="str">
        <f t="shared" ref="O4675:O4738" si="73">IF(L4675&gt;K4675,"Yes","No")</f>
        <v>No</v>
      </c>
    </row>
    <row r="4676" spans="1:15" x14ac:dyDescent="0.25">
      <c r="A4676" t="s">
        <v>4737</v>
      </c>
      <c r="B4676" s="1">
        <v>45808</v>
      </c>
      <c r="C4676" s="2">
        <v>45808.92291666667</v>
      </c>
      <c r="D4676" t="s">
        <v>24</v>
      </c>
      <c r="E4676" t="s">
        <v>45</v>
      </c>
      <c r="F4676" t="s">
        <v>50</v>
      </c>
      <c r="G4676" t="s">
        <v>18</v>
      </c>
      <c r="H4676" t="s">
        <v>65</v>
      </c>
      <c r="I4676" t="s">
        <v>36</v>
      </c>
      <c r="J4676" t="s">
        <v>21</v>
      </c>
      <c r="K4676">
        <v>24</v>
      </c>
      <c r="L4676">
        <v>22.15</v>
      </c>
      <c r="M4676">
        <v>2.9</v>
      </c>
      <c r="N4676" t="s">
        <v>22</v>
      </c>
      <c r="O4676" t="str">
        <f t="shared" si="73"/>
        <v>No</v>
      </c>
    </row>
    <row r="4677" spans="1:15" x14ac:dyDescent="0.25">
      <c r="A4677" t="s">
        <v>4738</v>
      </c>
      <c r="B4677" s="1">
        <v>45724</v>
      </c>
      <c r="C4677" s="2">
        <v>45725.282916666663</v>
      </c>
      <c r="D4677" t="s">
        <v>15</v>
      </c>
      <c r="E4677" t="s">
        <v>39</v>
      </c>
      <c r="F4677" t="s">
        <v>87</v>
      </c>
      <c r="G4677" t="s">
        <v>51</v>
      </c>
      <c r="H4677" t="s">
        <v>27</v>
      </c>
      <c r="I4677" t="s">
        <v>36</v>
      </c>
      <c r="J4677" t="s">
        <v>21</v>
      </c>
      <c r="K4677">
        <v>48</v>
      </c>
      <c r="L4677">
        <v>30.79</v>
      </c>
      <c r="M4677">
        <v>3.7</v>
      </c>
      <c r="N4677" t="s">
        <v>61</v>
      </c>
      <c r="O4677" t="str">
        <f t="shared" si="73"/>
        <v>No</v>
      </c>
    </row>
    <row r="4678" spans="1:15" x14ac:dyDescent="0.25">
      <c r="A4678" t="s">
        <v>4739</v>
      </c>
      <c r="B4678" s="1">
        <v>45758</v>
      </c>
      <c r="C4678" s="2">
        <v>45758.892083333332</v>
      </c>
      <c r="D4678" t="s">
        <v>15</v>
      </c>
      <c r="E4678" t="s">
        <v>39</v>
      </c>
      <c r="F4678" t="s">
        <v>78</v>
      </c>
      <c r="G4678" t="s">
        <v>56</v>
      </c>
      <c r="H4678" t="s">
        <v>27</v>
      </c>
      <c r="I4678" t="s">
        <v>36</v>
      </c>
      <c r="J4678" t="s">
        <v>46</v>
      </c>
      <c r="K4678">
        <v>48</v>
      </c>
      <c r="L4678">
        <v>21.41</v>
      </c>
      <c r="M4678">
        <v>4.5</v>
      </c>
      <c r="N4678" t="s">
        <v>22</v>
      </c>
      <c r="O4678" t="str">
        <f t="shared" si="73"/>
        <v>No</v>
      </c>
    </row>
    <row r="4679" spans="1:15" x14ac:dyDescent="0.25">
      <c r="A4679" t="s">
        <v>4740</v>
      </c>
      <c r="B4679" s="1">
        <v>45760</v>
      </c>
      <c r="C4679" s="2">
        <v>45760.037083333336</v>
      </c>
      <c r="D4679" t="s">
        <v>31</v>
      </c>
      <c r="E4679" t="s">
        <v>45</v>
      </c>
      <c r="F4679" t="s">
        <v>104</v>
      </c>
      <c r="G4679" t="s">
        <v>51</v>
      </c>
      <c r="H4679" t="s">
        <v>54</v>
      </c>
      <c r="I4679" t="s">
        <v>20</v>
      </c>
      <c r="J4679" t="s">
        <v>85</v>
      </c>
      <c r="K4679">
        <v>4</v>
      </c>
      <c r="L4679">
        <v>0.89</v>
      </c>
      <c r="M4679">
        <v>4.5999999999999996</v>
      </c>
      <c r="N4679" t="s">
        <v>22</v>
      </c>
      <c r="O4679" t="str">
        <f t="shared" si="73"/>
        <v>No</v>
      </c>
    </row>
    <row r="4680" spans="1:15" x14ac:dyDescent="0.25">
      <c r="A4680" t="s">
        <v>4741</v>
      </c>
      <c r="B4680" s="1">
        <v>45776</v>
      </c>
      <c r="C4680" s="2">
        <v>45776.262499999997</v>
      </c>
      <c r="D4680" t="s">
        <v>38</v>
      </c>
      <c r="E4680" t="s">
        <v>39</v>
      </c>
      <c r="F4680" t="s">
        <v>40</v>
      </c>
      <c r="G4680" t="s">
        <v>51</v>
      </c>
      <c r="H4680" t="s">
        <v>35</v>
      </c>
      <c r="I4680" t="s">
        <v>36</v>
      </c>
      <c r="J4680" t="s">
        <v>21</v>
      </c>
      <c r="K4680">
        <v>8</v>
      </c>
      <c r="L4680">
        <v>6.3</v>
      </c>
      <c r="M4680">
        <v>4.3</v>
      </c>
      <c r="N4680" t="s">
        <v>22</v>
      </c>
      <c r="O4680" t="str">
        <f t="shared" si="73"/>
        <v>No</v>
      </c>
    </row>
    <row r="4681" spans="1:15" x14ac:dyDescent="0.25">
      <c r="A4681" t="s">
        <v>4742</v>
      </c>
      <c r="B4681" s="1">
        <v>45670</v>
      </c>
      <c r="C4681" s="2">
        <v>45670.71</v>
      </c>
      <c r="D4681" t="s">
        <v>24</v>
      </c>
      <c r="E4681" t="s">
        <v>39</v>
      </c>
      <c r="F4681" t="s">
        <v>40</v>
      </c>
      <c r="G4681" t="s">
        <v>41</v>
      </c>
      <c r="H4681" t="s">
        <v>65</v>
      </c>
      <c r="I4681" t="s">
        <v>28</v>
      </c>
      <c r="J4681" t="s">
        <v>21</v>
      </c>
      <c r="K4681">
        <v>24</v>
      </c>
      <c r="L4681">
        <v>17.04</v>
      </c>
      <c r="M4681">
        <v>3.6</v>
      </c>
      <c r="N4681" t="s">
        <v>22</v>
      </c>
      <c r="O4681" t="str">
        <f t="shared" si="73"/>
        <v>No</v>
      </c>
    </row>
    <row r="4682" spans="1:15" x14ac:dyDescent="0.25">
      <c r="A4682" t="s">
        <v>4743</v>
      </c>
      <c r="B4682" s="1">
        <v>45716</v>
      </c>
      <c r="C4682" s="2">
        <v>45717.616666666669</v>
      </c>
      <c r="D4682" t="s">
        <v>15</v>
      </c>
      <c r="E4682" t="s">
        <v>39</v>
      </c>
      <c r="F4682" t="s">
        <v>87</v>
      </c>
      <c r="G4682" t="s">
        <v>18</v>
      </c>
      <c r="H4682" t="s">
        <v>65</v>
      </c>
      <c r="I4682" t="s">
        <v>45</v>
      </c>
      <c r="J4682" t="s">
        <v>21</v>
      </c>
      <c r="K4682">
        <v>48</v>
      </c>
      <c r="L4682">
        <v>38.799999999999997</v>
      </c>
      <c r="M4682">
        <v>3.8</v>
      </c>
      <c r="N4682" t="s">
        <v>22</v>
      </c>
      <c r="O4682" t="str">
        <f t="shared" si="73"/>
        <v>No</v>
      </c>
    </row>
    <row r="4683" spans="1:15" x14ac:dyDescent="0.25">
      <c r="A4683" t="s">
        <v>4744</v>
      </c>
      <c r="B4683" s="1">
        <v>45688</v>
      </c>
      <c r="C4683" s="2">
        <v>45688.331666666665</v>
      </c>
      <c r="D4683" t="s">
        <v>24</v>
      </c>
      <c r="E4683" t="s">
        <v>25</v>
      </c>
      <c r="F4683" t="s">
        <v>48</v>
      </c>
      <c r="G4683" t="s">
        <v>56</v>
      </c>
      <c r="H4683" t="s">
        <v>65</v>
      </c>
      <c r="I4683" t="s">
        <v>20</v>
      </c>
      <c r="J4683" t="s">
        <v>46</v>
      </c>
      <c r="K4683">
        <v>24</v>
      </c>
      <c r="L4683">
        <v>7.96</v>
      </c>
      <c r="M4683">
        <v>4.0999999999999996</v>
      </c>
      <c r="N4683" t="s">
        <v>22</v>
      </c>
      <c r="O4683" t="str">
        <f t="shared" si="73"/>
        <v>No</v>
      </c>
    </row>
    <row r="4684" spans="1:15" x14ac:dyDescent="0.25">
      <c r="A4684" t="s">
        <v>4745</v>
      </c>
      <c r="B4684" s="1">
        <v>45784</v>
      </c>
      <c r="C4684" s="2">
        <v>45785.009166666663</v>
      </c>
      <c r="D4684" t="s">
        <v>24</v>
      </c>
      <c r="E4684" t="s">
        <v>45</v>
      </c>
      <c r="F4684" t="s">
        <v>50</v>
      </c>
      <c r="G4684" t="s">
        <v>18</v>
      </c>
      <c r="H4684" t="s">
        <v>35</v>
      </c>
      <c r="I4684" t="s">
        <v>36</v>
      </c>
      <c r="J4684" t="s">
        <v>21</v>
      </c>
      <c r="K4684">
        <v>24</v>
      </c>
      <c r="L4684">
        <v>24.22</v>
      </c>
      <c r="M4684">
        <v>3.6</v>
      </c>
      <c r="N4684" t="s">
        <v>22</v>
      </c>
      <c r="O4684" t="str">
        <f t="shared" si="73"/>
        <v>Yes</v>
      </c>
    </row>
    <row r="4685" spans="1:15" x14ac:dyDescent="0.25">
      <c r="A4685" t="s">
        <v>4746</v>
      </c>
      <c r="B4685" s="1">
        <v>45670</v>
      </c>
      <c r="C4685" s="2">
        <v>45670.75</v>
      </c>
      <c r="D4685" t="s">
        <v>24</v>
      </c>
      <c r="E4685" t="s">
        <v>16</v>
      </c>
      <c r="F4685" t="s">
        <v>60</v>
      </c>
      <c r="G4685" t="s">
        <v>18</v>
      </c>
      <c r="H4685" t="s">
        <v>19</v>
      </c>
      <c r="I4685" t="s">
        <v>20</v>
      </c>
      <c r="J4685" t="s">
        <v>21</v>
      </c>
      <c r="K4685">
        <v>24</v>
      </c>
      <c r="L4685">
        <v>18</v>
      </c>
      <c r="M4685">
        <v>4.5999999999999996</v>
      </c>
      <c r="N4685" t="s">
        <v>22</v>
      </c>
      <c r="O4685" t="str">
        <f t="shared" si="73"/>
        <v>No</v>
      </c>
    </row>
    <row r="4686" spans="1:15" x14ac:dyDescent="0.25">
      <c r="A4686" t="s">
        <v>4747</v>
      </c>
      <c r="B4686" s="1">
        <v>45751</v>
      </c>
      <c r="C4686" s="2">
        <v>45751.710833333331</v>
      </c>
      <c r="D4686" t="s">
        <v>15</v>
      </c>
      <c r="E4686" t="s">
        <v>16</v>
      </c>
      <c r="F4686" t="s">
        <v>17</v>
      </c>
      <c r="G4686" t="s">
        <v>34</v>
      </c>
      <c r="H4686" t="s">
        <v>44</v>
      </c>
      <c r="I4686" t="s">
        <v>36</v>
      </c>
      <c r="J4686" t="s">
        <v>21</v>
      </c>
      <c r="K4686">
        <v>48</v>
      </c>
      <c r="L4686">
        <v>17.059999999999999</v>
      </c>
      <c r="M4686">
        <v>4.8</v>
      </c>
      <c r="N4686" t="s">
        <v>22</v>
      </c>
      <c r="O4686" t="str">
        <f t="shared" si="73"/>
        <v>No</v>
      </c>
    </row>
    <row r="4687" spans="1:15" x14ac:dyDescent="0.25">
      <c r="A4687" t="s">
        <v>4748</v>
      </c>
      <c r="B4687" s="1">
        <v>45789</v>
      </c>
      <c r="C4687" s="2">
        <v>45790.290416666663</v>
      </c>
      <c r="D4687" t="s">
        <v>24</v>
      </c>
      <c r="E4687" t="s">
        <v>39</v>
      </c>
      <c r="F4687" t="s">
        <v>87</v>
      </c>
      <c r="G4687" t="s">
        <v>18</v>
      </c>
      <c r="H4687" t="s">
        <v>19</v>
      </c>
      <c r="I4687" t="s">
        <v>45</v>
      </c>
      <c r="J4687" t="s">
        <v>21</v>
      </c>
      <c r="K4687">
        <v>24</v>
      </c>
      <c r="L4687">
        <v>30.97</v>
      </c>
      <c r="M4687">
        <v>3</v>
      </c>
      <c r="N4687" t="s">
        <v>22</v>
      </c>
      <c r="O4687" t="str">
        <f t="shared" si="73"/>
        <v>Yes</v>
      </c>
    </row>
    <row r="4688" spans="1:15" x14ac:dyDescent="0.25">
      <c r="A4688" t="s">
        <v>4749</v>
      </c>
      <c r="B4688" s="1">
        <v>45829</v>
      </c>
      <c r="C4688" s="2">
        <v>45830.149583333332</v>
      </c>
      <c r="D4688" t="s">
        <v>15</v>
      </c>
      <c r="E4688" t="s">
        <v>32</v>
      </c>
      <c r="F4688" t="s">
        <v>33</v>
      </c>
      <c r="G4688" t="s">
        <v>41</v>
      </c>
      <c r="H4688" t="s">
        <v>44</v>
      </c>
      <c r="I4688" t="s">
        <v>20</v>
      </c>
      <c r="J4688" t="s">
        <v>46</v>
      </c>
      <c r="K4688">
        <v>48</v>
      </c>
      <c r="L4688">
        <v>27.59</v>
      </c>
      <c r="M4688">
        <v>5</v>
      </c>
      <c r="N4688" t="s">
        <v>22</v>
      </c>
      <c r="O4688" t="str">
        <f t="shared" si="73"/>
        <v>No</v>
      </c>
    </row>
    <row r="4689" spans="1:15" x14ac:dyDescent="0.25">
      <c r="A4689" t="s">
        <v>4750</v>
      </c>
      <c r="B4689" s="1">
        <v>45710</v>
      </c>
      <c r="C4689" s="2">
        <v>45710.095405092594</v>
      </c>
      <c r="D4689" t="s">
        <v>24</v>
      </c>
      <c r="E4689" t="s">
        <v>32</v>
      </c>
      <c r="F4689" t="s">
        <v>64</v>
      </c>
      <c r="G4689" t="s">
        <v>56</v>
      </c>
      <c r="H4689" t="s">
        <v>54</v>
      </c>
      <c r="I4689" t="s">
        <v>36</v>
      </c>
      <c r="J4689" t="s">
        <v>46</v>
      </c>
      <c r="K4689">
        <v>24</v>
      </c>
      <c r="L4689">
        <v>2.29</v>
      </c>
      <c r="M4689">
        <v>5</v>
      </c>
      <c r="N4689" t="s">
        <v>22</v>
      </c>
      <c r="O4689" t="str">
        <f t="shared" si="73"/>
        <v>No</v>
      </c>
    </row>
    <row r="4690" spans="1:15" x14ac:dyDescent="0.25">
      <c r="A4690" t="s">
        <v>4751</v>
      </c>
      <c r="B4690" s="1">
        <v>45659</v>
      </c>
      <c r="C4690" s="2">
        <v>45659.71</v>
      </c>
      <c r="D4690" t="s">
        <v>15</v>
      </c>
      <c r="E4690" t="s">
        <v>32</v>
      </c>
      <c r="F4690" t="s">
        <v>64</v>
      </c>
      <c r="G4690" t="s">
        <v>41</v>
      </c>
      <c r="H4690" t="s">
        <v>44</v>
      </c>
      <c r="I4690" t="s">
        <v>20</v>
      </c>
      <c r="J4690" t="s">
        <v>21</v>
      </c>
      <c r="K4690">
        <v>48</v>
      </c>
      <c r="L4690">
        <v>17.04</v>
      </c>
      <c r="M4690">
        <v>4.5999999999999996</v>
      </c>
      <c r="N4690" t="s">
        <v>22</v>
      </c>
      <c r="O4690" t="str">
        <f t="shared" si="73"/>
        <v>No</v>
      </c>
    </row>
    <row r="4691" spans="1:15" x14ac:dyDescent="0.25">
      <c r="A4691" t="s">
        <v>4752</v>
      </c>
      <c r="B4691" s="1">
        <v>45788</v>
      </c>
      <c r="C4691" s="2">
        <v>45789.001250000001</v>
      </c>
      <c r="D4691" t="s">
        <v>24</v>
      </c>
      <c r="E4691" t="s">
        <v>32</v>
      </c>
      <c r="F4691" t="s">
        <v>80</v>
      </c>
      <c r="G4691" t="s">
        <v>41</v>
      </c>
      <c r="H4691" t="s">
        <v>19</v>
      </c>
      <c r="I4691" t="s">
        <v>20</v>
      </c>
      <c r="J4691" t="s">
        <v>21</v>
      </c>
      <c r="K4691">
        <v>24</v>
      </c>
      <c r="L4691">
        <v>24.03</v>
      </c>
      <c r="M4691">
        <v>3.6</v>
      </c>
      <c r="N4691" t="s">
        <v>22</v>
      </c>
      <c r="O4691" t="str">
        <f t="shared" si="73"/>
        <v>Yes</v>
      </c>
    </row>
    <row r="4692" spans="1:15" x14ac:dyDescent="0.25">
      <c r="A4692" t="s">
        <v>4753</v>
      </c>
      <c r="B4692" s="1">
        <v>45658</v>
      </c>
      <c r="C4692" s="2">
        <v>45658.363749999997</v>
      </c>
      <c r="D4692" t="s">
        <v>24</v>
      </c>
      <c r="E4692" t="s">
        <v>16</v>
      </c>
      <c r="F4692" t="s">
        <v>43</v>
      </c>
      <c r="G4692" t="s">
        <v>34</v>
      </c>
      <c r="H4692" t="s">
        <v>35</v>
      </c>
      <c r="I4692" t="s">
        <v>20</v>
      </c>
      <c r="J4692" t="s">
        <v>46</v>
      </c>
      <c r="K4692">
        <v>24</v>
      </c>
      <c r="L4692">
        <v>8.73</v>
      </c>
      <c r="M4692">
        <v>5</v>
      </c>
      <c r="N4692" t="s">
        <v>22</v>
      </c>
      <c r="O4692" t="str">
        <f t="shared" si="73"/>
        <v>No</v>
      </c>
    </row>
    <row r="4693" spans="1:15" x14ac:dyDescent="0.25">
      <c r="A4693" t="s">
        <v>4754</v>
      </c>
      <c r="B4693" s="1">
        <v>45670</v>
      </c>
      <c r="C4693" s="2">
        <v>45671.009166666663</v>
      </c>
      <c r="D4693" t="s">
        <v>15</v>
      </c>
      <c r="E4693" t="s">
        <v>32</v>
      </c>
      <c r="F4693" t="s">
        <v>80</v>
      </c>
      <c r="G4693" t="s">
        <v>18</v>
      </c>
      <c r="H4693" t="s">
        <v>27</v>
      </c>
      <c r="I4693" t="s">
        <v>36</v>
      </c>
      <c r="J4693" t="s">
        <v>85</v>
      </c>
      <c r="K4693">
        <v>48</v>
      </c>
      <c r="L4693">
        <v>24.22</v>
      </c>
      <c r="M4693">
        <v>5</v>
      </c>
      <c r="N4693" t="s">
        <v>22</v>
      </c>
      <c r="O4693" t="str">
        <f t="shared" si="73"/>
        <v>No</v>
      </c>
    </row>
    <row r="4694" spans="1:15" x14ac:dyDescent="0.25">
      <c r="A4694" t="s">
        <v>4755</v>
      </c>
      <c r="B4694" s="1">
        <v>45837</v>
      </c>
      <c r="C4694" s="2">
        <v>45838.022083333337</v>
      </c>
      <c r="D4694" t="s">
        <v>24</v>
      </c>
      <c r="E4694" t="s">
        <v>32</v>
      </c>
      <c r="F4694" t="s">
        <v>75</v>
      </c>
      <c r="G4694" t="s">
        <v>41</v>
      </c>
      <c r="H4694" t="s">
        <v>35</v>
      </c>
      <c r="I4694" t="s">
        <v>36</v>
      </c>
      <c r="J4694" t="s">
        <v>46</v>
      </c>
      <c r="K4694">
        <v>24</v>
      </c>
      <c r="L4694">
        <v>24.53</v>
      </c>
      <c r="M4694">
        <v>2.8</v>
      </c>
      <c r="N4694" t="s">
        <v>22</v>
      </c>
      <c r="O4694" t="str">
        <f t="shared" si="73"/>
        <v>Yes</v>
      </c>
    </row>
    <row r="4695" spans="1:15" x14ac:dyDescent="0.25">
      <c r="A4695" t="s">
        <v>4756</v>
      </c>
      <c r="B4695" s="1">
        <v>45814</v>
      </c>
      <c r="C4695" s="2">
        <v>45814.3675</v>
      </c>
      <c r="D4695" t="s">
        <v>24</v>
      </c>
      <c r="E4695" t="s">
        <v>39</v>
      </c>
      <c r="F4695" t="s">
        <v>40</v>
      </c>
      <c r="G4695" t="s">
        <v>51</v>
      </c>
      <c r="H4695" t="s">
        <v>19</v>
      </c>
      <c r="I4695" t="s">
        <v>36</v>
      </c>
      <c r="J4695" t="s">
        <v>46</v>
      </c>
      <c r="K4695">
        <v>24</v>
      </c>
      <c r="L4695">
        <v>8.82</v>
      </c>
      <c r="M4695">
        <v>5</v>
      </c>
      <c r="N4695" t="s">
        <v>22</v>
      </c>
      <c r="O4695" t="str">
        <f t="shared" si="73"/>
        <v>No</v>
      </c>
    </row>
    <row r="4696" spans="1:15" x14ac:dyDescent="0.25">
      <c r="A4696" t="s">
        <v>4757</v>
      </c>
      <c r="B4696" s="1">
        <v>45786</v>
      </c>
      <c r="C4696" s="2">
        <v>45786.282500000001</v>
      </c>
      <c r="D4696" t="s">
        <v>38</v>
      </c>
      <c r="E4696" t="s">
        <v>32</v>
      </c>
      <c r="F4696" t="s">
        <v>75</v>
      </c>
      <c r="G4696" t="s">
        <v>56</v>
      </c>
      <c r="H4696" t="s">
        <v>65</v>
      </c>
      <c r="I4696" t="s">
        <v>45</v>
      </c>
      <c r="J4696" t="s">
        <v>85</v>
      </c>
      <c r="K4696">
        <v>8</v>
      </c>
      <c r="L4696">
        <v>6.78</v>
      </c>
      <c r="M4696">
        <v>5</v>
      </c>
      <c r="N4696" t="s">
        <v>22</v>
      </c>
      <c r="O4696" t="str">
        <f t="shared" si="73"/>
        <v>No</v>
      </c>
    </row>
    <row r="4697" spans="1:15" x14ac:dyDescent="0.25">
      <c r="A4697" t="s">
        <v>4758</v>
      </c>
      <c r="B4697" s="1">
        <v>45809</v>
      </c>
      <c r="C4697" s="2">
        <v>45809.029166666667</v>
      </c>
      <c r="D4697" t="s">
        <v>31</v>
      </c>
      <c r="E4697" t="s">
        <v>32</v>
      </c>
      <c r="F4697" t="s">
        <v>33</v>
      </c>
      <c r="G4697" t="s">
        <v>56</v>
      </c>
      <c r="H4697" t="s">
        <v>54</v>
      </c>
      <c r="I4697" t="s">
        <v>36</v>
      </c>
      <c r="J4697" t="s">
        <v>21</v>
      </c>
      <c r="K4697">
        <v>4</v>
      </c>
      <c r="L4697">
        <v>0.7</v>
      </c>
      <c r="M4697">
        <v>5</v>
      </c>
      <c r="N4697" t="s">
        <v>22</v>
      </c>
      <c r="O4697" t="str">
        <f t="shared" si="73"/>
        <v>No</v>
      </c>
    </row>
    <row r="4698" spans="1:15" x14ac:dyDescent="0.25">
      <c r="A4698" t="s">
        <v>4759</v>
      </c>
      <c r="B4698" s="1">
        <v>45671</v>
      </c>
      <c r="C4698" s="2">
        <v>45672.251250000001</v>
      </c>
      <c r="D4698" t="s">
        <v>15</v>
      </c>
      <c r="E4698" t="s">
        <v>32</v>
      </c>
      <c r="F4698" t="s">
        <v>75</v>
      </c>
      <c r="G4698" t="s">
        <v>56</v>
      </c>
      <c r="H4698" t="s">
        <v>65</v>
      </c>
      <c r="I4698" t="s">
        <v>28</v>
      </c>
      <c r="J4698" t="s">
        <v>21</v>
      </c>
      <c r="K4698">
        <v>48</v>
      </c>
      <c r="L4698">
        <v>30.03</v>
      </c>
      <c r="M4698">
        <v>3.9</v>
      </c>
      <c r="N4698" t="s">
        <v>22</v>
      </c>
      <c r="O4698" t="str">
        <f t="shared" si="73"/>
        <v>No</v>
      </c>
    </row>
    <row r="4699" spans="1:15" x14ac:dyDescent="0.25">
      <c r="A4699" t="s">
        <v>4760</v>
      </c>
      <c r="B4699" s="1">
        <v>45674</v>
      </c>
      <c r="C4699" s="2">
        <v>45674.199583333335</v>
      </c>
      <c r="D4699" t="s">
        <v>38</v>
      </c>
      <c r="E4699" t="s">
        <v>32</v>
      </c>
      <c r="F4699" t="s">
        <v>80</v>
      </c>
      <c r="G4699" t="s">
        <v>41</v>
      </c>
      <c r="H4699" t="s">
        <v>35</v>
      </c>
      <c r="I4699" t="s">
        <v>28</v>
      </c>
      <c r="J4699" t="s">
        <v>46</v>
      </c>
      <c r="K4699">
        <v>8</v>
      </c>
      <c r="L4699">
        <v>4.79</v>
      </c>
      <c r="M4699">
        <v>4.0999999999999996</v>
      </c>
      <c r="N4699" t="s">
        <v>22</v>
      </c>
      <c r="O4699" t="str">
        <f t="shared" si="73"/>
        <v>No</v>
      </c>
    </row>
    <row r="4700" spans="1:15" x14ac:dyDescent="0.25">
      <c r="A4700" t="s">
        <v>4761</v>
      </c>
      <c r="B4700" s="1">
        <v>45712</v>
      </c>
      <c r="C4700" s="2">
        <v>45712.665416666663</v>
      </c>
      <c r="D4700" t="s">
        <v>24</v>
      </c>
      <c r="E4700" t="s">
        <v>16</v>
      </c>
      <c r="F4700" t="s">
        <v>60</v>
      </c>
      <c r="G4700" t="s">
        <v>34</v>
      </c>
      <c r="H4700" t="s">
        <v>54</v>
      </c>
      <c r="I4700" t="s">
        <v>36</v>
      </c>
      <c r="J4700" t="s">
        <v>21</v>
      </c>
      <c r="K4700">
        <v>24</v>
      </c>
      <c r="L4700">
        <v>15.97</v>
      </c>
      <c r="M4700">
        <v>5</v>
      </c>
      <c r="N4700" t="s">
        <v>22</v>
      </c>
      <c r="O4700" t="str">
        <f t="shared" si="73"/>
        <v>No</v>
      </c>
    </row>
    <row r="4701" spans="1:15" x14ac:dyDescent="0.25">
      <c r="A4701" t="s">
        <v>4762</v>
      </c>
      <c r="B4701" s="1">
        <v>45662</v>
      </c>
      <c r="C4701" s="2">
        <v>45662.724166666667</v>
      </c>
      <c r="D4701" t="s">
        <v>24</v>
      </c>
      <c r="E4701" t="s">
        <v>25</v>
      </c>
      <c r="F4701" t="s">
        <v>48</v>
      </c>
      <c r="G4701" t="s">
        <v>41</v>
      </c>
      <c r="H4701" t="s">
        <v>35</v>
      </c>
      <c r="I4701" t="s">
        <v>20</v>
      </c>
      <c r="J4701" t="s">
        <v>21</v>
      </c>
      <c r="K4701">
        <v>24</v>
      </c>
      <c r="L4701">
        <v>17.38</v>
      </c>
      <c r="M4701">
        <v>4.7</v>
      </c>
      <c r="N4701" t="s">
        <v>22</v>
      </c>
      <c r="O4701" t="str">
        <f t="shared" si="73"/>
        <v>No</v>
      </c>
    </row>
    <row r="4702" spans="1:15" x14ac:dyDescent="0.25">
      <c r="A4702" t="s">
        <v>4763</v>
      </c>
      <c r="B4702" s="1">
        <v>45818</v>
      </c>
      <c r="C4702" s="2">
        <v>45818.520833333336</v>
      </c>
      <c r="D4702" t="s">
        <v>24</v>
      </c>
      <c r="E4702" t="s">
        <v>25</v>
      </c>
      <c r="F4702" t="s">
        <v>53</v>
      </c>
      <c r="G4702" t="s">
        <v>56</v>
      </c>
      <c r="H4702" t="s">
        <v>54</v>
      </c>
      <c r="I4702" t="s">
        <v>36</v>
      </c>
      <c r="J4702" t="s">
        <v>46</v>
      </c>
      <c r="K4702">
        <v>24</v>
      </c>
      <c r="L4702">
        <v>12.5</v>
      </c>
      <c r="M4702">
        <v>4.7</v>
      </c>
      <c r="N4702" t="s">
        <v>22</v>
      </c>
      <c r="O4702" t="str">
        <f t="shared" si="73"/>
        <v>No</v>
      </c>
    </row>
    <row r="4703" spans="1:15" x14ac:dyDescent="0.25">
      <c r="A4703" t="s">
        <v>4764</v>
      </c>
      <c r="B4703" s="1">
        <v>45668</v>
      </c>
      <c r="C4703" s="2">
        <v>45668.47583333333</v>
      </c>
      <c r="D4703" t="s">
        <v>24</v>
      </c>
      <c r="E4703" t="s">
        <v>25</v>
      </c>
      <c r="F4703" t="s">
        <v>26</v>
      </c>
      <c r="G4703" t="s">
        <v>18</v>
      </c>
      <c r="H4703" t="s">
        <v>54</v>
      </c>
      <c r="I4703" t="s">
        <v>36</v>
      </c>
      <c r="J4703" t="s">
        <v>21</v>
      </c>
      <c r="K4703">
        <v>24</v>
      </c>
      <c r="L4703">
        <v>11.42</v>
      </c>
      <c r="M4703">
        <v>5</v>
      </c>
      <c r="N4703" t="s">
        <v>22</v>
      </c>
      <c r="O4703" t="str">
        <f t="shared" si="73"/>
        <v>No</v>
      </c>
    </row>
    <row r="4704" spans="1:15" x14ac:dyDescent="0.25">
      <c r="A4704" t="s">
        <v>4765</v>
      </c>
      <c r="B4704" s="1">
        <v>45756</v>
      </c>
      <c r="C4704" s="2">
        <v>45757.005833333336</v>
      </c>
      <c r="D4704" t="s">
        <v>15</v>
      </c>
      <c r="E4704" t="s">
        <v>16</v>
      </c>
      <c r="F4704" t="s">
        <v>43</v>
      </c>
      <c r="G4704" t="s">
        <v>51</v>
      </c>
      <c r="H4704" t="s">
        <v>44</v>
      </c>
      <c r="I4704" t="s">
        <v>36</v>
      </c>
      <c r="J4704" t="s">
        <v>21</v>
      </c>
      <c r="K4704">
        <v>48</v>
      </c>
      <c r="L4704">
        <v>24.14</v>
      </c>
      <c r="M4704">
        <v>3.7</v>
      </c>
      <c r="N4704" t="s">
        <v>22</v>
      </c>
      <c r="O4704" t="str">
        <f t="shared" si="73"/>
        <v>No</v>
      </c>
    </row>
    <row r="4705" spans="1:15" x14ac:dyDescent="0.25">
      <c r="A4705" t="s">
        <v>4766</v>
      </c>
      <c r="B4705" s="1">
        <v>45812</v>
      </c>
      <c r="C4705" s="2">
        <v>45812.209583333337</v>
      </c>
      <c r="D4705" t="s">
        <v>31</v>
      </c>
      <c r="E4705" t="s">
        <v>45</v>
      </c>
      <c r="F4705" t="s">
        <v>104</v>
      </c>
      <c r="G4705" t="s">
        <v>56</v>
      </c>
      <c r="H4705" t="s">
        <v>19</v>
      </c>
      <c r="I4705" t="s">
        <v>20</v>
      </c>
      <c r="J4705" t="s">
        <v>21</v>
      </c>
      <c r="K4705">
        <v>4</v>
      </c>
      <c r="L4705">
        <v>5.03</v>
      </c>
      <c r="M4705">
        <v>3.4</v>
      </c>
      <c r="N4705" t="s">
        <v>22</v>
      </c>
      <c r="O4705" t="str">
        <f t="shared" si="73"/>
        <v>Yes</v>
      </c>
    </row>
    <row r="4706" spans="1:15" x14ac:dyDescent="0.25">
      <c r="A4706" t="s">
        <v>4767</v>
      </c>
      <c r="B4706" s="1">
        <v>45791</v>
      </c>
      <c r="C4706" s="2">
        <v>45791.559583333335</v>
      </c>
      <c r="D4706" t="s">
        <v>24</v>
      </c>
      <c r="E4706" t="s">
        <v>16</v>
      </c>
      <c r="F4706" t="s">
        <v>17</v>
      </c>
      <c r="G4706" t="s">
        <v>18</v>
      </c>
      <c r="H4706" t="s">
        <v>65</v>
      </c>
      <c r="I4706" t="s">
        <v>20</v>
      </c>
      <c r="J4706" t="s">
        <v>21</v>
      </c>
      <c r="K4706">
        <v>24</v>
      </c>
      <c r="L4706">
        <v>13.43</v>
      </c>
      <c r="M4706">
        <v>4.5</v>
      </c>
      <c r="N4706" t="s">
        <v>22</v>
      </c>
      <c r="O4706" t="str">
        <f t="shared" si="73"/>
        <v>No</v>
      </c>
    </row>
    <row r="4707" spans="1:15" x14ac:dyDescent="0.25">
      <c r="A4707" t="s">
        <v>4768</v>
      </c>
      <c r="B4707" s="1">
        <v>45700</v>
      </c>
      <c r="C4707" s="2">
        <v>45701.905416666668</v>
      </c>
      <c r="D4707" t="s">
        <v>24</v>
      </c>
      <c r="E4707" t="s">
        <v>16</v>
      </c>
      <c r="F4707" t="s">
        <v>58</v>
      </c>
      <c r="G4707" t="s">
        <v>56</v>
      </c>
      <c r="H4707" t="s">
        <v>27</v>
      </c>
      <c r="I4707" t="s">
        <v>36</v>
      </c>
      <c r="J4707" t="s">
        <v>21</v>
      </c>
      <c r="K4707">
        <v>24</v>
      </c>
      <c r="L4707">
        <v>45.73</v>
      </c>
      <c r="M4707">
        <v>2.6</v>
      </c>
      <c r="N4707" t="s">
        <v>22</v>
      </c>
      <c r="O4707" t="str">
        <f t="shared" si="73"/>
        <v>Yes</v>
      </c>
    </row>
    <row r="4708" spans="1:15" x14ac:dyDescent="0.25">
      <c r="A4708" t="s">
        <v>4769</v>
      </c>
      <c r="B4708" s="1">
        <v>45743</v>
      </c>
      <c r="C4708" s="2">
        <v>45743.722083333334</v>
      </c>
      <c r="D4708" t="s">
        <v>24</v>
      </c>
      <c r="E4708" t="s">
        <v>39</v>
      </c>
      <c r="F4708" t="s">
        <v>78</v>
      </c>
      <c r="G4708" t="s">
        <v>18</v>
      </c>
      <c r="H4708" t="s">
        <v>54</v>
      </c>
      <c r="I4708" t="s">
        <v>36</v>
      </c>
      <c r="J4708" t="s">
        <v>21</v>
      </c>
      <c r="K4708">
        <v>24</v>
      </c>
      <c r="L4708">
        <v>17.329999999999998</v>
      </c>
      <c r="M4708">
        <v>2.9</v>
      </c>
      <c r="N4708" t="s">
        <v>22</v>
      </c>
      <c r="O4708" t="str">
        <f t="shared" si="73"/>
        <v>No</v>
      </c>
    </row>
    <row r="4709" spans="1:15" x14ac:dyDescent="0.25">
      <c r="A4709" t="s">
        <v>4770</v>
      </c>
      <c r="B4709" s="1">
        <v>45757</v>
      </c>
      <c r="C4709" s="2">
        <v>45758.119583333333</v>
      </c>
      <c r="D4709" t="s">
        <v>15</v>
      </c>
      <c r="E4709" t="s">
        <v>39</v>
      </c>
      <c r="F4709" t="s">
        <v>87</v>
      </c>
      <c r="G4709" t="s">
        <v>41</v>
      </c>
      <c r="H4709" t="s">
        <v>19</v>
      </c>
      <c r="I4709" t="s">
        <v>36</v>
      </c>
      <c r="J4709" t="s">
        <v>21</v>
      </c>
      <c r="K4709">
        <v>48</v>
      </c>
      <c r="L4709">
        <v>26.87</v>
      </c>
      <c r="M4709">
        <v>5</v>
      </c>
      <c r="N4709" t="s">
        <v>22</v>
      </c>
      <c r="O4709" t="str">
        <f t="shared" si="73"/>
        <v>No</v>
      </c>
    </row>
    <row r="4710" spans="1:15" x14ac:dyDescent="0.25">
      <c r="A4710" t="s">
        <v>4771</v>
      </c>
      <c r="B4710" s="1">
        <v>45796</v>
      </c>
      <c r="C4710" s="2">
        <v>45796.377500000002</v>
      </c>
      <c r="D4710" t="s">
        <v>15</v>
      </c>
      <c r="E4710" t="s">
        <v>39</v>
      </c>
      <c r="F4710" t="s">
        <v>87</v>
      </c>
      <c r="G4710" t="s">
        <v>34</v>
      </c>
      <c r="H4710" t="s">
        <v>54</v>
      </c>
      <c r="I4710" t="s">
        <v>45</v>
      </c>
      <c r="J4710" t="s">
        <v>85</v>
      </c>
      <c r="K4710">
        <v>48</v>
      </c>
      <c r="L4710">
        <v>9.06</v>
      </c>
      <c r="M4710">
        <v>4.3</v>
      </c>
      <c r="N4710" t="s">
        <v>22</v>
      </c>
      <c r="O4710" t="str">
        <f t="shared" si="73"/>
        <v>No</v>
      </c>
    </row>
    <row r="4711" spans="1:15" x14ac:dyDescent="0.25">
      <c r="A4711" t="s">
        <v>4772</v>
      </c>
      <c r="B4711" s="1">
        <v>45735</v>
      </c>
      <c r="C4711" s="2">
        <v>45735.888333333336</v>
      </c>
      <c r="D4711" t="s">
        <v>24</v>
      </c>
      <c r="E4711" t="s">
        <v>32</v>
      </c>
      <c r="F4711" t="s">
        <v>75</v>
      </c>
      <c r="G4711" t="s">
        <v>51</v>
      </c>
      <c r="H4711" t="s">
        <v>65</v>
      </c>
      <c r="I4711" t="s">
        <v>36</v>
      </c>
      <c r="J4711" t="s">
        <v>21</v>
      </c>
      <c r="K4711">
        <v>24</v>
      </c>
      <c r="L4711">
        <v>21.32</v>
      </c>
      <c r="M4711">
        <v>3.4</v>
      </c>
      <c r="N4711" t="s">
        <v>61</v>
      </c>
      <c r="O4711" t="str">
        <f t="shared" si="73"/>
        <v>No</v>
      </c>
    </row>
    <row r="4712" spans="1:15" x14ac:dyDescent="0.25">
      <c r="A4712" t="s">
        <v>4773</v>
      </c>
      <c r="B4712" s="1">
        <v>45709</v>
      </c>
      <c r="C4712" s="2">
        <v>45709.414583333331</v>
      </c>
      <c r="D4712" t="s">
        <v>24</v>
      </c>
      <c r="E4712" t="s">
        <v>25</v>
      </c>
      <c r="F4712" t="s">
        <v>26</v>
      </c>
      <c r="G4712" t="s">
        <v>51</v>
      </c>
      <c r="H4712" t="s">
        <v>65</v>
      </c>
      <c r="I4712" t="s">
        <v>20</v>
      </c>
      <c r="J4712" t="s">
        <v>29</v>
      </c>
      <c r="K4712">
        <v>24</v>
      </c>
      <c r="L4712">
        <v>9.9499999999999993</v>
      </c>
      <c r="M4712">
        <v>4.3</v>
      </c>
      <c r="N4712" t="s">
        <v>61</v>
      </c>
      <c r="O4712" t="str">
        <f t="shared" si="73"/>
        <v>No</v>
      </c>
    </row>
    <row r="4713" spans="1:15" x14ac:dyDescent="0.25">
      <c r="A4713" t="s">
        <v>4774</v>
      </c>
      <c r="B4713" s="1">
        <v>45801</v>
      </c>
      <c r="C4713" s="2">
        <v>45801.327916666669</v>
      </c>
      <c r="D4713" t="s">
        <v>38</v>
      </c>
      <c r="E4713" t="s">
        <v>32</v>
      </c>
      <c r="F4713" t="s">
        <v>64</v>
      </c>
      <c r="G4713" t="s">
        <v>34</v>
      </c>
      <c r="H4713" t="s">
        <v>65</v>
      </c>
      <c r="I4713" t="s">
        <v>28</v>
      </c>
      <c r="J4713" t="s">
        <v>85</v>
      </c>
      <c r="K4713">
        <v>8</v>
      </c>
      <c r="L4713">
        <v>7.87</v>
      </c>
      <c r="M4713">
        <v>3.7</v>
      </c>
      <c r="N4713" t="s">
        <v>22</v>
      </c>
      <c r="O4713" t="str">
        <f t="shared" si="73"/>
        <v>No</v>
      </c>
    </row>
    <row r="4714" spans="1:15" x14ac:dyDescent="0.25">
      <c r="A4714" t="s">
        <v>4775</v>
      </c>
      <c r="B4714" s="1">
        <v>45818</v>
      </c>
      <c r="C4714" s="2">
        <v>45818.282916666663</v>
      </c>
      <c r="D4714" t="s">
        <v>24</v>
      </c>
      <c r="E4714" t="s">
        <v>16</v>
      </c>
      <c r="F4714" t="s">
        <v>17</v>
      </c>
      <c r="G4714" t="s">
        <v>34</v>
      </c>
      <c r="H4714" t="s">
        <v>54</v>
      </c>
      <c r="I4714" t="s">
        <v>36</v>
      </c>
      <c r="J4714" t="s">
        <v>21</v>
      </c>
      <c r="K4714">
        <v>24</v>
      </c>
      <c r="L4714">
        <v>6.79</v>
      </c>
      <c r="M4714">
        <v>4.5999999999999996</v>
      </c>
      <c r="N4714" t="s">
        <v>22</v>
      </c>
      <c r="O4714" t="str">
        <f t="shared" si="73"/>
        <v>No</v>
      </c>
    </row>
    <row r="4715" spans="1:15" x14ac:dyDescent="0.25">
      <c r="A4715" t="s">
        <v>4776</v>
      </c>
      <c r="B4715" s="1">
        <v>45746</v>
      </c>
      <c r="C4715" s="2">
        <v>45746.500833333332</v>
      </c>
      <c r="D4715" t="s">
        <v>24</v>
      </c>
      <c r="E4715" t="s">
        <v>25</v>
      </c>
      <c r="F4715" t="s">
        <v>26</v>
      </c>
      <c r="G4715" t="s">
        <v>56</v>
      </c>
      <c r="H4715" t="s">
        <v>35</v>
      </c>
      <c r="I4715" t="s">
        <v>20</v>
      </c>
      <c r="J4715" t="s">
        <v>21</v>
      </c>
      <c r="K4715">
        <v>24</v>
      </c>
      <c r="L4715">
        <v>12.02</v>
      </c>
      <c r="M4715">
        <v>5</v>
      </c>
      <c r="N4715" t="s">
        <v>22</v>
      </c>
      <c r="O4715" t="str">
        <f t="shared" si="73"/>
        <v>No</v>
      </c>
    </row>
    <row r="4716" spans="1:15" x14ac:dyDescent="0.25">
      <c r="A4716" t="s">
        <v>4777</v>
      </c>
      <c r="B4716" s="1">
        <v>45663</v>
      </c>
      <c r="C4716" s="2">
        <v>45663.133750000001</v>
      </c>
      <c r="D4716" t="s">
        <v>38</v>
      </c>
      <c r="E4716" t="s">
        <v>16</v>
      </c>
      <c r="F4716" t="s">
        <v>43</v>
      </c>
      <c r="G4716" t="s">
        <v>51</v>
      </c>
      <c r="H4716" t="s">
        <v>35</v>
      </c>
      <c r="I4716" t="s">
        <v>45</v>
      </c>
      <c r="J4716" t="s">
        <v>29</v>
      </c>
      <c r="K4716">
        <v>8</v>
      </c>
      <c r="L4716">
        <v>3.21</v>
      </c>
      <c r="M4716">
        <v>5</v>
      </c>
      <c r="N4716" t="s">
        <v>22</v>
      </c>
      <c r="O4716" t="str">
        <f t="shared" si="73"/>
        <v>No</v>
      </c>
    </row>
    <row r="4717" spans="1:15" x14ac:dyDescent="0.25">
      <c r="A4717" t="s">
        <v>4778</v>
      </c>
      <c r="B4717" s="1">
        <v>45748</v>
      </c>
      <c r="C4717" s="2">
        <v>45749.683749999997</v>
      </c>
      <c r="D4717" t="s">
        <v>15</v>
      </c>
      <c r="E4717" t="s">
        <v>32</v>
      </c>
      <c r="F4717" t="s">
        <v>80</v>
      </c>
      <c r="G4717" t="s">
        <v>56</v>
      </c>
      <c r="H4717" t="s">
        <v>35</v>
      </c>
      <c r="I4717" t="s">
        <v>45</v>
      </c>
      <c r="J4717" t="s">
        <v>21</v>
      </c>
      <c r="K4717">
        <v>48</v>
      </c>
      <c r="L4717">
        <v>40.409999999999997</v>
      </c>
      <c r="M4717">
        <v>3.8</v>
      </c>
      <c r="N4717" t="s">
        <v>22</v>
      </c>
      <c r="O4717" t="str">
        <f t="shared" si="73"/>
        <v>No</v>
      </c>
    </row>
    <row r="4718" spans="1:15" x14ac:dyDescent="0.25">
      <c r="A4718" t="s">
        <v>4779</v>
      </c>
      <c r="B4718" s="1">
        <v>45818</v>
      </c>
      <c r="C4718" s="2">
        <v>45819.325833333336</v>
      </c>
      <c r="D4718" t="s">
        <v>24</v>
      </c>
      <c r="E4718" t="s">
        <v>39</v>
      </c>
      <c r="F4718" t="s">
        <v>78</v>
      </c>
      <c r="G4718" t="s">
        <v>18</v>
      </c>
      <c r="H4718" t="s">
        <v>35</v>
      </c>
      <c r="I4718" t="s">
        <v>20</v>
      </c>
      <c r="J4718" t="s">
        <v>21</v>
      </c>
      <c r="K4718">
        <v>24</v>
      </c>
      <c r="L4718">
        <v>31.82</v>
      </c>
      <c r="M4718">
        <v>3</v>
      </c>
      <c r="N4718" t="s">
        <v>22</v>
      </c>
      <c r="O4718" t="str">
        <f t="shared" si="73"/>
        <v>Yes</v>
      </c>
    </row>
    <row r="4719" spans="1:15" x14ac:dyDescent="0.25">
      <c r="A4719" t="s">
        <v>4780</v>
      </c>
      <c r="B4719" s="1">
        <v>45837</v>
      </c>
      <c r="C4719" s="2">
        <v>45837.49291666667</v>
      </c>
      <c r="D4719" t="s">
        <v>24</v>
      </c>
      <c r="E4719" t="s">
        <v>39</v>
      </c>
      <c r="F4719" t="s">
        <v>40</v>
      </c>
      <c r="G4719" t="s">
        <v>51</v>
      </c>
      <c r="H4719" t="s">
        <v>19</v>
      </c>
      <c r="I4719" t="s">
        <v>45</v>
      </c>
      <c r="J4719" t="s">
        <v>21</v>
      </c>
      <c r="K4719">
        <v>24</v>
      </c>
      <c r="L4719">
        <v>11.83</v>
      </c>
      <c r="M4719">
        <v>4.3</v>
      </c>
      <c r="N4719" t="s">
        <v>22</v>
      </c>
      <c r="O4719" t="str">
        <f t="shared" si="73"/>
        <v>No</v>
      </c>
    </row>
    <row r="4720" spans="1:15" x14ac:dyDescent="0.25">
      <c r="A4720" t="s">
        <v>4781</v>
      </c>
      <c r="B4720" s="1">
        <v>45730</v>
      </c>
      <c r="C4720" s="2">
        <v>45730.753750000003</v>
      </c>
      <c r="D4720" t="s">
        <v>15</v>
      </c>
      <c r="E4720" t="s">
        <v>45</v>
      </c>
      <c r="F4720" t="s">
        <v>104</v>
      </c>
      <c r="G4720" t="s">
        <v>34</v>
      </c>
      <c r="H4720" t="s">
        <v>19</v>
      </c>
      <c r="I4720" t="s">
        <v>45</v>
      </c>
      <c r="J4720" t="s">
        <v>46</v>
      </c>
      <c r="K4720">
        <v>48</v>
      </c>
      <c r="L4720">
        <v>18.09</v>
      </c>
      <c r="M4720">
        <v>4</v>
      </c>
      <c r="N4720" t="s">
        <v>22</v>
      </c>
      <c r="O4720" t="str">
        <f t="shared" si="73"/>
        <v>No</v>
      </c>
    </row>
    <row r="4721" spans="1:15" x14ac:dyDescent="0.25">
      <c r="A4721" t="s">
        <v>4782</v>
      </c>
      <c r="B4721" s="1">
        <v>45685</v>
      </c>
      <c r="C4721" s="2">
        <v>45685.396249999998</v>
      </c>
      <c r="D4721" t="s">
        <v>15</v>
      </c>
      <c r="E4721" t="s">
        <v>16</v>
      </c>
      <c r="F4721" t="s">
        <v>60</v>
      </c>
      <c r="G4721" t="s">
        <v>34</v>
      </c>
      <c r="H4721" t="s">
        <v>65</v>
      </c>
      <c r="I4721" t="s">
        <v>36</v>
      </c>
      <c r="J4721" t="s">
        <v>46</v>
      </c>
      <c r="K4721">
        <v>48</v>
      </c>
      <c r="L4721">
        <v>9.51</v>
      </c>
      <c r="M4721">
        <v>4.7</v>
      </c>
      <c r="N4721" t="s">
        <v>22</v>
      </c>
      <c r="O4721" t="str">
        <f t="shared" si="73"/>
        <v>No</v>
      </c>
    </row>
    <row r="4722" spans="1:15" x14ac:dyDescent="0.25">
      <c r="A4722" t="s">
        <v>4783</v>
      </c>
      <c r="B4722" s="1">
        <v>45761</v>
      </c>
      <c r="C4722" s="2">
        <v>45761.688333333332</v>
      </c>
      <c r="D4722" t="s">
        <v>15</v>
      </c>
      <c r="E4722" t="s">
        <v>25</v>
      </c>
      <c r="F4722" t="s">
        <v>26</v>
      </c>
      <c r="G4722" t="s">
        <v>56</v>
      </c>
      <c r="H4722" t="s">
        <v>65</v>
      </c>
      <c r="I4722" t="s">
        <v>20</v>
      </c>
      <c r="J4722" t="s">
        <v>46</v>
      </c>
      <c r="K4722">
        <v>48</v>
      </c>
      <c r="L4722">
        <v>16.52</v>
      </c>
      <c r="M4722">
        <v>4</v>
      </c>
      <c r="N4722" t="s">
        <v>22</v>
      </c>
      <c r="O4722" t="str">
        <f t="shared" si="73"/>
        <v>No</v>
      </c>
    </row>
    <row r="4723" spans="1:15" x14ac:dyDescent="0.25">
      <c r="A4723" t="s">
        <v>4784</v>
      </c>
      <c r="B4723" s="1">
        <v>45808</v>
      </c>
      <c r="C4723" s="2">
        <v>45810.674583333333</v>
      </c>
      <c r="D4723" t="s">
        <v>15</v>
      </c>
      <c r="E4723" t="s">
        <v>16</v>
      </c>
      <c r="F4723" t="s">
        <v>43</v>
      </c>
      <c r="G4723" t="s">
        <v>34</v>
      </c>
      <c r="H4723" t="s">
        <v>44</v>
      </c>
      <c r="I4723" t="s">
        <v>36</v>
      </c>
      <c r="J4723" t="s">
        <v>21</v>
      </c>
      <c r="K4723">
        <v>48</v>
      </c>
      <c r="L4723">
        <v>64.19</v>
      </c>
      <c r="M4723">
        <v>4.8</v>
      </c>
      <c r="N4723" t="s">
        <v>22</v>
      </c>
      <c r="O4723" t="str">
        <f t="shared" si="73"/>
        <v>Yes</v>
      </c>
    </row>
    <row r="4724" spans="1:15" x14ac:dyDescent="0.25">
      <c r="A4724" t="s">
        <v>4785</v>
      </c>
      <c r="B4724" s="1">
        <v>45829</v>
      </c>
      <c r="C4724" s="2">
        <v>45829.498333333337</v>
      </c>
      <c r="D4724" t="s">
        <v>24</v>
      </c>
      <c r="E4724" t="s">
        <v>16</v>
      </c>
      <c r="F4724" t="s">
        <v>60</v>
      </c>
      <c r="G4724" t="s">
        <v>41</v>
      </c>
      <c r="H4724" t="s">
        <v>65</v>
      </c>
      <c r="I4724" t="s">
        <v>36</v>
      </c>
      <c r="J4724" t="s">
        <v>21</v>
      </c>
      <c r="K4724">
        <v>24</v>
      </c>
      <c r="L4724">
        <v>11.96</v>
      </c>
      <c r="M4724">
        <v>4.5</v>
      </c>
      <c r="N4724" t="s">
        <v>22</v>
      </c>
      <c r="O4724" t="str">
        <f t="shared" si="73"/>
        <v>No</v>
      </c>
    </row>
    <row r="4725" spans="1:15" x14ac:dyDescent="0.25">
      <c r="A4725" t="s">
        <v>4786</v>
      </c>
      <c r="B4725" s="1">
        <v>45667</v>
      </c>
      <c r="C4725" s="2">
        <v>45668.395416666666</v>
      </c>
      <c r="D4725" t="s">
        <v>15</v>
      </c>
      <c r="E4725" t="s">
        <v>25</v>
      </c>
      <c r="F4725" t="s">
        <v>26</v>
      </c>
      <c r="G4725" t="s">
        <v>41</v>
      </c>
      <c r="H4725" t="s">
        <v>54</v>
      </c>
      <c r="I4725" t="s">
        <v>45</v>
      </c>
      <c r="J4725" t="s">
        <v>21</v>
      </c>
      <c r="K4725">
        <v>48</v>
      </c>
      <c r="L4725">
        <v>33.49</v>
      </c>
      <c r="M4725">
        <v>3.8</v>
      </c>
      <c r="N4725" t="s">
        <v>22</v>
      </c>
      <c r="O4725" t="str">
        <f t="shared" si="73"/>
        <v>No</v>
      </c>
    </row>
    <row r="4726" spans="1:15" x14ac:dyDescent="0.25">
      <c r="A4726" t="s">
        <v>4787</v>
      </c>
      <c r="B4726" s="1">
        <v>45710</v>
      </c>
      <c r="C4726" s="2">
        <v>45710.143750000003</v>
      </c>
      <c r="D4726" t="s">
        <v>24</v>
      </c>
      <c r="E4726" t="s">
        <v>32</v>
      </c>
      <c r="F4726" t="s">
        <v>80</v>
      </c>
      <c r="G4726" t="s">
        <v>56</v>
      </c>
      <c r="H4726" t="s">
        <v>54</v>
      </c>
      <c r="I4726" t="s">
        <v>36</v>
      </c>
      <c r="J4726" t="s">
        <v>46</v>
      </c>
      <c r="K4726">
        <v>24</v>
      </c>
      <c r="L4726">
        <v>3.45</v>
      </c>
      <c r="M4726">
        <v>5</v>
      </c>
      <c r="N4726" t="s">
        <v>22</v>
      </c>
      <c r="O4726" t="str">
        <f t="shared" si="73"/>
        <v>No</v>
      </c>
    </row>
    <row r="4727" spans="1:15" x14ac:dyDescent="0.25">
      <c r="A4727" t="s">
        <v>4788</v>
      </c>
      <c r="B4727" s="1">
        <v>45744</v>
      </c>
      <c r="C4727" s="2">
        <v>45744.276666666665</v>
      </c>
      <c r="D4727" t="s">
        <v>15</v>
      </c>
      <c r="E4727" t="s">
        <v>32</v>
      </c>
      <c r="F4727" t="s">
        <v>33</v>
      </c>
      <c r="G4727" t="s">
        <v>18</v>
      </c>
      <c r="H4727" t="s">
        <v>19</v>
      </c>
      <c r="I4727" t="s">
        <v>36</v>
      </c>
      <c r="J4727" t="s">
        <v>29</v>
      </c>
      <c r="K4727">
        <v>48</v>
      </c>
      <c r="L4727">
        <v>6.64</v>
      </c>
      <c r="M4727">
        <v>4</v>
      </c>
      <c r="N4727" t="s">
        <v>22</v>
      </c>
      <c r="O4727" t="str">
        <f t="shared" si="73"/>
        <v>No</v>
      </c>
    </row>
    <row r="4728" spans="1:15" x14ac:dyDescent="0.25">
      <c r="A4728" t="s">
        <v>4789</v>
      </c>
      <c r="B4728" s="1">
        <v>45675</v>
      </c>
      <c r="C4728" s="2">
        <v>45675.244583333333</v>
      </c>
      <c r="D4728" t="s">
        <v>15</v>
      </c>
      <c r="E4728" t="s">
        <v>32</v>
      </c>
      <c r="F4728" t="s">
        <v>75</v>
      </c>
      <c r="G4728" t="s">
        <v>34</v>
      </c>
      <c r="H4728" t="s">
        <v>54</v>
      </c>
      <c r="I4728" t="s">
        <v>36</v>
      </c>
      <c r="J4728" t="s">
        <v>21</v>
      </c>
      <c r="K4728">
        <v>48</v>
      </c>
      <c r="L4728">
        <v>5.87</v>
      </c>
      <c r="M4728">
        <v>4.4000000000000004</v>
      </c>
      <c r="N4728" t="s">
        <v>22</v>
      </c>
      <c r="O4728" t="str">
        <f t="shared" si="73"/>
        <v>No</v>
      </c>
    </row>
    <row r="4729" spans="1:15" x14ac:dyDescent="0.25">
      <c r="A4729" t="s">
        <v>4790</v>
      </c>
      <c r="B4729" s="1">
        <v>45818</v>
      </c>
      <c r="C4729" s="2">
        <v>45819.11791666667</v>
      </c>
      <c r="D4729" t="s">
        <v>24</v>
      </c>
      <c r="E4729" t="s">
        <v>16</v>
      </c>
      <c r="F4729" t="s">
        <v>43</v>
      </c>
      <c r="G4729" t="s">
        <v>41</v>
      </c>
      <c r="H4729" t="s">
        <v>19</v>
      </c>
      <c r="I4729" t="s">
        <v>20</v>
      </c>
      <c r="J4729" t="s">
        <v>21</v>
      </c>
      <c r="K4729">
        <v>24</v>
      </c>
      <c r="L4729">
        <v>26.83</v>
      </c>
      <c r="M4729">
        <v>3.9</v>
      </c>
      <c r="N4729" t="s">
        <v>22</v>
      </c>
      <c r="O4729" t="str">
        <f t="shared" si="73"/>
        <v>Yes</v>
      </c>
    </row>
    <row r="4730" spans="1:15" x14ac:dyDescent="0.25">
      <c r="A4730" t="s">
        <v>4791</v>
      </c>
      <c r="B4730" s="1">
        <v>45678</v>
      </c>
      <c r="C4730" s="2">
        <v>45679.026250000003</v>
      </c>
      <c r="D4730" t="s">
        <v>15</v>
      </c>
      <c r="E4730" t="s">
        <v>25</v>
      </c>
      <c r="F4730" t="s">
        <v>26</v>
      </c>
      <c r="G4730" t="s">
        <v>56</v>
      </c>
      <c r="H4730" t="s">
        <v>54</v>
      </c>
      <c r="I4730" t="s">
        <v>45</v>
      </c>
      <c r="J4730" t="s">
        <v>21</v>
      </c>
      <c r="K4730">
        <v>48</v>
      </c>
      <c r="L4730">
        <v>24.63</v>
      </c>
      <c r="M4730">
        <v>4.5</v>
      </c>
      <c r="N4730" t="s">
        <v>22</v>
      </c>
      <c r="O4730" t="str">
        <f t="shared" si="73"/>
        <v>No</v>
      </c>
    </row>
    <row r="4731" spans="1:15" x14ac:dyDescent="0.25">
      <c r="A4731" t="s">
        <v>4792</v>
      </c>
      <c r="B4731" s="1">
        <v>45778</v>
      </c>
      <c r="C4731" s="2">
        <v>45778.04583333333</v>
      </c>
      <c r="D4731" t="s">
        <v>31</v>
      </c>
      <c r="E4731" t="s">
        <v>16</v>
      </c>
      <c r="F4731" t="s">
        <v>43</v>
      </c>
      <c r="G4731" t="s">
        <v>51</v>
      </c>
      <c r="H4731" t="s">
        <v>19</v>
      </c>
      <c r="I4731" t="s">
        <v>36</v>
      </c>
      <c r="J4731" t="s">
        <v>46</v>
      </c>
      <c r="K4731">
        <v>4</v>
      </c>
      <c r="L4731">
        <v>1.1000000000000001</v>
      </c>
      <c r="M4731">
        <v>5</v>
      </c>
      <c r="N4731" t="s">
        <v>22</v>
      </c>
      <c r="O4731" t="str">
        <f t="shared" si="73"/>
        <v>No</v>
      </c>
    </row>
    <row r="4732" spans="1:15" x14ac:dyDescent="0.25">
      <c r="A4732" t="s">
        <v>4793</v>
      </c>
      <c r="B4732" s="1">
        <v>45824</v>
      </c>
      <c r="C4732" s="2">
        <v>45824.906666666669</v>
      </c>
      <c r="D4732" t="s">
        <v>24</v>
      </c>
      <c r="E4732" t="s">
        <v>16</v>
      </c>
      <c r="F4732" t="s">
        <v>58</v>
      </c>
      <c r="G4732" t="s">
        <v>41</v>
      </c>
      <c r="H4732" t="s">
        <v>35</v>
      </c>
      <c r="I4732" t="s">
        <v>20</v>
      </c>
      <c r="J4732" t="s">
        <v>29</v>
      </c>
      <c r="K4732">
        <v>24</v>
      </c>
      <c r="L4732">
        <v>21.76</v>
      </c>
      <c r="M4732">
        <v>2.1</v>
      </c>
      <c r="N4732" t="s">
        <v>22</v>
      </c>
      <c r="O4732" t="str">
        <f t="shared" si="73"/>
        <v>No</v>
      </c>
    </row>
    <row r="4733" spans="1:15" x14ac:dyDescent="0.25">
      <c r="A4733" t="s">
        <v>4794</v>
      </c>
      <c r="B4733" s="1">
        <v>45782</v>
      </c>
      <c r="C4733" s="2">
        <v>45782.796249999999</v>
      </c>
      <c r="D4733" t="s">
        <v>15</v>
      </c>
      <c r="E4733" t="s">
        <v>45</v>
      </c>
      <c r="F4733" t="s">
        <v>112</v>
      </c>
      <c r="G4733" t="s">
        <v>41</v>
      </c>
      <c r="H4733" t="s">
        <v>27</v>
      </c>
      <c r="I4733" t="s">
        <v>20</v>
      </c>
      <c r="J4733" t="s">
        <v>21</v>
      </c>
      <c r="K4733">
        <v>48</v>
      </c>
      <c r="L4733">
        <v>19.11</v>
      </c>
      <c r="M4733">
        <v>5</v>
      </c>
      <c r="N4733" t="s">
        <v>22</v>
      </c>
      <c r="O4733" t="str">
        <f t="shared" si="73"/>
        <v>No</v>
      </c>
    </row>
    <row r="4734" spans="1:15" x14ac:dyDescent="0.25">
      <c r="A4734" t="s">
        <v>4795</v>
      </c>
      <c r="B4734" s="1">
        <v>45796</v>
      </c>
      <c r="C4734" s="2">
        <v>45797.96166666667</v>
      </c>
      <c r="D4734" t="s">
        <v>15</v>
      </c>
      <c r="E4734" t="s">
        <v>32</v>
      </c>
      <c r="F4734" t="s">
        <v>64</v>
      </c>
      <c r="G4734" t="s">
        <v>56</v>
      </c>
      <c r="H4734" t="s">
        <v>19</v>
      </c>
      <c r="I4734" t="s">
        <v>36</v>
      </c>
      <c r="J4734" t="s">
        <v>21</v>
      </c>
      <c r="K4734">
        <v>48</v>
      </c>
      <c r="L4734">
        <v>47.08</v>
      </c>
      <c r="M4734">
        <v>3.5</v>
      </c>
      <c r="N4734" t="s">
        <v>22</v>
      </c>
      <c r="O4734" t="str">
        <f t="shared" si="73"/>
        <v>No</v>
      </c>
    </row>
    <row r="4735" spans="1:15" x14ac:dyDescent="0.25">
      <c r="A4735" t="s">
        <v>4796</v>
      </c>
      <c r="B4735" s="1">
        <v>45705</v>
      </c>
      <c r="C4735" s="2">
        <v>45705.492083333331</v>
      </c>
      <c r="D4735" t="s">
        <v>24</v>
      </c>
      <c r="E4735" t="s">
        <v>32</v>
      </c>
      <c r="F4735" t="s">
        <v>33</v>
      </c>
      <c r="G4735" t="s">
        <v>34</v>
      </c>
      <c r="H4735" t="s">
        <v>19</v>
      </c>
      <c r="I4735" t="s">
        <v>45</v>
      </c>
      <c r="J4735" t="s">
        <v>85</v>
      </c>
      <c r="K4735">
        <v>24</v>
      </c>
      <c r="L4735">
        <v>11.81</v>
      </c>
      <c r="M4735">
        <v>3.6</v>
      </c>
      <c r="N4735" t="s">
        <v>22</v>
      </c>
      <c r="O4735" t="str">
        <f t="shared" si="73"/>
        <v>No</v>
      </c>
    </row>
    <row r="4736" spans="1:15" x14ac:dyDescent="0.25">
      <c r="A4736" t="s">
        <v>4797</v>
      </c>
      <c r="B4736" s="1">
        <v>45807</v>
      </c>
      <c r="C4736" s="2">
        <v>45807.990416666667</v>
      </c>
      <c r="D4736" t="s">
        <v>24</v>
      </c>
      <c r="E4736" t="s">
        <v>45</v>
      </c>
      <c r="F4736" t="s">
        <v>104</v>
      </c>
      <c r="G4736" t="s">
        <v>41</v>
      </c>
      <c r="H4736" t="s">
        <v>65</v>
      </c>
      <c r="I4736" t="s">
        <v>36</v>
      </c>
      <c r="J4736" t="s">
        <v>21</v>
      </c>
      <c r="K4736">
        <v>24</v>
      </c>
      <c r="L4736">
        <v>23.77</v>
      </c>
      <c r="M4736">
        <v>2.7</v>
      </c>
      <c r="N4736" t="s">
        <v>22</v>
      </c>
      <c r="O4736" t="str">
        <f t="shared" si="73"/>
        <v>No</v>
      </c>
    </row>
    <row r="4737" spans="1:15" x14ac:dyDescent="0.25">
      <c r="A4737" t="s">
        <v>4798</v>
      </c>
      <c r="B4737" s="1">
        <v>45733</v>
      </c>
      <c r="C4737" s="2">
        <v>45733.082499999997</v>
      </c>
      <c r="D4737" t="s">
        <v>38</v>
      </c>
      <c r="E4737" t="s">
        <v>45</v>
      </c>
      <c r="F4737" t="s">
        <v>112</v>
      </c>
      <c r="G4737" t="s">
        <v>41</v>
      </c>
      <c r="H4737" t="s">
        <v>65</v>
      </c>
      <c r="I4737" t="s">
        <v>45</v>
      </c>
      <c r="J4737" t="s">
        <v>29</v>
      </c>
      <c r="K4737">
        <v>8</v>
      </c>
      <c r="L4737">
        <v>1.98</v>
      </c>
      <c r="M4737">
        <v>4.3</v>
      </c>
      <c r="N4737" t="s">
        <v>22</v>
      </c>
      <c r="O4737" t="str">
        <f t="shared" si="73"/>
        <v>No</v>
      </c>
    </row>
    <row r="4738" spans="1:15" x14ac:dyDescent="0.25">
      <c r="A4738" t="s">
        <v>4799</v>
      </c>
      <c r="B4738" s="1">
        <v>45669</v>
      </c>
      <c r="C4738" s="2">
        <v>45669.68</v>
      </c>
      <c r="D4738" t="s">
        <v>24</v>
      </c>
      <c r="E4738" t="s">
        <v>16</v>
      </c>
      <c r="F4738" t="s">
        <v>58</v>
      </c>
      <c r="G4738" t="s">
        <v>34</v>
      </c>
      <c r="H4738" t="s">
        <v>44</v>
      </c>
      <c r="I4738" t="s">
        <v>20</v>
      </c>
      <c r="J4738" t="s">
        <v>85</v>
      </c>
      <c r="K4738">
        <v>24</v>
      </c>
      <c r="L4738">
        <v>16.32</v>
      </c>
      <c r="M4738">
        <v>5</v>
      </c>
      <c r="N4738" t="s">
        <v>22</v>
      </c>
      <c r="O4738" t="str">
        <f t="shared" si="73"/>
        <v>No</v>
      </c>
    </row>
    <row r="4739" spans="1:15" x14ac:dyDescent="0.25">
      <c r="A4739" t="s">
        <v>4800</v>
      </c>
      <c r="B4739" s="1">
        <v>45724</v>
      </c>
      <c r="C4739" s="2">
        <v>45724.801666666666</v>
      </c>
      <c r="D4739" t="s">
        <v>24</v>
      </c>
      <c r="E4739" t="s">
        <v>32</v>
      </c>
      <c r="F4739" t="s">
        <v>64</v>
      </c>
      <c r="G4739" t="s">
        <v>51</v>
      </c>
      <c r="H4739" t="s">
        <v>19</v>
      </c>
      <c r="I4739" t="s">
        <v>36</v>
      </c>
      <c r="J4739" t="s">
        <v>46</v>
      </c>
      <c r="K4739">
        <v>24</v>
      </c>
      <c r="L4739">
        <v>19.239999999999998</v>
      </c>
      <c r="M4739">
        <v>4.7</v>
      </c>
      <c r="N4739" t="s">
        <v>22</v>
      </c>
      <c r="O4739" t="str">
        <f t="shared" ref="O4739:O4802" si="74">IF(L4739&gt;K4739,"Yes","No")</f>
        <v>No</v>
      </c>
    </row>
    <row r="4740" spans="1:15" x14ac:dyDescent="0.25">
      <c r="A4740" t="s">
        <v>4801</v>
      </c>
      <c r="B4740" s="1">
        <v>45721</v>
      </c>
      <c r="C4740" s="2">
        <v>45721.129583333335</v>
      </c>
      <c r="D4740" t="s">
        <v>24</v>
      </c>
      <c r="E4740" t="s">
        <v>45</v>
      </c>
      <c r="F4740" t="s">
        <v>112</v>
      </c>
      <c r="G4740" t="s">
        <v>51</v>
      </c>
      <c r="H4740" t="s">
        <v>27</v>
      </c>
      <c r="I4740" t="s">
        <v>45</v>
      </c>
      <c r="J4740" t="s">
        <v>21</v>
      </c>
      <c r="K4740">
        <v>24</v>
      </c>
      <c r="L4740">
        <v>3.11</v>
      </c>
      <c r="M4740">
        <v>5</v>
      </c>
      <c r="N4740" t="s">
        <v>61</v>
      </c>
      <c r="O4740" t="str">
        <f t="shared" si="74"/>
        <v>No</v>
      </c>
    </row>
    <row r="4741" spans="1:15" x14ac:dyDescent="0.25">
      <c r="A4741" t="s">
        <v>4802</v>
      </c>
      <c r="B4741" s="1">
        <v>45752</v>
      </c>
      <c r="C4741" s="2">
        <v>45752.171249999999</v>
      </c>
      <c r="D4741" t="s">
        <v>38</v>
      </c>
      <c r="E4741" t="s">
        <v>25</v>
      </c>
      <c r="F4741" t="s">
        <v>70</v>
      </c>
      <c r="G4741" t="s">
        <v>18</v>
      </c>
      <c r="H4741" t="s">
        <v>54</v>
      </c>
      <c r="I4741" t="s">
        <v>36</v>
      </c>
      <c r="J4741" t="s">
        <v>46</v>
      </c>
      <c r="K4741">
        <v>8</v>
      </c>
      <c r="L4741">
        <v>4.1100000000000003</v>
      </c>
      <c r="M4741">
        <v>4.3</v>
      </c>
      <c r="N4741" t="s">
        <v>61</v>
      </c>
      <c r="O4741" t="str">
        <f t="shared" si="74"/>
        <v>No</v>
      </c>
    </row>
    <row r="4742" spans="1:15" x14ac:dyDescent="0.25">
      <c r="A4742" t="s">
        <v>4803</v>
      </c>
      <c r="B4742" s="1">
        <v>45705</v>
      </c>
      <c r="C4742" s="2">
        <v>45705.193333333336</v>
      </c>
      <c r="D4742" t="s">
        <v>24</v>
      </c>
      <c r="E4742" t="s">
        <v>16</v>
      </c>
      <c r="F4742" t="s">
        <v>58</v>
      </c>
      <c r="G4742" t="s">
        <v>18</v>
      </c>
      <c r="H4742" t="s">
        <v>65</v>
      </c>
      <c r="I4742" t="s">
        <v>45</v>
      </c>
      <c r="J4742" t="s">
        <v>21</v>
      </c>
      <c r="K4742">
        <v>24</v>
      </c>
      <c r="L4742">
        <v>4.6399999999999997</v>
      </c>
      <c r="M4742">
        <v>4.8</v>
      </c>
      <c r="N4742" t="s">
        <v>22</v>
      </c>
      <c r="O4742" t="str">
        <f t="shared" si="74"/>
        <v>No</v>
      </c>
    </row>
    <row r="4743" spans="1:15" x14ac:dyDescent="0.25">
      <c r="A4743" t="s">
        <v>4804</v>
      </c>
      <c r="B4743" s="1">
        <v>45741</v>
      </c>
      <c r="C4743" s="2">
        <v>45741.285416666666</v>
      </c>
      <c r="D4743" t="s">
        <v>15</v>
      </c>
      <c r="E4743" t="s">
        <v>32</v>
      </c>
      <c r="F4743" t="s">
        <v>64</v>
      </c>
      <c r="G4743" t="s">
        <v>56</v>
      </c>
      <c r="H4743" t="s">
        <v>27</v>
      </c>
      <c r="I4743" t="s">
        <v>36</v>
      </c>
      <c r="J4743" t="s">
        <v>21</v>
      </c>
      <c r="K4743">
        <v>48</v>
      </c>
      <c r="L4743">
        <v>6.85</v>
      </c>
      <c r="M4743">
        <v>3.8</v>
      </c>
      <c r="N4743" t="s">
        <v>22</v>
      </c>
      <c r="O4743" t="str">
        <f t="shared" si="74"/>
        <v>No</v>
      </c>
    </row>
    <row r="4744" spans="1:15" x14ac:dyDescent="0.25">
      <c r="A4744" t="s">
        <v>4805</v>
      </c>
      <c r="B4744" s="1">
        <v>45735</v>
      </c>
      <c r="C4744" s="2">
        <v>45735.421249999999</v>
      </c>
      <c r="D4744" t="s">
        <v>24</v>
      </c>
      <c r="E4744" t="s">
        <v>16</v>
      </c>
      <c r="F4744" t="s">
        <v>58</v>
      </c>
      <c r="G4744" t="s">
        <v>18</v>
      </c>
      <c r="H4744" t="s">
        <v>27</v>
      </c>
      <c r="I4744" t="s">
        <v>20</v>
      </c>
      <c r="J4744" t="s">
        <v>21</v>
      </c>
      <c r="K4744">
        <v>24</v>
      </c>
      <c r="L4744">
        <v>10.11</v>
      </c>
      <c r="M4744">
        <v>3.5</v>
      </c>
      <c r="N4744" t="s">
        <v>22</v>
      </c>
      <c r="O4744" t="str">
        <f t="shared" si="74"/>
        <v>No</v>
      </c>
    </row>
    <row r="4745" spans="1:15" x14ac:dyDescent="0.25">
      <c r="A4745" t="s">
        <v>4806</v>
      </c>
      <c r="B4745" s="1">
        <v>45717</v>
      </c>
      <c r="C4745" s="2">
        <v>45717.233749999999</v>
      </c>
      <c r="D4745" t="s">
        <v>38</v>
      </c>
      <c r="E4745" t="s">
        <v>25</v>
      </c>
      <c r="F4745" t="s">
        <v>53</v>
      </c>
      <c r="G4745" t="s">
        <v>56</v>
      </c>
      <c r="H4745" t="s">
        <v>54</v>
      </c>
      <c r="I4745" t="s">
        <v>45</v>
      </c>
      <c r="J4745" t="s">
        <v>21</v>
      </c>
      <c r="K4745">
        <v>8</v>
      </c>
      <c r="L4745">
        <v>5.61</v>
      </c>
      <c r="M4745">
        <v>4.0999999999999996</v>
      </c>
      <c r="N4745" t="s">
        <v>22</v>
      </c>
      <c r="O4745" t="str">
        <f t="shared" si="74"/>
        <v>No</v>
      </c>
    </row>
    <row r="4746" spans="1:15" x14ac:dyDescent="0.25">
      <c r="A4746" t="s">
        <v>4807</v>
      </c>
      <c r="B4746" s="1">
        <v>45784</v>
      </c>
      <c r="C4746" s="2">
        <v>45784.283333333333</v>
      </c>
      <c r="D4746" t="s">
        <v>24</v>
      </c>
      <c r="E4746" t="s">
        <v>25</v>
      </c>
      <c r="F4746" t="s">
        <v>70</v>
      </c>
      <c r="G4746" t="s">
        <v>34</v>
      </c>
      <c r="H4746" t="s">
        <v>65</v>
      </c>
      <c r="I4746" t="s">
        <v>36</v>
      </c>
      <c r="J4746" t="s">
        <v>85</v>
      </c>
      <c r="K4746">
        <v>24</v>
      </c>
      <c r="L4746">
        <v>6.8</v>
      </c>
      <c r="M4746">
        <v>3.8</v>
      </c>
      <c r="N4746" t="s">
        <v>22</v>
      </c>
      <c r="O4746" t="str">
        <f t="shared" si="74"/>
        <v>No</v>
      </c>
    </row>
    <row r="4747" spans="1:15" x14ac:dyDescent="0.25">
      <c r="A4747" t="s">
        <v>4808</v>
      </c>
      <c r="B4747" s="1">
        <v>45713</v>
      </c>
      <c r="C4747" s="2">
        <v>45713.072916666664</v>
      </c>
      <c r="D4747" t="s">
        <v>31</v>
      </c>
      <c r="E4747" t="s">
        <v>16</v>
      </c>
      <c r="F4747" t="s">
        <v>17</v>
      </c>
      <c r="G4747" t="s">
        <v>51</v>
      </c>
      <c r="H4747" t="s">
        <v>35</v>
      </c>
      <c r="I4747" t="s">
        <v>20</v>
      </c>
      <c r="J4747" t="s">
        <v>46</v>
      </c>
      <c r="K4747">
        <v>4</v>
      </c>
      <c r="L4747">
        <v>1.75</v>
      </c>
      <c r="M4747">
        <v>3.9</v>
      </c>
      <c r="N4747" t="s">
        <v>22</v>
      </c>
      <c r="O4747" t="str">
        <f t="shared" si="74"/>
        <v>No</v>
      </c>
    </row>
    <row r="4748" spans="1:15" x14ac:dyDescent="0.25">
      <c r="A4748" t="s">
        <v>4809</v>
      </c>
      <c r="B4748" s="1">
        <v>45796</v>
      </c>
      <c r="C4748" s="2">
        <v>45796.106249999997</v>
      </c>
      <c r="D4748" t="s">
        <v>38</v>
      </c>
      <c r="E4748" t="s">
        <v>16</v>
      </c>
      <c r="F4748" t="s">
        <v>17</v>
      </c>
      <c r="G4748" t="s">
        <v>34</v>
      </c>
      <c r="H4748" t="s">
        <v>27</v>
      </c>
      <c r="I4748" t="s">
        <v>36</v>
      </c>
      <c r="J4748" t="s">
        <v>21</v>
      </c>
      <c r="K4748">
        <v>8</v>
      </c>
      <c r="L4748">
        <v>2.5499999999999998</v>
      </c>
      <c r="M4748">
        <v>4.5999999999999996</v>
      </c>
      <c r="N4748" t="s">
        <v>22</v>
      </c>
      <c r="O4748" t="str">
        <f t="shared" si="74"/>
        <v>No</v>
      </c>
    </row>
    <row r="4749" spans="1:15" x14ac:dyDescent="0.25">
      <c r="A4749" t="s">
        <v>4810</v>
      </c>
      <c r="B4749" s="1">
        <v>45703</v>
      </c>
      <c r="C4749" s="2">
        <v>45704.869583333333</v>
      </c>
      <c r="D4749" t="s">
        <v>15</v>
      </c>
      <c r="E4749" t="s">
        <v>16</v>
      </c>
      <c r="F4749" t="s">
        <v>58</v>
      </c>
      <c r="G4749" t="s">
        <v>56</v>
      </c>
      <c r="H4749" t="s">
        <v>65</v>
      </c>
      <c r="I4749" t="s">
        <v>45</v>
      </c>
      <c r="J4749" t="s">
        <v>21</v>
      </c>
      <c r="K4749">
        <v>48</v>
      </c>
      <c r="L4749">
        <v>44.87</v>
      </c>
      <c r="M4749">
        <v>4.7</v>
      </c>
      <c r="N4749" t="s">
        <v>22</v>
      </c>
      <c r="O4749" t="str">
        <f t="shared" si="74"/>
        <v>No</v>
      </c>
    </row>
    <row r="4750" spans="1:15" x14ac:dyDescent="0.25">
      <c r="A4750" t="s">
        <v>4811</v>
      </c>
      <c r="B4750" s="1">
        <v>45814</v>
      </c>
      <c r="C4750" s="2">
        <v>45814.390416666669</v>
      </c>
      <c r="D4750" t="s">
        <v>38</v>
      </c>
      <c r="E4750" t="s">
        <v>16</v>
      </c>
      <c r="F4750" t="s">
        <v>43</v>
      </c>
      <c r="G4750" t="s">
        <v>51</v>
      </c>
      <c r="H4750" t="s">
        <v>44</v>
      </c>
      <c r="I4750" t="s">
        <v>45</v>
      </c>
      <c r="J4750" t="s">
        <v>46</v>
      </c>
      <c r="K4750">
        <v>8</v>
      </c>
      <c r="L4750">
        <v>9.3699999999999992</v>
      </c>
      <c r="M4750">
        <v>3.6</v>
      </c>
      <c r="N4750" t="s">
        <v>22</v>
      </c>
      <c r="O4750" t="str">
        <f t="shared" si="74"/>
        <v>Yes</v>
      </c>
    </row>
    <row r="4751" spans="1:15" x14ac:dyDescent="0.25">
      <c r="A4751" t="s">
        <v>4812</v>
      </c>
      <c r="B4751" s="1">
        <v>45724</v>
      </c>
      <c r="C4751" s="2">
        <v>45726.15</v>
      </c>
      <c r="D4751" t="s">
        <v>24</v>
      </c>
      <c r="E4751" t="s">
        <v>39</v>
      </c>
      <c r="F4751" t="s">
        <v>87</v>
      </c>
      <c r="G4751" t="s">
        <v>56</v>
      </c>
      <c r="H4751" t="s">
        <v>44</v>
      </c>
      <c r="I4751" t="s">
        <v>36</v>
      </c>
      <c r="J4751" t="s">
        <v>21</v>
      </c>
      <c r="K4751">
        <v>24</v>
      </c>
      <c r="L4751">
        <v>51.6</v>
      </c>
      <c r="M4751">
        <v>1.5</v>
      </c>
      <c r="N4751" t="s">
        <v>22</v>
      </c>
      <c r="O4751" t="str">
        <f t="shared" si="74"/>
        <v>Yes</v>
      </c>
    </row>
    <row r="4752" spans="1:15" x14ac:dyDescent="0.25">
      <c r="A4752" t="s">
        <v>4813</v>
      </c>
      <c r="B4752" s="1">
        <v>45665</v>
      </c>
      <c r="C4752" s="2">
        <v>45666.067083333335</v>
      </c>
      <c r="D4752" t="s">
        <v>24</v>
      </c>
      <c r="E4752" t="s">
        <v>32</v>
      </c>
      <c r="F4752" t="s">
        <v>80</v>
      </c>
      <c r="G4752" t="s">
        <v>51</v>
      </c>
      <c r="H4752" t="s">
        <v>65</v>
      </c>
      <c r="I4752" t="s">
        <v>36</v>
      </c>
      <c r="J4752" t="s">
        <v>21</v>
      </c>
      <c r="K4752">
        <v>24</v>
      </c>
      <c r="L4752">
        <v>25.61</v>
      </c>
      <c r="M4752">
        <v>2.5</v>
      </c>
      <c r="N4752" t="s">
        <v>22</v>
      </c>
      <c r="O4752" t="str">
        <f t="shared" si="74"/>
        <v>Yes</v>
      </c>
    </row>
    <row r="4753" spans="1:15" x14ac:dyDescent="0.25">
      <c r="A4753" t="s">
        <v>4814</v>
      </c>
      <c r="B4753" s="1">
        <v>45685</v>
      </c>
      <c r="C4753" s="2">
        <v>45685.745416666665</v>
      </c>
      <c r="D4753" t="s">
        <v>24</v>
      </c>
      <c r="E4753" t="s">
        <v>32</v>
      </c>
      <c r="F4753" t="s">
        <v>64</v>
      </c>
      <c r="G4753" t="s">
        <v>51</v>
      </c>
      <c r="H4753" t="s">
        <v>35</v>
      </c>
      <c r="I4753" t="s">
        <v>36</v>
      </c>
      <c r="J4753" t="s">
        <v>21</v>
      </c>
      <c r="K4753">
        <v>24</v>
      </c>
      <c r="L4753">
        <v>17.89</v>
      </c>
      <c r="M4753">
        <v>4.2</v>
      </c>
      <c r="N4753" t="s">
        <v>22</v>
      </c>
      <c r="O4753" t="str">
        <f t="shared" si="74"/>
        <v>No</v>
      </c>
    </row>
    <row r="4754" spans="1:15" x14ac:dyDescent="0.25">
      <c r="A4754" t="s">
        <v>4815</v>
      </c>
      <c r="B4754" s="1">
        <v>45803</v>
      </c>
      <c r="C4754" s="2">
        <v>45803.311249999999</v>
      </c>
      <c r="D4754" t="s">
        <v>38</v>
      </c>
      <c r="E4754" t="s">
        <v>25</v>
      </c>
      <c r="F4754" t="s">
        <v>70</v>
      </c>
      <c r="G4754" t="s">
        <v>34</v>
      </c>
      <c r="H4754" t="s">
        <v>19</v>
      </c>
      <c r="I4754" t="s">
        <v>20</v>
      </c>
      <c r="J4754" t="s">
        <v>46</v>
      </c>
      <c r="K4754">
        <v>8</v>
      </c>
      <c r="L4754">
        <v>7.47</v>
      </c>
      <c r="M4754">
        <v>3.5</v>
      </c>
      <c r="N4754" t="s">
        <v>22</v>
      </c>
      <c r="O4754" t="str">
        <f t="shared" si="74"/>
        <v>No</v>
      </c>
    </row>
    <row r="4755" spans="1:15" x14ac:dyDescent="0.25">
      <c r="A4755" t="s">
        <v>4816</v>
      </c>
      <c r="B4755" s="1">
        <v>45815</v>
      </c>
      <c r="C4755" s="2">
        <v>45815.321666666663</v>
      </c>
      <c r="D4755" t="s">
        <v>24</v>
      </c>
      <c r="E4755" t="s">
        <v>32</v>
      </c>
      <c r="F4755" t="s">
        <v>75</v>
      </c>
      <c r="G4755" t="s">
        <v>34</v>
      </c>
      <c r="H4755" t="s">
        <v>19</v>
      </c>
      <c r="I4755" t="s">
        <v>20</v>
      </c>
      <c r="J4755" t="s">
        <v>21</v>
      </c>
      <c r="K4755">
        <v>24</v>
      </c>
      <c r="L4755">
        <v>7.72</v>
      </c>
      <c r="M4755">
        <v>4.7</v>
      </c>
      <c r="N4755" t="s">
        <v>22</v>
      </c>
      <c r="O4755" t="str">
        <f t="shared" si="74"/>
        <v>No</v>
      </c>
    </row>
    <row r="4756" spans="1:15" x14ac:dyDescent="0.25">
      <c r="A4756" t="s">
        <v>4817</v>
      </c>
      <c r="B4756" s="1">
        <v>45696</v>
      </c>
      <c r="C4756" s="2">
        <v>45696.414583333331</v>
      </c>
      <c r="D4756" t="s">
        <v>24</v>
      </c>
      <c r="E4756" t="s">
        <v>32</v>
      </c>
      <c r="F4756" t="s">
        <v>64</v>
      </c>
      <c r="G4756" t="s">
        <v>41</v>
      </c>
      <c r="H4756" t="s">
        <v>65</v>
      </c>
      <c r="I4756" t="s">
        <v>36</v>
      </c>
      <c r="J4756" t="s">
        <v>29</v>
      </c>
      <c r="K4756">
        <v>24</v>
      </c>
      <c r="L4756">
        <v>9.9499999999999993</v>
      </c>
      <c r="M4756">
        <v>4.4000000000000004</v>
      </c>
      <c r="N4756" t="s">
        <v>22</v>
      </c>
      <c r="O4756" t="str">
        <f t="shared" si="74"/>
        <v>No</v>
      </c>
    </row>
    <row r="4757" spans="1:15" x14ac:dyDescent="0.25">
      <c r="A4757" t="s">
        <v>4818</v>
      </c>
      <c r="B4757" s="1">
        <v>45766</v>
      </c>
      <c r="C4757" s="2">
        <v>45767.213750000003</v>
      </c>
      <c r="D4757" t="s">
        <v>15</v>
      </c>
      <c r="E4757" t="s">
        <v>45</v>
      </c>
      <c r="F4757" t="s">
        <v>50</v>
      </c>
      <c r="G4757" t="s">
        <v>51</v>
      </c>
      <c r="H4757" t="s">
        <v>54</v>
      </c>
      <c r="I4757" t="s">
        <v>36</v>
      </c>
      <c r="J4757" t="s">
        <v>46</v>
      </c>
      <c r="K4757">
        <v>48</v>
      </c>
      <c r="L4757">
        <v>29.13</v>
      </c>
      <c r="M4757">
        <v>4.2</v>
      </c>
      <c r="N4757" t="s">
        <v>22</v>
      </c>
      <c r="O4757" t="str">
        <f t="shared" si="74"/>
        <v>No</v>
      </c>
    </row>
    <row r="4758" spans="1:15" x14ac:dyDescent="0.25">
      <c r="A4758" t="s">
        <v>4819</v>
      </c>
      <c r="B4758" s="1">
        <v>45761</v>
      </c>
      <c r="C4758" s="2">
        <v>45761.124583333331</v>
      </c>
      <c r="D4758" t="s">
        <v>24</v>
      </c>
      <c r="E4758" t="s">
        <v>16</v>
      </c>
      <c r="F4758" t="s">
        <v>43</v>
      </c>
      <c r="G4758" t="s">
        <v>51</v>
      </c>
      <c r="H4758" t="s">
        <v>65</v>
      </c>
      <c r="I4758" t="s">
        <v>20</v>
      </c>
      <c r="J4758" t="s">
        <v>21</v>
      </c>
      <c r="K4758">
        <v>24</v>
      </c>
      <c r="L4758">
        <v>2.99</v>
      </c>
      <c r="M4758">
        <v>5</v>
      </c>
      <c r="N4758" t="s">
        <v>22</v>
      </c>
      <c r="O4758" t="str">
        <f t="shared" si="74"/>
        <v>No</v>
      </c>
    </row>
    <row r="4759" spans="1:15" x14ac:dyDescent="0.25">
      <c r="A4759" t="s">
        <v>4820</v>
      </c>
      <c r="B4759" s="1">
        <v>45682</v>
      </c>
      <c r="C4759" s="2">
        <v>45682.100416666668</v>
      </c>
      <c r="D4759" t="s">
        <v>38</v>
      </c>
      <c r="E4759" t="s">
        <v>32</v>
      </c>
      <c r="F4759" t="s">
        <v>80</v>
      </c>
      <c r="G4759" t="s">
        <v>51</v>
      </c>
      <c r="H4759" t="s">
        <v>44</v>
      </c>
      <c r="I4759" t="s">
        <v>36</v>
      </c>
      <c r="J4759" t="s">
        <v>21</v>
      </c>
      <c r="K4759">
        <v>8</v>
      </c>
      <c r="L4759">
        <v>2.41</v>
      </c>
      <c r="M4759">
        <v>5</v>
      </c>
      <c r="N4759" t="s">
        <v>22</v>
      </c>
      <c r="O4759" t="str">
        <f t="shared" si="74"/>
        <v>No</v>
      </c>
    </row>
    <row r="4760" spans="1:15" x14ac:dyDescent="0.25">
      <c r="A4760" t="s">
        <v>4821</v>
      </c>
      <c r="B4760" s="1">
        <v>45739</v>
      </c>
      <c r="C4760" s="2">
        <v>45740.947916666664</v>
      </c>
      <c r="D4760" t="s">
        <v>24</v>
      </c>
      <c r="E4760" t="s">
        <v>39</v>
      </c>
      <c r="F4760" t="s">
        <v>119</v>
      </c>
      <c r="G4760" t="s">
        <v>41</v>
      </c>
      <c r="H4760" t="s">
        <v>54</v>
      </c>
      <c r="I4760" t="s">
        <v>36</v>
      </c>
      <c r="J4760" t="s">
        <v>21</v>
      </c>
      <c r="K4760">
        <v>24</v>
      </c>
      <c r="L4760">
        <v>46.75</v>
      </c>
      <c r="M4760">
        <v>2.9</v>
      </c>
      <c r="N4760" t="s">
        <v>22</v>
      </c>
      <c r="O4760" t="str">
        <f t="shared" si="74"/>
        <v>Yes</v>
      </c>
    </row>
    <row r="4761" spans="1:15" x14ac:dyDescent="0.25">
      <c r="A4761" t="s">
        <v>4822</v>
      </c>
      <c r="B4761" s="1">
        <v>45783</v>
      </c>
      <c r="C4761" s="2">
        <v>45783.834583333337</v>
      </c>
      <c r="D4761" t="s">
        <v>15</v>
      </c>
      <c r="E4761" t="s">
        <v>25</v>
      </c>
      <c r="F4761" t="s">
        <v>53</v>
      </c>
      <c r="G4761" t="s">
        <v>56</v>
      </c>
      <c r="H4761" t="s">
        <v>54</v>
      </c>
      <c r="I4761" t="s">
        <v>45</v>
      </c>
      <c r="J4761" t="s">
        <v>21</v>
      </c>
      <c r="K4761">
        <v>48</v>
      </c>
      <c r="L4761">
        <v>20.03</v>
      </c>
      <c r="M4761">
        <v>3.9</v>
      </c>
      <c r="N4761" t="s">
        <v>22</v>
      </c>
      <c r="O4761" t="str">
        <f t="shared" si="74"/>
        <v>No</v>
      </c>
    </row>
    <row r="4762" spans="1:15" x14ac:dyDescent="0.25">
      <c r="A4762" t="s">
        <v>4823</v>
      </c>
      <c r="B4762" s="1">
        <v>45833</v>
      </c>
      <c r="C4762" s="2">
        <v>45833.035000000003</v>
      </c>
      <c r="D4762" t="s">
        <v>38</v>
      </c>
      <c r="E4762" t="s">
        <v>39</v>
      </c>
      <c r="F4762" t="s">
        <v>87</v>
      </c>
      <c r="G4762" t="s">
        <v>34</v>
      </c>
      <c r="H4762" t="s">
        <v>35</v>
      </c>
      <c r="I4762" t="s">
        <v>36</v>
      </c>
      <c r="J4762" t="s">
        <v>21</v>
      </c>
      <c r="K4762">
        <v>8</v>
      </c>
      <c r="L4762">
        <v>0.84</v>
      </c>
      <c r="M4762">
        <v>4.5</v>
      </c>
      <c r="N4762" t="s">
        <v>22</v>
      </c>
      <c r="O4762" t="str">
        <f t="shared" si="74"/>
        <v>No</v>
      </c>
    </row>
    <row r="4763" spans="1:15" x14ac:dyDescent="0.25">
      <c r="A4763" t="s">
        <v>4824</v>
      </c>
      <c r="B4763" s="1">
        <v>45811</v>
      </c>
      <c r="C4763" s="2">
        <v>45811.116666666669</v>
      </c>
      <c r="D4763" t="s">
        <v>38</v>
      </c>
      <c r="E4763" t="s">
        <v>39</v>
      </c>
      <c r="F4763" t="s">
        <v>40</v>
      </c>
      <c r="G4763" t="s">
        <v>34</v>
      </c>
      <c r="H4763" t="s">
        <v>44</v>
      </c>
      <c r="I4763" t="s">
        <v>28</v>
      </c>
      <c r="J4763" t="s">
        <v>29</v>
      </c>
      <c r="K4763">
        <v>8</v>
      </c>
      <c r="L4763">
        <v>2.8</v>
      </c>
      <c r="M4763">
        <v>5</v>
      </c>
      <c r="N4763" t="s">
        <v>22</v>
      </c>
      <c r="O4763" t="str">
        <f t="shared" si="74"/>
        <v>No</v>
      </c>
    </row>
    <row r="4764" spans="1:15" x14ac:dyDescent="0.25">
      <c r="A4764" t="s">
        <v>4825</v>
      </c>
      <c r="B4764" s="1">
        <v>45675</v>
      </c>
      <c r="C4764" s="2">
        <v>45675.57708333333</v>
      </c>
      <c r="D4764" t="s">
        <v>24</v>
      </c>
      <c r="E4764" t="s">
        <v>39</v>
      </c>
      <c r="F4764" t="s">
        <v>87</v>
      </c>
      <c r="G4764" t="s">
        <v>18</v>
      </c>
      <c r="H4764" t="s">
        <v>35</v>
      </c>
      <c r="I4764" t="s">
        <v>36</v>
      </c>
      <c r="J4764" t="s">
        <v>21</v>
      </c>
      <c r="K4764">
        <v>24</v>
      </c>
      <c r="L4764">
        <v>13.85</v>
      </c>
      <c r="M4764">
        <v>5</v>
      </c>
      <c r="N4764" t="s">
        <v>22</v>
      </c>
      <c r="O4764" t="str">
        <f t="shared" si="74"/>
        <v>No</v>
      </c>
    </row>
    <row r="4765" spans="1:15" x14ac:dyDescent="0.25">
      <c r="A4765" t="s">
        <v>4826</v>
      </c>
      <c r="B4765" s="1">
        <v>45700</v>
      </c>
      <c r="C4765" s="2">
        <v>45701.432500000003</v>
      </c>
      <c r="D4765" t="s">
        <v>15</v>
      </c>
      <c r="E4765" t="s">
        <v>32</v>
      </c>
      <c r="F4765" t="s">
        <v>75</v>
      </c>
      <c r="G4765" t="s">
        <v>56</v>
      </c>
      <c r="H4765" t="s">
        <v>65</v>
      </c>
      <c r="I4765" t="s">
        <v>20</v>
      </c>
      <c r="J4765" t="s">
        <v>21</v>
      </c>
      <c r="K4765">
        <v>48</v>
      </c>
      <c r="L4765">
        <v>34.380000000000003</v>
      </c>
      <c r="M4765">
        <v>3.3</v>
      </c>
      <c r="N4765" t="s">
        <v>22</v>
      </c>
      <c r="O4765" t="str">
        <f t="shared" si="74"/>
        <v>No</v>
      </c>
    </row>
    <row r="4766" spans="1:15" x14ac:dyDescent="0.25">
      <c r="A4766" t="s">
        <v>4827</v>
      </c>
      <c r="B4766" s="1">
        <v>45737</v>
      </c>
      <c r="C4766" s="2">
        <v>45737.49291666667</v>
      </c>
      <c r="D4766" t="s">
        <v>24</v>
      </c>
      <c r="E4766" t="s">
        <v>25</v>
      </c>
      <c r="F4766" t="s">
        <v>26</v>
      </c>
      <c r="G4766" t="s">
        <v>34</v>
      </c>
      <c r="H4766" t="s">
        <v>65</v>
      </c>
      <c r="I4766" t="s">
        <v>36</v>
      </c>
      <c r="J4766" t="s">
        <v>21</v>
      </c>
      <c r="K4766">
        <v>24</v>
      </c>
      <c r="L4766">
        <v>11.83</v>
      </c>
      <c r="M4766">
        <v>5</v>
      </c>
      <c r="N4766" t="s">
        <v>22</v>
      </c>
      <c r="O4766" t="str">
        <f t="shared" si="74"/>
        <v>No</v>
      </c>
    </row>
    <row r="4767" spans="1:15" x14ac:dyDescent="0.25">
      <c r="A4767" t="s">
        <v>4828</v>
      </c>
      <c r="B4767" s="1">
        <v>45685</v>
      </c>
      <c r="C4767" s="2">
        <v>45686.329583333332</v>
      </c>
      <c r="D4767" t="s">
        <v>15</v>
      </c>
      <c r="E4767" t="s">
        <v>32</v>
      </c>
      <c r="F4767" t="s">
        <v>80</v>
      </c>
      <c r="G4767" t="s">
        <v>34</v>
      </c>
      <c r="H4767" t="s">
        <v>44</v>
      </c>
      <c r="I4767" t="s">
        <v>36</v>
      </c>
      <c r="J4767" t="s">
        <v>21</v>
      </c>
      <c r="K4767">
        <v>48</v>
      </c>
      <c r="L4767">
        <v>31.91</v>
      </c>
      <c r="M4767">
        <v>3.7</v>
      </c>
      <c r="N4767" t="s">
        <v>22</v>
      </c>
      <c r="O4767" t="str">
        <f t="shared" si="74"/>
        <v>No</v>
      </c>
    </row>
    <row r="4768" spans="1:15" x14ac:dyDescent="0.25">
      <c r="A4768" t="s">
        <v>4829</v>
      </c>
      <c r="B4768" s="1">
        <v>45761</v>
      </c>
      <c r="C4768" s="2">
        <v>45761.297083333331</v>
      </c>
      <c r="D4768" t="s">
        <v>24</v>
      </c>
      <c r="E4768" t="s">
        <v>16</v>
      </c>
      <c r="F4768" t="s">
        <v>43</v>
      </c>
      <c r="G4768" t="s">
        <v>18</v>
      </c>
      <c r="H4768" t="s">
        <v>65</v>
      </c>
      <c r="I4768" t="s">
        <v>36</v>
      </c>
      <c r="J4768" t="s">
        <v>85</v>
      </c>
      <c r="K4768">
        <v>24</v>
      </c>
      <c r="L4768">
        <v>7.13</v>
      </c>
      <c r="M4768">
        <v>5</v>
      </c>
      <c r="N4768" t="s">
        <v>22</v>
      </c>
      <c r="O4768" t="str">
        <f t="shared" si="74"/>
        <v>No</v>
      </c>
    </row>
    <row r="4769" spans="1:15" x14ac:dyDescent="0.25">
      <c r="A4769" t="s">
        <v>4830</v>
      </c>
      <c r="B4769" s="1">
        <v>45659</v>
      </c>
      <c r="C4769" s="2">
        <v>45660.194166666668</v>
      </c>
      <c r="D4769" t="s">
        <v>24</v>
      </c>
      <c r="E4769" t="s">
        <v>32</v>
      </c>
      <c r="F4769" t="s">
        <v>80</v>
      </c>
      <c r="G4769" t="s">
        <v>34</v>
      </c>
      <c r="H4769" t="s">
        <v>27</v>
      </c>
      <c r="I4769" t="s">
        <v>28</v>
      </c>
      <c r="J4769" t="s">
        <v>21</v>
      </c>
      <c r="K4769">
        <v>24</v>
      </c>
      <c r="L4769">
        <v>28.66</v>
      </c>
      <c r="M4769">
        <v>5</v>
      </c>
      <c r="N4769" t="s">
        <v>22</v>
      </c>
      <c r="O4769" t="str">
        <f t="shared" si="74"/>
        <v>Yes</v>
      </c>
    </row>
    <row r="4770" spans="1:15" x14ac:dyDescent="0.25">
      <c r="A4770" t="s">
        <v>4831</v>
      </c>
      <c r="B4770" s="1">
        <v>45678</v>
      </c>
      <c r="C4770" s="2">
        <v>45678.341249999998</v>
      </c>
      <c r="D4770" t="s">
        <v>38</v>
      </c>
      <c r="E4770" t="s">
        <v>32</v>
      </c>
      <c r="F4770" t="s">
        <v>75</v>
      </c>
      <c r="G4770" t="s">
        <v>34</v>
      </c>
      <c r="H4770" t="s">
        <v>65</v>
      </c>
      <c r="I4770" t="s">
        <v>45</v>
      </c>
      <c r="J4770" t="s">
        <v>21</v>
      </c>
      <c r="K4770">
        <v>8</v>
      </c>
      <c r="L4770">
        <v>8.19</v>
      </c>
      <c r="M4770">
        <v>2.7</v>
      </c>
      <c r="N4770" t="s">
        <v>22</v>
      </c>
      <c r="O4770" t="str">
        <f t="shared" si="74"/>
        <v>Yes</v>
      </c>
    </row>
    <row r="4771" spans="1:15" x14ac:dyDescent="0.25">
      <c r="A4771" t="s">
        <v>4832</v>
      </c>
      <c r="B4771" s="1">
        <v>45666</v>
      </c>
      <c r="C4771" s="2">
        <v>45666.087500000001</v>
      </c>
      <c r="D4771" t="s">
        <v>24</v>
      </c>
      <c r="E4771" t="s">
        <v>32</v>
      </c>
      <c r="F4771" t="s">
        <v>75</v>
      </c>
      <c r="G4771" t="s">
        <v>41</v>
      </c>
      <c r="H4771" t="s">
        <v>65</v>
      </c>
      <c r="I4771" t="s">
        <v>36</v>
      </c>
      <c r="J4771" t="s">
        <v>46</v>
      </c>
      <c r="K4771">
        <v>24</v>
      </c>
      <c r="L4771">
        <v>2.1</v>
      </c>
      <c r="M4771">
        <v>5</v>
      </c>
      <c r="N4771" t="s">
        <v>22</v>
      </c>
      <c r="O4771" t="str">
        <f t="shared" si="74"/>
        <v>No</v>
      </c>
    </row>
    <row r="4772" spans="1:15" x14ac:dyDescent="0.25">
      <c r="A4772" t="s">
        <v>4833</v>
      </c>
      <c r="B4772" s="1">
        <v>45711</v>
      </c>
      <c r="C4772" s="2">
        <v>45711.072500000002</v>
      </c>
      <c r="D4772" t="s">
        <v>38</v>
      </c>
      <c r="E4772" t="s">
        <v>25</v>
      </c>
      <c r="F4772" t="s">
        <v>70</v>
      </c>
      <c r="G4772" t="s">
        <v>41</v>
      </c>
      <c r="H4772" t="s">
        <v>54</v>
      </c>
      <c r="I4772" t="s">
        <v>28</v>
      </c>
      <c r="J4772" t="s">
        <v>21</v>
      </c>
      <c r="K4772">
        <v>8</v>
      </c>
      <c r="L4772">
        <v>1.74</v>
      </c>
      <c r="M4772">
        <v>4.5</v>
      </c>
      <c r="N4772" t="s">
        <v>22</v>
      </c>
      <c r="O4772" t="str">
        <f t="shared" si="74"/>
        <v>No</v>
      </c>
    </row>
    <row r="4773" spans="1:15" x14ac:dyDescent="0.25">
      <c r="A4773" t="s">
        <v>4834</v>
      </c>
      <c r="B4773" s="1">
        <v>45795</v>
      </c>
      <c r="C4773" s="2">
        <v>45795.303333333337</v>
      </c>
      <c r="D4773" t="s">
        <v>38</v>
      </c>
      <c r="E4773" t="s">
        <v>32</v>
      </c>
      <c r="F4773" t="s">
        <v>64</v>
      </c>
      <c r="G4773" t="s">
        <v>41</v>
      </c>
      <c r="H4773" t="s">
        <v>44</v>
      </c>
      <c r="I4773" t="s">
        <v>36</v>
      </c>
      <c r="J4773" t="s">
        <v>21</v>
      </c>
      <c r="K4773">
        <v>8</v>
      </c>
      <c r="L4773">
        <v>7.28</v>
      </c>
      <c r="M4773">
        <v>4.2</v>
      </c>
      <c r="N4773" t="s">
        <v>22</v>
      </c>
      <c r="O4773" t="str">
        <f t="shared" si="74"/>
        <v>No</v>
      </c>
    </row>
    <row r="4774" spans="1:15" x14ac:dyDescent="0.25">
      <c r="A4774" t="s">
        <v>4835</v>
      </c>
      <c r="B4774" s="1">
        <v>45690</v>
      </c>
      <c r="C4774" s="2">
        <v>45691.269166666665</v>
      </c>
      <c r="D4774" t="s">
        <v>15</v>
      </c>
      <c r="E4774" t="s">
        <v>32</v>
      </c>
      <c r="F4774" t="s">
        <v>80</v>
      </c>
      <c r="G4774" t="s">
        <v>41</v>
      </c>
      <c r="H4774" t="s">
        <v>19</v>
      </c>
      <c r="I4774" t="s">
        <v>36</v>
      </c>
      <c r="J4774" t="s">
        <v>46</v>
      </c>
      <c r="K4774">
        <v>48</v>
      </c>
      <c r="L4774">
        <v>30.46</v>
      </c>
      <c r="M4774">
        <v>3.8</v>
      </c>
      <c r="N4774" t="s">
        <v>22</v>
      </c>
      <c r="O4774" t="str">
        <f t="shared" si="74"/>
        <v>No</v>
      </c>
    </row>
    <row r="4775" spans="1:15" x14ac:dyDescent="0.25">
      <c r="A4775" t="s">
        <v>4836</v>
      </c>
      <c r="B4775" s="1">
        <v>45836</v>
      </c>
      <c r="C4775" s="2">
        <v>45837.220833333333</v>
      </c>
      <c r="D4775" t="s">
        <v>15</v>
      </c>
      <c r="E4775" t="s">
        <v>32</v>
      </c>
      <c r="F4775" t="s">
        <v>64</v>
      </c>
      <c r="G4775" t="s">
        <v>51</v>
      </c>
      <c r="H4775" t="s">
        <v>65</v>
      </c>
      <c r="I4775" t="s">
        <v>36</v>
      </c>
      <c r="J4775" t="s">
        <v>29</v>
      </c>
      <c r="K4775">
        <v>48</v>
      </c>
      <c r="L4775">
        <v>29.3</v>
      </c>
      <c r="M4775">
        <v>2.7</v>
      </c>
      <c r="N4775" t="s">
        <v>22</v>
      </c>
      <c r="O4775" t="str">
        <f t="shared" si="74"/>
        <v>No</v>
      </c>
    </row>
    <row r="4776" spans="1:15" x14ac:dyDescent="0.25">
      <c r="A4776" t="s">
        <v>4837</v>
      </c>
      <c r="B4776" s="1">
        <v>45706</v>
      </c>
      <c r="C4776" s="2">
        <v>45706.552499999998</v>
      </c>
      <c r="D4776" t="s">
        <v>24</v>
      </c>
      <c r="E4776" t="s">
        <v>25</v>
      </c>
      <c r="F4776" t="s">
        <v>70</v>
      </c>
      <c r="G4776" t="s">
        <v>18</v>
      </c>
      <c r="H4776" t="s">
        <v>35</v>
      </c>
      <c r="I4776" t="s">
        <v>20</v>
      </c>
      <c r="J4776" t="s">
        <v>46</v>
      </c>
      <c r="K4776">
        <v>24</v>
      </c>
      <c r="L4776">
        <v>13.26</v>
      </c>
      <c r="M4776">
        <v>3.8</v>
      </c>
      <c r="N4776" t="s">
        <v>22</v>
      </c>
      <c r="O4776" t="str">
        <f t="shared" si="74"/>
        <v>No</v>
      </c>
    </row>
    <row r="4777" spans="1:15" x14ac:dyDescent="0.25">
      <c r="A4777" t="s">
        <v>4838</v>
      </c>
      <c r="B4777" s="1">
        <v>45666</v>
      </c>
      <c r="C4777" s="2">
        <v>45666.356666666667</v>
      </c>
      <c r="D4777" t="s">
        <v>38</v>
      </c>
      <c r="E4777" t="s">
        <v>39</v>
      </c>
      <c r="F4777" t="s">
        <v>78</v>
      </c>
      <c r="G4777" t="s">
        <v>51</v>
      </c>
      <c r="H4777" t="s">
        <v>54</v>
      </c>
      <c r="I4777" t="s">
        <v>36</v>
      </c>
      <c r="J4777" t="s">
        <v>21</v>
      </c>
      <c r="K4777">
        <v>8</v>
      </c>
      <c r="L4777">
        <v>8.56</v>
      </c>
      <c r="M4777">
        <v>3.9</v>
      </c>
      <c r="N4777" t="s">
        <v>61</v>
      </c>
      <c r="O4777" t="str">
        <f t="shared" si="74"/>
        <v>Yes</v>
      </c>
    </row>
    <row r="4778" spans="1:15" x14ac:dyDescent="0.25">
      <c r="A4778" t="s">
        <v>4839</v>
      </c>
      <c r="B4778" s="1">
        <v>45718</v>
      </c>
      <c r="C4778" s="2">
        <v>45718.62</v>
      </c>
      <c r="D4778" t="s">
        <v>24</v>
      </c>
      <c r="E4778" t="s">
        <v>45</v>
      </c>
      <c r="F4778" t="s">
        <v>50</v>
      </c>
      <c r="G4778" t="s">
        <v>41</v>
      </c>
      <c r="H4778" t="s">
        <v>35</v>
      </c>
      <c r="I4778" t="s">
        <v>36</v>
      </c>
      <c r="J4778" t="s">
        <v>21</v>
      </c>
      <c r="K4778">
        <v>24</v>
      </c>
      <c r="L4778">
        <v>14.88</v>
      </c>
      <c r="M4778">
        <v>5</v>
      </c>
      <c r="N4778" t="s">
        <v>22</v>
      </c>
      <c r="O4778" t="str">
        <f t="shared" si="74"/>
        <v>No</v>
      </c>
    </row>
    <row r="4779" spans="1:15" x14ac:dyDescent="0.25">
      <c r="A4779" t="s">
        <v>4840</v>
      </c>
      <c r="B4779" s="1">
        <v>45793</v>
      </c>
      <c r="C4779" s="2">
        <v>45793.722500000003</v>
      </c>
      <c r="D4779" t="s">
        <v>24</v>
      </c>
      <c r="E4779" t="s">
        <v>16</v>
      </c>
      <c r="F4779" t="s">
        <v>17</v>
      </c>
      <c r="G4779" t="s">
        <v>51</v>
      </c>
      <c r="H4779" t="s">
        <v>65</v>
      </c>
      <c r="I4779" t="s">
        <v>28</v>
      </c>
      <c r="J4779" t="s">
        <v>21</v>
      </c>
      <c r="K4779">
        <v>24</v>
      </c>
      <c r="L4779">
        <v>17.34</v>
      </c>
      <c r="M4779">
        <v>4.4000000000000004</v>
      </c>
      <c r="N4779" t="s">
        <v>22</v>
      </c>
      <c r="O4779" t="str">
        <f t="shared" si="74"/>
        <v>No</v>
      </c>
    </row>
    <row r="4780" spans="1:15" x14ac:dyDescent="0.25">
      <c r="A4780" t="s">
        <v>4841</v>
      </c>
      <c r="B4780" s="1">
        <v>45677</v>
      </c>
      <c r="C4780" s="2">
        <v>45677.564583333333</v>
      </c>
      <c r="D4780" t="s">
        <v>24</v>
      </c>
      <c r="E4780" t="s">
        <v>16</v>
      </c>
      <c r="F4780" t="s">
        <v>58</v>
      </c>
      <c r="G4780" t="s">
        <v>51</v>
      </c>
      <c r="H4780" t="s">
        <v>65</v>
      </c>
      <c r="I4780" t="s">
        <v>45</v>
      </c>
      <c r="J4780" t="s">
        <v>21</v>
      </c>
      <c r="K4780">
        <v>24</v>
      </c>
      <c r="L4780">
        <v>13.55</v>
      </c>
      <c r="M4780">
        <v>5</v>
      </c>
      <c r="N4780" t="s">
        <v>22</v>
      </c>
      <c r="O4780" t="str">
        <f t="shared" si="74"/>
        <v>No</v>
      </c>
    </row>
    <row r="4781" spans="1:15" x14ac:dyDescent="0.25">
      <c r="A4781" t="s">
        <v>4842</v>
      </c>
      <c r="B4781" s="1">
        <v>45671</v>
      </c>
      <c r="C4781" s="2">
        <v>45671.078750000001</v>
      </c>
      <c r="D4781" t="s">
        <v>38</v>
      </c>
      <c r="E4781" t="s">
        <v>16</v>
      </c>
      <c r="F4781" t="s">
        <v>60</v>
      </c>
      <c r="G4781" t="s">
        <v>34</v>
      </c>
      <c r="H4781" t="s">
        <v>44</v>
      </c>
      <c r="I4781" t="s">
        <v>36</v>
      </c>
      <c r="J4781" t="s">
        <v>85</v>
      </c>
      <c r="K4781">
        <v>8</v>
      </c>
      <c r="L4781">
        <v>1.89</v>
      </c>
      <c r="M4781">
        <v>4.4000000000000004</v>
      </c>
      <c r="N4781" t="s">
        <v>22</v>
      </c>
      <c r="O4781" t="str">
        <f t="shared" si="74"/>
        <v>No</v>
      </c>
    </row>
    <row r="4782" spans="1:15" x14ac:dyDescent="0.25">
      <c r="A4782" t="s">
        <v>4843</v>
      </c>
      <c r="B4782" s="1">
        <v>45811</v>
      </c>
      <c r="C4782" s="2">
        <v>45811.952916666669</v>
      </c>
      <c r="D4782" t="s">
        <v>24</v>
      </c>
      <c r="E4782" t="s">
        <v>32</v>
      </c>
      <c r="F4782" t="s">
        <v>75</v>
      </c>
      <c r="G4782" t="s">
        <v>18</v>
      </c>
      <c r="H4782" t="s">
        <v>65</v>
      </c>
      <c r="I4782" t="s">
        <v>45</v>
      </c>
      <c r="J4782" t="s">
        <v>21</v>
      </c>
      <c r="K4782">
        <v>24</v>
      </c>
      <c r="L4782">
        <v>22.87</v>
      </c>
      <c r="M4782">
        <v>3.5</v>
      </c>
      <c r="N4782" t="s">
        <v>22</v>
      </c>
      <c r="O4782" t="str">
        <f t="shared" si="74"/>
        <v>No</v>
      </c>
    </row>
    <row r="4783" spans="1:15" x14ac:dyDescent="0.25">
      <c r="A4783" t="s">
        <v>4844</v>
      </c>
      <c r="B4783" s="1">
        <v>45765</v>
      </c>
      <c r="C4783" s="2">
        <v>45765.78125</v>
      </c>
      <c r="D4783" t="s">
        <v>15</v>
      </c>
      <c r="E4783" t="s">
        <v>45</v>
      </c>
      <c r="F4783" t="s">
        <v>100</v>
      </c>
      <c r="G4783" t="s">
        <v>56</v>
      </c>
      <c r="H4783" t="s">
        <v>54</v>
      </c>
      <c r="I4783" t="s">
        <v>36</v>
      </c>
      <c r="J4783" t="s">
        <v>21</v>
      </c>
      <c r="K4783">
        <v>48</v>
      </c>
      <c r="L4783">
        <v>18.75</v>
      </c>
      <c r="M4783">
        <v>4.8</v>
      </c>
      <c r="N4783" t="s">
        <v>61</v>
      </c>
      <c r="O4783" t="str">
        <f t="shared" si="74"/>
        <v>No</v>
      </c>
    </row>
    <row r="4784" spans="1:15" x14ac:dyDescent="0.25">
      <c r="A4784" t="s">
        <v>4845</v>
      </c>
      <c r="B4784" s="1">
        <v>45720</v>
      </c>
      <c r="C4784" s="2">
        <v>45720.775000000001</v>
      </c>
      <c r="D4784" t="s">
        <v>15</v>
      </c>
      <c r="E4784" t="s">
        <v>45</v>
      </c>
      <c r="F4784" t="s">
        <v>50</v>
      </c>
      <c r="G4784" t="s">
        <v>56</v>
      </c>
      <c r="H4784" t="s">
        <v>54</v>
      </c>
      <c r="I4784" t="s">
        <v>45</v>
      </c>
      <c r="J4784" t="s">
        <v>21</v>
      </c>
      <c r="K4784">
        <v>48</v>
      </c>
      <c r="L4784">
        <v>18.600000000000001</v>
      </c>
      <c r="M4784">
        <v>4.3</v>
      </c>
      <c r="N4784" t="s">
        <v>61</v>
      </c>
      <c r="O4784" t="str">
        <f t="shared" si="74"/>
        <v>No</v>
      </c>
    </row>
    <row r="4785" spans="1:15" x14ac:dyDescent="0.25">
      <c r="A4785" t="s">
        <v>4846</v>
      </c>
      <c r="B4785" s="1">
        <v>45794</v>
      </c>
      <c r="C4785" s="2">
        <v>45794.902499999997</v>
      </c>
      <c r="D4785" t="s">
        <v>15</v>
      </c>
      <c r="E4785" t="s">
        <v>32</v>
      </c>
      <c r="F4785" t="s">
        <v>33</v>
      </c>
      <c r="G4785" t="s">
        <v>18</v>
      </c>
      <c r="H4785" t="s">
        <v>35</v>
      </c>
      <c r="I4785" t="s">
        <v>36</v>
      </c>
      <c r="J4785" t="s">
        <v>21</v>
      </c>
      <c r="K4785">
        <v>48</v>
      </c>
      <c r="L4785">
        <v>21.66</v>
      </c>
      <c r="M4785">
        <v>5</v>
      </c>
      <c r="N4785" t="s">
        <v>22</v>
      </c>
      <c r="O4785" t="str">
        <f t="shared" si="74"/>
        <v>No</v>
      </c>
    </row>
    <row r="4786" spans="1:15" x14ac:dyDescent="0.25">
      <c r="A4786" t="s">
        <v>4847</v>
      </c>
      <c r="B4786" s="1">
        <v>45810</v>
      </c>
      <c r="C4786" s="2">
        <v>45810.057916666665</v>
      </c>
      <c r="D4786" t="s">
        <v>38</v>
      </c>
      <c r="E4786" t="s">
        <v>16</v>
      </c>
      <c r="F4786" t="s">
        <v>58</v>
      </c>
      <c r="G4786" t="s">
        <v>51</v>
      </c>
      <c r="H4786" t="s">
        <v>19</v>
      </c>
      <c r="I4786" t="s">
        <v>45</v>
      </c>
      <c r="J4786" t="s">
        <v>21</v>
      </c>
      <c r="K4786">
        <v>8</v>
      </c>
      <c r="L4786">
        <v>1.39</v>
      </c>
      <c r="M4786">
        <v>3.9</v>
      </c>
      <c r="N4786" t="s">
        <v>22</v>
      </c>
      <c r="O4786" t="str">
        <f t="shared" si="74"/>
        <v>No</v>
      </c>
    </row>
    <row r="4787" spans="1:15" x14ac:dyDescent="0.25">
      <c r="A4787" t="s">
        <v>4848</v>
      </c>
      <c r="B4787" s="1">
        <v>45723</v>
      </c>
      <c r="C4787" s="2">
        <v>45723.585833333331</v>
      </c>
      <c r="D4787" t="s">
        <v>38</v>
      </c>
      <c r="E4787" t="s">
        <v>32</v>
      </c>
      <c r="F4787" t="s">
        <v>80</v>
      </c>
      <c r="G4787" t="s">
        <v>56</v>
      </c>
      <c r="H4787" t="s">
        <v>35</v>
      </c>
      <c r="I4787" t="s">
        <v>20</v>
      </c>
      <c r="J4787" t="s">
        <v>21</v>
      </c>
      <c r="K4787">
        <v>8</v>
      </c>
      <c r="L4787">
        <v>14.06</v>
      </c>
      <c r="M4787">
        <v>3.5</v>
      </c>
      <c r="N4787" t="s">
        <v>22</v>
      </c>
      <c r="O4787" t="str">
        <f t="shared" si="74"/>
        <v>Yes</v>
      </c>
    </row>
    <row r="4788" spans="1:15" x14ac:dyDescent="0.25">
      <c r="A4788" t="s">
        <v>4849</v>
      </c>
      <c r="B4788" s="1">
        <v>45759</v>
      </c>
      <c r="C4788" s="2">
        <v>45759.302083333336</v>
      </c>
      <c r="D4788" t="s">
        <v>38</v>
      </c>
      <c r="E4788" t="s">
        <v>16</v>
      </c>
      <c r="F4788" t="s">
        <v>60</v>
      </c>
      <c r="G4788" t="s">
        <v>34</v>
      </c>
      <c r="H4788" t="s">
        <v>27</v>
      </c>
      <c r="I4788" t="s">
        <v>36</v>
      </c>
      <c r="J4788" t="s">
        <v>46</v>
      </c>
      <c r="K4788">
        <v>8</v>
      </c>
      <c r="L4788">
        <v>7.25</v>
      </c>
      <c r="M4788">
        <v>4.7</v>
      </c>
      <c r="N4788" t="s">
        <v>22</v>
      </c>
      <c r="O4788" t="str">
        <f t="shared" si="74"/>
        <v>No</v>
      </c>
    </row>
    <row r="4789" spans="1:15" x14ac:dyDescent="0.25">
      <c r="A4789" t="s">
        <v>4850</v>
      </c>
      <c r="B4789" s="1">
        <v>45659</v>
      </c>
      <c r="C4789" s="2">
        <v>45659.444166666668</v>
      </c>
      <c r="D4789" t="s">
        <v>15</v>
      </c>
      <c r="E4789" t="s">
        <v>25</v>
      </c>
      <c r="F4789" t="s">
        <v>53</v>
      </c>
      <c r="G4789" t="s">
        <v>41</v>
      </c>
      <c r="H4789" t="s">
        <v>27</v>
      </c>
      <c r="I4789" t="s">
        <v>36</v>
      </c>
      <c r="J4789" t="s">
        <v>21</v>
      </c>
      <c r="K4789">
        <v>48</v>
      </c>
      <c r="L4789">
        <v>10.66</v>
      </c>
      <c r="M4789">
        <v>5</v>
      </c>
      <c r="N4789" t="s">
        <v>22</v>
      </c>
      <c r="O4789" t="str">
        <f t="shared" si="74"/>
        <v>No</v>
      </c>
    </row>
    <row r="4790" spans="1:15" x14ac:dyDescent="0.25">
      <c r="A4790" t="s">
        <v>4851</v>
      </c>
      <c r="B4790" s="1">
        <v>45713</v>
      </c>
      <c r="C4790" s="2">
        <v>45714.403749999998</v>
      </c>
      <c r="D4790" t="s">
        <v>24</v>
      </c>
      <c r="E4790" t="s">
        <v>45</v>
      </c>
      <c r="F4790" t="s">
        <v>100</v>
      </c>
      <c r="G4790" t="s">
        <v>18</v>
      </c>
      <c r="H4790" t="s">
        <v>19</v>
      </c>
      <c r="I4790" t="s">
        <v>36</v>
      </c>
      <c r="J4790" t="s">
        <v>21</v>
      </c>
      <c r="K4790">
        <v>24</v>
      </c>
      <c r="L4790">
        <v>33.69</v>
      </c>
      <c r="M4790">
        <v>3.9</v>
      </c>
      <c r="N4790" t="s">
        <v>22</v>
      </c>
      <c r="O4790" t="str">
        <f t="shared" si="74"/>
        <v>Yes</v>
      </c>
    </row>
    <row r="4791" spans="1:15" x14ac:dyDescent="0.25">
      <c r="A4791" t="s">
        <v>4852</v>
      </c>
      <c r="B4791" s="1">
        <v>45765</v>
      </c>
      <c r="C4791" s="2">
        <v>45765.676249999997</v>
      </c>
      <c r="D4791" t="s">
        <v>15</v>
      </c>
      <c r="E4791" t="s">
        <v>39</v>
      </c>
      <c r="F4791" t="s">
        <v>87</v>
      </c>
      <c r="G4791" t="s">
        <v>56</v>
      </c>
      <c r="H4791" t="s">
        <v>35</v>
      </c>
      <c r="I4791" t="s">
        <v>20</v>
      </c>
      <c r="J4791" t="s">
        <v>46</v>
      </c>
      <c r="K4791">
        <v>48</v>
      </c>
      <c r="L4791">
        <v>16.23</v>
      </c>
      <c r="M4791">
        <v>4.2</v>
      </c>
      <c r="N4791" t="s">
        <v>22</v>
      </c>
      <c r="O4791" t="str">
        <f t="shared" si="74"/>
        <v>No</v>
      </c>
    </row>
    <row r="4792" spans="1:15" x14ac:dyDescent="0.25">
      <c r="A4792" t="s">
        <v>4853</v>
      </c>
      <c r="B4792" s="1">
        <v>45693</v>
      </c>
      <c r="C4792" s="2">
        <v>45693.385833333334</v>
      </c>
      <c r="D4792" t="s">
        <v>24</v>
      </c>
      <c r="E4792" t="s">
        <v>16</v>
      </c>
      <c r="F4792" t="s">
        <v>60</v>
      </c>
      <c r="G4792" t="s">
        <v>56</v>
      </c>
      <c r="H4792" t="s">
        <v>27</v>
      </c>
      <c r="I4792" t="s">
        <v>20</v>
      </c>
      <c r="J4792" t="s">
        <v>21</v>
      </c>
      <c r="K4792">
        <v>24</v>
      </c>
      <c r="L4792">
        <v>9.26</v>
      </c>
      <c r="M4792">
        <v>4</v>
      </c>
      <c r="N4792" t="s">
        <v>22</v>
      </c>
      <c r="O4792" t="str">
        <f t="shared" si="74"/>
        <v>No</v>
      </c>
    </row>
    <row r="4793" spans="1:15" x14ac:dyDescent="0.25">
      <c r="A4793" t="s">
        <v>4854</v>
      </c>
      <c r="B4793" s="1">
        <v>45837</v>
      </c>
      <c r="C4793" s="2">
        <v>45837.669583333336</v>
      </c>
      <c r="D4793" t="s">
        <v>15</v>
      </c>
      <c r="E4793" t="s">
        <v>16</v>
      </c>
      <c r="F4793" t="s">
        <v>17</v>
      </c>
      <c r="G4793" t="s">
        <v>34</v>
      </c>
      <c r="H4793" t="s">
        <v>35</v>
      </c>
      <c r="I4793" t="s">
        <v>20</v>
      </c>
      <c r="J4793" t="s">
        <v>21</v>
      </c>
      <c r="K4793">
        <v>48</v>
      </c>
      <c r="L4793">
        <v>16.07</v>
      </c>
      <c r="M4793">
        <v>4.8</v>
      </c>
      <c r="N4793" t="s">
        <v>22</v>
      </c>
      <c r="O4793" t="str">
        <f t="shared" si="74"/>
        <v>No</v>
      </c>
    </row>
    <row r="4794" spans="1:15" x14ac:dyDescent="0.25">
      <c r="A4794" t="s">
        <v>4855</v>
      </c>
      <c r="B4794" s="1">
        <v>45833</v>
      </c>
      <c r="C4794" s="2">
        <v>45833.411666666667</v>
      </c>
      <c r="D4794" t="s">
        <v>38</v>
      </c>
      <c r="E4794" t="s">
        <v>32</v>
      </c>
      <c r="F4794" t="s">
        <v>80</v>
      </c>
      <c r="G4794" t="s">
        <v>51</v>
      </c>
      <c r="H4794" t="s">
        <v>44</v>
      </c>
      <c r="I4794" t="s">
        <v>28</v>
      </c>
      <c r="J4794" t="s">
        <v>21</v>
      </c>
      <c r="K4794">
        <v>8</v>
      </c>
      <c r="L4794">
        <v>9.8800000000000008</v>
      </c>
      <c r="M4794">
        <v>3</v>
      </c>
      <c r="N4794" t="s">
        <v>22</v>
      </c>
      <c r="O4794" t="str">
        <f t="shared" si="74"/>
        <v>Yes</v>
      </c>
    </row>
    <row r="4795" spans="1:15" x14ac:dyDescent="0.25">
      <c r="A4795" t="s">
        <v>4856</v>
      </c>
      <c r="B4795" s="1">
        <v>45704</v>
      </c>
      <c r="C4795" s="2">
        <v>45706.2</v>
      </c>
      <c r="D4795" t="s">
        <v>15</v>
      </c>
      <c r="E4795" t="s">
        <v>16</v>
      </c>
      <c r="F4795" t="s">
        <v>43</v>
      </c>
      <c r="G4795" t="s">
        <v>41</v>
      </c>
      <c r="H4795" t="s">
        <v>35</v>
      </c>
      <c r="I4795" t="s">
        <v>20</v>
      </c>
      <c r="J4795" t="s">
        <v>46</v>
      </c>
      <c r="K4795">
        <v>48</v>
      </c>
      <c r="L4795">
        <v>52.8</v>
      </c>
      <c r="M4795">
        <v>3.9</v>
      </c>
      <c r="N4795" t="s">
        <v>22</v>
      </c>
      <c r="O4795" t="str">
        <f t="shared" si="74"/>
        <v>Yes</v>
      </c>
    </row>
    <row r="4796" spans="1:15" x14ac:dyDescent="0.25">
      <c r="A4796" t="s">
        <v>4857</v>
      </c>
      <c r="B4796" s="1">
        <v>45729</v>
      </c>
      <c r="C4796" s="2">
        <v>45729.46166666667</v>
      </c>
      <c r="D4796" t="s">
        <v>24</v>
      </c>
      <c r="E4796" t="s">
        <v>16</v>
      </c>
      <c r="F4796" t="s">
        <v>43</v>
      </c>
      <c r="G4796" t="s">
        <v>56</v>
      </c>
      <c r="H4796" t="s">
        <v>19</v>
      </c>
      <c r="I4796" t="s">
        <v>28</v>
      </c>
      <c r="J4796" t="s">
        <v>21</v>
      </c>
      <c r="K4796">
        <v>24</v>
      </c>
      <c r="L4796">
        <v>11.08</v>
      </c>
      <c r="M4796">
        <v>4.5999999999999996</v>
      </c>
      <c r="N4796" t="s">
        <v>22</v>
      </c>
      <c r="O4796" t="str">
        <f t="shared" si="74"/>
        <v>No</v>
      </c>
    </row>
    <row r="4797" spans="1:15" x14ac:dyDescent="0.25">
      <c r="A4797" t="s">
        <v>4858</v>
      </c>
      <c r="B4797" s="1">
        <v>45692</v>
      </c>
      <c r="C4797" s="2">
        <v>45692.082083333335</v>
      </c>
      <c r="D4797" t="s">
        <v>31</v>
      </c>
      <c r="E4797" t="s">
        <v>25</v>
      </c>
      <c r="F4797" t="s">
        <v>48</v>
      </c>
      <c r="G4797" t="s">
        <v>34</v>
      </c>
      <c r="H4797" t="s">
        <v>54</v>
      </c>
      <c r="I4797" t="s">
        <v>45</v>
      </c>
      <c r="J4797" t="s">
        <v>21</v>
      </c>
      <c r="K4797">
        <v>4</v>
      </c>
      <c r="L4797">
        <v>1.97</v>
      </c>
      <c r="M4797">
        <v>4.4000000000000004</v>
      </c>
      <c r="N4797" t="s">
        <v>22</v>
      </c>
      <c r="O4797" t="str">
        <f t="shared" si="74"/>
        <v>No</v>
      </c>
    </row>
    <row r="4798" spans="1:15" x14ac:dyDescent="0.25">
      <c r="A4798" t="s">
        <v>4859</v>
      </c>
      <c r="B4798" s="1">
        <v>45749</v>
      </c>
      <c r="C4798" s="2">
        <v>45749.880833333336</v>
      </c>
      <c r="D4798" t="s">
        <v>24</v>
      </c>
      <c r="E4798" t="s">
        <v>45</v>
      </c>
      <c r="F4798" t="s">
        <v>100</v>
      </c>
      <c r="G4798" t="s">
        <v>34</v>
      </c>
      <c r="H4798" t="s">
        <v>54</v>
      </c>
      <c r="I4798" t="s">
        <v>36</v>
      </c>
      <c r="J4798" t="s">
        <v>21</v>
      </c>
      <c r="K4798">
        <v>24</v>
      </c>
      <c r="L4798">
        <v>21.14</v>
      </c>
      <c r="M4798">
        <v>4.0999999999999996</v>
      </c>
      <c r="N4798" t="s">
        <v>22</v>
      </c>
      <c r="O4798" t="str">
        <f t="shared" si="74"/>
        <v>No</v>
      </c>
    </row>
    <row r="4799" spans="1:15" x14ac:dyDescent="0.25">
      <c r="A4799" t="s">
        <v>4860</v>
      </c>
      <c r="B4799" s="1">
        <v>45680</v>
      </c>
      <c r="C4799" s="2">
        <v>45681.727500000001</v>
      </c>
      <c r="D4799" t="s">
        <v>15</v>
      </c>
      <c r="E4799" t="s">
        <v>32</v>
      </c>
      <c r="F4799" t="s">
        <v>80</v>
      </c>
      <c r="G4799" t="s">
        <v>34</v>
      </c>
      <c r="H4799" t="s">
        <v>44</v>
      </c>
      <c r="I4799" t="s">
        <v>45</v>
      </c>
      <c r="J4799" t="s">
        <v>21</v>
      </c>
      <c r="K4799">
        <v>48</v>
      </c>
      <c r="L4799">
        <v>41.46</v>
      </c>
      <c r="M4799">
        <v>4.4000000000000004</v>
      </c>
      <c r="N4799" t="s">
        <v>22</v>
      </c>
      <c r="O4799" t="str">
        <f t="shared" si="74"/>
        <v>No</v>
      </c>
    </row>
    <row r="4800" spans="1:15" x14ac:dyDescent="0.25">
      <c r="A4800" t="s">
        <v>4861</v>
      </c>
      <c r="B4800" s="1">
        <v>45728</v>
      </c>
      <c r="C4800" s="2">
        <v>45728.171249999999</v>
      </c>
      <c r="D4800" t="s">
        <v>38</v>
      </c>
      <c r="E4800" t="s">
        <v>32</v>
      </c>
      <c r="F4800" t="s">
        <v>33</v>
      </c>
      <c r="G4800" t="s">
        <v>56</v>
      </c>
      <c r="H4800" t="s">
        <v>54</v>
      </c>
      <c r="I4800" t="s">
        <v>36</v>
      </c>
      <c r="J4800" t="s">
        <v>46</v>
      </c>
      <c r="K4800">
        <v>8</v>
      </c>
      <c r="L4800">
        <v>4.1100000000000003</v>
      </c>
      <c r="M4800">
        <v>4.3</v>
      </c>
      <c r="N4800" t="s">
        <v>22</v>
      </c>
      <c r="O4800" t="str">
        <f t="shared" si="74"/>
        <v>No</v>
      </c>
    </row>
    <row r="4801" spans="1:15" x14ac:dyDescent="0.25">
      <c r="A4801" t="s">
        <v>4862</v>
      </c>
      <c r="B4801" s="1">
        <v>45758</v>
      </c>
      <c r="C4801" s="2">
        <v>45758.525416666664</v>
      </c>
      <c r="D4801" t="s">
        <v>24</v>
      </c>
      <c r="E4801" t="s">
        <v>32</v>
      </c>
      <c r="F4801" t="s">
        <v>64</v>
      </c>
      <c r="G4801" t="s">
        <v>41</v>
      </c>
      <c r="H4801" t="s">
        <v>65</v>
      </c>
      <c r="I4801" t="s">
        <v>36</v>
      </c>
      <c r="J4801" t="s">
        <v>21</v>
      </c>
      <c r="K4801">
        <v>24</v>
      </c>
      <c r="L4801">
        <v>12.61</v>
      </c>
      <c r="M4801">
        <v>4.0999999999999996</v>
      </c>
      <c r="N4801" t="s">
        <v>61</v>
      </c>
      <c r="O4801" t="str">
        <f t="shared" si="74"/>
        <v>No</v>
      </c>
    </row>
    <row r="4802" spans="1:15" x14ac:dyDescent="0.25">
      <c r="A4802" t="s">
        <v>4863</v>
      </c>
      <c r="B4802" s="1">
        <v>45768</v>
      </c>
      <c r="C4802" s="2">
        <v>45768.917500000003</v>
      </c>
      <c r="D4802" t="s">
        <v>24</v>
      </c>
      <c r="E4802" t="s">
        <v>32</v>
      </c>
      <c r="F4802" t="s">
        <v>64</v>
      </c>
      <c r="G4802" t="s">
        <v>18</v>
      </c>
      <c r="H4802" t="s">
        <v>19</v>
      </c>
      <c r="I4802" t="s">
        <v>36</v>
      </c>
      <c r="J4802" t="s">
        <v>21</v>
      </c>
      <c r="K4802">
        <v>24</v>
      </c>
      <c r="L4802">
        <v>22.02</v>
      </c>
      <c r="M4802">
        <v>4.4000000000000004</v>
      </c>
      <c r="N4802" t="s">
        <v>22</v>
      </c>
      <c r="O4802" t="str">
        <f t="shared" si="74"/>
        <v>No</v>
      </c>
    </row>
    <row r="4803" spans="1:15" x14ac:dyDescent="0.25">
      <c r="A4803" t="s">
        <v>4864</v>
      </c>
      <c r="B4803" s="1">
        <v>45765</v>
      </c>
      <c r="C4803" s="2">
        <v>45765.113749999997</v>
      </c>
      <c r="D4803" t="s">
        <v>24</v>
      </c>
      <c r="E4803" t="s">
        <v>39</v>
      </c>
      <c r="F4803" t="s">
        <v>78</v>
      </c>
      <c r="G4803" t="s">
        <v>34</v>
      </c>
      <c r="H4803" t="s">
        <v>65</v>
      </c>
      <c r="I4803" t="s">
        <v>36</v>
      </c>
      <c r="J4803" t="s">
        <v>29</v>
      </c>
      <c r="K4803">
        <v>24</v>
      </c>
      <c r="L4803">
        <v>2.73</v>
      </c>
      <c r="M4803">
        <v>5</v>
      </c>
      <c r="N4803" t="s">
        <v>22</v>
      </c>
      <c r="O4803" t="str">
        <f t="shared" ref="O4803:O4866" si="75">IF(L4803&gt;K4803,"Yes","No")</f>
        <v>No</v>
      </c>
    </row>
    <row r="4804" spans="1:15" x14ac:dyDescent="0.25">
      <c r="A4804" t="s">
        <v>4865</v>
      </c>
      <c r="B4804" s="1">
        <v>45698</v>
      </c>
      <c r="C4804" s="2">
        <v>45698.229583333334</v>
      </c>
      <c r="D4804" t="s">
        <v>38</v>
      </c>
      <c r="E4804" t="s">
        <v>25</v>
      </c>
      <c r="F4804" t="s">
        <v>53</v>
      </c>
      <c r="G4804" t="s">
        <v>18</v>
      </c>
      <c r="H4804" t="s">
        <v>65</v>
      </c>
      <c r="I4804" t="s">
        <v>20</v>
      </c>
      <c r="J4804" t="s">
        <v>46</v>
      </c>
      <c r="K4804">
        <v>8</v>
      </c>
      <c r="L4804">
        <v>5.51</v>
      </c>
      <c r="M4804">
        <v>4.5</v>
      </c>
      <c r="N4804" t="s">
        <v>22</v>
      </c>
      <c r="O4804" t="str">
        <f t="shared" si="75"/>
        <v>No</v>
      </c>
    </row>
    <row r="4805" spans="1:15" x14ac:dyDescent="0.25">
      <c r="A4805" t="s">
        <v>4866</v>
      </c>
      <c r="B4805" s="1">
        <v>45801</v>
      </c>
      <c r="C4805" s="2">
        <v>45801.657916666663</v>
      </c>
      <c r="D4805" t="s">
        <v>24</v>
      </c>
      <c r="E4805" t="s">
        <v>39</v>
      </c>
      <c r="F4805" t="s">
        <v>87</v>
      </c>
      <c r="G4805" t="s">
        <v>51</v>
      </c>
      <c r="H4805" t="s">
        <v>27</v>
      </c>
      <c r="I4805" t="s">
        <v>36</v>
      </c>
      <c r="J4805" t="s">
        <v>21</v>
      </c>
      <c r="K4805">
        <v>24</v>
      </c>
      <c r="L4805">
        <v>15.79</v>
      </c>
      <c r="M4805">
        <v>4.5999999999999996</v>
      </c>
      <c r="N4805" t="s">
        <v>22</v>
      </c>
      <c r="O4805" t="str">
        <f t="shared" si="75"/>
        <v>No</v>
      </c>
    </row>
    <row r="4806" spans="1:15" x14ac:dyDescent="0.25">
      <c r="A4806" t="s">
        <v>4867</v>
      </c>
      <c r="B4806" s="1">
        <v>45783</v>
      </c>
      <c r="C4806" s="2">
        <v>45784.241666666669</v>
      </c>
      <c r="D4806" t="s">
        <v>24</v>
      </c>
      <c r="E4806" t="s">
        <v>16</v>
      </c>
      <c r="F4806" t="s">
        <v>43</v>
      </c>
      <c r="G4806" t="s">
        <v>41</v>
      </c>
      <c r="H4806" t="s">
        <v>35</v>
      </c>
      <c r="I4806" t="s">
        <v>36</v>
      </c>
      <c r="J4806" t="s">
        <v>46</v>
      </c>
      <c r="K4806">
        <v>24</v>
      </c>
      <c r="L4806">
        <v>29.8</v>
      </c>
      <c r="M4806">
        <v>3.6</v>
      </c>
      <c r="N4806" t="s">
        <v>22</v>
      </c>
      <c r="O4806" t="str">
        <f t="shared" si="75"/>
        <v>Yes</v>
      </c>
    </row>
    <row r="4807" spans="1:15" x14ac:dyDescent="0.25">
      <c r="A4807" t="s">
        <v>4868</v>
      </c>
      <c r="B4807" s="1">
        <v>45794</v>
      </c>
      <c r="C4807" s="2">
        <v>45794.73333333333</v>
      </c>
      <c r="D4807" t="s">
        <v>24</v>
      </c>
      <c r="E4807" t="s">
        <v>39</v>
      </c>
      <c r="F4807" t="s">
        <v>40</v>
      </c>
      <c r="G4807" t="s">
        <v>56</v>
      </c>
      <c r="H4807" t="s">
        <v>19</v>
      </c>
      <c r="I4807" t="s">
        <v>28</v>
      </c>
      <c r="J4807" t="s">
        <v>21</v>
      </c>
      <c r="K4807">
        <v>24</v>
      </c>
      <c r="L4807">
        <v>17.600000000000001</v>
      </c>
      <c r="M4807">
        <v>3.9</v>
      </c>
      <c r="N4807" t="s">
        <v>22</v>
      </c>
      <c r="O4807" t="str">
        <f t="shared" si="75"/>
        <v>No</v>
      </c>
    </row>
    <row r="4808" spans="1:15" x14ac:dyDescent="0.25">
      <c r="A4808" t="s">
        <v>4869</v>
      </c>
      <c r="B4808" s="1">
        <v>45742</v>
      </c>
      <c r="C4808" s="2">
        <v>45743.579583333332</v>
      </c>
      <c r="D4808" t="s">
        <v>15</v>
      </c>
      <c r="E4808" t="s">
        <v>39</v>
      </c>
      <c r="F4808" t="s">
        <v>78</v>
      </c>
      <c r="G4808" t="s">
        <v>34</v>
      </c>
      <c r="H4808" t="s">
        <v>27</v>
      </c>
      <c r="I4808" t="s">
        <v>45</v>
      </c>
      <c r="J4808" t="s">
        <v>21</v>
      </c>
      <c r="K4808">
        <v>48</v>
      </c>
      <c r="L4808">
        <v>37.909999999999997</v>
      </c>
      <c r="M4808">
        <v>3.7</v>
      </c>
      <c r="N4808" t="s">
        <v>61</v>
      </c>
      <c r="O4808" t="str">
        <f t="shared" si="75"/>
        <v>No</v>
      </c>
    </row>
    <row r="4809" spans="1:15" x14ac:dyDescent="0.25">
      <c r="A4809" t="s">
        <v>4870</v>
      </c>
      <c r="B4809" s="1">
        <v>45819</v>
      </c>
      <c r="C4809" s="2">
        <v>45819.101666666669</v>
      </c>
      <c r="D4809" t="s">
        <v>38</v>
      </c>
      <c r="E4809" t="s">
        <v>25</v>
      </c>
      <c r="F4809" t="s">
        <v>70</v>
      </c>
      <c r="G4809" t="s">
        <v>18</v>
      </c>
      <c r="H4809" t="s">
        <v>65</v>
      </c>
      <c r="I4809" t="s">
        <v>36</v>
      </c>
      <c r="J4809" t="s">
        <v>21</v>
      </c>
      <c r="K4809">
        <v>8</v>
      </c>
      <c r="L4809">
        <v>2.44</v>
      </c>
      <c r="M4809">
        <v>4.5999999999999996</v>
      </c>
      <c r="N4809" t="s">
        <v>22</v>
      </c>
      <c r="O4809" t="str">
        <f t="shared" si="75"/>
        <v>No</v>
      </c>
    </row>
    <row r="4810" spans="1:15" x14ac:dyDescent="0.25">
      <c r="A4810" t="s">
        <v>4871</v>
      </c>
      <c r="B4810" s="1">
        <v>45728</v>
      </c>
      <c r="C4810" s="2">
        <v>45728.646666666667</v>
      </c>
      <c r="D4810" t="s">
        <v>15</v>
      </c>
      <c r="E4810" t="s">
        <v>16</v>
      </c>
      <c r="F4810" t="s">
        <v>17</v>
      </c>
      <c r="G4810" t="s">
        <v>41</v>
      </c>
      <c r="H4810" t="s">
        <v>35</v>
      </c>
      <c r="I4810" t="s">
        <v>36</v>
      </c>
      <c r="J4810" t="s">
        <v>21</v>
      </c>
      <c r="K4810">
        <v>48</v>
      </c>
      <c r="L4810">
        <v>15.52</v>
      </c>
      <c r="M4810">
        <v>4.9000000000000004</v>
      </c>
      <c r="N4810" t="s">
        <v>22</v>
      </c>
      <c r="O4810" t="str">
        <f t="shared" si="75"/>
        <v>No</v>
      </c>
    </row>
    <row r="4811" spans="1:15" x14ac:dyDescent="0.25">
      <c r="A4811" t="s">
        <v>4872</v>
      </c>
      <c r="B4811" s="1">
        <v>45803</v>
      </c>
      <c r="C4811" s="2">
        <v>45803.677499999998</v>
      </c>
      <c r="D4811" t="s">
        <v>24</v>
      </c>
      <c r="E4811" t="s">
        <v>39</v>
      </c>
      <c r="F4811" t="s">
        <v>87</v>
      </c>
      <c r="G4811" t="s">
        <v>18</v>
      </c>
      <c r="H4811" t="s">
        <v>54</v>
      </c>
      <c r="I4811" t="s">
        <v>36</v>
      </c>
      <c r="J4811" t="s">
        <v>21</v>
      </c>
      <c r="K4811">
        <v>24</v>
      </c>
      <c r="L4811">
        <v>16.260000000000002</v>
      </c>
      <c r="M4811">
        <v>4.5</v>
      </c>
      <c r="N4811" t="s">
        <v>22</v>
      </c>
      <c r="O4811" t="str">
        <f t="shared" si="75"/>
        <v>No</v>
      </c>
    </row>
    <row r="4812" spans="1:15" x14ac:dyDescent="0.25">
      <c r="A4812" t="s">
        <v>4873</v>
      </c>
      <c r="B4812" s="1">
        <v>45694</v>
      </c>
      <c r="C4812" s="2">
        <v>45694.066666666666</v>
      </c>
      <c r="D4812" t="s">
        <v>24</v>
      </c>
      <c r="E4812" t="s">
        <v>45</v>
      </c>
      <c r="F4812" t="s">
        <v>100</v>
      </c>
      <c r="G4812" t="s">
        <v>41</v>
      </c>
      <c r="H4812" t="s">
        <v>27</v>
      </c>
      <c r="I4812" t="s">
        <v>28</v>
      </c>
      <c r="J4812" t="s">
        <v>46</v>
      </c>
      <c r="K4812">
        <v>24</v>
      </c>
      <c r="L4812">
        <v>1.6</v>
      </c>
      <c r="M4812">
        <v>5</v>
      </c>
      <c r="N4812" t="s">
        <v>22</v>
      </c>
      <c r="O4812" t="str">
        <f t="shared" si="75"/>
        <v>No</v>
      </c>
    </row>
    <row r="4813" spans="1:15" x14ac:dyDescent="0.25">
      <c r="A4813" t="s">
        <v>4874</v>
      </c>
      <c r="B4813" s="1">
        <v>45702</v>
      </c>
      <c r="C4813" s="2">
        <v>45702.815405092595</v>
      </c>
      <c r="D4813" t="s">
        <v>15</v>
      </c>
      <c r="E4813" t="s">
        <v>16</v>
      </c>
      <c r="F4813" t="s">
        <v>58</v>
      </c>
      <c r="G4813" t="s">
        <v>51</v>
      </c>
      <c r="H4813" t="s">
        <v>19</v>
      </c>
      <c r="I4813" t="s">
        <v>36</v>
      </c>
      <c r="J4813" t="s">
        <v>21</v>
      </c>
      <c r="K4813">
        <v>48</v>
      </c>
      <c r="L4813">
        <v>19.57</v>
      </c>
      <c r="M4813">
        <v>4.7</v>
      </c>
      <c r="N4813" t="s">
        <v>22</v>
      </c>
      <c r="O4813" t="str">
        <f t="shared" si="75"/>
        <v>No</v>
      </c>
    </row>
    <row r="4814" spans="1:15" x14ac:dyDescent="0.25">
      <c r="A4814" t="s">
        <v>4875</v>
      </c>
      <c r="B4814" s="1">
        <v>45753</v>
      </c>
      <c r="C4814" s="2">
        <v>45753.185416666667</v>
      </c>
      <c r="D4814" t="s">
        <v>24</v>
      </c>
      <c r="E4814" t="s">
        <v>32</v>
      </c>
      <c r="F4814" t="s">
        <v>64</v>
      </c>
      <c r="G4814" t="s">
        <v>41</v>
      </c>
      <c r="H4814" t="s">
        <v>27</v>
      </c>
      <c r="I4814" t="s">
        <v>28</v>
      </c>
      <c r="J4814" t="s">
        <v>85</v>
      </c>
      <c r="K4814">
        <v>24</v>
      </c>
      <c r="L4814">
        <v>4.45</v>
      </c>
      <c r="M4814">
        <v>4.0999999999999996</v>
      </c>
      <c r="N4814" t="s">
        <v>22</v>
      </c>
      <c r="O4814" t="str">
        <f t="shared" si="75"/>
        <v>No</v>
      </c>
    </row>
    <row r="4815" spans="1:15" x14ac:dyDescent="0.25">
      <c r="A4815" t="s">
        <v>4876</v>
      </c>
      <c r="B4815" s="1">
        <v>45758</v>
      </c>
      <c r="C4815" s="2">
        <v>45758.337083333332</v>
      </c>
      <c r="D4815" t="s">
        <v>24</v>
      </c>
      <c r="E4815" t="s">
        <v>16</v>
      </c>
      <c r="F4815" t="s">
        <v>58</v>
      </c>
      <c r="G4815" t="s">
        <v>18</v>
      </c>
      <c r="H4815" t="s">
        <v>54</v>
      </c>
      <c r="I4815" t="s">
        <v>36</v>
      </c>
      <c r="J4815" t="s">
        <v>21</v>
      </c>
      <c r="K4815">
        <v>24</v>
      </c>
      <c r="L4815">
        <v>8.09</v>
      </c>
      <c r="M4815">
        <v>4.3</v>
      </c>
      <c r="N4815" t="s">
        <v>22</v>
      </c>
      <c r="O4815" t="str">
        <f t="shared" si="75"/>
        <v>No</v>
      </c>
    </row>
    <row r="4816" spans="1:15" x14ac:dyDescent="0.25">
      <c r="A4816" t="s">
        <v>4877</v>
      </c>
      <c r="B4816" s="1">
        <v>45793</v>
      </c>
      <c r="C4816" s="2">
        <v>45793.085833333331</v>
      </c>
      <c r="D4816" t="s">
        <v>24</v>
      </c>
      <c r="E4816" t="s">
        <v>16</v>
      </c>
      <c r="F4816" t="s">
        <v>60</v>
      </c>
      <c r="G4816" t="s">
        <v>56</v>
      </c>
      <c r="H4816" t="s">
        <v>19</v>
      </c>
      <c r="I4816" t="s">
        <v>20</v>
      </c>
      <c r="J4816" t="s">
        <v>21</v>
      </c>
      <c r="K4816">
        <v>24</v>
      </c>
      <c r="L4816">
        <v>2.06</v>
      </c>
      <c r="M4816">
        <v>5</v>
      </c>
      <c r="N4816" t="s">
        <v>61</v>
      </c>
      <c r="O4816" t="str">
        <f t="shared" si="75"/>
        <v>No</v>
      </c>
    </row>
    <row r="4817" spans="1:15" x14ac:dyDescent="0.25">
      <c r="A4817" t="s">
        <v>4878</v>
      </c>
      <c r="B4817" s="1">
        <v>45711</v>
      </c>
      <c r="C4817" s="2">
        <v>45711.411249999997</v>
      </c>
      <c r="D4817" t="s">
        <v>15</v>
      </c>
      <c r="E4817" t="s">
        <v>39</v>
      </c>
      <c r="F4817" t="s">
        <v>40</v>
      </c>
      <c r="G4817" t="s">
        <v>18</v>
      </c>
      <c r="H4817" t="s">
        <v>65</v>
      </c>
      <c r="I4817" t="s">
        <v>36</v>
      </c>
      <c r="J4817" t="s">
        <v>46</v>
      </c>
      <c r="K4817">
        <v>48</v>
      </c>
      <c r="L4817">
        <v>9.8699999999999992</v>
      </c>
      <c r="M4817">
        <v>4.2</v>
      </c>
      <c r="N4817" t="s">
        <v>22</v>
      </c>
      <c r="O4817" t="str">
        <f t="shared" si="75"/>
        <v>No</v>
      </c>
    </row>
    <row r="4818" spans="1:15" x14ac:dyDescent="0.25">
      <c r="A4818" t="s">
        <v>4879</v>
      </c>
      <c r="B4818" s="1">
        <v>45815</v>
      </c>
      <c r="C4818" s="2">
        <v>45815.384166666663</v>
      </c>
      <c r="D4818" t="s">
        <v>38</v>
      </c>
      <c r="E4818" t="s">
        <v>25</v>
      </c>
      <c r="F4818" t="s">
        <v>48</v>
      </c>
      <c r="G4818" t="s">
        <v>51</v>
      </c>
      <c r="H4818" t="s">
        <v>19</v>
      </c>
      <c r="I4818" t="s">
        <v>45</v>
      </c>
      <c r="J4818" t="s">
        <v>21</v>
      </c>
      <c r="K4818">
        <v>8</v>
      </c>
      <c r="L4818">
        <v>9.2200000000000006</v>
      </c>
      <c r="M4818">
        <v>3.7</v>
      </c>
      <c r="N4818" t="s">
        <v>22</v>
      </c>
      <c r="O4818" t="str">
        <f t="shared" si="75"/>
        <v>Yes</v>
      </c>
    </row>
    <row r="4819" spans="1:15" x14ac:dyDescent="0.25">
      <c r="A4819" t="s">
        <v>4880</v>
      </c>
      <c r="B4819" s="1">
        <v>45717</v>
      </c>
      <c r="C4819" s="2">
        <v>45717.032083333332</v>
      </c>
      <c r="D4819" t="s">
        <v>31</v>
      </c>
      <c r="E4819" t="s">
        <v>16</v>
      </c>
      <c r="F4819" t="s">
        <v>60</v>
      </c>
      <c r="G4819" t="s">
        <v>34</v>
      </c>
      <c r="H4819" t="s">
        <v>19</v>
      </c>
      <c r="I4819" t="s">
        <v>36</v>
      </c>
      <c r="J4819" t="s">
        <v>21</v>
      </c>
      <c r="K4819">
        <v>4</v>
      </c>
      <c r="L4819">
        <v>0.77</v>
      </c>
      <c r="M4819">
        <v>4.8</v>
      </c>
      <c r="N4819" t="s">
        <v>22</v>
      </c>
      <c r="O4819" t="str">
        <f t="shared" si="75"/>
        <v>No</v>
      </c>
    </row>
    <row r="4820" spans="1:15" x14ac:dyDescent="0.25">
      <c r="A4820" t="s">
        <v>4881</v>
      </c>
      <c r="B4820" s="1">
        <v>45754</v>
      </c>
      <c r="C4820" s="2">
        <v>45754.257916666669</v>
      </c>
      <c r="D4820" t="s">
        <v>24</v>
      </c>
      <c r="E4820" t="s">
        <v>39</v>
      </c>
      <c r="F4820" t="s">
        <v>78</v>
      </c>
      <c r="G4820" t="s">
        <v>34</v>
      </c>
      <c r="H4820" t="s">
        <v>27</v>
      </c>
      <c r="I4820" t="s">
        <v>36</v>
      </c>
      <c r="J4820" t="s">
        <v>21</v>
      </c>
      <c r="K4820">
        <v>24</v>
      </c>
      <c r="L4820">
        <v>6.19</v>
      </c>
      <c r="M4820">
        <v>4.5999999999999996</v>
      </c>
      <c r="N4820" t="s">
        <v>22</v>
      </c>
      <c r="O4820" t="str">
        <f t="shared" si="75"/>
        <v>No</v>
      </c>
    </row>
    <row r="4821" spans="1:15" x14ac:dyDescent="0.25">
      <c r="A4821" t="s">
        <v>4882</v>
      </c>
      <c r="B4821" s="1">
        <v>45826</v>
      </c>
      <c r="C4821" s="2">
        <v>45826.359583333331</v>
      </c>
      <c r="D4821" t="s">
        <v>24</v>
      </c>
      <c r="E4821" t="s">
        <v>25</v>
      </c>
      <c r="F4821" t="s">
        <v>26</v>
      </c>
      <c r="G4821" t="s">
        <v>51</v>
      </c>
      <c r="H4821" t="s">
        <v>27</v>
      </c>
      <c r="I4821" t="s">
        <v>28</v>
      </c>
      <c r="J4821" t="s">
        <v>21</v>
      </c>
      <c r="K4821">
        <v>24</v>
      </c>
      <c r="L4821">
        <v>8.6300000000000008</v>
      </c>
      <c r="M4821">
        <v>5</v>
      </c>
      <c r="N4821" t="s">
        <v>22</v>
      </c>
      <c r="O4821" t="str">
        <f t="shared" si="75"/>
        <v>No</v>
      </c>
    </row>
    <row r="4822" spans="1:15" x14ac:dyDescent="0.25">
      <c r="A4822" t="s">
        <v>4883</v>
      </c>
      <c r="B4822" s="1">
        <v>45755</v>
      </c>
      <c r="C4822" s="2">
        <v>45756.588333333333</v>
      </c>
      <c r="D4822" t="s">
        <v>15</v>
      </c>
      <c r="E4822" t="s">
        <v>39</v>
      </c>
      <c r="F4822" t="s">
        <v>119</v>
      </c>
      <c r="G4822" t="s">
        <v>34</v>
      </c>
      <c r="H4822" t="s">
        <v>44</v>
      </c>
      <c r="I4822" t="s">
        <v>20</v>
      </c>
      <c r="J4822" t="s">
        <v>21</v>
      </c>
      <c r="K4822">
        <v>48</v>
      </c>
      <c r="L4822">
        <v>38.119999999999997</v>
      </c>
      <c r="M4822">
        <v>4.2</v>
      </c>
      <c r="N4822" t="s">
        <v>22</v>
      </c>
      <c r="O4822" t="str">
        <f t="shared" si="75"/>
        <v>No</v>
      </c>
    </row>
    <row r="4823" spans="1:15" x14ac:dyDescent="0.25">
      <c r="A4823" t="s">
        <v>4884</v>
      </c>
      <c r="B4823" s="1">
        <v>45781</v>
      </c>
      <c r="C4823" s="2">
        <v>45781.904166666667</v>
      </c>
      <c r="D4823" t="s">
        <v>15</v>
      </c>
      <c r="E4823" t="s">
        <v>39</v>
      </c>
      <c r="F4823" t="s">
        <v>87</v>
      </c>
      <c r="G4823" t="s">
        <v>51</v>
      </c>
      <c r="H4823" t="s">
        <v>44</v>
      </c>
      <c r="I4823" t="s">
        <v>36</v>
      </c>
      <c r="J4823" t="s">
        <v>21</v>
      </c>
      <c r="K4823">
        <v>48</v>
      </c>
      <c r="L4823">
        <v>21.7</v>
      </c>
      <c r="M4823">
        <v>3.7</v>
      </c>
      <c r="N4823" t="s">
        <v>22</v>
      </c>
      <c r="O4823" t="str">
        <f t="shared" si="75"/>
        <v>No</v>
      </c>
    </row>
    <row r="4824" spans="1:15" x14ac:dyDescent="0.25">
      <c r="A4824" t="s">
        <v>4885</v>
      </c>
      <c r="B4824" s="1">
        <v>45822</v>
      </c>
      <c r="C4824" s="2">
        <v>45822.118750000001</v>
      </c>
      <c r="D4824" t="s">
        <v>24</v>
      </c>
      <c r="E4824" t="s">
        <v>32</v>
      </c>
      <c r="F4824" t="s">
        <v>33</v>
      </c>
      <c r="G4824" t="s">
        <v>41</v>
      </c>
      <c r="H4824" t="s">
        <v>19</v>
      </c>
      <c r="I4824" t="s">
        <v>20</v>
      </c>
      <c r="J4824" t="s">
        <v>21</v>
      </c>
      <c r="K4824">
        <v>24</v>
      </c>
      <c r="L4824">
        <v>2.85</v>
      </c>
      <c r="M4824">
        <v>5</v>
      </c>
      <c r="N4824" t="s">
        <v>22</v>
      </c>
      <c r="O4824" t="str">
        <f t="shared" si="75"/>
        <v>No</v>
      </c>
    </row>
    <row r="4825" spans="1:15" x14ac:dyDescent="0.25">
      <c r="A4825" t="s">
        <v>4886</v>
      </c>
      <c r="B4825" s="1">
        <v>45834</v>
      </c>
      <c r="C4825" s="2">
        <v>45834.024583333332</v>
      </c>
      <c r="D4825" t="s">
        <v>38</v>
      </c>
      <c r="E4825" t="s">
        <v>39</v>
      </c>
      <c r="F4825" t="s">
        <v>87</v>
      </c>
      <c r="G4825" t="s">
        <v>34</v>
      </c>
      <c r="H4825" t="s">
        <v>27</v>
      </c>
      <c r="I4825" t="s">
        <v>36</v>
      </c>
      <c r="J4825" t="s">
        <v>21</v>
      </c>
      <c r="K4825">
        <v>8</v>
      </c>
      <c r="L4825">
        <v>0.59</v>
      </c>
      <c r="M4825">
        <v>4.5999999999999996</v>
      </c>
      <c r="N4825" t="s">
        <v>22</v>
      </c>
      <c r="O4825" t="str">
        <f t="shared" si="75"/>
        <v>No</v>
      </c>
    </row>
    <row r="4826" spans="1:15" x14ac:dyDescent="0.25">
      <c r="A4826" t="s">
        <v>4887</v>
      </c>
      <c r="B4826" s="1">
        <v>45748</v>
      </c>
      <c r="C4826" s="2">
        <v>45748.135416666664</v>
      </c>
      <c r="D4826" t="s">
        <v>38</v>
      </c>
      <c r="E4826" t="s">
        <v>39</v>
      </c>
      <c r="F4826" t="s">
        <v>40</v>
      </c>
      <c r="G4826" t="s">
        <v>56</v>
      </c>
      <c r="H4826" t="s">
        <v>35</v>
      </c>
      <c r="I4826" t="s">
        <v>28</v>
      </c>
      <c r="J4826" t="s">
        <v>21</v>
      </c>
      <c r="K4826">
        <v>8</v>
      </c>
      <c r="L4826">
        <v>3.25</v>
      </c>
      <c r="M4826">
        <v>3.6</v>
      </c>
      <c r="N4826" t="s">
        <v>22</v>
      </c>
      <c r="O4826" t="str">
        <f t="shared" si="75"/>
        <v>No</v>
      </c>
    </row>
    <row r="4827" spans="1:15" x14ac:dyDescent="0.25">
      <c r="A4827" t="s">
        <v>4888</v>
      </c>
      <c r="B4827" s="1">
        <v>45733</v>
      </c>
      <c r="C4827" s="2">
        <v>45733.445</v>
      </c>
      <c r="D4827" t="s">
        <v>24</v>
      </c>
      <c r="E4827" t="s">
        <v>32</v>
      </c>
      <c r="F4827" t="s">
        <v>64</v>
      </c>
      <c r="G4827" t="s">
        <v>41</v>
      </c>
      <c r="H4827" t="s">
        <v>65</v>
      </c>
      <c r="I4827" t="s">
        <v>36</v>
      </c>
      <c r="J4827" t="s">
        <v>21</v>
      </c>
      <c r="K4827">
        <v>24</v>
      </c>
      <c r="L4827">
        <v>10.68</v>
      </c>
      <c r="M4827">
        <v>4.9000000000000004</v>
      </c>
      <c r="N4827" t="s">
        <v>22</v>
      </c>
      <c r="O4827" t="str">
        <f t="shared" si="75"/>
        <v>No</v>
      </c>
    </row>
    <row r="4828" spans="1:15" x14ac:dyDescent="0.25">
      <c r="A4828" t="s">
        <v>4889</v>
      </c>
      <c r="B4828" s="1">
        <v>45693</v>
      </c>
      <c r="C4828" s="2">
        <v>45693.159583333334</v>
      </c>
      <c r="D4828" t="s">
        <v>31</v>
      </c>
      <c r="E4828" t="s">
        <v>16</v>
      </c>
      <c r="F4828" t="s">
        <v>60</v>
      </c>
      <c r="G4828" t="s">
        <v>51</v>
      </c>
      <c r="H4828" t="s">
        <v>65</v>
      </c>
      <c r="I4828" t="s">
        <v>36</v>
      </c>
      <c r="J4828" t="s">
        <v>85</v>
      </c>
      <c r="K4828">
        <v>4</v>
      </c>
      <c r="L4828">
        <v>3.83</v>
      </c>
      <c r="M4828">
        <v>3.1</v>
      </c>
      <c r="N4828" t="s">
        <v>22</v>
      </c>
      <c r="O4828" t="str">
        <f t="shared" si="75"/>
        <v>No</v>
      </c>
    </row>
    <row r="4829" spans="1:15" x14ac:dyDescent="0.25">
      <c r="A4829" t="s">
        <v>4890</v>
      </c>
      <c r="B4829" s="1">
        <v>45755</v>
      </c>
      <c r="C4829" s="2">
        <v>45755.21166666667</v>
      </c>
      <c r="D4829" t="s">
        <v>24</v>
      </c>
      <c r="E4829" t="s">
        <v>32</v>
      </c>
      <c r="F4829" t="s">
        <v>33</v>
      </c>
      <c r="G4829" t="s">
        <v>18</v>
      </c>
      <c r="H4829" t="s">
        <v>35</v>
      </c>
      <c r="I4829" t="s">
        <v>36</v>
      </c>
      <c r="J4829" t="s">
        <v>46</v>
      </c>
      <c r="K4829">
        <v>24</v>
      </c>
      <c r="L4829">
        <v>5.08</v>
      </c>
      <c r="M4829">
        <v>4.5</v>
      </c>
      <c r="N4829" t="s">
        <v>22</v>
      </c>
      <c r="O4829" t="str">
        <f t="shared" si="75"/>
        <v>No</v>
      </c>
    </row>
    <row r="4830" spans="1:15" x14ac:dyDescent="0.25">
      <c r="A4830" t="s">
        <v>4891</v>
      </c>
      <c r="B4830" s="1">
        <v>45824</v>
      </c>
      <c r="C4830" s="2">
        <v>45826.679166666669</v>
      </c>
      <c r="D4830" t="s">
        <v>15</v>
      </c>
      <c r="E4830" t="s">
        <v>32</v>
      </c>
      <c r="F4830" t="s">
        <v>64</v>
      </c>
      <c r="G4830" t="s">
        <v>56</v>
      </c>
      <c r="H4830" t="s">
        <v>54</v>
      </c>
      <c r="I4830" t="s">
        <v>36</v>
      </c>
      <c r="J4830" t="s">
        <v>21</v>
      </c>
      <c r="K4830">
        <v>48</v>
      </c>
      <c r="L4830">
        <v>64.3</v>
      </c>
      <c r="M4830">
        <v>3.6</v>
      </c>
      <c r="N4830" t="s">
        <v>22</v>
      </c>
      <c r="O4830" t="str">
        <f t="shared" si="75"/>
        <v>Yes</v>
      </c>
    </row>
    <row r="4831" spans="1:15" x14ac:dyDescent="0.25">
      <c r="A4831" t="s">
        <v>4892</v>
      </c>
      <c r="B4831" s="1">
        <v>45746</v>
      </c>
      <c r="C4831" s="2">
        <v>45746.120416666665</v>
      </c>
      <c r="D4831" t="s">
        <v>24</v>
      </c>
      <c r="E4831" t="s">
        <v>16</v>
      </c>
      <c r="F4831" t="s">
        <v>43</v>
      </c>
      <c r="G4831" t="s">
        <v>51</v>
      </c>
      <c r="H4831" t="s">
        <v>65</v>
      </c>
      <c r="I4831" t="s">
        <v>28</v>
      </c>
      <c r="J4831" t="s">
        <v>21</v>
      </c>
      <c r="K4831">
        <v>24</v>
      </c>
      <c r="L4831">
        <v>2.89</v>
      </c>
      <c r="M4831">
        <v>4.8</v>
      </c>
      <c r="N4831" t="s">
        <v>22</v>
      </c>
      <c r="O4831" t="str">
        <f t="shared" si="75"/>
        <v>No</v>
      </c>
    </row>
    <row r="4832" spans="1:15" x14ac:dyDescent="0.25">
      <c r="A4832" t="s">
        <v>4893</v>
      </c>
      <c r="B4832" s="1">
        <v>45721</v>
      </c>
      <c r="C4832" s="2">
        <v>45721.243333333332</v>
      </c>
      <c r="D4832" t="s">
        <v>15</v>
      </c>
      <c r="E4832" t="s">
        <v>32</v>
      </c>
      <c r="F4832" t="s">
        <v>75</v>
      </c>
      <c r="G4832" t="s">
        <v>41</v>
      </c>
      <c r="H4832" t="s">
        <v>44</v>
      </c>
      <c r="I4832" t="s">
        <v>36</v>
      </c>
      <c r="J4832" t="s">
        <v>21</v>
      </c>
      <c r="K4832">
        <v>48</v>
      </c>
      <c r="L4832">
        <v>5.84</v>
      </c>
      <c r="M4832">
        <v>4.4000000000000004</v>
      </c>
      <c r="N4832" t="s">
        <v>61</v>
      </c>
      <c r="O4832" t="str">
        <f t="shared" si="75"/>
        <v>No</v>
      </c>
    </row>
    <row r="4833" spans="1:15" x14ac:dyDescent="0.25">
      <c r="A4833" t="s">
        <v>4894</v>
      </c>
      <c r="B4833" s="1">
        <v>45677</v>
      </c>
      <c r="C4833" s="2">
        <v>45677.13208333333</v>
      </c>
      <c r="D4833" t="s">
        <v>38</v>
      </c>
      <c r="E4833" t="s">
        <v>16</v>
      </c>
      <c r="F4833" t="s">
        <v>43</v>
      </c>
      <c r="G4833" t="s">
        <v>56</v>
      </c>
      <c r="H4833" t="s">
        <v>35</v>
      </c>
      <c r="I4833" t="s">
        <v>36</v>
      </c>
      <c r="J4833" t="s">
        <v>21</v>
      </c>
      <c r="K4833">
        <v>8</v>
      </c>
      <c r="L4833">
        <v>3.17</v>
      </c>
      <c r="M4833">
        <v>3.9</v>
      </c>
      <c r="N4833" t="s">
        <v>22</v>
      </c>
      <c r="O4833" t="str">
        <f t="shared" si="75"/>
        <v>No</v>
      </c>
    </row>
    <row r="4834" spans="1:15" x14ac:dyDescent="0.25">
      <c r="A4834" t="s">
        <v>4895</v>
      </c>
      <c r="B4834" s="1">
        <v>45728</v>
      </c>
      <c r="C4834" s="2">
        <v>45728.936666666668</v>
      </c>
      <c r="D4834" t="s">
        <v>24</v>
      </c>
      <c r="E4834" t="s">
        <v>16</v>
      </c>
      <c r="F4834" t="s">
        <v>58</v>
      </c>
      <c r="G4834" t="s">
        <v>41</v>
      </c>
      <c r="H4834" t="s">
        <v>44</v>
      </c>
      <c r="I4834" t="s">
        <v>20</v>
      </c>
      <c r="J4834" t="s">
        <v>85</v>
      </c>
      <c r="K4834">
        <v>24</v>
      </c>
      <c r="L4834">
        <v>22.48</v>
      </c>
      <c r="M4834">
        <v>3.4</v>
      </c>
      <c r="N4834" t="s">
        <v>22</v>
      </c>
      <c r="O4834" t="str">
        <f t="shared" si="75"/>
        <v>No</v>
      </c>
    </row>
    <row r="4835" spans="1:15" x14ac:dyDescent="0.25">
      <c r="A4835" t="s">
        <v>4896</v>
      </c>
      <c r="B4835" s="1">
        <v>45700</v>
      </c>
      <c r="C4835" s="2">
        <v>45700.608749999999</v>
      </c>
      <c r="D4835" t="s">
        <v>24</v>
      </c>
      <c r="E4835" t="s">
        <v>39</v>
      </c>
      <c r="F4835" t="s">
        <v>78</v>
      </c>
      <c r="G4835" t="s">
        <v>41</v>
      </c>
      <c r="H4835" t="s">
        <v>44</v>
      </c>
      <c r="I4835" t="s">
        <v>36</v>
      </c>
      <c r="J4835" t="s">
        <v>21</v>
      </c>
      <c r="K4835">
        <v>24</v>
      </c>
      <c r="L4835">
        <v>14.61</v>
      </c>
      <c r="M4835">
        <v>3.6</v>
      </c>
      <c r="N4835" t="s">
        <v>22</v>
      </c>
      <c r="O4835" t="str">
        <f t="shared" si="75"/>
        <v>No</v>
      </c>
    </row>
    <row r="4836" spans="1:15" x14ac:dyDescent="0.25">
      <c r="A4836" t="s">
        <v>4897</v>
      </c>
      <c r="B4836" s="1">
        <v>45834</v>
      </c>
      <c r="C4836" s="2">
        <v>45834.204583333332</v>
      </c>
      <c r="D4836" t="s">
        <v>24</v>
      </c>
      <c r="E4836" t="s">
        <v>32</v>
      </c>
      <c r="F4836" t="s">
        <v>80</v>
      </c>
      <c r="G4836" t="s">
        <v>18</v>
      </c>
      <c r="H4836" t="s">
        <v>65</v>
      </c>
      <c r="I4836" t="s">
        <v>36</v>
      </c>
      <c r="J4836" t="s">
        <v>29</v>
      </c>
      <c r="K4836">
        <v>24</v>
      </c>
      <c r="L4836">
        <v>4.91</v>
      </c>
      <c r="M4836">
        <v>4.7</v>
      </c>
      <c r="N4836" t="s">
        <v>22</v>
      </c>
      <c r="O4836" t="str">
        <f t="shared" si="75"/>
        <v>No</v>
      </c>
    </row>
    <row r="4837" spans="1:15" x14ac:dyDescent="0.25">
      <c r="A4837" t="s">
        <v>4898</v>
      </c>
      <c r="B4837" s="1">
        <v>45753</v>
      </c>
      <c r="C4837" s="2">
        <v>45753.603750000002</v>
      </c>
      <c r="D4837" t="s">
        <v>38</v>
      </c>
      <c r="E4837" t="s">
        <v>16</v>
      </c>
      <c r="F4837" t="s">
        <v>43</v>
      </c>
      <c r="G4837" t="s">
        <v>51</v>
      </c>
      <c r="H4837" t="s">
        <v>19</v>
      </c>
      <c r="I4837" t="s">
        <v>45</v>
      </c>
      <c r="J4837" t="s">
        <v>46</v>
      </c>
      <c r="K4837">
        <v>8</v>
      </c>
      <c r="L4837">
        <v>14.49</v>
      </c>
      <c r="M4837">
        <v>2.5</v>
      </c>
      <c r="N4837" t="s">
        <v>22</v>
      </c>
      <c r="O4837" t="str">
        <f t="shared" si="75"/>
        <v>Yes</v>
      </c>
    </row>
    <row r="4838" spans="1:15" x14ac:dyDescent="0.25">
      <c r="A4838" t="s">
        <v>4899</v>
      </c>
      <c r="B4838" s="1">
        <v>45682</v>
      </c>
      <c r="C4838" s="2">
        <v>45682.588333333333</v>
      </c>
      <c r="D4838" t="s">
        <v>24</v>
      </c>
      <c r="E4838" t="s">
        <v>32</v>
      </c>
      <c r="F4838" t="s">
        <v>33</v>
      </c>
      <c r="G4838" t="s">
        <v>56</v>
      </c>
      <c r="H4838" t="s">
        <v>54</v>
      </c>
      <c r="I4838" t="s">
        <v>36</v>
      </c>
      <c r="J4838" t="s">
        <v>46</v>
      </c>
      <c r="K4838">
        <v>24</v>
      </c>
      <c r="L4838">
        <v>14.12</v>
      </c>
      <c r="M4838">
        <v>3.4</v>
      </c>
      <c r="N4838" t="s">
        <v>22</v>
      </c>
      <c r="O4838" t="str">
        <f t="shared" si="75"/>
        <v>No</v>
      </c>
    </row>
    <row r="4839" spans="1:15" x14ac:dyDescent="0.25">
      <c r="A4839" t="s">
        <v>4900</v>
      </c>
      <c r="B4839" s="1">
        <v>45670</v>
      </c>
      <c r="C4839" s="2">
        <v>45670.630416666667</v>
      </c>
      <c r="D4839" t="s">
        <v>24</v>
      </c>
      <c r="E4839" t="s">
        <v>16</v>
      </c>
      <c r="F4839" t="s">
        <v>17</v>
      </c>
      <c r="G4839" t="s">
        <v>41</v>
      </c>
      <c r="H4839" t="s">
        <v>44</v>
      </c>
      <c r="I4839" t="s">
        <v>20</v>
      </c>
      <c r="J4839" t="s">
        <v>21</v>
      </c>
      <c r="K4839">
        <v>24</v>
      </c>
      <c r="L4839">
        <v>15.13</v>
      </c>
      <c r="M4839">
        <v>4.0999999999999996</v>
      </c>
      <c r="N4839" t="s">
        <v>22</v>
      </c>
      <c r="O4839" t="str">
        <f t="shared" si="75"/>
        <v>No</v>
      </c>
    </row>
    <row r="4840" spans="1:15" x14ac:dyDescent="0.25">
      <c r="A4840" t="s">
        <v>4901</v>
      </c>
      <c r="B4840" s="1">
        <v>45811</v>
      </c>
      <c r="C4840" s="2">
        <v>45812.748749999999</v>
      </c>
      <c r="D4840" t="s">
        <v>15</v>
      </c>
      <c r="E4840" t="s">
        <v>25</v>
      </c>
      <c r="F4840" t="s">
        <v>26</v>
      </c>
      <c r="G4840" t="s">
        <v>51</v>
      </c>
      <c r="H4840" t="s">
        <v>19</v>
      </c>
      <c r="I4840" t="s">
        <v>45</v>
      </c>
      <c r="J4840" t="s">
        <v>21</v>
      </c>
      <c r="K4840">
        <v>48</v>
      </c>
      <c r="L4840">
        <v>41.97</v>
      </c>
      <c r="M4840">
        <v>3.5</v>
      </c>
      <c r="N4840" t="s">
        <v>22</v>
      </c>
      <c r="O4840" t="str">
        <f t="shared" si="75"/>
        <v>No</v>
      </c>
    </row>
    <row r="4841" spans="1:15" x14ac:dyDescent="0.25">
      <c r="A4841" t="s">
        <v>4902</v>
      </c>
      <c r="B4841" s="1">
        <v>45826</v>
      </c>
      <c r="C4841" s="2">
        <v>45826.215416666666</v>
      </c>
      <c r="D4841" t="s">
        <v>38</v>
      </c>
      <c r="E4841" t="s">
        <v>16</v>
      </c>
      <c r="F4841" t="s">
        <v>60</v>
      </c>
      <c r="G4841" t="s">
        <v>56</v>
      </c>
      <c r="H4841" t="s">
        <v>19</v>
      </c>
      <c r="I4841" t="s">
        <v>36</v>
      </c>
      <c r="J4841" t="s">
        <v>46</v>
      </c>
      <c r="K4841">
        <v>8</v>
      </c>
      <c r="L4841">
        <v>5.17</v>
      </c>
      <c r="M4841">
        <v>4.4000000000000004</v>
      </c>
      <c r="N4841" t="s">
        <v>22</v>
      </c>
      <c r="O4841" t="str">
        <f t="shared" si="75"/>
        <v>No</v>
      </c>
    </row>
    <row r="4842" spans="1:15" x14ac:dyDescent="0.25">
      <c r="A4842" t="s">
        <v>4903</v>
      </c>
      <c r="B4842" s="1">
        <v>45796</v>
      </c>
      <c r="C4842" s="2">
        <v>45796.345833333333</v>
      </c>
      <c r="D4842" t="s">
        <v>24</v>
      </c>
      <c r="E4842" t="s">
        <v>39</v>
      </c>
      <c r="F4842" t="s">
        <v>78</v>
      </c>
      <c r="G4842" t="s">
        <v>41</v>
      </c>
      <c r="H4842" t="s">
        <v>35</v>
      </c>
      <c r="I4842" t="s">
        <v>45</v>
      </c>
      <c r="J4842" t="s">
        <v>46</v>
      </c>
      <c r="K4842">
        <v>24</v>
      </c>
      <c r="L4842">
        <v>8.3000000000000007</v>
      </c>
      <c r="M4842">
        <v>4.8</v>
      </c>
      <c r="N4842" t="s">
        <v>22</v>
      </c>
      <c r="O4842" t="str">
        <f t="shared" si="75"/>
        <v>No</v>
      </c>
    </row>
    <row r="4843" spans="1:15" x14ac:dyDescent="0.25">
      <c r="A4843" t="s">
        <v>4904</v>
      </c>
      <c r="B4843" s="1">
        <v>45680</v>
      </c>
      <c r="C4843" s="2">
        <v>45682.939583333333</v>
      </c>
      <c r="D4843" t="s">
        <v>15</v>
      </c>
      <c r="E4843" t="s">
        <v>45</v>
      </c>
      <c r="F4843" t="s">
        <v>50</v>
      </c>
      <c r="G4843" t="s">
        <v>56</v>
      </c>
      <c r="H4843" t="s">
        <v>44</v>
      </c>
      <c r="I4843" t="s">
        <v>36</v>
      </c>
      <c r="J4843" t="s">
        <v>21</v>
      </c>
      <c r="K4843">
        <v>48</v>
      </c>
      <c r="L4843">
        <v>70.55</v>
      </c>
      <c r="M4843">
        <v>4.0999999999999996</v>
      </c>
      <c r="N4843" t="s">
        <v>22</v>
      </c>
      <c r="O4843" t="str">
        <f t="shared" si="75"/>
        <v>Yes</v>
      </c>
    </row>
    <row r="4844" spans="1:15" x14ac:dyDescent="0.25">
      <c r="A4844" t="s">
        <v>4905</v>
      </c>
      <c r="B4844" s="1">
        <v>45675</v>
      </c>
      <c r="C4844" s="2">
        <v>45675.417916666665</v>
      </c>
      <c r="D4844" t="s">
        <v>38</v>
      </c>
      <c r="E4844" t="s">
        <v>32</v>
      </c>
      <c r="F4844" t="s">
        <v>75</v>
      </c>
      <c r="G4844" t="s">
        <v>18</v>
      </c>
      <c r="H4844" t="s">
        <v>44</v>
      </c>
      <c r="I4844" t="s">
        <v>45</v>
      </c>
      <c r="J4844" t="s">
        <v>21</v>
      </c>
      <c r="K4844">
        <v>8</v>
      </c>
      <c r="L4844">
        <v>10.029999999999999</v>
      </c>
      <c r="M4844">
        <v>3.9</v>
      </c>
      <c r="N4844" t="s">
        <v>22</v>
      </c>
      <c r="O4844" t="str">
        <f t="shared" si="75"/>
        <v>Yes</v>
      </c>
    </row>
    <row r="4845" spans="1:15" x14ac:dyDescent="0.25">
      <c r="A4845" t="s">
        <v>4906</v>
      </c>
      <c r="B4845" s="1">
        <v>45693</v>
      </c>
      <c r="C4845" s="2">
        <v>45696.277083333334</v>
      </c>
      <c r="D4845" t="s">
        <v>15</v>
      </c>
      <c r="E4845" t="s">
        <v>45</v>
      </c>
      <c r="F4845" t="s">
        <v>100</v>
      </c>
      <c r="G4845" t="s">
        <v>51</v>
      </c>
      <c r="H4845" t="s">
        <v>19</v>
      </c>
      <c r="I4845" t="s">
        <v>45</v>
      </c>
      <c r="J4845" t="s">
        <v>21</v>
      </c>
      <c r="K4845">
        <v>48</v>
      </c>
      <c r="L4845">
        <v>78.650000000000006</v>
      </c>
      <c r="M4845">
        <v>2.2999999999999998</v>
      </c>
      <c r="N4845" t="s">
        <v>22</v>
      </c>
      <c r="O4845" t="str">
        <f t="shared" si="75"/>
        <v>Yes</v>
      </c>
    </row>
    <row r="4846" spans="1:15" x14ac:dyDescent="0.25">
      <c r="A4846" t="s">
        <v>4907</v>
      </c>
      <c r="B4846" s="1">
        <v>45793</v>
      </c>
      <c r="C4846" s="2">
        <v>45793.377500000002</v>
      </c>
      <c r="D4846" t="s">
        <v>24</v>
      </c>
      <c r="E4846" t="s">
        <v>25</v>
      </c>
      <c r="F4846" t="s">
        <v>48</v>
      </c>
      <c r="G4846" t="s">
        <v>34</v>
      </c>
      <c r="H4846" t="s">
        <v>35</v>
      </c>
      <c r="I4846" t="s">
        <v>20</v>
      </c>
      <c r="J4846" t="s">
        <v>21</v>
      </c>
      <c r="K4846">
        <v>24</v>
      </c>
      <c r="L4846">
        <v>9.06</v>
      </c>
      <c r="M4846">
        <v>3.1</v>
      </c>
      <c r="N4846" t="s">
        <v>22</v>
      </c>
      <c r="O4846" t="str">
        <f t="shared" si="75"/>
        <v>No</v>
      </c>
    </row>
    <row r="4847" spans="1:15" x14ac:dyDescent="0.25">
      <c r="A4847" t="s">
        <v>4908</v>
      </c>
      <c r="B4847" s="1">
        <v>45796</v>
      </c>
      <c r="C4847" s="2">
        <v>45797.431666666664</v>
      </c>
      <c r="D4847" t="s">
        <v>24</v>
      </c>
      <c r="E4847" t="s">
        <v>39</v>
      </c>
      <c r="F4847" t="s">
        <v>87</v>
      </c>
      <c r="G4847" t="s">
        <v>18</v>
      </c>
      <c r="H4847" t="s">
        <v>35</v>
      </c>
      <c r="I4847" t="s">
        <v>45</v>
      </c>
      <c r="J4847" t="s">
        <v>21</v>
      </c>
      <c r="K4847">
        <v>24</v>
      </c>
      <c r="L4847">
        <v>34.36</v>
      </c>
      <c r="M4847">
        <v>2.2999999999999998</v>
      </c>
      <c r="N4847" t="s">
        <v>22</v>
      </c>
      <c r="O4847" t="str">
        <f t="shared" si="75"/>
        <v>Yes</v>
      </c>
    </row>
    <row r="4848" spans="1:15" x14ac:dyDescent="0.25">
      <c r="A4848" t="s">
        <v>4909</v>
      </c>
      <c r="B4848" s="1">
        <v>45809</v>
      </c>
      <c r="C4848" s="2">
        <v>45809.195</v>
      </c>
      <c r="D4848" t="s">
        <v>24</v>
      </c>
      <c r="E4848" t="s">
        <v>32</v>
      </c>
      <c r="F4848" t="s">
        <v>80</v>
      </c>
      <c r="G4848" t="s">
        <v>51</v>
      </c>
      <c r="H4848" t="s">
        <v>27</v>
      </c>
      <c r="I4848" t="s">
        <v>20</v>
      </c>
      <c r="J4848" t="s">
        <v>21</v>
      </c>
      <c r="K4848">
        <v>24</v>
      </c>
      <c r="L4848">
        <v>4.68</v>
      </c>
      <c r="M4848">
        <v>4.4000000000000004</v>
      </c>
      <c r="N4848" t="s">
        <v>22</v>
      </c>
      <c r="O4848" t="str">
        <f t="shared" si="75"/>
        <v>No</v>
      </c>
    </row>
    <row r="4849" spans="1:15" x14ac:dyDescent="0.25">
      <c r="A4849" t="s">
        <v>4910</v>
      </c>
      <c r="B4849" s="1">
        <v>45675</v>
      </c>
      <c r="C4849" s="2">
        <v>45675.521249999998</v>
      </c>
      <c r="D4849" t="s">
        <v>24</v>
      </c>
      <c r="E4849" t="s">
        <v>32</v>
      </c>
      <c r="F4849" t="s">
        <v>80</v>
      </c>
      <c r="G4849" t="s">
        <v>41</v>
      </c>
      <c r="H4849" t="s">
        <v>54</v>
      </c>
      <c r="I4849" t="s">
        <v>36</v>
      </c>
      <c r="J4849" t="s">
        <v>29</v>
      </c>
      <c r="K4849">
        <v>24</v>
      </c>
      <c r="L4849">
        <v>12.51</v>
      </c>
      <c r="M4849">
        <v>3.3</v>
      </c>
      <c r="N4849" t="s">
        <v>22</v>
      </c>
      <c r="O4849" t="str">
        <f t="shared" si="75"/>
        <v>No</v>
      </c>
    </row>
    <row r="4850" spans="1:15" x14ac:dyDescent="0.25">
      <c r="A4850" t="s">
        <v>4911</v>
      </c>
      <c r="B4850" s="1">
        <v>45685</v>
      </c>
      <c r="C4850" s="2">
        <v>45686.71125</v>
      </c>
      <c r="D4850" t="s">
        <v>15</v>
      </c>
      <c r="E4850" t="s">
        <v>45</v>
      </c>
      <c r="F4850" t="s">
        <v>112</v>
      </c>
      <c r="G4850" t="s">
        <v>56</v>
      </c>
      <c r="H4850" t="s">
        <v>65</v>
      </c>
      <c r="I4850" t="s">
        <v>28</v>
      </c>
      <c r="J4850" t="s">
        <v>46</v>
      </c>
      <c r="K4850">
        <v>48</v>
      </c>
      <c r="L4850">
        <v>41.07</v>
      </c>
      <c r="M4850">
        <v>3.6</v>
      </c>
      <c r="N4850" t="s">
        <v>22</v>
      </c>
      <c r="O4850" t="str">
        <f t="shared" si="75"/>
        <v>No</v>
      </c>
    </row>
    <row r="4851" spans="1:15" x14ac:dyDescent="0.25">
      <c r="A4851" t="s">
        <v>4912</v>
      </c>
      <c r="B4851" s="1">
        <v>45820</v>
      </c>
      <c r="C4851" s="2">
        <v>45820.308749999997</v>
      </c>
      <c r="D4851" t="s">
        <v>15</v>
      </c>
      <c r="E4851" t="s">
        <v>32</v>
      </c>
      <c r="F4851" t="s">
        <v>80</v>
      </c>
      <c r="G4851" t="s">
        <v>34</v>
      </c>
      <c r="H4851" t="s">
        <v>44</v>
      </c>
      <c r="I4851" t="s">
        <v>36</v>
      </c>
      <c r="J4851" t="s">
        <v>46</v>
      </c>
      <c r="K4851">
        <v>48</v>
      </c>
      <c r="L4851">
        <v>7.41</v>
      </c>
      <c r="M4851">
        <v>4.8</v>
      </c>
      <c r="N4851" t="s">
        <v>22</v>
      </c>
      <c r="O4851" t="str">
        <f t="shared" si="75"/>
        <v>No</v>
      </c>
    </row>
    <row r="4852" spans="1:15" x14ac:dyDescent="0.25">
      <c r="A4852" t="s">
        <v>4913</v>
      </c>
      <c r="B4852" s="1">
        <v>45826</v>
      </c>
      <c r="C4852" s="2">
        <v>45829.124166666668</v>
      </c>
      <c r="D4852" t="s">
        <v>15</v>
      </c>
      <c r="E4852" t="s">
        <v>25</v>
      </c>
      <c r="F4852" t="s">
        <v>48</v>
      </c>
      <c r="G4852" t="s">
        <v>41</v>
      </c>
      <c r="H4852" t="s">
        <v>65</v>
      </c>
      <c r="I4852" t="s">
        <v>20</v>
      </c>
      <c r="J4852" t="s">
        <v>46</v>
      </c>
      <c r="K4852">
        <v>48</v>
      </c>
      <c r="L4852">
        <v>74.98</v>
      </c>
      <c r="M4852">
        <v>2.8</v>
      </c>
      <c r="N4852" t="s">
        <v>22</v>
      </c>
      <c r="O4852" t="str">
        <f t="shared" si="75"/>
        <v>Yes</v>
      </c>
    </row>
    <row r="4853" spans="1:15" x14ac:dyDescent="0.25">
      <c r="A4853" t="s">
        <v>4914</v>
      </c>
      <c r="B4853" s="1">
        <v>45789</v>
      </c>
      <c r="C4853" s="2">
        <v>45789.69458333333</v>
      </c>
      <c r="D4853" t="s">
        <v>15</v>
      </c>
      <c r="E4853" t="s">
        <v>16</v>
      </c>
      <c r="F4853" t="s">
        <v>58</v>
      </c>
      <c r="G4853" t="s">
        <v>34</v>
      </c>
      <c r="H4853" t="s">
        <v>54</v>
      </c>
      <c r="I4853" t="s">
        <v>45</v>
      </c>
      <c r="J4853" t="s">
        <v>46</v>
      </c>
      <c r="K4853">
        <v>48</v>
      </c>
      <c r="L4853">
        <v>16.670000000000002</v>
      </c>
      <c r="M4853">
        <v>4.8</v>
      </c>
      <c r="N4853" t="s">
        <v>22</v>
      </c>
      <c r="O4853" t="str">
        <f t="shared" si="75"/>
        <v>No</v>
      </c>
    </row>
    <row r="4854" spans="1:15" x14ac:dyDescent="0.25">
      <c r="A4854" t="s">
        <v>4915</v>
      </c>
      <c r="B4854" s="1">
        <v>45677</v>
      </c>
      <c r="C4854" s="2">
        <v>45677.214999999997</v>
      </c>
      <c r="D4854" t="s">
        <v>31</v>
      </c>
      <c r="E4854" t="s">
        <v>39</v>
      </c>
      <c r="F4854" t="s">
        <v>87</v>
      </c>
      <c r="G4854" t="s">
        <v>41</v>
      </c>
      <c r="H4854" t="s">
        <v>27</v>
      </c>
      <c r="I4854" t="s">
        <v>36</v>
      </c>
      <c r="J4854" t="s">
        <v>21</v>
      </c>
      <c r="K4854">
        <v>4</v>
      </c>
      <c r="L4854">
        <v>5.16</v>
      </c>
      <c r="M4854">
        <v>3.1</v>
      </c>
      <c r="N4854" t="s">
        <v>22</v>
      </c>
      <c r="O4854" t="str">
        <f t="shared" si="75"/>
        <v>Yes</v>
      </c>
    </row>
    <row r="4855" spans="1:15" x14ac:dyDescent="0.25">
      <c r="A4855" t="s">
        <v>4916</v>
      </c>
      <c r="B4855" s="1">
        <v>45670</v>
      </c>
      <c r="C4855" s="2">
        <v>45670.170416666668</v>
      </c>
      <c r="D4855" t="s">
        <v>24</v>
      </c>
      <c r="E4855" t="s">
        <v>16</v>
      </c>
      <c r="F4855" t="s">
        <v>60</v>
      </c>
      <c r="G4855" t="s">
        <v>56</v>
      </c>
      <c r="H4855" t="s">
        <v>54</v>
      </c>
      <c r="I4855" t="s">
        <v>36</v>
      </c>
      <c r="J4855" t="s">
        <v>46</v>
      </c>
      <c r="K4855">
        <v>24</v>
      </c>
      <c r="L4855">
        <v>4.09</v>
      </c>
      <c r="M4855">
        <v>4.3</v>
      </c>
      <c r="N4855" t="s">
        <v>22</v>
      </c>
      <c r="O4855" t="str">
        <f t="shared" si="75"/>
        <v>No</v>
      </c>
    </row>
    <row r="4856" spans="1:15" x14ac:dyDescent="0.25">
      <c r="A4856" t="s">
        <v>4917</v>
      </c>
      <c r="B4856" s="1">
        <v>45668</v>
      </c>
      <c r="C4856" s="2">
        <v>45668.512071759258</v>
      </c>
      <c r="D4856" t="s">
        <v>24</v>
      </c>
      <c r="E4856" t="s">
        <v>32</v>
      </c>
      <c r="F4856" t="s">
        <v>75</v>
      </c>
      <c r="G4856" t="s">
        <v>41</v>
      </c>
      <c r="H4856" t="s">
        <v>27</v>
      </c>
      <c r="I4856" t="s">
        <v>28</v>
      </c>
      <c r="J4856" t="s">
        <v>21</v>
      </c>
      <c r="K4856">
        <v>24</v>
      </c>
      <c r="L4856">
        <v>12.29</v>
      </c>
      <c r="M4856">
        <v>5</v>
      </c>
      <c r="N4856" t="s">
        <v>22</v>
      </c>
      <c r="O4856" t="str">
        <f t="shared" si="75"/>
        <v>No</v>
      </c>
    </row>
    <row r="4857" spans="1:15" x14ac:dyDescent="0.25">
      <c r="A4857" t="s">
        <v>4918</v>
      </c>
      <c r="B4857" s="1">
        <v>45783</v>
      </c>
      <c r="C4857" s="2">
        <v>45783.292916666665</v>
      </c>
      <c r="D4857" t="s">
        <v>24</v>
      </c>
      <c r="E4857" t="s">
        <v>39</v>
      </c>
      <c r="F4857" t="s">
        <v>78</v>
      </c>
      <c r="G4857" t="s">
        <v>41</v>
      </c>
      <c r="H4857" t="s">
        <v>54</v>
      </c>
      <c r="I4857" t="s">
        <v>20</v>
      </c>
      <c r="J4857" t="s">
        <v>29</v>
      </c>
      <c r="K4857">
        <v>24</v>
      </c>
      <c r="L4857">
        <v>7.03</v>
      </c>
      <c r="M4857">
        <v>4.5999999999999996</v>
      </c>
      <c r="N4857" t="s">
        <v>22</v>
      </c>
      <c r="O4857" t="str">
        <f t="shared" si="75"/>
        <v>No</v>
      </c>
    </row>
    <row r="4858" spans="1:15" x14ac:dyDescent="0.25">
      <c r="A4858" t="s">
        <v>4919</v>
      </c>
      <c r="B4858" s="1">
        <v>45811</v>
      </c>
      <c r="C4858" s="2">
        <v>45811.294999999998</v>
      </c>
      <c r="D4858" t="s">
        <v>24</v>
      </c>
      <c r="E4858" t="s">
        <v>45</v>
      </c>
      <c r="F4858" t="s">
        <v>104</v>
      </c>
      <c r="G4858" t="s">
        <v>18</v>
      </c>
      <c r="H4858" t="s">
        <v>19</v>
      </c>
      <c r="I4858" t="s">
        <v>20</v>
      </c>
      <c r="J4858" t="s">
        <v>21</v>
      </c>
      <c r="K4858">
        <v>24</v>
      </c>
      <c r="L4858">
        <v>7.08</v>
      </c>
      <c r="M4858">
        <v>4.7</v>
      </c>
      <c r="N4858" t="s">
        <v>22</v>
      </c>
      <c r="O4858" t="str">
        <f t="shared" si="75"/>
        <v>No</v>
      </c>
    </row>
    <row r="4859" spans="1:15" x14ac:dyDescent="0.25">
      <c r="A4859" t="s">
        <v>4920</v>
      </c>
      <c r="B4859" s="1">
        <v>45772</v>
      </c>
      <c r="C4859" s="2">
        <v>45772.380833333336</v>
      </c>
      <c r="D4859" t="s">
        <v>15</v>
      </c>
      <c r="E4859" t="s">
        <v>32</v>
      </c>
      <c r="F4859" t="s">
        <v>33</v>
      </c>
      <c r="G4859" t="s">
        <v>56</v>
      </c>
      <c r="H4859" t="s">
        <v>54</v>
      </c>
      <c r="I4859" t="s">
        <v>36</v>
      </c>
      <c r="J4859" t="s">
        <v>46</v>
      </c>
      <c r="K4859">
        <v>48</v>
      </c>
      <c r="L4859">
        <v>9.14</v>
      </c>
      <c r="M4859">
        <v>5</v>
      </c>
      <c r="N4859" t="s">
        <v>61</v>
      </c>
      <c r="O4859" t="str">
        <f t="shared" si="75"/>
        <v>No</v>
      </c>
    </row>
    <row r="4860" spans="1:15" x14ac:dyDescent="0.25">
      <c r="A4860" t="s">
        <v>4921</v>
      </c>
      <c r="B4860" s="1">
        <v>45705</v>
      </c>
      <c r="C4860" s="2">
        <v>45705.354583333334</v>
      </c>
      <c r="D4860" t="s">
        <v>15</v>
      </c>
      <c r="E4860" t="s">
        <v>45</v>
      </c>
      <c r="F4860" t="s">
        <v>104</v>
      </c>
      <c r="G4860" t="s">
        <v>51</v>
      </c>
      <c r="H4860" t="s">
        <v>19</v>
      </c>
      <c r="I4860" t="s">
        <v>45</v>
      </c>
      <c r="J4860" t="s">
        <v>21</v>
      </c>
      <c r="K4860">
        <v>48</v>
      </c>
      <c r="L4860">
        <v>8.51</v>
      </c>
      <c r="M4860">
        <v>5</v>
      </c>
      <c r="N4860" t="s">
        <v>22</v>
      </c>
      <c r="O4860" t="str">
        <f t="shared" si="75"/>
        <v>No</v>
      </c>
    </row>
    <row r="4861" spans="1:15" x14ac:dyDescent="0.25">
      <c r="A4861" t="s">
        <v>4922</v>
      </c>
      <c r="B4861" s="1">
        <v>45795</v>
      </c>
      <c r="C4861" s="2">
        <v>45795.212500000001</v>
      </c>
      <c r="D4861" t="s">
        <v>24</v>
      </c>
      <c r="E4861" t="s">
        <v>45</v>
      </c>
      <c r="F4861" t="s">
        <v>50</v>
      </c>
      <c r="G4861" t="s">
        <v>18</v>
      </c>
      <c r="H4861" t="s">
        <v>19</v>
      </c>
      <c r="I4861" t="s">
        <v>36</v>
      </c>
      <c r="J4861" t="s">
        <v>21</v>
      </c>
      <c r="K4861">
        <v>24</v>
      </c>
      <c r="L4861">
        <v>5.0999999999999996</v>
      </c>
      <c r="M4861">
        <v>4.5</v>
      </c>
      <c r="N4861" t="s">
        <v>22</v>
      </c>
      <c r="O4861" t="str">
        <f t="shared" si="75"/>
        <v>No</v>
      </c>
    </row>
    <row r="4862" spans="1:15" x14ac:dyDescent="0.25">
      <c r="A4862" t="s">
        <v>4923</v>
      </c>
      <c r="B4862" s="1">
        <v>45668</v>
      </c>
      <c r="C4862" s="2">
        <v>45668.206250000003</v>
      </c>
      <c r="D4862" t="s">
        <v>24</v>
      </c>
      <c r="E4862" t="s">
        <v>32</v>
      </c>
      <c r="F4862" t="s">
        <v>33</v>
      </c>
      <c r="G4862" t="s">
        <v>56</v>
      </c>
      <c r="H4862" t="s">
        <v>54</v>
      </c>
      <c r="I4862" t="s">
        <v>45</v>
      </c>
      <c r="J4862" t="s">
        <v>21</v>
      </c>
      <c r="K4862">
        <v>24</v>
      </c>
      <c r="L4862">
        <v>4.95</v>
      </c>
      <c r="M4862">
        <v>5</v>
      </c>
      <c r="N4862" t="s">
        <v>22</v>
      </c>
      <c r="O4862" t="str">
        <f t="shared" si="75"/>
        <v>No</v>
      </c>
    </row>
    <row r="4863" spans="1:15" x14ac:dyDescent="0.25">
      <c r="A4863" t="s">
        <v>4924</v>
      </c>
      <c r="B4863" s="1">
        <v>45807</v>
      </c>
      <c r="C4863" s="2">
        <v>45807.369166666664</v>
      </c>
      <c r="D4863" t="s">
        <v>38</v>
      </c>
      <c r="E4863" t="s">
        <v>16</v>
      </c>
      <c r="F4863" t="s">
        <v>60</v>
      </c>
      <c r="G4863" t="s">
        <v>41</v>
      </c>
      <c r="H4863" t="s">
        <v>19</v>
      </c>
      <c r="I4863" t="s">
        <v>36</v>
      </c>
      <c r="J4863" t="s">
        <v>21</v>
      </c>
      <c r="K4863">
        <v>8</v>
      </c>
      <c r="L4863">
        <v>8.86</v>
      </c>
      <c r="M4863">
        <v>3.4</v>
      </c>
      <c r="N4863" t="s">
        <v>22</v>
      </c>
      <c r="O4863" t="str">
        <f t="shared" si="75"/>
        <v>Yes</v>
      </c>
    </row>
    <row r="4864" spans="1:15" x14ac:dyDescent="0.25">
      <c r="A4864" t="s">
        <v>4925</v>
      </c>
      <c r="B4864" s="1">
        <v>45819</v>
      </c>
      <c r="C4864" s="2">
        <v>45819.40625</v>
      </c>
      <c r="D4864" t="s">
        <v>38</v>
      </c>
      <c r="E4864" t="s">
        <v>32</v>
      </c>
      <c r="F4864" t="s">
        <v>80</v>
      </c>
      <c r="G4864" t="s">
        <v>51</v>
      </c>
      <c r="H4864" t="s">
        <v>65</v>
      </c>
      <c r="I4864" t="s">
        <v>20</v>
      </c>
      <c r="J4864" t="s">
        <v>46</v>
      </c>
      <c r="K4864">
        <v>8</v>
      </c>
      <c r="L4864">
        <v>9.75</v>
      </c>
      <c r="M4864">
        <v>4.2</v>
      </c>
      <c r="N4864" t="s">
        <v>22</v>
      </c>
      <c r="O4864" t="str">
        <f t="shared" si="75"/>
        <v>Yes</v>
      </c>
    </row>
    <row r="4865" spans="1:15" x14ac:dyDescent="0.25">
      <c r="A4865" t="s">
        <v>4926</v>
      </c>
      <c r="B4865" s="1">
        <v>45788</v>
      </c>
      <c r="C4865" s="2">
        <v>45788.049166666664</v>
      </c>
      <c r="D4865" t="s">
        <v>38</v>
      </c>
      <c r="E4865" t="s">
        <v>16</v>
      </c>
      <c r="F4865" t="s">
        <v>43</v>
      </c>
      <c r="G4865" t="s">
        <v>41</v>
      </c>
      <c r="H4865" t="s">
        <v>54</v>
      </c>
      <c r="I4865" t="s">
        <v>20</v>
      </c>
      <c r="J4865" t="s">
        <v>21</v>
      </c>
      <c r="K4865">
        <v>8</v>
      </c>
      <c r="L4865">
        <v>1.18</v>
      </c>
      <c r="M4865">
        <v>4</v>
      </c>
      <c r="N4865" t="s">
        <v>22</v>
      </c>
      <c r="O4865" t="str">
        <f t="shared" si="75"/>
        <v>No</v>
      </c>
    </row>
    <row r="4866" spans="1:15" x14ac:dyDescent="0.25">
      <c r="A4866" t="s">
        <v>4927</v>
      </c>
      <c r="B4866" s="1">
        <v>45817</v>
      </c>
      <c r="C4866" s="2">
        <v>45817.849583333336</v>
      </c>
      <c r="D4866" t="s">
        <v>15</v>
      </c>
      <c r="E4866" t="s">
        <v>45</v>
      </c>
      <c r="F4866" t="s">
        <v>104</v>
      </c>
      <c r="G4866" t="s">
        <v>34</v>
      </c>
      <c r="H4866" t="s">
        <v>44</v>
      </c>
      <c r="I4866" t="s">
        <v>36</v>
      </c>
      <c r="J4866" t="s">
        <v>21</v>
      </c>
      <c r="K4866">
        <v>48</v>
      </c>
      <c r="L4866">
        <v>20.39</v>
      </c>
      <c r="M4866">
        <v>4.3</v>
      </c>
      <c r="N4866" t="s">
        <v>22</v>
      </c>
      <c r="O4866" t="str">
        <f t="shared" si="75"/>
        <v>No</v>
      </c>
    </row>
    <row r="4867" spans="1:15" x14ac:dyDescent="0.25">
      <c r="A4867" t="s">
        <v>4928</v>
      </c>
      <c r="B4867" s="1">
        <v>45764</v>
      </c>
      <c r="C4867" s="2">
        <v>45766.181666666664</v>
      </c>
      <c r="D4867" t="s">
        <v>15</v>
      </c>
      <c r="E4867" t="s">
        <v>45</v>
      </c>
      <c r="F4867" t="s">
        <v>100</v>
      </c>
      <c r="G4867" t="s">
        <v>41</v>
      </c>
      <c r="H4867" t="s">
        <v>44</v>
      </c>
      <c r="I4867" t="s">
        <v>45</v>
      </c>
      <c r="J4867" t="s">
        <v>46</v>
      </c>
      <c r="K4867">
        <v>48</v>
      </c>
      <c r="L4867">
        <v>52.36</v>
      </c>
      <c r="M4867">
        <v>3.8</v>
      </c>
      <c r="N4867" t="s">
        <v>22</v>
      </c>
      <c r="O4867" t="str">
        <f t="shared" ref="O4867:O4930" si="76">IF(L4867&gt;K4867,"Yes","No")</f>
        <v>Yes</v>
      </c>
    </row>
    <row r="4868" spans="1:15" x14ac:dyDescent="0.25">
      <c r="A4868" t="s">
        <v>4929</v>
      </c>
      <c r="B4868" s="1">
        <v>45742</v>
      </c>
      <c r="C4868" s="2">
        <v>45743.572083333333</v>
      </c>
      <c r="D4868" t="s">
        <v>15</v>
      </c>
      <c r="E4868" t="s">
        <v>45</v>
      </c>
      <c r="F4868" t="s">
        <v>50</v>
      </c>
      <c r="G4868" t="s">
        <v>51</v>
      </c>
      <c r="H4868" t="s">
        <v>44</v>
      </c>
      <c r="I4868" t="s">
        <v>36</v>
      </c>
      <c r="J4868" t="s">
        <v>21</v>
      </c>
      <c r="K4868">
        <v>48</v>
      </c>
      <c r="L4868">
        <v>37.729999999999997</v>
      </c>
      <c r="M4868">
        <v>4.3</v>
      </c>
      <c r="N4868" t="s">
        <v>22</v>
      </c>
      <c r="O4868" t="str">
        <f t="shared" si="76"/>
        <v>No</v>
      </c>
    </row>
    <row r="4869" spans="1:15" x14ac:dyDescent="0.25">
      <c r="A4869" t="s">
        <v>4930</v>
      </c>
      <c r="B4869" s="1">
        <v>45716</v>
      </c>
      <c r="C4869" s="2">
        <v>45716.133333333331</v>
      </c>
      <c r="D4869" t="s">
        <v>38</v>
      </c>
      <c r="E4869" t="s">
        <v>32</v>
      </c>
      <c r="F4869" t="s">
        <v>80</v>
      </c>
      <c r="G4869" t="s">
        <v>18</v>
      </c>
      <c r="H4869" t="s">
        <v>44</v>
      </c>
      <c r="I4869" t="s">
        <v>36</v>
      </c>
      <c r="J4869" t="s">
        <v>29</v>
      </c>
      <c r="K4869">
        <v>8</v>
      </c>
      <c r="L4869">
        <v>3.2</v>
      </c>
      <c r="M4869">
        <v>4</v>
      </c>
      <c r="N4869" t="s">
        <v>22</v>
      </c>
      <c r="O4869" t="str">
        <f t="shared" si="76"/>
        <v>No</v>
      </c>
    </row>
    <row r="4870" spans="1:15" x14ac:dyDescent="0.25">
      <c r="A4870" t="s">
        <v>4931</v>
      </c>
      <c r="B4870" s="1">
        <v>45824</v>
      </c>
      <c r="C4870" s="2">
        <v>45824.10083333333</v>
      </c>
      <c r="D4870" t="s">
        <v>38</v>
      </c>
      <c r="E4870" t="s">
        <v>16</v>
      </c>
      <c r="F4870" t="s">
        <v>58</v>
      </c>
      <c r="G4870" t="s">
        <v>34</v>
      </c>
      <c r="H4870" t="s">
        <v>27</v>
      </c>
      <c r="I4870" t="s">
        <v>36</v>
      </c>
      <c r="J4870" t="s">
        <v>21</v>
      </c>
      <c r="K4870">
        <v>8</v>
      </c>
      <c r="L4870">
        <v>2.42</v>
      </c>
      <c r="M4870">
        <v>3.6</v>
      </c>
      <c r="N4870" t="s">
        <v>22</v>
      </c>
      <c r="O4870" t="str">
        <f t="shared" si="76"/>
        <v>No</v>
      </c>
    </row>
    <row r="4871" spans="1:15" x14ac:dyDescent="0.25">
      <c r="A4871" t="s">
        <v>4932</v>
      </c>
      <c r="B4871" s="1">
        <v>45784</v>
      </c>
      <c r="C4871" s="2">
        <v>45784.05</v>
      </c>
      <c r="D4871" t="s">
        <v>38</v>
      </c>
      <c r="E4871" t="s">
        <v>32</v>
      </c>
      <c r="F4871" t="s">
        <v>75</v>
      </c>
      <c r="G4871" t="s">
        <v>18</v>
      </c>
      <c r="H4871" t="s">
        <v>35</v>
      </c>
      <c r="I4871" t="s">
        <v>36</v>
      </c>
      <c r="J4871" t="s">
        <v>21</v>
      </c>
      <c r="K4871">
        <v>8</v>
      </c>
      <c r="L4871">
        <v>1.2</v>
      </c>
      <c r="M4871">
        <v>5</v>
      </c>
      <c r="N4871" t="s">
        <v>22</v>
      </c>
      <c r="O4871" t="str">
        <f t="shared" si="76"/>
        <v>No</v>
      </c>
    </row>
    <row r="4872" spans="1:15" x14ac:dyDescent="0.25">
      <c r="A4872" t="s">
        <v>4933</v>
      </c>
      <c r="B4872" s="1">
        <v>45692</v>
      </c>
      <c r="C4872" s="2">
        <v>45695.012499999997</v>
      </c>
      <c r="D4872" t="s">
        <v>15</v>
      </c>
      <c r="E4872" t="s">
        <v>45</v>
      </c>
      <c r="F4872" t="s">
        <v>104</v>
      </c>
      <c r="G4872" t="s">
        <v>34</v>
      </c>
      <c r="H4872" t="s">
        <v>19</v>
      </c>
      <c r="I4872" t="s">
        <v>36</v>
      </c>
      <c r="J4872" t="s">
        <v>21</v>
      </c>
      <c r="K4872">
        <v>48</v>
      </c>
      <c r="L4872">
        <v>72.3</v>
      </c>
      <c r="M4872">
        <v>3.1</v>
      </c>
      <c r="N4872" t="s">
        <v>22</v>
      </c>
      <c r="O4872" t="str">
        <f t="shared" si="76"/>
        <v>Yes</v>
      </c>
    </row>
    <row r="4873" spans="1:15" x14ac:dyDescent="0.25">
      <c r="A4873" t="s">
        <v>4934</v>
      </c>
      <c r="B4873" s="1">
        <v>45831</v>
      </c>
      <c r="C4873" s="2">
        <v>45831.212916666664</v>
      </c>
      <c r="D4873" t="s">
        <v>38</v>
      </c>
      <c r="E4873" t="s">
        <v>32</v>
      </c>
      <c r="F4873" t="s">
        <v>80</v>
      </c>
      <c r="G4873" t="s">
        <v>34</v>
      </c>
      <c r="H4873" t="s">
        <v>19</v>
      </c>
      <c r="I4873" t="s">
        <v>45</v>
      </c>
      <c r="J4873" t="s">
        <v>29</v>
      </c>
      <c r="K4873">
        <v>8</v>
      </c>
      <c r="L4873">
        <v>5.1100000000000003</v>
      </c>
      <c r="M4873">
        <v>4</v>
      </c>
      <c r="N4873" t="s">
        <v>22</v>
      </c>
      <c r="O4873" t="str">
        <f t="shared" si="76"/>
        <v>No</v>
      </c>
    </row>
    <row r="4874" spans="1:15" x14ac:dyDescent="0.25">
      <c r="A4874" t="s">
        <v>4935</v>
      </c>
      <c r="B4874" s="1">
        <v>45668</v>
      </c>
      <c r="C4874" s="2">
        <v>45668.558749999997</v>
      </c>
      <c r="D4874" t="s">
        <v>24</v>
      </c>
      <c r="E4874" t="s">
        <v>32</v>
      </c>
      <c r="F4874" t="s">
        <v>80</v>
      </c>
      <c r="G4874" t="s">
        <v>56</v>
      </c>
      <c r="H4874" t="s">
        <v>65</v>
      </c>
      <c r="I4874" t="s">
        <v>20</v>
      </c>
      <c r="J4874" t="s">
        <v>46</v>
      </c>
      <c r="K4874">
        <v>24</v>
      </c>
      <c r="L4874">
        <v>13.41</v>
      </c>
      <c r="M4874">
        <v>5</v>
      </c>
      <c r="N4874" t="s">
        <v>22</v>
      </c>
      <c r="O4874" t="str">
        <f t="shared" si="76"/>
        <v>No</v>
      </c>
    </row>
    <row r="4875" spans="1:15" x14ac:dyDescent="0.25">
      <c r="A4875" t="s">
        <v>4936</v>
      </c>
      <c r="B4875" s="1">
        <v>45764</v>
      </c>
      <c r="C4875" s="2">
        <v>45764.080416666664</v>
      </c>
      <c r="D4875" t="s">
        <v>38</v>
      </c>
      <c r="E4875" t="s">
        <v>32</v>
      </c>
      <c r="F4875" t="s">
        <v>64</v>
      </c>
      <c r="G4875" t="s">
        <v>56</v>
      </c>
      <c r="H4875" t="s">
        <v>27</v>
      </c>
      <c r="I4875" t="s">
        <v>45</v>
      </c>
      <c r="J4875" t="s">
        <v>46</v>
      </c>
      <c r="K4875">
        <v>8</v>
      </c>
      <c r="L4875">
        <v>1.93</v>
      </c>
      <c r="M4875">
        <v>4.5</v>
      </c>
      <c r="N4875" t="s">
        <v>22</v>
      </c>
      <c r="O4875" t="str">
        <f t="shared" si="76"/>
        <v>No</v>
      </c>
    </row>
    <row r="4876" spans="1:15" x14ac:dyDescent="0.25">
      <c r="A4876" t="s">
        <v>4937</v>
      </c>
      <c r="B4876" s="1">
        <v>45692</v>
      </c>
      <c r="C4876" s="2">
        <v>45692.480416666665</v>
      </c>
      <c r="D4876" t="s">
        <v>24</v>
      </c>
      <c r="E4876" t="s">
        <v>32</v>
      </c>
      <c r="F4876" t="s">
        <v>75</v>
      </c>
      <c r="G4876" t="s">
        <v>18</v>
      </c>
      <c r="H4876" t="s">
        <v>27</v>
      </c>
      <c r="I4876" t="s">
        <v>28</v>
      </c>
      <c r="J4876" t="s">
        <v>21</v>
      </c>
      <c r="K4876">
        <v>24</v>
      </c>
      <c r="L4876">
        <v>11.53</v>
      </c>
      <c r="M4876">
        <v>4.0999999999999996</v>
      </c>
      <c r="N4876" t="s">
        <v>22</v>
      </c>
      <c r="O4876" t="str">
        <f t="shared" si="76"/>
        <v>No</v>
      </c>
    </row>
    <row r="4877" spans="1:15" x14ac:dyDescent="0.25">
      <c r="A4877" t="s">
        <v>4938</v>
      </c>
      <c r="B4877" s="1">
        <v>45778</v>
      </c>
      <c r="C4877" s="2">
        <v>45780.205000000002</v>
      </c>
      <c r="D4877" t="s">
        <v>15</v>
      </c>
      <c r="E4877" t="s">
        <v>32</v>
      </c>
      <c r="F4877" t="s">
        <v>80</v>
      </c>
      <c r="G4877" t="s">
        <v>56</v>
      </c>
      <c r="H4877" t="s">
        <v>44</v>
      </c>
      <c r="I4877" t="s">
        <v>20</v>
      </c>
      <c r="J4877" t="s">
        <v>21</v>
      </c>
      <c r="K4877">
        <v>48</v>
      </c>
      <c r="L4877">
        <v>52.92</v>
      </c>
      <c r="M4877">
        <v>2.5</v>
      </c>
      <c r="N4877" t="s">
        <v>22</v>
      </c>
      <c r="O4877" t="str">
        <f t="shared" si="76"/>
        <v>Yes</v>
      </c>
    </row>
    <row r="4878" spans="1:15" x14ac:dyDescent="0.25">
      <c r="A4878" t="s">
        <v>4939</v>
      </c>
      <c r="B4878" s="1">
        <v>45732</v>
      </c>
      <c r="C4878" s="2">
        <v>45732.267916666664</v>
      </c>
      <c r="D4878" t="s">
        <v>15</v>
      </c>
      <c r="E4878" t="s">
        <v>32</v>
      </c>
      <c r="F4878" t="s">
        <v>75</v>
      </c>
      <c r="G4878" t="s">
        <v>56</v>
      </c>
      <c r="H4878" t="s">
        <v>44</v>
      </c>
      <c r="I4878" t="s">
        <v>36</v>
      </c>
      <c r="J4878" t="s">
        <v>21</v>
      </c>
      <c r="K4878">
        <v>48</v>
      </c>
      <c r="L4878">
        <v>6.43</v>
      </c>
      <c r="M4878">
        <v>4.0999999999999996</v>
      </c>
      <c r="N4878" t="s">
        <v>22</v>
      </c>
      <c r="O4878" t="str">
        <f t="shared" si="76"/>
        <v>No</v>
      </c>
    </row>
    <row r="4879" spans="1:15" x14ac:dyDescent="0.25">
      <c r="A4879" t="s">
        <v>4940</v>
      </c>
      <c r="B4879" s="1">
        <v>45737</v>
      </c>
      <c r="C4879" s="2">
        <v>45737.039583333331</v>
      </c>
      <c r="D4879" t="s">
        <v>31</v>
      </c>
      <c r="E4879" t="s">
        <v>25</v>
      </c>
      <c r="F4879" t="s">
        <v>53</v>
      </c>
      <c r="G4879" t="s">
        <v>41</v>
      </c>
      <c r="H4879" t="s">
        <v>27</v>
      </c>
      <c r="I4879" t="s">
        <v>45</v>
      </c>
      <c r="J4879" t="s">
        <v>21</v>
      </c>
      <c r="K4879">
        <v>4</v>
      </c>
      <c r="L4879">
        <v>0.95</v>
      </c>
      <c r="M4879">
        <v>5</v>
      </c>
      <c r="N4879" t="s">
        <v>22</v>
      </c>
      <c r="O4879" t="str">
        <f t="shared" si="76"/>
        <v>No</v>
      </c>
    </row>
    <row r="4880" spans="1:15" x14ac:dyDescent="0.25">
      <c r="A4880" t="s">
        <v>4941</v>
      </c>
      <c r="B4880" s="1">
        <v>45779</v>
      </c>
      <c r="C4880" s="2">
        <v>45779.16333333333</v>
      </c>
      <c r="D4880" t="s">
        <v>24</v>
      </c>
      <c r="E4880" t="s">
        <v>25</v>
      </c>
      <c r="F4880" t="s">
        <v>48</v>
      </c>
      <c r="G4880" t="s">
        <v>18</v>
      </c>
      <c r="H4880" t="s">
        <v>19</v>
      </c>
      <c r="I4880" t="s">
        <v>28</v>
      </c>
      <c r="J4880" t="s">
        <v>21</v>
      </c>
      <c r="K4880">
        <v>24</v>
      </c>
      <c r="L4880">
        <v>3.92</v>
      </c>
      <c r="M4880">
        <v>4.3</v>
      </c>
      <c r="N4880" t="s">
        <v>22</v>
      </c>
      <c r="O4880" t="str">
        <f t="shared" si="76"/>
        <v>No</v>
      </c>
    </row>
    <row r="4881" spans="1:15" x14ac:dyDescent="0.25">
      <c r="A4881" t="s">
        <v>4942</v>
      </c>
      <c r="B4881" s="1">
        <v>45794</v>
      </c>
      <c r="C4881" s="2">
        <v>45795.300416666665</v>
      </c>
      <c r="D4881" t="s">
        <v>24</v>
      </c>
      <c r="E4881" t="s">
        <v>32</v>
      </c>
      <c r="F4881" t="s">
        <v>80</v>
      </c>
      <c r="G4881" t="s">
        <v>34</v>
      </c>
      <c r="H4881" t="s">
        <v>27</v>
      </c>
      <c r="I4881" t="s">
        <v>36</v>
      </c>
      <c r="J4881" t="s">
        <v>46</v>
      </c>
      <c r="K4881">
        <v>24</v>
      </c>
      <c r="L4881">
        <v>31.21</v>
      </c>
      <c r="M4881">
        <v>3.8</v>
      </c>
      <c r="N4881" t="s">
        <v>22</v>
      </c>
      <c r="O4881" t="str">
        <f t="shared" si="76"/>
        <v>Yes</v>
      </c>
    </row>
    <row r="4882" spans="1:15" x14ac:dyDescent="0.25">
      <c r="A4882" t="s">
        <v>4943</v>
      </c>
      <c r="B4882" s="1">
        <v>45726</v>
      </c>
      <c r="C4882" s="2">
        <v>45726.128333333334</v>
      </c>
      <c r="D4882" t="s">
        <v>24</v>
      </c>
      <c r="E4882" t="s">
        <v>25</v>
      </c>
      <c r="F4882" t="s">
        <v>48</v>
      </c>
      <c r="G4882" t="s">
        <v>34</v>
      </c>
      <c r="H4882" t="s">
        <v>27</v>
      </c>
      <c r="I4882" t="s">
        <v>36</v>
      </c>
      <c r="J4882" t="s">
        <v>29</v>
      </c>
      <c r="K4882">
        <v>24</v>
      </c>
      <c r="L4882">
        <v>3.08</v>
      </c>
      <c r="M4882">
        <v>4</v>
      </c>
      <c r="N4882" t="s">
        <v>22</v>
      </c>
      <c r="O4882" t="str">
        <f t="shared" si="76"/>
        <v>No</v>
      </c>
    </row>
    <row r="4883" spans="1:15" x14ac:dyDescent="0.25">
      <c r="A4883" t="s">
        <v>4944</v>
      </c>
      <c r="B4883" s="1">
        <v>45838</v>
      </c>
      <c r="C4883" s="2">
        <v>45838.615416666667</v>
      </c>
      <c r="D4883" t="s">
        <v>24</v>
      </c>
      <c r="E4883" t="s">
        <v>39</v>
      </c>
      <c r="F4883" t="s">
        <v>119</v>
      </c>
      <c r="G4883" t="s">
        <v>41</v>
      </c>
      <c r="H4883" t="s">
        <v>19</v>
      </c>
      <c r="I4883" t="s">
        <v>28</v>
      </c>
      <c r="J4883" t="s">
        <v>21</v>
      </c>
      <c r="K4883">
        <v>24</v>
      </c>
      <c r="L4883">
        <v>14.77</v>
      </c>
      <c r="M4883">
        <v>3.7</v>
      </c>
      <c r="N4883" t="s">
        <v>22</v>
      </c>
      <c r="O4883" t="str">
        <f t="shared" si="76"/>
        <v>No</v>
      </c>
    </row>
    <row r="4884" spans="1:15" x14ac:dyDescent="0.25">
      <c r="A4884" t="s">
        <v>4945</v>
      </c>
      <c r="B4884" s="1">
        <v>45748</v>
      </c>
      <c r="C4884" s="2">
        <v>45748.055</v>
      </c>
      <c r="D4884" t="s">
        <v>38</v>
      </c>
      <c r="E4884" t="s">
        <v>25</v>
      </c>
      <c r="F4884" t="s">
        <v>48</v>
      </c>
      <c r="G4884" t="s">
        <v>51</v>
      </c>
      <c r="H4884" t="s">
        <v>27</v>
      </c>
      <c r="I4884" t="s">
        <v>20</v>
      </c>
      <c r="J4884" t="s">
        <v>46</v>
      </c>
      <c r="K4884">
        <v>8</v>
      </c>
      <c r="L4884">
        <v>1.32</v>
      </c>
      <c r="M4884">
        <v>4.2</v>
      </c>
      <c r="N4884" t="s">
        <v>22</v>
      </c>
      <c r="O4884" t="str">
        <f t="shared" si="76"/>
        <v>No</v>
      </c>
    </row>
    <row r="4885" spans="1:15" x14ac:dyDescent="0.25">
      <c r="A4885" t="s">
        <v>4946</v>
      </c>
      <c r="B4885" s="1">
        <v>45687</v>
      </c>
      <c r="C4885" s="2">
        <v>45688.137499999997</v>
      </c>
      <c r="D4885" t="s">
        <v>15</v>
      </c>
      <c r="E4885" t="s">
        <v>39</v>
      </c>
      <c r="F4885" t="s">
        <v>78</v>
      </c>
      <c r="G4885" t="s">
        <v>18</v>
      </c>
      <c r="H4885" t="s">
        <v>35</v>
      </c>
      <c r="I4885" t="s">
        <v>20</v>
      </c>
      <c r="J4885" t="s">
        <v>21</v>
      </c>
      <c r="K4885">
        <v>48</v>
      </c>
      <c r="L4885">
        <v>27.3</v>
      </c>
      <c r="M4885">
        <v>4.5999999999999996</v>
      </c>
      <c r="N4885" t="s">
        <v>22</v>
      </c>
      <c r="O4885" t="str">
        <f t="shared" si="76"/>
        <v>No</v>
      </c>
    </row>
    <row r="4886" spans="1:15" x14ac:dyDescent="0.25">
      <c r="A4886" t="s">
        <v>4947</v>
      </c>
      <c r="B4886" s="1">
        <v>45659</v>
      </c>
      <c r="C4886" s="2">
        <v>45659.31958333333</v>
      </c>
      <c r="D4886" t="s">
        <v>15</v>
      </c>
      <c r="E4886" t="s">
        <v>16</v>
      </c>
      <c r="F4886" t="s">
        <v>43</v>
      </c>
      <c r="G4886" t="s">
        <v>51</v>
      </c>
      <c r="H4886" t="s">
        <v>19</v>
      </c>
      <c r="I4886" t="s">
        <v>20</v>
      </c>
      <c r="J4886" t="s">
        <v>21</v>
      </c>
      <c r="K4886">
        <v>48</v>
      </c>
      <c r="L4886">
        <v>7.67</v>
      </c>
      <c r="M4886">
        <v>4.7</v>
      </c>
      <c r="N4886" t="s">
        <v>22</v>
      </c>
      <c r="O4886" t="str">
        <f t="shared" si="76"/>
        <v>No</v>
      </c>
    </row>
    <row r="4887" spans="1:15" x14ac:dyDescent="0.25">
      <c r="A4887" t="s">
        <v>4948</v>
      </c>
      <c r="B4887" s="1">
        <v>45694</v>
      </c>
      <c r="C4887" s="2">
        <v>45694.10833333333</v>
      </c>
      <c r="D4887" t="s">
        <v>38</v>
      </c>
      <c r="E4887" t="s">
        <v>39</v>
      </c>
      <c r="F4887" t="s">
        <v>119</v>
      </c>
      <c r="G4887" t="s">
        <v>51</v>
      </c>
      <c r="H4887" t="s">
        <v>44</v>
      </c>
      <c r="I4887" t="s">
        <v>36</v>
      </c>
      <c r="J4887" t="s">
        <v>21</v>
      </c>
      <c r="K4887">
        <v>8</v>
      </c>
      <c r="L4887">
        <v>2.6</v>
      </c>
      <c r="M4887">
        <v>3.9</v>
      </c>
      <c r="N4887" t="s">
        <v>22</v>
      </c>
      <c r="O4887" t="str">
        <f t="shared" si="76"/>
        <v>No</v>
      </c>
    </row>
    <row r="4888" spans="1:15" x14ac:dyDescent="0.25">
      <c r="A4888" t="s">
        <v>4949</v>
      </c>
      <c r="B4888" s="1">
        <v>45783</v>
      </c>
      <c r="C4888" s="2">
        <v>45784.440821759257</v>
      </c>
      <c r="D4888" t="s">
        <v>24</v>
      </c>
      <c r="E4888" t="s">
        <v>32</v>
      </c>
      <c r="F4888" t="s">
        <v>75</v>
      </c>
      <c r="G4888" t="s">
        <v>34</v>
      </c>
      <c r="H4888" t="s">
        <v>54</v>
      </c>
      <c r="I4888" t="s">
        <v>45</v>
      </c>
      <c r="J4888" t="s">
        <v>21</v>
      </c>
      <c r="K4888">
        <v>24</v>
      </c>
      <c r="L4888">
        <v>34.58</v>
      </c>
      <c r="M4888">
        <v>3.7</v>
      </c>
      <c r="N4888" t="s">
        <v>22</v>
      </c>
      <c r="O4888" t="str">
        <f t="shared" si="76"/>
        <v>Yes</v>
      </c>
    </row>
    <row r="4889" spans="1:15" x14ac:dyDescent="0.25">
      <c r="A4889" t="s">
        <v>4950</v>
      </c>
      <c r="B4889" s="1">
        <v>45755</v>
      </c>
      <c r="C4889" s="2">
        <v>45756.410416666666</v>
      </c>
      <c r="D4889" t="s">
        <v>15</v>
      </c>
      <c r="E4889" t="s">
        <v>16</v>
      </c>
      <c r="F4889" t="s">
        <v>43</v>
      </c>
      <c r="G4889" t="s">
        <v>51</v>
      </c>
      <c r="H4889" t="s">
        <v>27</v>
      </c>
      <c r="I4889" t="s">
        <v>20</v>
      </c>
      <c r="J4889" t="s">
        <v>46</v>
      </c>
      <c r="K4889">
        <v>48</v>
      </c>
      <c r="L4889">
        <v>33.85</v>
      </c>
      <c r="M4889">
        <v>4.5</v>
      </c>
      <c r="N4889" t="s">
        <v>22</v>
      </c>
      <c r="O4889" t="str">
        <f t="shared" si="76"/>
        <v>No</v>
      </c>
    </row>
    <row r="4890" spans="1:15" x14ac:dyDescent="0.25">
      <c r="A4890" t="s">
        <v>4951</v>
      </c>
      <c r="B4890" s="1">
        <v>45719</v>
      </c>
      <c r="C4890" s="2">
        <v>45720.092916666668</v>
      </c>
      <c r="D4890" t="s">
        <v>15</v>
      </c>
      <c r="E4890" t="s">
        <v>25</v>
      </c>
      <c r="F4890" t="s">
        <v>70</v>
      </c>
      <c r="G4890" t="s">
        <v>34</v>
      </c>
      <c r="H4890" t="s">
        <v>44</v>
      </c>
      <c r="I4890" t="s">
        <v>36</v>
      </c>
      <c r="J4890" t="s">
        <v>21</v>
      </c>
      <c r="K4890">
        <v>48</v>
      </c>
      <c r="L4890">
        <v>26.23</v>
      </c>
      <c r="M4890">
        <v>4.5999999999999996</v>
      </c>
      <c r="N4890" t="s">
        <v>22</v>
      </c>
      <c r="O4890" t="str">
        <f t="shared" si="76"/>
        <v>No</v>
      </c>
    </row>
    <row r="4891" spans="1:15" x14ac:dyDescent="0.25">
      <c r="A4891" t="s">
        <v>4952</v>
      </c>
      <c r="B4891" s="1">
        <v>45745</v>
      </c>
      <c r="C4891" s="2">
        <v>45746.340833333335</v>
      </c>
      <c r="D4891" t="s">
        <v>15</v>
      </c>
      <c r="E4891" t="s">
        <v>25</v>
      </c>
      <c r="F4891" t="s">
        <v>53</v>
      </c>
      <c r="G4891" t="s">
        <v>34</v>
      </c>
      <c r="H4891" t="s">
        <v>44</v>
      </c>
      <c r="I4891" t="s">
        <v>36</v>
      </c>
      <c r="J4891" t="s">
        <v>21</v>
      </c>
      <c r="K4891">
        <v>48</v>
      </c>
      <c r="L4891">
        <v>32.18</v>
      </c>
      <c r="M4891">
        <v>4.4000000000000004</v>
      </c>
      <c r="N4891" t="s">
        <v>22</v>
      </c>
      <c r="O4891" t="str">
        <f t="shared" si="76"/>
        <v>No</v>
      </c>
    </row>
    <row r="4892" spans="1:15" x14ac:dyDescent="0.25">
      <c r="A4892" t="s">
        <v>4953</v>
      </c>
      <c r="B4892" s="1">
        <v>45809</v>
      </c>
      <c r="C4892" s="2">
        <v>45812.042500000003</v>
      </c>
      <c r="D4892" t="s">
        <v>15</v>
      </c>
      <c r="E4892" t="s">
        <v>39</v>
      </c>
      <c r="F4892" t="s">
        <v>40</v>
      </c>
      <c r="G4892" t="s">
        <v>51</v>
      </c>
      <c r="H4892" t="s">
        <v>54</v>
      </c>
      <c r="I4892" t="s">
        <v>36</v>
      </c>
      <c r="J4892" t="s">
        <v>21</v>
      </c>
      <c r="K4892">
        <v>48</v>
      </c>
      <c r="L4892">
        <v>73.02</v>
      </c>
      <c r="M4892">
        <v>2.6</v>
      </c>
      <c r="N4892" t="s">
        <v>22</v>
      </c>
      <c r="O4892" t="str">
        <f t="shared" si="76"/>
        <v>Yes</v>
      </c>
    </row>
    <row r="4893" spans="1:15" x14ac:dyDescent="0.25">
      <c r="A4893" t="s">
        <v>4954</v>
      </c>
      <c r="B4893" s="1">
        <v>45761</v>
      </c>
      <c r="C4893" s="2">
        <v>45762.147916666669</v>
      </c>
      <c r="D4893" t="s">
        <v>15</v>
      </c>
      <c r="E4893" t="s">
        <v>16</v>
      </c>
      <c r="F4893" t="s">
        <v>60</v>
      </c>
      <c r="G4893" t="s">
        <v>56</v>
      </c>
      <c r="H4893" t="s">
        <v>54</v>
      </c>
      <c r="I4893" t="s">
        <v>20</v>
      </c>
      <c r="J4893" t="s">
        <v>46</v>
      </c>
      <c r="K4893">
        <v>48</v>
      </c>
      <c r="L4893">
        <v>27.55</v>
      </c>
      <c r="M4893">
        <v>5</v>
      </c>
      <c r="N4893" t="s">
        <v>22</v>
      </c>
      <c r="O4893" t="str">
        <f t="shared" si="76"/>
        <v>No</v>
      </c>
    </row>
    <row r="4894" spans="1:15" x14ac:dyDescent="0.25">
      <c r="A4894" t="s">
        <v>4955</v>
      </c>
      <c r="B4894" s="1">
        <v>45668</v>
      </c>
      <c r="C4894" s="2">
        <v>45670.105833333335</v>
      </c>
      <c r="D4894" t="s">
        <v>15</v>
      </c>
      <c r="E4894" t="s">
        <v>25</v>
      </c>
      <c r="F4894" t="s">
        <v>70</v>
      </c>
      <c r="G4894" t="s">
        <v>18</v>
      </c>
      <c r="H4894" t="s">
        <v>54</v>
      </c>
      <c r="I4894" t="s">
        <v>45</v>
      </c>
      <c r="J4894" t="s">
        <v>21</v>
      </c>
      <c r="K4894">
        <v>48</v>
      </c>
      <c r="L4894">
        <v>50.54</v>
      </c>
      <c r="M4894">
        <v>3.7</v>
      </c>
      <c r="N4894" t="s">
        <v>22</v>
      </c>
      <c r="O4894" t="str">
        <f t="shared" si="76"/>
        <v>Yes</v>
      </c>
    </row>
    <row r="4895" spans="1:15" x14ac:dyDescent="0.25">
      <c r="A4895" t="s">
        <v>4956</v>
      </c>
      <c r="B4895" s="1">
        <v>45666</v>
      </c>
      <c r="C4895" s="2">
        <v>45666.35833333333</v>
      </c>
      <c r="D4895" t="s">
        <v>38</v>
      </c>
      <c r="E4895" t="s">
        <v>32</v>
      </c>
      <c r="F4895" t="s">
        <v>80</v>
      </c>
      <c r="G4895" t="s">
        <v>18</v>
      </c>
      <c r="H4895" t="s">
        <v>35</v>
      </c>
      <c r="I4895" t="s">
        <v>20</v>
      </c>
      <c r="J4895" t="s">
        <v>46</v>
      </c>
      <c r="K4895">
        <v>8</v>
      </c>
      <c r="L4895">
        <v>8.6</v>
      </c>
      <c r="M4895">
        <v>3.9</v>
      </c>
      <c r="N4895" t="s">
        <v>22</v>
      </c>
      <c r="O4895" t="str">
        <f t="shared" si="76"/>
        <v>Yes</v>
      </c>
    </row>
    <row r="4896" spans="1:15" x14ac:dyDescent="0.25">
      <c r="A4896" t="s">
        <v>4957</v>
      </c>
      <c r="B4896" s="1">
        <v>45745</v>
      </c>
      <c r="C4896" s="2">
        <v>45745.326666666668</v>
      </c>
      <c r="D4896" t="s">
        <v>38</v>
      </c>
      <c r="E4896" t="s">
        <v>32</v>
      </c>
      <c r="F4896" t="s">
        <v>33</v>
      </c>
      <c r="G4896" t="s">
        <v>18</v>
      </c>
      <c r="H4896" t="s">
        <v>35</v>
      </c>
      <c r="I4896" t="s">
        <v>36</v>
      </c>
      <c r="J4896" t="s">
        <v>21</v>
      </c>
      <c r="K4896">
        <v>8</v>
      </c>
      <c r="L4896">
        <v>7.84</v>
      </c>
      <c r="M4896">
        <v>4.0999999999999996</v>
      </c>
      <c r="N4896" t="s">
        <v>22</v>
      </c>
      <c r="O4896" t="str">
        <f t="shared" si="76"/>
        <v>No</v>
      </c>
    </row>
    <row r="4897" spans="1:15" x14ac:dyDescent="0.25">
      <c r="A4897" t="s">
        <v>4958</v>
      </c>
      <c r="B4897" s="1">
        <v>45731</v>
      </c>
      <c r="C4897" s="2">
        <v>45731.74291666667</v>
      </c>
      <c r="D4897" t="s">
        <v>38</v>
      </c>
      <c r="E4897" t="s">
        <v>39</v>
      </c>
      <c r="F4897" t="s">
        <v>87</v>
      </c>
      <c r="G4897" t="s">
        <v>18</v>
      </c>
      <c r="H4897" t="s">
        <v>44</v>
      </c>
      <c r="I4897" t="s">
        <v>45</v>
      </c>
      <c r="J4897" t="s">
        <v>46</v>
      </c>
      <c r="K4897">
        <v>8</v>
      </c>
      <c r="L4897">
        <v>17.829999999999998</v>
      </c>
      <c r="M4897">
        <v>1.7</v>
      </c>
      <c r="N4897" t="s">
        <v>22</v>
      </c>
      <c r="O4897" t="str">
        <f t="shared" si="76"/>
        <v>Yes</v>
      </c>
    </row>
    <row r="4898" spans="1:15" x14ac:dyDescent="0.25">
      <c r="A4898" t="s">
        <v>4959</v>
      </c>
      <c r="B4898" s="1">
        <v>45811</v>
      </c>
      <c r="C4898" s="2">
        <v>45811.802083333336</v>
      </c>
      <c r="D4898" t="s">
        <v>24</v>
      </c>
      <c r="E4898" t="s">
        <v>32</v>
      </c>
      <c r="F4898" t="s">
        <v>33</v>
      </c>
      <c r="G4898" t="s">
        <v>18</v>
      </c>
      <c r="H4898" t="s">
        <v>44</v>
      </c>
      <c r="I4898" t="s">
        <v>36</v>
      </c>
      <c r="J4898" t="s">
        <v>21</v>
      </c>
      <c r="K4898">
        <v>24</v>
      </c>
      <c r="L4898">
        <v>19.25</v>
      </c>
      <c r="M4898">
        <v>5</v>
      </c>
      <c r="N4898" t="s">
        <v>22</v>
      </c>
      <c r="O4898" t="str">
        <f t="shared" si="76"/>
        <v>No</v>
      </c>
    </row>
    <row r="4899" spans="1:15" x14ac:dyDescent="0.25">
      <c r="A4899" t="s">
        <v>4960</v>
      </c>
      <c r="B4899" s="1">
        <v>45763</v>
      </c>
      <c r="C4899" s="2">
        <v>45764.006666666668</v>
      </c>
      <c r="D4899" t="s">
        <v>24</v>
      </c>
      <c r="E4899" t="s">
        <v>39</v>
      </c>
      <c r="F4899" t="s">
        <v>78</v>
      </c>
      <c r="G4899" t="s">
        <v>56</v>
      </c>
      <c r="H4899" t="s">
        <v>27</v>
      </c>
      <c r="I4899" t="s">
        <v>28</v>
      </c>
      <c r="J4899" t="s">
        <v>21</v>
      </c>
      <c r="K4899">
        <v>24</v>
      </c>
      <c r="L4899">
        <v>24.16</v>
      </c>
      <c r="M4899">
        <v>3.8</v>
      </c>
      <c r="N4899" t="s">
        <v>22</v>
      </c>
      <c r="O4899" t="str">
        <f t="shared" si="76"/>
        <v>Yes</v>
      </c>
    </row>
    <row r="4900" spans="1:15" x14ac:dyDescent="0.25">
      <c r="A4900" t="s">
        <v>4961</v>
      </c>
      <c r="B4900" s="1">
        <v>45794</v>
      </c>
      <c r="C4900" s="2">
        <v>45794.055</v>
      </c>
      <c r="D4900" t="s">
        <v>31</v>
      </c>
      <c r="E4900" t="s">
        <v>32</v>
      </c>
      <c r="F4900" t="s">
        <v>80</v>
      </c>
      <c r="G4900" t="s">
        <v>18</v>
      </c>
      <c r="H4900" t="s">
        <v>54</v>
      </c>
      <c r="I4900" t="s">
        <v>45</v>
      </c>
      <c r="J4900" t="s">
        <v>21</v>
      </c>
      <c r="K4900">
        <v>4</v>
      </c>
      <c r="L4900">
        <v>1.32</v>
      </c>
      <c r="M4900">
        <v>4.5999999999999996</v>
      </c>
      <c r="N4900" t="s">
        <v>22</v>
      </c>
      <c r="O4900" t="str">
        <f t="shared" si="76"/>
        <v>No</v>
      </c>
    </row>
    <row r="4901" spans="1:15" x14ac:dyDescent="0.25">
      <c r="A4901" t="s">
        <v>4962</v>
      </c>
      <c r="B4901" s="1">
        <v>45763</v>
      </c>
      <c r="C4901" s="2">
        <v>45763.171666666669</v>
      </c>
      <c r="D4901" t="s">
        <v>38</v>
      </c>
      <c r="E4901" t="s">
        <v>16</v>
      </c>
      <c r="F4901" t="s">
        <v>60</v>
      </c>
      <c r="G4901" t="s">
        <v>18</v>
      </c>
      <c r="H4901" t="s">
        <v>19</v>
      </c>
      <c r="I4901" t="s">
        <v>20</v>
      </c>
      <c r="J4901" t="s">
        <v>46</v>
      </c>
      <c r="K4901">
        <v>8</v>
      </c>
      <c r="L4901">
        <v>4.12</v>
      </c>
      <c r="M4901">
        <v>4.0999999999999996</v>
      </c>
      <c r="N4901" t="s">
        <v>22</v>
      </c>
      <c r="O4901" t="str">
        <f t="shared" si="76"/>
        <v>No</v>
      </c>
    </row>
    <row r="4902" spans="1:15" x14ac:dyDescent="0.25">
      <c r="A4902" t="s">
        <v>4963</v>
      </c>
      <c r="B4902" s="1">
        <v>45720</v>
      </c>
      <c r="C4902" s="2">
        <v>45720.495833333334</v>
      </c>
      <c r="D4902" t="s">
        <v>24</v>
      </c>
      <c r="E4902" t="s">
        <v>16</v>
      </c>
      <c r="F4902" t="s">
        <v>43</v>
      </c>
      <c r="G4902" t="s">
        <v>51</v>
      </c>
      <c r="H4902" t="s">
        <v>19</v>
      </c>
      <c r="I4902" t="s">
        <v>36</v>
      </c>
      <c r="J4902" t="s">
        <v>85</v>
      </c>
      <c r="K4902">
        <v>24</v>
      </c>
      <c r="L4902">
        <v>11.9</v>
      </c>
      <c r="M4902">
        <v>5</v>
      </c>
      <c r="N4902" t="s">
        <v>22</v>
      </c>
      <c r="O4902" t="str">
        <f t="shared" si="76"/>
        <v>No</v>
      </c>
    </row>
    <row r="4903" spans="1:15" x14ac:dyDescent="0.25">
      <c r="A4903" t="s">
        <v>4964</v>
      </c>
      <c r="B4903" s="1">
        <v>45776</v>
      </c>
      <c r="C4903" s="2">
        <v>45776.472500000003</v>
      </c>
      <c r="D4903" t="s">
        <v>15</v>
      </c>
      <c r="E4903" t="s">
        <v>25</v>
      </c>
      <c r="F4903" t="s">
        <v>53</v>
      </c>
      <c r="G4903" t="s">
        <v>18</v>
      </c>
      <c r="H4903" t="s">
        <v>35</v>
      </c>
      <c r="I4903" t="s">
        <v>36</v>
      </c>
      <c r="J4903" t="s">
        <v>85</v>
      </c>
      <c r="K4903">
        <v>48</v>
      </c>
      <c r="L4903">
        <v>11.34</v>
      </c>
      <c r="M4903">
        <v>5</v>
      </c>
      <c r="N4903" t="s">
        <v>22</v>
      </c>
      <c r="O4903" t="str">
        <f t="shared" si="76"/>
        <v>No</v>
      </c>
    </row>
    <row r="4904" spans="1:15" x14ac:dyDescent="0.25">
      <c r="A4904" t="s">
        <v>4965</v>
      </c>
      <c r="B4904" s="1">
        <v>45770</v>
      </c>
      <c r="C4904" s="2">
        <v>45770.259583333333</v>
      </c>
      <c r="D4904" t="s">
        <v>24</v>
      </c>
      <c r="E4904" t="s">
        <v>16</v>
      </c>
      <c r="F4904" t="s">
        <v>58</v>
      </c>
      <c r="G4904" t="s">
        <v>41</v>
      </c>
      <c r="H4904" t="s">
        <v>65</v>
      </c>
      <c r="I4904" t="s">
        <v>36</v>
      </c>
      <c r="J4904" t="s">
        <v>21</v>
      </c>
      <c r="K4904">
        <v>24</v>
      </c>
      <c r="L4904">
        <v>6.23</v>
      </c>
      <c r="M4904">
        <v>4.8</v>
      </c>
      <c r="N4904" t="s">
        <v>22</v>
      </c>
      <c r="O4904" t="str">
        <f t="shared" si="76"/>
        <v>No</v>
      </c>
    </row>
    <row r="4905" spans="1:15" x14ac:dyDescent="0.25">
      <c r="A4905" t="s">
        <v>4966</v>
      </c>
      <c r="B4905" s="1">
        <v>45788</v>
      </c>
      <c r="C4905" s="2">
        <v>45788.489583333336</v>
      </c>
      <c r="D4905" t="s">
        <v>24</v>
      </c>
      <c r="E4905" t="s">
        <v>39</v>
      </c>
      <c r="F4905" t="s">
        <v>119</v>
      </c>
      <c r="G4905" t="s">
        <v>41</v>
      </c>
      <c r="H4905" t="s">
        <v>54</v>
      </c>
      <c r="I4905" t="s">
        <v>20</v>
      </c>
      <c r="J4905" t="s">
        <v>46</v>
      </c>
      <c r="K4905">
        <v>24</v>
      </c>
      <c r="L4905">
        <v>11.75</v>
      </c>
      <c r="M4905">
        <v>3.5</v>
      </c>
      <c r="N4905" t="s">
        <v>22</v>
      </c>
      <c r="O4905" t="str">
        <f t="shared" si="76"/>
        <v>No</v>
      </c>
    </row>
    <row r="4906" spans="1:15" x14ac:dyDescent="0.25">
      <c r="A4906" t="s">
        <v>4967</v>
      </c>
      <c r="B4906" s="1">
        <v>45692</v>
      </c>
      <c r="C4906" s="2">
        <v>45692.595405092594</v>
      </c>
      <c r="D4906" t="s">
        <v>24</v>
      </c>
      <c r="E4906" t="s">
        <v>45</v>
      </c>
      <c r="F4906" t="s">
        <v>112</v>
      </c>
      <c r="G4906" t="s">
        <v>51</v>
      </c>
      <c r="H4906" t="s">
        <v>44</v>
      </c>
      <c r="I4906" t="s">
        <v>36</v>
      </c>
      <c r="J4906" t="s">
        <v>21</v>
      </c>
      <c r="K4906">
        <v>24</v>
      </c>
      <c r="L4906">
        <v>14.29</v>
      </c>
      <c r="M4906">
        <v>4.2</v>
      </c>
      <c r="N4906" t="s">
        <v>22</v>
      </c>
      <c r="O4906" t="str">
        <f t="shared" si="76"/>
        <v>No</v>
      </c>
    </row>
    <row r="4907" spans="1:15" x14ac:dyDescent="0.25">
      <c r="A4907" t="s">
        <v>4968</v>
      </c>
      <c r="B4907" s="1">
        <v>45774</v>
      </c>
      <c r="C4907" s="2">
        <v>45776.968333333331</v>
      </c>
      <c r="D4907" t="s">
        <v>15</v>
      </c>
      <c r="E4907" t="s">
        <v>25</v>
      </c>
      <c r="F4907" t="s">
        <v>70</v>
      </c>
      <c r="G4907" t="s">
        <v>34</v>
      </c>
      <c r="H4907" t="s">
        <v>27</v>
      </c>
      <c r="I4907" t="s">
        <v>20</v>
      </c>
      <c r="J4907" t="s">
        <v>21</v>
      </c>
      <c r="K4907">
        <v>48</v>
      </c>
      <c r="L4907">
        <v>71.239999999999995</v>
      </c>
      <c r="M4907">
        <v>3.2</v>
      </c>
      <c r="N4907" t="s">
        <v>22</v>
      </c>
      <c r="O4907" t="str">
        <f t="shared" si="76"/>
        <v>Yes</v>
      </c>
    </row>
    <row r="4908" spans="1:15" x14ac:dyDescent="0.25">
      <c r="A4908" t="s">
        <v>4969</v>
      </c>
      <c r="B4908" s="1">
        <v>45709</v>
      </c>
      <c r="C4908" s="2">
        <v>45709.039166666669</v>
      </c>
      <c r="D4908" t="s">
        <v>31</v>
      </c>
      <c r="E4908" t="s">
        <v>16</v>
      </c>
      <c r="F4908" t="s">
        <v>43</v>
      </c>
      <c r="G4908" t="s">
        <v>51</v>
      </c>
      <c r="H4908" t="s">
        <v>44</v>
      </c>
      <c r="I4908" t="s">
        <v>36</v>
      </c>
      <c r="J4908" t="s">
        <v>21</v>
      </c>
      <c r="K4908">
        <v>4</v>
      </c>
      <c r="L4908">
        <v>0.94</v>
      </c>
      <c r="M4908">
        <v>4.4000000000000004</v>
      </c>
      <c r="N4908" t="s">
        <v>22</v>
      </c>
      <c r="O4908" t="str">
        <f t="shared" si="76"/>
        <v>No</v>
      </c>
    </row>
    <row r="4909" spans="1:15" x14ac:dyDescent="0.25">
      <c r="A4909" t="s">
        <v>4970</v>
      </c>
      <c r="B4909" s="1">
        <v>45801</v>
      </c>
      <c r="C4909" s="2">
        <v>45801.224166666667</v>
      </c>
      <c r="D4909" t="s">
        <v>24</v>
      </c>
      <c r="E4909" t="s">
        <v>32</v>
      </c>
      <c r="F4909" t="s">
        <v>33</v>
      </c>
      <c r="G4909" t="s">
        <v>41</v>
      </c>
      <c r="H4909" t="s">
        <v>19</v>
      </c>
      <c r="I4909" t="s">
        <v>45</v>
      </c>
      <c r="J4909" t="s">
        <v>46</v>
      </c>
      <c r="K4909">
        <v>24</v>
      </c>
      <c r="L4909">
        <v>5.38</v>
      </c>
      <c r="M4909">
        <v>4.0999999999999996</v>
      </c>
      <c r="N4909" t="s">
        <v>61</v>
      </c>
      <c r="O4909" t="str">
        <f t="shared" si="76"/>
        <v>No</v>
      </c>
    </row>
    <row r="4910" spans="1:15" x14ac:dyDescent="0.25">
      <c r="A4910" t="s">
        <v>4971</v>
      </c>
      <c r="B4910" s="1">
        <v>45802</v>
      </c>
      <c r="C4910" s="2">
        <v>45802.137916666667</v>
      </c>
      <c r="D4910" t="s">
        <v>24</v>
      </c>
      <c r="E4910" t="s">
        <v>16</v>
      </c>
      <c r="F4910" t="s">
        <v>17</v>
      </c>
      <c r="G4910" t="s">
        <v>56</v>
      </c>
      <c r="H4910" t="s">
        <v>27</v>
      </c>
      <c r="I4910" t="s">
        <v>36</v>
      </c>
      <c r="J4910" t="s">
        <v>85</v>
      </c>
      <c r="K4910">
        <v>24</v>
      </c>
      <c r="L4910">
        <v>3.31</v>
      </c>
      <c r="M4910">
        <v>3.8</v>
      </c>
      <c r="N4910" t="s">
        <v>22</v>
      </c>
      <c r="O4910" t="str">
        <f t="shared" si="76"/>
        <v>No</v>
      </c>
    </row>
    <row r="4911" spans="1:15" x14ac:dyDescent="0.25">
      <c r="A4911" t="s">
        <v>4972</v>
      </c>
      <c r="B4911" s="1">
        <v>45771</v>
      </c>
      <c r="C4911" s="2">
        <v>45772.776250000003</v>
      </c>
      <c r="D4911" t="s">
        <v>15</v>
      </c>
      <c r="E4911" t="s">
        <v>16</v>
      </c>
      <c r="F4911" t="s">
        <v>58</v>
      </c>
      <c r="G4911" t="s">
        <v>18</v>
      </c>
      <c r="H4911" t="s">
        <v>35</v>
      </c>
      <c r="I4911" t="s">
        <v>36</v>
      </c>
      <c r="J4911" t="s">
        <v>21</v>
      </c>
      <c r="K4911">
        <v>48</v>
      </c>
      <c r="L4911">
        <v>42.63</v>
      </c>
      <c r="M4911">
        <v>4.9000000000000004</v>
      </c>
      <c r="N4911" t="s">
        <v>22</v>
      </c>
      <c r="O4911" t="str">
        <f t="shared" si="76"/>
        <v>No</v>
      </c>
    </row>
    <row r="4912" spans="1:15" x14ac:dyDescent="0.25">
      <c r="A4912" t="s">
        <v>4973</v>
      </c>
      <c r="B4912" s="1">
        <v>45829</v>
      </c>
      <c r="C4912" s="2">
        <v>45829.571666666663</v>
      </c>
      <c r="D4912" t="s">
        <v>38</v>
      </c>
      <c r="E4912" t="s">
        <v>16</v>
      </c>
      <c r="F4912" t="s">
        <v>43</v>
      </c>
      <c r="G4912" t="s">
        <v>18</v>
      </c>
      <c r="H4912" t="s">
        <v>44</v>
      </c>
      <c r="I4912" t="s">
        <v>45</v>
      </c>
      <c r="J4912" t="s">
        <v>21</v>
      </c>
      <c r="K4912">
        <v>8</v>
      </c>
      <c r="L4912">
        <v>13.72</v>
      </c>
      <c r="M4912">
        <v>3.4</v>
      </c>
      <c r="N4912" t="s">
        <v>22</v>
      </c>
      <c r="O4912" t="str">
        <f t="shared" si="76"/>
        <v>Yes</v>
      </c>
    </row>
    <row r="4913" spans="1:15" x14ac:dyDescent="0.25">
      <c r="A4913" t="s">
        <v>4974</v>
      </c>
      <c r="B4913" s="1">
        <v>45755</v>
      </c>
      <c r="C4913" s="2">
        <v>45755.155833333331</v>
      </c>
      <c r="D4913" t="s">
        <v>38</v>
      </c>
      <c r="E4913" t="s">
        <v>25</v>
      </c>
      <c r="F4913" t="s">
        <v>70</v>
      </c>
      <c r="G4913" t="s">
        <v>34</v>
      </c>
      <c r="H4913" t="s">
        <v>19</v>
      </c>
      <c r="I4913" t="s">
        <v>36</v>
      </c>
      <c r="J4913" t="s">
        <v>21</v>
      </c>
      <c r="K4913">
        <v>8</v>
      </c>
      <c r="L4913">
        <v>3.74</v>
      </c>
      <c r="M4913">
        <v>4.5</v>
      </c>
      <c r="N4913" t="s">
        <v>22</v>
      </c>
      <c r="O4913" t="str">
        <f t="shared" si="76"/>
        <v>No</v>
      </c>
    </row>
    <row r="4914" spans="1:15" x14ac:dyDescent="0.25">
      <c r="A4914" t="s">
        <v>4975</v>
      </c>
      <c r="B4914" s="1">
        <v>45662</v>
      </c>
      <c r="C4914" s="2">
        <v>45663.23333333333</v>
      </c>
      <c r="D4914" t="s">
        <v>15</v>
      </c>
      <c r="E4914" t="s">
        <v>45</v>
      </c>
      <c r="F4914" t="s">
        <v>100</v>
      </c>
      <c r="G4914" t="s">
        <v>34</v>
      </c>
      <c r="H4914" t="s">
        <v>54</v>
      </c>
      <c r="I4914" t="s">
        <v>36</v>
      </c>
      <c r="J4914" t="s">
        <v>21</v>
      </c>
      <c r="K4914">
        <v>48</v>
      </c>
      <c r="L4914">
        <v>29.6</v>
      </c>
      <c r="M4914">
        <v>3.8</v>
      </c>
      <c r="N4914" t="s">
        <v>22</v>
      </c>
      <c r="O4914" t="str">
        <f t="shared" si="76"/>
        <v>No</v>
      </c>
    </row>
    <row r="4915" spans="1:15" x14ac:dyDescent="0.25">
      <c r="A4915" t="s">
        <v>4976</v>
      </c>
      <c r="B4915" s="1">
        <v>45767</v>
      </c>
      <c r="C4915" s="2">
        <v>45767.475416666668</v>
      </c>
      <c r="D4915" t="s">
        <v>24</v>
      </c>
      <c r="E4915" t="s">
        <v>45</v>
      </c>
      <c r="F4915" t="s">
        <v>112</v>
      </c>
      <c r="G4915" t="s">
        <v>51</v>
      </c>
      <c r="H4915" t="s">
        <v>44</v>
      </c>
      <c r="I4915" t="s">
        <v>45</v>
      </c>
      <c r="J4915" t="s">
        <v>21</v>
      </c>
      <c r="K4915">
        <v>24</v>
      </c>
      <c r="L4915">
        <v>11.41</v>
      </c>
      <c r="M4915">
        <v>4.7</v>
      </c>
      <c r="N4915" t="s">
        <v>22</v>
      </c>
      <c r="O4915" t="str">
        <f t="shared" si="76"/>
        <v>No</v>
      </c>
    </row>
    <row r="4916" spans="1:15" x14ac:dyDescent="0.25">
      <c r="A4916" t="s">
        <v>4977</v>
      </c>
      <c r="B4916" s="1">
        <v>45798</v>
      </c>
      <c r="C4916" s="2">
        <v>45798.827499999999</v>
      </c>
      <c r="D4916" t="s">
        <v>24</v>
      </c>
      <c r="E4916" t="s">
        <v>16</v>
      </c>
      <c r="F4916" t="s">
        <v>17</v>
      </c>
      <c r="G4916" t="s">
        <v>56</v>
      </c>
      <c r="H4916" t="s">
        <v>27</v>
      </c>
      <c r="I4916" t="s">
        <v>36</v>
      </c>
      <c r="J4916" t="s">
        <v>21</v>
      </c>
      <c r="K4916">
        <v>24</v>
      </c>
      <c r="L4916">
        <v>19.86</v>
      </c>
      <c r="M4916">
        <v>4.0999999999999996</v>
      </c>
      <c r="N4916" t="s">
        <v>22</v>
      </c>
      <c r="O4916" t="str">
        <f t="shared" si="76"/>
        <v>No</v>
      </c>
    </row>
    <row r="4917" spans="1:15" x14ac:dyDescent="0.25">
      <c r="A4917" t="s">
        <v>4978</v>
      </c>
      <c r="B4917" s="1">
        <v>45676</v>
      </c>
      <c r="C4917" s="2">
        <v>45676.065000000002</v>
      </c>
      <c r="D4917" t="s">
        <v>38</v>
      </c>
      <c r="E4917" t="s">
        <v>45</v>
      </c>
      <c r="F4917" t="s">
        <v>50</v>
      </c>
      <c r="G4917" t="s">
        <v>56</v>
      </c>
      <c r="H4917" t="s">
        <v>65</v>
      </c>
      <c r="I4917" t="s">
        <v>45</v>
      </c>
      <c r="J4917" t="s">
        <v>21</v>
      </c>
      <c r="K4917">
        <v>8</v>
      </c>
      <c r="L4917">
        <v>1.56</v>
      </c>
      <c r="M4917">
        <v>4.5</v>
      </c>
      <c r="N4917" t="s">
        <v>22</v>
      </c>
      <c r="O4917" t="str">
        <f t="shared" si="76"/>
        <v>No</v>
      </c>
    </row>
    <row r="4918" spans="1:15" x14ac:dyDescent="0.25">
      <c r="A4918" t="s">
        <v>4979</v>
      </c>
      <c r="B4918" s="1">
        <v>45676</v>
      </c>
      <c r="C4918" s="2">
        <v>45677.41375</v>
      </c>
      <c r="D4918" t="s">
        <v>15</v>
      </c>
      <c r="E4918" t="s">
        <v>45</v>
      </c>
      <c r="F4918" t="s">
        <v>50</v>
      </c>
      <c r="G4918" t="s">
        <v>34</v>
      </c>
      <c r="H4918" t="s">
        <v>44</v>
      </c>
      <c r="I4918" t="s">
        <v>45</v>
      </c>
      <c r="J4918" t="s">
        <v>46</v>
      </c>
      <c r="K4918">
        <v>48</v>
      </c>
      <c r="L4918">
        <v>33.93</v>
      </c>
      <c r="M4918">
        <v>4.4000000000000004</v>
      </c>
      <c r="N4918" t="s">
        <v>22</v>
      </c>
      <c r="O4918" t="str">
        <f t="shared" si="76"/>
        <v>No</v>
      </c>
    </row>
    <row r="4919" spans="1:15" x14ac:dyDescent="0.25">
      <c r="A4919" t="s">
        <v>4980</v>
      </c>
      <c r="B4919" s="1">
        <v>45707</v>
      </c>
      <c r="C4919" s="2">
        <v>45707.158333333333</v>
      </c>
      <c r="D4919" t="s">
        <v>38</v>
      </c>
      <c r="E4919" t="s">
        <v>32</v>
      </c>
      <c r="F4919" t="s">
        <v>75</v>
      </c>
      <c r="G4919" t="s">
        <v>51</v>
      </c>
      <c r="H4919" t="s">
        <v>44</v>
      </c>
      <c r="I4919" t="s">
        <v>36</v>
      </c>
      <c r="J4919" t="s">
        <v>21</v>
      </c>
      <c r="K4919">
        <v>8</v>
      </c>
      <c r="L4919">
        <v>3.8</v>
      </c>
      <c r="M4919">
        <v>4.8</v>
      </c>
      <c r="N4919" t="s">
        <v>22</v>
      </c>
      <c r="O4919" t="str">
        <f t="shared" si="76"/>
        <v>No</v>
      </c>
    </row>
    <row r="4920" spans="1:15" x14ac:dyDescent="0.25">
      <c r="A4920" t="s">
        <v>4981</v>
      </c>
      <c r="B4920" s="1">
        <v>45810</v>
      </c>
      <c r="C4920" s="2">
        <v>45810.910833333335</v>
      </c>
      <c r="D4920" t="s">
        <v>24</v>
      </c>
      <c r="E4920" t="s">
        <v>16</v>
      </c>
      <c r="F4920" t="s">
        <v>58</v>
      </c>
      <c r="G4920" t="s">
        <v>56</v>
      </c>
      <c r="H4920" t="s">
        <v>35</v>
      </c>
      <c r="I4920" t="s">
        <v>36</v>
      </c>
      <c r="J4920" t="s">
        <v>46</v>
      </c>
      <c r="K4920">
        <v>24</v>
      </c>
      <c r="L4920">
        <v>21.86</v>
      </c>
      <c r="M4920">
        <v>4.4000000000000004</v>
      </c>
      <c r="N4920" t="s">
        <v>22</v>
      </c>
      <c r="O4920" t="str">
        <f t="shared" si="76"/>
        <v>No</v>
      </c>
    </row>
    <row r="4921" spans="1:15" x14ac:dyDescent="0.25">
      <c r="A4921" t="s">
        <v>4982</v>
      </c>
      <c r="B4921" s="1">
        <v>45753</v>
      </c>
      <c r="C4921" s="2">
        <v>45754.775416666664</v>
      </c>
      <c r="D4921" t="s">
        <v>15</v>
      </c>
      <c r="E4921" t="s">
        <v>32</v>
      </c>
      <c r="F4921" t="s">
        <v>33</v>
      </c>
      <c r="G4921" t="s">
        <v>41</v>
      </c>
      <c r="H4921" t="s">
        <v>19</v>
      </c>
      <c r="I4921" t="s">
        <v>36</v>
      </c>
      <c r="J4921" t="s">
        <v>46</v>
      </c>
      <c r="K4921">
        <v>48</v>
      </c>
      <c r="L4921">
        <v>42.61</v>
      </c>
      <c r="M4921">
        <v>3.4</v>
      </c>
      <c r="N4921" t="s">
        <v>22</v>
      </c>
      <c r="O4921" t="str">
        <f t="shared" si="76"/>
        <v>No</v>
      </c>
    </row>
    <row r="4922" spans="1:15" x14ac:dyDescent="0.25">
      <c r="A4922" t="s">
        <v>4983</v>
      </c>
      <c r="B4922" s="1">
        <v>45834</v>
      </c>
      <c r="C4922" s="2">
        <v>45835.299166666664</v>
      </c>
      <c r="D4922" t="s">
        <v>15</v>
      </c>
      <c r="E4922" t="s">
        <v>39</v>
      </c>
      <c r="F4922" t="s">
        <v>40</v>
      </c>
      <c r="G4922" t="s">
        <v>34</v>
      </c>
      <c r="H4922" t="s">
        <v>54</v>
      </c>
      <c r="I4922" t="s">
        <v>36</v>
      </c>
      <c r="J4922" t="s">
        <v>21</v>
      </c>
      <c r="K4922">
        <v>48</v>
      </c>
      <c r="L4922">
        <v>31.18</v>
      </c>
      <c r="M4922">
        <v>4.5</v>
      </c>
      <c r="N4922" t="s">
        <v>22</v>
      </c>
      <c r="O4922" t="str">
        <f t="shared" si="76"/>
        <v>No</v>
      </c>
    </row>
    <row r="4923" spans="1:15" x14ac:dyDescent="0.25">
      <c r="A4923" t="s">
        <v>4984</v>
      </c>
      <c r="B4923" s="1">
        <v>45816</v>
      </c>
      <c r="C4923" s="2">
        <v>45816.833749999998</v>
      </c>
      <c r="D4923" t="s">
        <v>15</v>
      </c>
      <c r="E4923" t="s">
        <v>39</v>
      </c>
      <c r="F4923" t="s">
        <v>40</v>
      </c>
      <c r="G4923" t="s">
        <v>34</v>
      </c>
      <c r="H4923" t="s">
        <v>35</v>
      </c>
      <c r="I4923" t="s">
        <v>36</v>
      </c>
      <c r="J4923" t="s">
        <v>21</v>
      </c>
      <c r="K4923">
        <v>48</v>
      </c>
      <c r="L4923">
        <v>20.010000000000002</v>
      </c>
      <c r="M4923">
        <v>5</v>
      </c>
      <c r="N4923" t="s">
        <v>22</v>
      </c>
      <c r="O4923" t="str">
        <f t="shared" si="76"/>
        <v>No</v>
      </c>
    </row>
    <row r="4924" spans="1:15" x14ac:dyDescent="0.25">
      <c r="A4924" t="s">
        <v>4985</v>
      </c>
      <c r="B4924" s="1">
        <v>45758</v>
      </c>
      <c r="C4924" s="2">
        <v>45758.487500000003</v>
      </c>
      <c r="D4924" t="s">
        <v>15</v>
      </c>
      <c r="E4924" t="s">
        <v>16</v>
      </c>
      <c r="F4924" t="s">
        <v>60</v>
      </c>
      <c r="G4924" t="s">
        <v>18</v>
      </c>
      <c r="H4924" t="s">
        <v>44</v>
      </c>
      <c r="I4924" t="s">
        <v>45</v>
      </c>
      <c r="J4924" t="s">
        <v>85</v>
      </c>
      <c r="K4924">
        <v>48</v>
      </c>
      <c r="L4924">
        <v>11.7</v>
      </c>
      <c r="M4924">
        <v>4.9000000000000004</v>
      </c>
      <c r="N4924" t="s">
        <v>22</v>
      </c>
      <c r="O4924" t="str">
        <f t="shared" si="76"/>
        <v>No</v>
      </c>
    </row>
    <row r="4925" spans="1:15" x14ac:dyDescent="0.25">
      <c r="A4925" t="s">
        <v>4986</v>
      </c>
      <c r="B4925" s="1">
        <v>45780</v>
      </c>
      <c r="C4925" s="2">
        <v>45780.874166666668</v>
      </c>
      <c r="D4925" t="s">
        <v>24</v>
      </c>
      <c r="E4925" t="s">
        <v>32</v>
      </c>
      <c r="F4925" t="s">
        <v>80</v>
      </c>
      <c r="G4925" t="s">
        <v>18</v>
      </c>
      <c r="H4925" t="s">
        <v>65</v>
      </c>
      <c r="I4925" t="s">
        <v>36</v>
      </c>
      <c r="J4925" t="s">
        <v>21</v>
      </c>
      <c r="K4925">
        <v>24</v>
      </c>
      <c r="L4925">
        <v>20.98</v>
      </c>
      <c r="M4925">
        <v>5</v>
      </c>
      <c r="N4925" t="s">
        <v>22</v>
      </c>
      <c r="O4925" t="str">
        <f t="shared" si="76"/>
        <v>No</v>
      </c>
    </row>
    <row r="4926" spans="1:15" x14ac:dyDescent="0.25">
      <c r="A4926" t="s">
        <v>4987</v>
      </c>
      <c r="B4926" s="1">
        <v>45717</v>
      </c>
      <c r="C4926" s="2">
        <v>45717.175833333335</v>
      </c>
      <c r="D4926" t="s">
        <v>38</v>
      </c>
      <c r="E4926" t="s">
        <v>32</v>
      </c>
      <c r="F4926" t="s">
        <v>75</v>
      </c>
      <c r="G4926" t="s">
        <v>34</v>
      </c>
      <c r="H4926" t="s">
        <v>44</v>
      </c>
      <c r="I4926" t="s">
        <v>20</v>
      </c>
      <c r="J4926" t="s">
        <v>21</v>
      </c>
      <c r="K4926">
        <v>8</v>
      </c>
      <c r="L4926">
        <v>4.22</v>
      </c>
      <c r="M4926">
        <v>4.2</v>
      </c>
      <c r="N4926" t="s">
        <v>22</v>
      </c>
      <c r="O4926" t="str">
        <f t="shared" si="76"/>
        <v>No</v>
      </c>
    </row>
    <row r="4927" spans="1:15" x14ac:dyDescent="0.25">
      <c r="A4927" t="s">
        <v>4988</v>
      </c>
      <c r="B4927" s="1">
        <v>45674</v>
      </c>
      <c r="C4927" s="2">
        <v>45675.03833333333</v>
      </c>
      <c r="D4927" t="s">
        <v>15</v>
      </c>
      <c r="E4927" t="s">
        <v>32</v>
      </c>
      <c r="F4927" t="s">
        <v>80</v>
      </c>
      <c r="G4927" t="s">
        <v>34</v>
      </c>
      <c r="H4927" t="s">
        <v>19</v>
      </c>
      <c r="I4927" t="s">
        <v>20</v>
      </c>
      <c r="J4927" t="s">
        <v>21</v>
      </c>
      <c r="K4927">
        <v>48</v>
      </c>
      <c r="L4927">
        <v>24.92</v>
      </c>
      <c r="M4927">
        <v>3.3</v>
      </c>
      <c r="N4927" t="s">
        <v>22</v>
      </c>
      <c r="O4927" t="str">
        <f t="shared" si="76"/>
        <v>No</v>
      </c>
    </row>
    <row r="4928" spans="1:15" x14ac:dyDescent="0.25">
      <c r="A4928" t="s">
        <v>4989</v>
      </c>
      <c r="B4928" s="1">
        <v>45730</v>
      </c>
      <c r="C4928" s="2">
        <v>45730.060833333337</v>
      </c>
      <c r="D4928" t="s">
        <v>31</v>
      </c>
      <c r="E4928" t="s">
        <v>16</v>
      </c>
      <c r="F4928" t="s">
        <v>58</v>
      </c>
      <c r="G4928" t="s">
        <v>56</v>
      </c>
      <c r="H4928" t="s">
        <v>35</v>
      </c>
      <c r="I4928" t="s">
        <v>36</v>
      </c>
      <c r="J4928" t="s">
        <v>29</v>
      </c>
      <c r="K4928">
        <v>4</v>
      </c>
      <c r="L4928">
        <v>1.46</v>
      </c>
      <c r="M4928">
        <v>4</v>
      </c>
      <c r="N4928" t="s">
        <v>22</v>
      </c>
      <c r="O4928" t="str">
        <f t="shared" si="76"/>
        <v>No</v>
      </c>
    </row>
    <row r="4929" spans="1:15" x14ac:dyDescent="0.25">
      <c r="A4929" t="s">
        <v>4990</v>
      </c>
      <c r="B4929" s="1">
        <v>45765</v>
      </c>
      <c r="C4929" s="2">
        <v>45767.656666666669</v>
      </c>
      <c r="D4929" t="s">
        <v>15</v>
      </c>
      <c r="E4929" t="s">
        <v>45</v>
      </c>
      <c r="F4929" t="s">
        <v>100</v>
      </c>
      <c r="G4929" t="s">
        <v>18</v>
      </c>
      <c r="H4929" t="s">
        <v>19</v>
      </c>
      <c r="I4929" t="s">
        <v>45</v>
      </c>
      <c r="J4929" t="s">
        <v>21</v>
      </c>
      <c r="K4929">
        <v>48</v>
      </c>
      <c r="L4929">
        <v>63.76</v>
      </c>
      <c r="M4929">
        <v>3</v>
      </c>
      <c r="N4929" t="s">
        <v>22</v>
      </c>
      <c r="O4929" t="str">
        <f t="shared" si="76"/>
        <v>Yes</v>
      </c>
    </row>
    <row r="4930" spans="1:15" x14ac:dyDescent="0.25">
      <c r="A4930" t="s">
        <v>4991</v>
      </c>
      <c r="B4930" s="1">
        <v>45690</v>
      </c>
      <c r="C4930" s="2">
        <v>45691.369166666664</v>
      </c>
      <c r="D4930" t="s">
        <v>24</v>
      </c>
      <c r="E4930" t="s">
        <v>45</v>
      </c>
      <c r="F4930" t="s">
        <v>50</v>
      </c>
      <c r="G4930" t="s">
        <v>51</v>
      </c>
      <c r="H4930" t="s">
        <v>19</v>
      </c>
      <c r="I4930" t="s">
        <v>36</v>
      </c>
      <c r="J4930" t="s">
        <v>21</v>
      </c>
      <c r="K4930">
        <v>24</v>
      </c>
      <c r="L4930">
        <v>32.86</v>
      </c>
      <c r="M4930">
        <v>3.7</v>
      </c>
      <c r="N4930" t="s">
        <v>22</v>
      </c>
      <c r="O4930" t="str">
        <f t="shared" si="76"/>
        <v>Yes</v>
      </c>
    </row>
    <row r="4931" spans="1:15" x14ac:dyDescent="0.25">
      <c r="A4931" t="s">
        <v>4992</v>
      </c>
      <c r="B4931" s="1">
        <v>45698</v>
      </c>
      <c r="C4931" s="2">
        <v>45698.13</v>
      </c>
      <c r="D4931" t="s">
        <v>38</v>
      </c>
      <c r="E4931" t="s">
        <v>39</v>
      </c>
      <c r="F4931" t="s">
        <v>119</v>
      </c>
      <c r="G4931" t="s">
        <v>51</v>
      </c>
      <c r="H4931" t="s">
        <v>65</v>
      </c>
      <c r="I4931" t="s">
        <v>36</v>
      </c>
      <c r="J4931" t="s">
        <v>46</v>
      </c>
      <c r="K4931">
        <v>8</v>
      </c>
      <c r="L4931">
        <v>3.12</v>
      </c>
      <c r="M4931">
        <v>5</v>
      </c>
      <c r="N4931" t="s">
        <v>22</v>
      </c>
      <c r="O4931" t="str">
        <f t="shared" ref="O4931:O4994" si="77">IF(L4931&gt;K4931,"Yes","No")</f>
        <v>No</v>
      </c>
    </row>
    <row r="4932" spans="1:15" x14ac:dyDescent="0.25">
      <c r="A4932" t="s">
        <v>4993</v>
      </c>
      <c r="B4932" s="1">
        <v>45660</v>
      </c>
      <c r="C4932" s="2">
        <v>45660.091666666667</v>
      </c>
      <c r="D4932" t="s">
        <v>38</v>
      </c>
      <c r="E4932" t="s">
        <v>32</v>
      </c>
      <c r="F4932" t="s">
        <v>80</v>
      </c>
      <c r="G4932" t="s">
        <v>34</v>
      </c>
      <c r="H4932" t="s">
        <v>54</v>
      </c>
      <c r="I4932" t="s">
        <v>28</v>
      </c>
      <c r="J4932" t="s">
        <v>21</v>
      </c>
      <c r="K4932">
        <v>8</v>
      </c>
      <c r="L4932">
        <v>2.2000000000000002</v>
      </c>
      <c r="M4932">
        <v>4.8</v>
      </c>
      <c r="N4932" t="s">
        <v>22</v>
      </c>
      <c r="O4932" t="str">
        <f t="shared" si="77"/>
        <v>No</v>
      </c>
    </row>
    <row r="4933" spans="1:15" x14ac:dyDescent="0.25">
      <c r="A4933" t="s">
        <v>4994</v>
      </c>
      <c r="B4933" s="1">
        <v>45790</v>
      </c>
      <c r="C4933" s="2">
        <v>45790.418749999997</v>
      </c>
      <c r="D4933" t="s">
        <v>24</v>
      </c>
      <c r="E4933" t="s">
        <v>25</v>
      </c>
      <c r="F4933" t="s">
        <v>26</v>
      </c>
      <c r="G4933" t="s">
        <v>56</v>
      </c>
      <c r="H4933" t="s">
        <v>54</v>
      </c>
      <c r="I4933" t="s">
        <v>45</v>
      </c>
      <c r="J4933" t="s">
        <v>46</v>
      </c>
      <c r="K4933">
        <v>24</v>
      </c>
      <c r="L4933">
        <v>10.050000000000001</v>
      </c>
      <c r="M4933">
        <v>4.7</v>
      </c>
      <c r="N4933" t="s">
        <v>22</v>
      </c>
      <c r="O4933" t="str">
        <f t="shared" si="77"/>
        <v>No</v>
      </c>
    </row>
    <row r="4934" spans="1:15" x14ac:dyDescent="0.25">
      <c r="A4934" t="s">
        <v>4995</v>
      </c>
      <c r="B4934" s="1">
        <v>45820</v>
      </c>
      <c r="C4934" s="2">
        <v>45820.294166666667</v>
      </c>
      <c r="D4934" t="s">
        <v>24</v>
      </c>
      <c r="E4934" t="s">
        <v>32</v>
      </c>
      <c r="F4934" t="s">
        <v>75</v>
      </c>
      <c r="G4934" t="s">
        <v>56</v>
      </c>
      <c r="H4934" t="s">
        <v>35</v>
      </c>
      <c r="I4934" t="s">
        <v>36</v>
      </c>
      <c r="J4934" t="s">
        <v>21</v>
      </c>
      <c r="K4934">
        <v>24</v>
      </c>
      <c r="L4934">
        <v>7.06</v>
      </c>
      <c r="M4934">
        <v>5</v>
      </c>
      <c r="N4934" t="s">
        <v>22</v>
      </c>
      <c r="O4934" t="str">
        <f t="shared" si="77"/>
        <v>No</v>
      </c>
    </row>
    <row r="4935" spans="1:15" x14ac:dyDescent="0.25">
      <c r="A4935" t="s">
        <v>4996</v>
      </c>
      <c r="B4935" s="1">
        <v>45807</v>
      </c>
      <c r="C4935" s="2">
        <v>45808.391250000001</v>
      </c>
      <c r="D4935" t="s">
        <v>15</v>
      </c>
      <c r="E4935" t="s">
        <v>45</v>
      </c>
      <c r="F4935" t="s">
        <v>100</v>
      </c>
      <c r="G4935" t="s">
        <v>41</v>
      </c>
      <c r="H4935" t="s">
        <v>35</v>
      </c>
      <c r="I4935" t="s">
        <v>20</v>
      </c>
      <c r="J4935" t="s">
        <v>46</v>
      </c>
      <c r="K4935">
        <v>48</v>
      </c>
      <c r="L4935">
        <v>33.39</v>
      </c>
      <c r="M4935">
        <v>3.6</v>
      </c>
      <c r="N4935" t="s">
        <v>61</v>
      </c>
      <c r="O4935" t="str">
        <f t="shared" si="77"/>
        <v>No</v>
      </c>
    </row>
    <row r="4936" spans="1:15" x14ac:dyDescent="0.25">
      <c r="A4936" t="s">
        <v>4997</v>
      </c>
      <c r="B4936" s="1">
        <v>45726</v>
      </c>
      <c r="C4936" s="2">
        <v>45727.029166666667</v>
      </c>
      <c r="D4936" t="s">
        <v>15</v>
      </c>
      <c r="E4936" t="s">
        <v>16</v>
      </c>
      <c r="F4936" t="s">
        <v>43</v>
      </c>
      <c r="G4936" t="s">
        <v>51</v>
      </c>
      <c r="H4936" t="s">
        <v>27</v>
      </c>
      <c r="I4936" t="s">
        <v>28</v>
      </c>
      <c r="J4936" t="s">
        <v>21</v>
      </c>
      <c r="K4936">
        <v>48</v>
      </c>
      <c r="L4936">
        <v>24.7</v>
      </c>
      <c r="M4936">
        <v>4.3</v>
      </c>
      <c r="N4936" t="s">
        <v>61</v>
      </c>
      <c r="O4936" t="str">
        <f t="shared" si="77"/>
        <v>No</v>
      </c>
    </row>
    <row r="4937" spans="1:15" x14ac:dyDescent="0.25">
      <c r="A4937" t="s">
        <v>4998</v>
      </c>
      <c r="B4937" s="1">
        <v>45765</v>
      </c>
      <c r="C4937" s="2">
        <v>45765.845000000001</v>
      </c>
      <c r="D4937" t="s">
        <v>24</v>
      </c>
      <c r="E4937" t="s">
        <v>16</v>
      </c>
      <c r="F4937" t="s">
        <v>60</v>
      </c>
      <c r="G4937" t="s">
        <v>18</v>
      </c>
      <c r="H4937" t="s">
        <v>44</v>
      </c>
      <c r="I4937" t="s">
        <v>45</v>
      </c>
      <c r="J4937" t="s">
        <v>21</v>
      </c>
      <c r="K4937">
        <v>24</v>
      </c>
      <c r="L4937">
        <v>20.28</v>
      </c>
      <c r="M4937">
        <v>3.7</v>
      </c>
      <c r="N4937" t="s">
        <v>22</v>
      </c>
      <c r="O4937" t="str">
        <f t="shared" si="77"/>
        <v>No</v>
      </c>
    </row>
    <row r="4938" spans="1:15" x14ac:dyDescent="0.25">
      <c r="A4938" t="s">
        <v>4999</v>
      </c>
      <c r="B4938" s="1">
        <v>45831</v>
      </c>
      <c r="C4938" s="2">
        <v>45831.787499999999</v>
      </c>
      <c r="D4938" t="s">
        <v>15</v>
      </c>
      <c r="E4938" t="s">
        <v>32</v>
      </c>
      <c r="F4938" t="s">
        <v>64</v>
      </c>
      <c r="G4938" t="s">
        <v>18</v>
      </c>
      <c r="H4938" t="s">
        <v>19</v>
      </c>
      <c r="I4938" t="s">
        <v>20</v>
      </c>
      <c r="J4938" t="s">
        <v>21</v>
      </c>
      <c r="K4938">
        <v>48</v>
      </c>
      <c r="L4938">
        <v>18.899999999999999</v>
      </c>
      <c r="M4938">
        <v>3.8</v>
      </c>
      <c r="N4938" t="s">
        <v>22</v>
      </c>
      <c r="O4938" t="str">
        <f t="shared" si="77"/>
        <v>No</v>
      </c>
    </row>
    <row r="4939" spans="1:15" x14ac:dyDescent="0.25">
      <c r="A4939" t="s">
        <v>5000</v>
      </c>
      <c r="B4939" s="1">
        <v>45765</v>
      </c>
      <c r="C4939" s="2">
        <v>45767.34</v>
      </c>
      <c r="D4939" t="s">
        <v>24</v>
      </c>
      <c r="E4939" t="s">
        <v>32</v>
      </c>
      <c r="F4939" t="s">
        <v>75</v>
      </c>
      <c r="G4939" t="s">
        <v>51</v>
      </c>
      <c r="H4939" t="s">
        <v>35</v>
      </c>
      <c r="I4939" t="s">
        <v>20</v>
      </c>
      <c r="J4939" t="s">
        <v>21</v>
      </c>
      <c r="K4939">
        <v>24</v>
      </c>
      <c r="L4939">
        <v>56.16</v>
      </c>
      <c r="M4939">
        <v>1</v>
      </c>
      <c r="N4939" t="s">
        <v>22</v>
      </c>
      <c r="O4939" t="str">
        <f t="shared" si="77"/>
        <v>Yes</v>
      </c>
    </row>
    <row r="4940" spans="1:15" x14ac:dyDescent="0.25">
      <c r="A4940" t="s">
        <v>5001</v>
      </c>
      <c r="B4940" s="1">
        <v>45711</v>
      </c>
      <c r="C4940" s="2">
        <v>45711.290416666663</v>
      </c>
      <c r="D4940" t="s">
        <v>15</v>
      </c>
      <c r="E4940" t="s">
        <v>16</v>
      </c>
      <c r="F4940" t="s">
        <v>60</v>
      </c>
      <c r="G4940" t="s">
        <v>18</v>
      </c>
      <c r="H4940" t="s">
        <v>19</v>
      </c>
      <c r="I4940" t="s">
        <v>20</v>
      </c>
      <c r="J4940" t="s">
        <v>21</v>
      </c>
      <c r="K4940">
        <v>48</v>
      </c>
      <c r="L4940">
        <v>6.97</v>
      </c>
      <c r="M4940">
        <v>5</v>
      </c>
      <c r="N4940" t="s">
        <v>22</v>
      </c>
      <c r="O4940" t="str">
        <f t="shared" si="77"/>
        <v>No</v>
      </c>
    </row>
    <row r="4941" spans="1:15" x14ac:dyDescent="0.25">
      <c r="A4941" t="s">
        <v>5002</v>
      </c>
      <c r="B4941" s="1">
        <v>45719</v>
      </c>
      <c r="C4941" s="2">
        <v>45719.167083333334</v>
      </c>
      <c r="D4941" t="s">
        <v>38</v>
      </c>
      <c r="E4941" t="s">
        <v>39</v>
      </c>
      <c r="F4941" t="s">
        <v>78</v>
      </c>
      <c r="G4941" t="s">
        <v>18</v>
      </c>
      <c r="H4941" t="s">
        <v>65</v>
      </c>
      <c r="I4941" t="s">
        <v>45</v>
      </c>
      <c r="J4941" t="s">
        <v>21</v>
      </c>
      <c r="K4941">
        <v>8</v>
      </c>
      <c r="L4941">
        <v>4.01</v>
      </c>
      <c r="M4941">
        <v>3.9</v>
      </c>
      <c r="N4941" t="s">
        <v>22</v>
      </c>
      <c r="O4941" t="str">
        <f t="shared" si="77"/>
        <v>No</v>
      </c>
    </row>
    <row r="4942" spans="1:15" x14ac:dyDescent="0.25">
      <c r="A4942" t="s">
        <v>5003</v>
      </c>
      <c r="B4942" s="1">
        <v>45789</v>
      </c>
      <c r="C4942" s="2">
        <v>45789.68</v>
      </c>
      <c r="D4942" t="s">
        <v>38</v>
      </c>
      <c r="E4942" t="s">
        <v>25</v>
      </c>
      <c r="F4942" t="s">
        <v>48</v>
      </c>
      <c r="G4942" t="s">
        <v>34</v>
      </c>
      <c r="H4942" t="s">
        <v>44</v>
      </c>
      <c r="I4942" t="s">
        <v>20</v>
      </c>
      <c r="J4942" t="s">
        <v>21</v>
      </c>
      <c r="K4942">
        <v>8</v>
      </c>
      <c r="L4942">
        <v>16.32</v>
      </c>
      <c r="M4942">
        <v>2.4</v>
      </c>
      <c r="N4942" t="s">
        <v>22</v>
      </c>
      <c r="O4942" t="str">
        <f t="shared" si="77"/>
        <v>Yes</v>
      </c>
    </row>
    <row r="4943" spans="1:15" x14ac:dyDescent="0.25">
      <c r="A4943" t="s">
        <v>5004</v>
      </c>
      <c r="B4943" s="1">
        <v>45738</v>
      </c>
      <c r="C4943" s="2">
        <v>45738.284583333334</v>
      </c>
      <c r="D4943" t="s">
        <v>38</v>
      </c>
      <c r="E4943" t="s">
        <v>16</v>
      </c>
      <c r="F4943" t="s">
        <v>58</v>
      </c>
      <c r="G4943" t="s">
        <v>34</v>
      </c>
      <c r="H4943" t="s">
        <v>19</v>
      </c>
      <c r="I4943" t="s">
        <v>45</v>
      </c>
      <c r="J4943" t="s">
        <v>21</v>
      </c>
      <c r="K4943">
        <v>8</v>
      </c>
      <c r="L4943">
        <v>6.83</v>
      </c>
      <c r="M4943">
        <v>4.3</v>
      </c>
      <c r="N4943" t="s">
        <v>22</v>
      </c>
      <c r="O4943" t="str">
        <f t="shared" si="77"/>
        <v>No</v>
      </c>
    </row>
    <row r="4944" spans="1:15" x14ac:dyDescent="0.25">
      <c r="A4944" t="s">
        <v>5005</v>
      </c>
      <c r="B4944" s="1">
        <v>45809</v>
      </c>
      <c r="C4944" s="2">
        <v>45809.445833333331</v>
      </c>
      <c r="D4944" t="s">
        <v>24</v>
      </c>
      <c r="E4944" t="s">
        <v>39</v>
      </c>
      <c r="F4944" t="s">
        <v>87</v>
      </c>
      <c r="G4944" t="s">
        <v>56</v>
      </c>
      <c r="H4944" t="s">
        <v>35</v>
      </c>
      <c r="I4944" t="s">
        <v>36</v>
      </c>
      <c r="J4944" t="s">
        <v>21</v>
      </c>
      <c r="K4944">
        <v>24</v>
      </c>
      <c r="L4944">
        <v>10.7</v>
      </c>
      <c r="M4944">
        <v>3.7</v>
      </c>
      <c r="N4944" t="s">
        <v>22</v>
      </c>
      <c r="O4944" t="str">
        <f t="shared" si="77"/>
        <v>No</v>
      </c>
    </row>
    <row r="4945" spans="1:15" x14ac:dyDescent="0.25">
      <c r="A4945" t="s">
        <v>5006</v>
      </c>
      <c r="B4945" s="1">
        <v>45814</v>
      </c>
      <c r="C4945" s="2">
        <v>45815.33625</v>
      </c>
      <c r="D4945" t="s">
        <v>15</v>
      </c>
      <c r="E4945" t="s">
        <v>32</v>
      </c>
      <c r="F4945" t="s">
        <v>64</v>
      </c>
      <c r="G4945" t="s">
        <v>18</v>
      </c>
      <c r="H4945" t="s">
        <v>19</v>
      </c>
      <c r="I4945" t="s">
        <v>36</v>
      </c>
      <c r="J4945" t="s">
        <v>21</v>
      </c>
      <c r="K4945">
        <v>48</v>
      </c>
      <c r="L4945">
        <v>32.07</v>
      </c>
      <c r="M4945">
        <v>3.7</v>
      </c>
      <c r="N4945" t="s">
        <v>22</v>
      </c>
      <c r="O4945" t="str">
        <f t="shared" si="77"/>
        <v>No</v>
      </c>
    </row>
    <row r="4946" spans="1:15" x14ac:dyDescent="0.25">
      <c r="A4946" t="s">
        <v>5007</v>
      </c>
      <c r="B4946" s="1">
        <v>45664</v>
      </c>
      <c r="C4946" s="2">
        <v>45664.352916666663</v>
      </c>
      <c r="D4946" t="s">
        <v>15</v>
      </c>
      <c r="E4946" t="s">
        <v>16</v>
      </c>
      <c r="F4946" t="s">
        <v>58</v>
      </c>
      <c r="G4946" t="s">
        <v>41</v>
      </c>
      <c r="H4946" t="s">
        <v>27</v>
      </c>
      <c r="I4946" t="s">
        <v>36</v>
      </c>
      <c r="J4946" t="s">
        <v>46</v>
      </c>
      <c r="K4946">
        <v>48</v>
      </c>
      <c r="L4946">
        <v>8.4700000000000006</v>
      </c>
      <c r="M4946">
        <v>4.8</v>
      </c>
      <c r="N4946" t="s">
        <v>22</v>
      </c>
      <c r="O4946" t="str">
        <f t="shared" si="77"/>
        <v>No</v>
      </c>
    </row>
    <row r="4947" spans="1:15" x14ac:dyDescent="0.25">
      <c r="A4947" t="s">
        <v>5008</v>
      </c>
      <c r="B4947" s="1">
        <v>45788</v>
      </c>
      <c r="C4947" s="2">
        <v>45788.525000000001</v>
      </c>
      <c r="D4947" t="s">
        <v>24</v>
      </c>
      <c r="E4947" t="s">
        <v>32</v>
      </c>
      <c r="F4947" t="s">
        <v>33</v>
      </c>
      <c r="G4947" t="s">
        <v>51</v>
      </c>
      <c r="H4947" t="s">
        <v>19</v>
      </c>
      <c r="I4947" t="s">
        <v>36</v>
      </c>
      <c r="J4947" t="s">
        <v>21</v>
      </c>
      <c r="K4947">
        <v>24</v>
      </c>
      <c r="L4947">
        <v>12.6</v>
      </c>
      <c r="M4947">
        <v>4.0999999999999996</v>
      </c>
      <c r="N4947" t="s">
        <v>22</v>
      </c>
      <c r="O4947" t="str">
        <f t="shared" si="77"/>
        <v>No</v>
      </c>
    </row>
    <row r="4948" spans="1:15" x14ac:dyDescent="0.25">
      <c r="A4948" t="s">
        <v>5009</v>
      </c>
      <c r="B4948" s="1">
        <v>45724</v>
      </c>
      <c r="C4948" s="2">
        <v>45724.17291666667</v>
      </c>
      <c r="D4948" t="s">
        <v>24</v>
      </c>
      <c r="E4948" t="s">
        <v>16</v>
      </c>
      <c r="F4948" t="s">
        <v>17</v>
      </c>
      <c r="G4948" t="s">
        <v>51</v>
      </c>
      <c r="H4948" t="s">
        <v>65</v>
      </c>
      <c r="I4948" t="s">
        <v>36</v>
      </c>
      <c r="J4948" t="s">
        <v>46</v>
      </c>
      <c r="K4948">
        <v>24</v>
      </c>
      <c r="L4948">
        <v>4.1500000000000004</v>
      </c>
      <c r="M4948">
        <v>4</v>
      </c>
      <c r="N4948" t="s">
        <v>22</v>
      </c>
      <c r="O4948" t="str">
        <f t="shared" si="77"/>
        <v>No</v>
      </c>
    </row>
    <row r="4949" spans="1:15" x14ac:dyDescent="0.25">
      <c r="A4949" t="s">
        <v>5010</v>
      </c>
      <c r="B4949" s="1">
        <v>45752</v>
      </c>
      <c r="C4949" s="2">
        <v>45752.095833333333</v>
      </c>
      <c r="D4949" t="s">
        <v>24</v>
      </c>
      <c r="E4949" t="s">
        <v>16</v>
      </c>
      <c r="F4949" t="s">
        <v>17</v>
      </c>
      <c r="G4949" t="s">
        <v>51</v>
      </c>
      <c r="H4949" t="s">
        <v>35</v>
      </c>
      <c r="I4949" t="s">
        <v>45</v>
      </c>
      <c r="J4949" t="s">
        <v>21</v>
      </c>
      <c r="K4949">
        <v>24</v>
      </c>
      <c r="L4949">
        <v>2.2999999999999998</v>
      </c>
      <c r="M4949">
        <v>5</v>
      </c>
      <c r="N4949" t="s">
        <v>61</v>
      </c>
      <c r="O4949" t="str">
        <f t="shared" si="77"/>
        <v>No</v>
      </c>
    </row>
    <row r="4950" spans="1:15" x14ac:dyDescent="0.25">
      <c r="A4950" t="s">
        <v>5011</v>
      </c>
      <c r="B4950" s="1">
        <v>45705</v>
      </c>
      <c r="C4950" s="2">
        <v>45706.269583333335</v>
      </c>
      <c r="D4950" t="s">
        <v>24</v>
      </c>
      <c r="E4950" t="s">
        <v>25</v>
      </c>
      <c r="F4950" t="s">
        <v>53</v>
      </c>
      <c r="G4950" t="s">
        <v>51</v>
      </c>
      <c r="H4950" t="s">
        <v>27</v>
      </c>
      <c r="I4950" t="s">
        <v>28</v>
      </c>
      <c r="J4950" t="s">
        <v>21</v>
      </c>
      <c r="K4950">
        <v>24</v>
      </c>
      <c r="L4950">
        <v>30.47</v>
      </c>
      <c r="M4950">
        <v>3.2</v>
      </c>
      <c r="N4950" t="s">
        <v>22</v>
      </c>
      <c r="O4950" t="str">
        <f t="shared" si="77"/>
        <v>Yes</v>
      </c>
    </row>
    <row r="4951" spans="1:15" x14ac:dyDescent="0.25">
      <c r="A4951" t="s">
        <v>5012</v>
      </c>
      <c r="B4951" s="1">
        <v>45724</v>
      </c>
      <c r="C4951" s="2">
        <v>45724.307500000003</v>
      </c>
      <c r="D4951" t="s">
        <v>24</v>
      </c>
      <c r="E4951" t="s">
        <v>39</v>
      </c>
      <c r="F4951" t="s">
        <v>40</v>
      </c>
      <c r="G4951" t="s">
        <v>56</v>
      </c>
      <c r="H4951" t="s">
        <v>44</v>
      </c>
      <c r="I4951" t="s">
        <v>36</v>
      </c>
      <c r="J4951" t="s">
        <v>21</v>
      </c>
      <c r="K4951">
        <v>24</v>
      </c>
      <c r="L4951">
        <v>7.38</v>
      </c>
      <c r="M4951">
        <v>4.7</v>
      </c>
      <c r="N4951" t="s">
        <v>22</v>
      </c>
      <c r="O4951" t="str">
        <f t="shared" si="77"/>
        <v>No</v>
      </c>
    </row>
    <row r="4952" spans="1:15" x14ac:dyDescent="0.25">
      <c r="A4952" t="s">
        <v>5013</v>
      </c>
      <c r="B4952" s="1">
        <v>45717</v>
      </c>
      <c r="C4952" s="2">
        <v>45717.322916666664</v>
      </c>
      <c r="D4952" t="s">
        <v>15</v>
      </c>
      <c r="E4952" t="s">
        <v>32</v>
      </c>
      <c r="F4952" t="s">
        <v>33</v>
      </c>
      <c r="G4952" t="s">
        <v>51</v>
      </c>
      <c r="H4952" t="s">
        <v>35</v>
      </c>
      <c r="I4952" t="s">
        <v>36</v>
      </c>
      <c r="J4952" t="s">
        <v>21</v>
      </c>
      <c r="K4952">
        <v>48</v>
      </c>
      <c r="L4952">
        <v>7.75</v>
      </c>
      <c r="M4952">
        <v>4.8</v>
      </c>
      <c r="N4952" t="s">
        <v>22</v>
      </c>
      <c r="O4952" t="str">
        <f t="shared" si="77"/>
        <v>No</v>
      </c>
    </row>
    <row r="4953" spans="1:15" x14ac:dyDescent="0.25">
      <c r="A4953" t="s">
        <v>5014</v>
      </c>
      <c r="B4953" s="1">
        <v>45667</v>
      </c>
      <c r="C4953" s="2">
        <v>45667.399583333332</v>
      </c>
      <c r="D4953" t="s">
        <v>24</v>
      </c>
      <c r="E4953" t="s">
        <v>25</v>
      </c>
      <c r="F4953" t="s">
        <v>26</v>
      </c>
      <c r="G4953" t="s">
        <v>51</v>
      </c>
      <c r="H4953" t="s">
        <v>27</v>
      </c>
      <c r="I4953" t="s">
        <v>20</v>
      </c>
      <c r="J4953" t="s">
        <v>46</v>
      </c>
      <c r="K4953">
        <v>24</v>
      </c>
      <c r="L4953">
        <v>9.59</v>
      </c>
      <c r="M4953">
        <v>5</v>
      </c>
      <c r="N4953" t="s">
        <v>22</v>
      </c>
      <c r="O4953" t="str">
        <f t="shared" si="77"/>
        <v>No</v>
      </c>
    </row>
    <row r="4954" spans="1:15" x14ac:dyDescent="0.25">
      <c r="A4954" t="s">
        <v>5015</v>
      </c>
      <c r="B4954" s="1">
        <v>45799</v>
      </c>
      <c r="C4954" s="2">
        <v>45799.815000000002</v>
      </c>
      <c r="D4954" t="s">
        <v>24</v>
      </c>
      <c r="E4954" t="s">
        <v>16</v>
      </c>
      <c r="F4954" t="s">
        <v>17</v>
      </c>
      <c r="G4954" t="s">
        <v>51</v>
      </c>
      <c r="H4954" t="s">
        <v>44</v>
      </c>
      <c r="I4954" t="s">
        <v>36</v>
      </c>
      <c r="J4954" t="s">
        <v>21</v>
      </c>
      <c r="K4954">
        <v>24</v>
      </c>
      <c r="L4954">
        <v>19.559999999999999</v>
      </c>
      <c r="M4954">
        <v>4.3</v>
      </c>
      <c r="N4954" t="s">
        <v>22</v>
      </c>
      <c r="O4954" t="str">
        <f t="shared" si="77"/>
        <v>No</v>
      </c>
    </row>
    <row r="4955" spans="1:15" x14ac:dyDescent="0.25">
      <c r="A4955" t="s">
        <v>5016</v>
      </c>
      <c r="B4955" s="1">
        <v>45683</v>
      </c>
      <c r="C4955" s="2">
        <v>45683.174166666664</v>
      </c>
      <c r="D4955" t="s">
        <v>24</v>
      </c>
      <c r="E4955" t="s">
        <v>16</v>
      </c>
      <c r="F4955" t="s">
        <v>60</v>
      </c>
      <c r="G4955" t="s">
        <v>51</v>
      </c>
      <c r="H4955" t="s">
        <v>35</v>
      </c>
      <c r="I4955" t="s">
        <v>20</v>
      </c>
      <c r="J4955" t="s">
        <v>85</v>
      </c>
      <c r="K4955">
        <v>24</v>
      </c>
      <c r="L4955">
        <v>4.18</v>
      </c>
      <c r="M4955">
        <v>4.2</v>
      </c>
      <c r="N4955" t="s">
        <v>22</v>
      </c>
      <c r="O4955" t="str">
        <f t="shared" si="77"/>
        <v>No</v>
      </c>
    </row>
    <row r="4956" spans="1:15" x14ac:dyDescent="0.25">
      <c r="A4956" t="s">
        <v>5017</v>
      </c>
      <c r="B4956" s="1">
        <v>45726</v>
      </c>
      <c r="C4956" s="2">
        <v>45726.057083333333</v>
      </c>
      <c r="D4956" t="s">
        <v>31</v>
      </c>
      <c r="E4956" t="s">
        <v>16</v>
      </c>
      <c r="F4956" t="s">
        <v>58</v>
      </c>
      <c r="G4956" t="s">
        <v>41</v>
      </c>
      <c r="H4956" t="s">
        <v>35</v>
      </c>
      <c r="I4956" t="s">
        <v>45</v>
      </c>
      <c r="J4956" t="s">
        <v>46</v>
      </c>
      <c r="K4956">
        <v>4</v>
      </c>
      <c r="L4956">
        <v>1.37</v>
      </c>
      <c r="M4956">
        <v>5</v>
      </c>
      <c r="N4956" t="s">
        <v>22</v>
      </c>
      <c r="O4956" t="str">
        <f t="shared" si="77"/>
        <v>No</v>
      </c>
    </row>
    <row r="4957" spans="1:15" x14ac:dyDescent="0.25">
      <c r="A4957" t="s">
        <v>5018</v>
      </c>
      <c r="B4957" s="1">
        <v>45692</v>
      </c>
      <c r="C4957" s="2">
        <v>45692.888333333336</v>
      </c>
      <c r="D4957" t="s">
        <v>24</v>
      </c>
      <c r="E4957" t="s">
        <v>25</v>
      </c>
      <c r="F4957" t="s">
        <v>26</v>
      </c>
      <c r="G4957" t="s">
        <v>51</v>
      </c>
      <c r="H4957" t="s">
        <v>65</v>
      </c>
      <c r="I4957" t="s">
        <v>45</v>
      </c>
      <c r="J4957" t="s">
        <v>21</v>
      </c>
      <c r="K4957">
        <v>24</v>
      </c>
      <c r="L4957">
        <v>21.32</v>
      </c>
      <c r="M4957">
        <v>3.6</v>
      </c>
      <c r="N4957" t="s">
        <v>22</v>
      </c>
      <c r="O4957" t="str">
        <f t="shared" si="77"/>
        <v>No</v>
      </c>
    </row>
    <row r="4958" spans="1:15" x14ac:dyDescent="0.25">
      <c r="A4958" t="s">
        <v>5019</v>
      </c>
      <c r="B4958" s="1">
        <v>45687</v>
      </c>
      <c r="C4958" s="2">
        <v>45687.181666666664</v>
      </c>
      <c r="D4958" t="s">
        <v>38</v>
      </c>
      <c r="E4958" t="s">
        <v>32</v>
      </c>
      <c r="F4958" t="s">
        <v>80</v>
      </c>
      <c r="G4958" t="s">
        <v>34</v>
      </c>
      <c r="H4958" t="s">
        <v>19</v>
      </c>
      <c r="I4958" t="s">
        <v>36</v>
      </c>
      <c r="J4958" t="s">
        <v>85</v>
      </c>
      <c r="K4958">
        <v>8</v>
      </c>
      <c r="L4958">
        <v>4.3600000000000003</v>
      </c>
      <c r="M4958">
        <v>3.8</v>
      </c>
      <c r="N4958" t="s">
        <v>22</v>
      </c>
      <c r="O4958" t="str">
        <f t="shared" si="77"/>
        <v>No</v>
      </c>
    </row>
    <row r="4959" spans="1:15" x14ac:dyDescent="0.25">
      <c r="A4959" t="s">
        <v>5020</v>
      </c>
      <c r="B4959" s="1">
        <v>45725</v>
      </c>
      <c r="C4959" s="2">
        <v>45725.431250000001</v>
      </c>
      <c r="D4959" t="s">
        <v>38</v>
      </c>
      <c r="E4959" t="s">
        <v>39</v>
      </c>
      <c r="F4959" t="s">
        <v>78</v>
      </c>
      <c r="G4959" t="s">
        <v>56</v>
      </c>
      <c r="H4959" t="s">
        <v>35</v>
      </c>
      <c r="I4959" t="s">
        <v>36</v>
      </c>
      <c r="J4959" t="s">
        <v>21</v>
      </c>
      <c r="K4959">
        <v>8</v>
      </c>
      <c r="L4959">
        <v>10.35</v>
      </c>
      <c r="M4959">
        <v>2.8</v>
      </c>
      <c r="N4959" t="s">
        <v>22</v>
      </c>
      <c r="O4959" t="str">
        <f t="shared" si="77"/>
        <v>Yes</v>
      </c>
    </row>
    <row r="4960" spans="1:15" x14ac:dyDescent="0.25">
      <c r="A4960" t="s">
        <v>5021</v>
      </c>
      <c r="B4960" s="1">
        <v>45824</v>
      </c>
      <c r="C4960" s="2">
        <v>45825.796666666669</v>
      </c>
      <c r="D4960" t="s">
        <v>15</v>
      </c>
      <c r="E4960" t="s">
        <v>25</v>
      </c>
      <c r="F4960" t="s">
        <v>70</v>
      </c>
      <c r="G4960" t="s">
        <v>56</v>
      </c>
      <c r="H4960" t="s">
        <v>44</v>
      </c>
      <c r="I4960" t="s">
        <v>45</v>
      </c>
      <c r="J4960" t="s">
        <v>46</v>
      </c>
      <c r="K4960">
        <v>48</v>
      </c>
      <c r="L4960">
        <v>43.12</v>
      </c>
      <c r="M4960">
        <v>2.4</v>
      </c>
      <c r="N4960" t="s">
        <v>22</v>
      </c>
      <c r="O4960" t="str">
        <f t="shared" si="77"/>
        <v>No</v>
      </c>
    </row>
    <row r="4961" spans="1:15" x14ac:dyDescent="0.25">
      <c r="A4961" t="s">
        <v>5022</v>
      </c>
      <c r="B4961" s="1">
        <v>45828</v>
      </c>
      <c r="C4961" s="2">
        <v>45828.751250000001</v>
      </c>
      <c r="D4961" t="s">
        <v>24</v>
      </c>
      <c r="E4961" t="s">
        <v>32</v>
      </c>
      <c r="F4961" t="s">
        <v>64</v>
      </c>
      <c r="G4961" t="s">
        <v>51</v>
      </c>
      <c r="H4961" t="s">
        <v>27</v>
      </c>
      <c r="I4961" t="s">
        <v>36</v>
      </c>
      <c r="J4961" t="s">
        <v>21</v>
      </c>
      <c r="K4961">
        <v>24</v>
      </c>
      <c r="L4961">
        <v>18.03</v>
      </c>
      <c r="M4961">
        <v>3.7</v>
      </c>
      <c r="N4961" t="s">
        <v>61</v>
      </c>
      <c r="O4961" t="str">
        <f t="shared" si="77"/>
        <v>No</v>
      </c>
    </row>
    <row r="4962" spans="1:15" x14ac:dyDescent="0.25">
      <c r="A4962" t="s">
        <v>5023</v>
      </c>
      <c r="B4962" s="1">
        <v>45727</v>
      </c>
      <c r="C4962" s="2">
        <v>45727.876250000001</v>
      </c>
      <c r="D4962" t="s">
        <v>24</v>
      </c>
      <c r="E4962" t="s">
        <v>25</v>
      </c>
      <c r="F4962" t="s">
        <v>70</v>
      </c>
      <c r="G4962" t="s">
        <v>56</v>
      </c>
      <c r="H4962" t="s">
        <v>19</v>
      </c>
      <c r="I4962" t="s">
        <v>36</v>
      </c>
      <c r="J4962" t="s">
        <v>21</v>
      </c>
      <c r="K4962">
        <v>24</v>
      </c>
      <c r="L4962">
        <v>21.03</v>
      </c>
      <c r="M4962">
        <v>4.2</v>
      </c>
      <c r="N4962" t="s">
        <v>61</v>
      </c>
      <c r="O4962" t="str">
        <f t="shared" si="77"/>
        <v>No</v>
      </c>
    </row>
    <row r="4963" spans="1:15" x14ac:dyDescent="0.25">
      <c r="A4963" t="s">
        <v>5024</v>
      </c>
      <c r="B4963" s="1">
        <v>45749</v>
      </c>
      <c r="C4963" s="2">
        <v>45749.140416666669</v>
      </c>
      <c r="D4963" t="s">
        <v>24</v>
      </c>
      <c r="E4963" t="s">
        <v>39</v>
      </c>
      <c r="F4963" t="s">
        <v>40</v>
      </c>
      <c r="G4963" t="s">
        <v>56</v>
      </c>
      <c r="H4963" t="s">
        <v>65</v>
      </c>
      <c r="I4963" t="s">
        <v>36</v>
      </c>
      <c r="J4963" t="s">
        <v>21</v>
      </c>
      <c r="K4963">
        <v>24</v>
      </c>
      <c r="L4963">
        <v>3.37</v>
      </c>
      <c r="M4963">
        <v>3.9</v>
      </c>
      <c r="N4963" t="s">
        <v>22</v>
      </c>
      <c r="O4963" t="str">
        <f t="shared" si="77"/>
        <v>No</v>
      </c>
    </row>
    <row r="4964" spans="1:15" x14ac:dyDescent="0.25">
      <c r="A4964" t="s">
        <v>5025</v>
      </c>
      <c r="B4964" s="1">
        <v>45836</v>
      </c>
      <c r="C4964" s="2">
        <v>45836.990833333337</v>
      </c>
      <c r="D4964" t="s">
        <v>15</v>
      </c>
      <c r="E4964" t="s">
        <v>32</v>
      </c>
      <c r="F4964" t="s">
        <v>33</v>
      </c>
      <c r="G4964" t="s">
        <v>34</v>
      </c>
      <c r="H4964" t="s">
        <v>19</v>
      </c>
      <c r="I4964" t="s">
        <v>45</v>
      </c>
      <c r="J4964" t="s">
        <v>46</v>
      </c>
      <c r="K4964">
        <v>48</v>
      </c>
      <c r="L4964">
        <v>23.78</v>
      </c>
      <c r="M4964">
        <v>5</v>
      </c>
      <c r="N4964" t="s">
        <v>22</v>
      </c>
      <c r="O4964" t="str">
        <f t="shared" si="77"/>
        <v>No</v>
      </c>
    </row>
    <row r="4965" spans="1:15" x14ac:dyDescent="0.25">
      <c r="A4965" t="s">
        <v>5026</v>
      </c>
      <c r="B4965" s="1">
        <v>45700</v>
      </c>
      <c r="C4965" s="2">
        <v>45700.615833333337</v>
      </c>
      <c r="D4965" t="s">
        <v>38</v>
      </c>
      <c r="E4965" t="s">
        <v>32</v>
      </c>
      <c r="F4965" t="s">
        <v>64</v>
      </c>
      <c r="G4965" t="s">
        <v>41</v>
      </c>
      <c r="H4965" t="s">
        <v>54</v>
      </c>
      <c r="I4965" t="s">
        <v>45</v>
      </c>
      <c r="J4965" t="s">
        <v>21</v>
      </c>
      <c r="K4965">
        <v>8</v>
      </c>
      <c r="L4965">
        <v>14.78</v>
      </c>
      <c r="M4965">
        <v>1.3</v>
      </c>
      <c r="N4965" t="s">
        <v>22</v>
      </c>
      <c r="O4965" t="str">
        <f t="shared" si="77"/>
        <v>Yes</v>
      </c>
    </row>
    <row r="4966" spans="1:15" x14ac:dyDescent="0.25">
      <c r="A4966" t="s">
        <v>5027</v>
      </c>
      <c r="B4966" s="1">
        <v>45828</v>
      </c>
      <c r="C4966" s="2">
        <v>45828.061666666668</v>
      </c>
      <c r="D4966" t="s">
        <v>31</v>
      </c>
      <c r="E4966" t="s">
        <v>25</v>
      </c>
      <c r="F4966" t="s">
        <v>70</v>
      </c>
      <c r="G4966" t="s">
        <v>34</v>
      </c>
      <c r="H4966" t="s">
        <v>35</v>
      </c>
      <c r="I4966" t="s">
        <v>20</v>
      </c>
      <c r="J4966" t="s">
        <v>21</v>
      </c>
      <c r="K4966">
        <v>4</v>
      </c>
      <c r="L4966">
        <v>1.48</v>
      </c>
      <c r="M4966">
        <v>4</v>
      </c>
      <c r="N4966" t="s">
        <v>22</v>
      </c>
      <c r="O4966" t="str">
        <f t="shared" si="77"/>
        <v>No</v>
      </c>
    </row>
    <row r="4967" spans="1:15" x14ac:dyDescent="0.25">
      <c r="A4967" t="s">
        <v>5028</v>
      </c>
      <c r="B4967" s="1">
        <v>45677</v>
      </c>
      <c r="C4967" s="2">
        <v>45678.004999999997</v>
      </c>
      <c r="D4967" t="s">
        <v>15</v>
      </c>
      <c r="E4967" t="s">
        <v>25</v>
      </c>
      <c r="F4967" t="s">
        <v>53</v>
      </c>
      <c r="G4967" t="s">
        <v>41</v>
      </c>
      <c r="H4967" t="s">
        <v>35</v>
      </c>
      <c r="I4967" t="s">
        <v>20</v>
      </c>
      <c r="J4967" t="s">
        <v>29</v>
      </c>
      <c r="K4967">
        <v>48</v>
      </c>
      <c r="L4967">
        <v>24.12</v>
      </c>
      <c r="M4967">
        <v>3.4</v>
      </c>
      <c r="N4967" t="s">
        <v>22</v>
      </c>
      <c r="O4967" t="str">
        <f t="shared" si="77"/>
        <v>No</v>
      </c>
    </row>
    <row r="4968" spans="1:15" x14ac:dyDescent="0.25">
      <c r="A4968" t="s">
        <v>5029</v>
      </c>
      <c r="B4968" s="1">
        <v>45698</v>
      </c>
      <c r="C4968" s="2">
        <v>45698.625</v>
      </c>
      <c r="D4968" t="s">
        <v>15</v>
      </c>
      <c r="E4968" t="s">
        <v>39</v>
      </c>
      <c r="F4968" t="s">
        <v>78</v>
      </c>
      <c r="G4968" t="s">
        <v>18</v>
      </c>
      <c r="H4968" t="s">
        <v>54</v>
      </c>
      <c r="I4968" t="s">
        <v>36</v>
      </c>
      <c r="J4968" t="s">
        <v>21</v>
      </c>
      <c r="K4968">
        <v>48</v>
      </c>
      <c r="L4968">
        <v>15</v>
      </c>
      <c r="M4968">
        <v>5</v>
      </c>
      <c r="N4968" t="s">
        <v>22</v>
      </c>
      <c r="O4968" t="str">
        <f t="shared" si="77"/>
        <v>No</v>
      </c>
    </row>
    <row r="4969" spans="1:15" x14ac:dyDescent="0.25">
      <c r="A4969" t="s">
        <v>5030</v>
      </c>
      <c r="B4969" s="1">
        <v>45719</v>
      </c>
      <c r="C4969" s="2">
        <v>45719.620833333334</v>
      </c>
      <c r="D4969" t="s">
        <v>15</v>
      </c>
      <c r="E4969" t="s">
        <v>32</v>
      </c>
      <c r="F4969" t="s">
        <v>64</v>
      </c>
      <c r="G4969" t="s">
        <v>51</v>
      </c>
      <c r="H4969" t="s">
        <v>54</v>
      </c>
      <c r="I4969" t="s">
        <v>28</v>
      </c>
      <c r="J4969" t="s">
        <v>85</v>
      </c>
      <c r="K4969">
        <v>48</v>
      </c>
      <c r="L4969">
        <v>14.9</v>
      </c>
      <c r="M4969">
        <v>5</v>
      </c>
      <c r="N4969" t="s">
        <v>22</v>
      </c>
      <c r="O4969" t="str">
        <f t="shared" si="77"/>
        <v>No</v>
      </c>
    </row>
    <row r="4970" spans="1:15" x14ac:dyDescent="0.25">
      <c r="A4970" t="s">
        <v>5031</v>
      </c>
      <c r="B4970" s="1">
        <v>45664</v>
      </c>
      <c r="C4970" s="2">
        <v>45664.322500000002</v>
      </c>
      <c r="D4970" t="s">
        <v>38</v>
      </c>
      <c r="E4970" t="s">
        <v>32</v>
      </c>
      <c r="F4970" t="s">
        <v>75</v>
      </c>
      <c r="G4970" t="s">
        <v>51</v>
      </c>
      <c r="H4970" t="s">
        <v>54</v>
      </c>
      <c r="I4970" t="s">
        <v>20</v>
      </c>
      <c r="J4970" t="s">
        <v>21</v>
      </c>
      <c r="K4970">
        <v>8</v>
      </c>
      <c r="L4970">
        <v>7.74</v>
      </c>
      <c r="M4970">
        <v>3.7</v>
      </c>
      <c r="N4970" t="s">
        <v>22</v>
      </c>
      <c r="O4970" t="str">
        <f t="shared" si="77"/>
        <v>No</v>
      </c>
    </row>
    <row r="4971" spans="1:15" x14ac:dyDescent="0.25">
      <c r="A4971" t="s">
        <v>5032</v>
      </c>
      <c r="B4971" s="1">
        <v>45805</v>
      </c>
      <c r="C4971" s="2">
        <v>45806.794583333336</v>
      </c>
      <c r="D4971" t="s">
        <v>24</v>
      </c>
      <c r="E4971" t="s">
        <v>32</v>
      </c>
      <c r="F4971" t="s">
        <v>75</v>
      </c>
      <c r="G4971" t="s">
        <v>34</v>
      </c>
      <c r="H4971" t="s">
        <v>54</v>
      </c>
      <c r="I4971" t="s">
        <v>36</v>
      </c>
      <c r="J4971" t="s">
        <v>46</v>
      </c>
      <c r="K4971">
        <v>24</v>
      </c>
      <c r="L4971">
        <v>43.07</v>
      </c>
      <c r="M4971">
        <v>1.9</v>
      </c>
      <c r="N4971" t="s">
        <v>22</v>
      </c>
      <c r="O4971" t="str">
        <f t="shared" si="77"/>
        <v>Yes</v>
      </c>
    </row>
    <row r="4972" spans="1:15" x14ac:dyDescent="0.25">
      <c r="A4972" t="s">
        <v>5033</v>
      </c>
      <c r="B4972" s="1">
        <v>45812</v>
      </c>
      <c r="C4972" s="2">
        <v>45814.820833333331</v>
      </c>
      <c r="D4972" t="s">
        <v>15</v>
      </c>
      <c r="E4972" t="s">
        <v>25</v>
      </c>
      <c r="F4972" t="s">
        <v>26</v>
      </c>
      <c r="G4972" t="s">
        <v>18</v>
      </c>
      <c r="H4972" t="s">
        <v>35</v>
      </c>
      <c r="I4972" t="s">
        <v>45</v>
      </c>
      <c r="J4972" t="s">
        <v>21</v>
      </c>
      <c r="K4972">
        <v>48</v>
      </c>
      <c r="L4972">
        <v>67.7</v>
      </c>
      <c r="M4972">
        <v>2.5</v>
      </c>
      <c r="N4972" t="s">
        <v>22</v>
      </c>
      <c r="O4972" t="str">
        <f t="shared" si="77"/>
        <v>Yes</v>
      </c>
    </row>
    <row r="4973" spans="1:15" x14ac:dyDescent="0.25">
      <c r="A4973" t="s">
        <v>5034</v>
      </c>
      <c r="B4973" s="1">
        <v>45727</v>
      </c>
      <c r="C4973" s="2">
        <v>45727.028333333335</v>
      </c>
      <c r="D4973" t="s">
        <v>38</v>
      </c>
      <c r="E4973" t="s">
        <v>32</v>
      </c>
      <c r="F4973" t="s">
        <v>75</v>
      </c>
      <c r="G4973" t="s">
        <v>41</v>
      </c>
      <c r="H4973" t="s">
        <v>27</v>
      </c>
      <c r="I4973" t="s">
        <v>36</v>
      </c>
      <c r="J4973" t="s">
        <v>46</v>
      </c>
      <c r="K4973">
        <v>8</v>
      </c>
      <c r="L4973">
        <v>0.68</v>
      </c>
      <c r="M4973">
        <v>5</v>
      </c>
      <c r="N4973" t="s">
        <v>22</v>
      </c>
      <c r="O4973" t="str">
        <f t="shared" si="77"/>
        <v>No</v>
      </c>
    </row>
    <row r="4974" spans="1:15" x14ac:dyDescent="0.25">
      <c r="A4974" t="s">
        <v>5035</v>
      </c>
      <c r="B4974" s="1">
        <v>45809</v>
      </c>
      <c r="C4974" s="2">
        <v>45809.477083333331</v>
      </c>
      <c r="D4974" t="s">
        <v>24</v>
      </c>
      <c r="E4974" t="s">
        <v>32</v>
      </c>
      <c r="F4974" t="s">
        <v>64</v>
      </c>
      <c r="G4974" t="s">
        <v>18</v>
      </c>
      <c r="H4974" t="s">
        <v>27</v>
      </c>
      <c r="I4974" t="s">
        <v>28</v>
      </c>
      <c r="J4974" t="s">
        <v>29</v>
      </c>
      <c r="K4974">
        <v>24</v>
      </c>
      <c r="L4974">
        <v>11.45</v>
      </c>
      <c r="M4974">
        <v>4</v>
      </c>
      <c r="N4974" t="s">
        <v>22</v>
      </c>
      <c r="O4974" t="str">
        <f t="shared" si="77"/>
        <v>No</v>
      </c>
    </row>
    <row r="4975" spans="1:15" x14ac:dyDescent="0.25">
      <c r="A4975" t="s">
        <v>5036</v>
      </c>
      <c r="B4975" s="1">
        <v>45797</v>
      </c>
      <c r="C4975" s="2">
        <v>45797.376250000001</v>
      </c>
      <c r="D4975" t="s">
        <v>24</v>
      </c>
      <c r="E4975" t="s">
        <v>32</v>
      </c>
      <c r="F4975" t="s">
        <v>75</v>
      </c>
      <c r="G4975" t="s">
        <v>56</v>
      </c>
      <c r="H4975" t="s">
        <v>35</v>
      </c>
      <c r="I4975" t="s">
        <v>36</v>
      </c>
      <c r="J4975" t="s">
        <v>21</v>
      </c>
      <c r="K4975">
        <v>24</v>
      </c>
      <c r="L4975">
        <v>9.0299999999999994</v>
      </c>
      <c r="M4975">
        <v>4.2</v>
      </c>
      <c r="N4975" t="s">
        <v>22</v>
      </c>
      <c r="O4975" t="str">
        <f t="shared" si="77"/>
        <v>No</v>
      </c>
    </row>
    <row r="4976" spans="1:15" x14ac:dyDescent="0.25">
      <c r="A4976" t="s">
        <v>5037</v>
      </c>
      <c r="B4976" s="1">
        <v>45803</v>
      </c>
      <c r="C4976" s="2">
        <v>45803.191250000003</v>
      </c>
      <c r="D4976" t="s">
        <v>24</v>
      </c>
      <c r="E4976" t="s">
        <v>16</v>
      </c>
      <c r="F4976" t="s">
        <v>43</v>
      </c>
      <c r="G4976" t="s">
        <v>18</v>
      </c>
      <c r="H4976" t="s">
        <v>35</v>
      </c>
      <c r="I4976" t="s">
        <v>36</v>
      </c>
      <c r="J4976" t="s">
        <v>46</v>
      </c>
      <c r="K4976">
        <v>24</v>
      </c>
      <c r="L4976">
        <v>4.59</v>
      </c>
      <c r="M4976">
        <v>4.7</v>
      </c>
      <c r="N4976" t="s">
        <v>22</v>
      </c>
      <c r="O4976" t="str">
        <f t="shared" si="77"/>
        <v>No</v>
      </c>
    </row>
    <row r="4977" spans="1:15" x14ac:dyDescent="0.25">
      <c r="A4977" t="s">
        <v>5038</v>
      </c>
      <c r="B4977" s="1">
        <v>45803</v>
      </c>
      <c r="C4977" s="2">
        <v>45803.995833333334</v>
      </c>
      <c r="D4977" t="s">
        <v>24</v>
      </c>
      <c r="E4977" t="s">
        <v>16</v>
      </c>
      <c r="F4977" t="s">
        <v>60</v>
      </c>
      <c r="G4977" t="s">
        <v>18</v>
      </c>
      <c r="H4977" t="s">
        <v>54</v>
      </c>
      <c r="I4977" t="s">
        <v>28</v>
      </c>
      <c r="J4977" t="s">
        <v>85</v>
      </c>
      <c r="K4977">
        <v>24</v>
      </c>
      <c r="L4977">
        <v>23.9</v>
      </c>
      <c r="M4977">
        <v>3.5</v>
      </c>
      <c r="N4977" t="s">
        <v>22</v>
      </c>
      <c r="O4977" t="str">
        <f t="shared" si="77"/>
        <v>No</v>
      </c>
    </row>
    <row r="4978" spans="1:15" x14ac:dyDescent="0.25">
      <c r="A4978" t="s">
        <v>5039</v>
      </c>
      <c r="B4978" s="1">
        <v>45761</v>
      </c>
      <c r="C4978" s="2">
        <v>45761.399155092593</v>
      </c>
      <c r="D4978" t="s">
        <v>24</v>
      </c>
      <c r="E4978" t="s">
        <v>16</v>
      </c>
      <c r="F4978" t="s">
        <v>17</v>
      </c>
      <c r="G4978" t="s">
        <v>34</v>
      </c>
      <c r="H4978" t="s">
        <v>27</v>
      </c>
      <c r="I4978" t="s">
        <v>45</v>
      </c>
      <c r="J4978" t="s">
        <v>46</v>
      </c>
      <c r="K4978">
        <v>24</v>
      </c>
      <c r="L4978">
        <v>9.58</v>
      </c>
      <c r="M4978">
        <v>3.4</v>
      </c>
      <c r="N4978" t="s">
        <v>22</v>
      </c>
      <c r="O4978" t="str">
        <f t="shared" si="77"/>
        <v>No</v>
      </c>
    </row>
    <row r="4979" spans="1:15" x14ac:dyDescent="0.25">
      <c r="A4979" t="s">
        <v>5040</v>
      </c>
      <c r="B4979" s="1">
        <v>45678</v>
      </c>
      <c r="C4979" s="2">
        <v>45678.427916666667</v>
      </c>
      <c r="D4979" t="s">
        <v>15</v>
      </c>
      <c r="E4979" t="s">
        <v>16</v>
      </c>
      <c r="F4979" t="s">
        <v>60</v>
      </c>
      <c r="G4979" t="s">
        <v>56</v>
      </c>
      <c r="H4979" t="s">
        <v>54</v>
      </c>
      <c r="I4979" t="s">
        <v>36</v>
      </c>
      <c r="J4979" t="s">
        <v>85</v>
      </c>
      <c r="K4979">
        <v>48</v>
      </c>
      <c r="L4979">
        <v>10.27</v>
      </c>
      <c r="M4979">
        <v>3.9</v>
      </c>
      <c r="N4979" t="s">
        <v>22</v>
      </c>
      <c r="O4979" t="str">
        <f t="shared" si="77"/>
        <v>No</v>
      </c>
    </row>
    <row r="4980" spans="1:15" x14ac:dyDescent="0.25">
      <c r="A4980" t="s">
        <v>5041</v>
      </c>
      <c r="B4980" s="1">
        <v>45825</v>
      </c>
      <c r="C4980" s="2">
        <v>45825.672083333331</v>
      </c>
      <c r="D4980" t="s">
        <v>24</v>
      </c>
      <c r="E4980" t="s">
        <v>45</v>
      </c>
      <c r="F4980" t="s">
        <v>112</v>
      </c>
      <c r="G4980" t="s">
        <v>51</v>
      </c>
      <c r="H4980" t="s">
        <v>54</v>
      </c>
      <c r="I4980" t="s">
        <v>45</v>
      </c>
      <c r="J4980" t="s">
        <v>46</v>
      </c>
      <c r="K4980">
        <v>24</v>
      </c>
      <c r="L4980">
        <v>16.13</v>
      </c>
      <c r="M4980">
        <v>3.3</v>
      </c>
      <c r="N4980" t="s">
        <v>22</v>
      </c>
      <c r="O4980" t="str">
        <f t="shared" si="77"/>
        <v>No</v>
      </c>
    </row>
    <row r="4981" spans="1:15" x14ac:dyDescent="0.25">
      <c r="A4981" t="s">
        <v>5042</v>
      </c>
      <c r="B4981" s="1">
        <v>45768</v>
      </c>
      <c r="C4981" s="2">
        <v>45768.057500000003</v>
      </c>
      <c r="D4981" t="s">
        <v>38</v>
      </c>
      <c r="E4981" t="s">
        <v>39</v>
      </c>
      <c r="F4981" t="s">
        <v>78</v>
      </c>
      <c r="G4981" t="s">
        <v>51</v>
      </c>
      <c r="H4981" t="s">
        <v>27</v>
      </c>
      <c r="I4981" t="s">
        <v>20</v>
      </c>
      <c r="J4981" t="s">
        <v>21</v>
      </c>
      <c r="K4981">
        <v>8</v>
      </c>
      <c r="L4981">
        <v>1.38</v>
      </c>
      <c r="M4981">
        <v>4.3</v>
      </c>
      <c r="N4981" t="s">
        <v>22</v>
      </c>
      <c r="O4981" t="str">
        <f t="shared" si="77"/>
        <v>No</v>
      </c>
    </row>
    <row r="4982" spans="1:15" x14ac:dyDescent="0.25">
      <c r="A4982" t="s">
        <v>5043</v>
      </c>
      <c r="B4982" s="1">
        <v>45821</v>
      </c>
      <c r="C4982" s="2">
        <v>45822.155416666668</v>
      </c>
      <c r="D4982" t="s">
        <v>24</v>
      </c>
      <c r="E4982" t="s">
        <v>25</v>
      </c>
      <c r="F4982" t="s">
        <v>26</v>
      </c>
      <c r="G4982" t="s">
        <v>56</v>
      </c>
      <c r="H4982" t="s">
        <v>65</v>
      </c>
      <c r="I4982" t="s">
        <v>36</v>
      </c>
      <c r="J4982" t="s">
        <v>46</v>
      </c>
      <c r="K4982">
        <v>24</v>
      </c>
      <c r="L4982">
        <v>27.73</v>
      </c>
      <c r="M4982">
        <v>3.7</v>
      </c>
      <c r="N4982" t="s">
        <v>22</v>
      </c>
      <c r="O4982" t="str">
        <f t="shared" si="77"/>
        <v>Yes</v>
      </c>
    </row>
    <row r="4983" spans="1:15" x14ac:dyDescent="0.25">
      <c r="A4983" t="s">
        <v>5044</v>
      </c>
      <c r="B4983" s="1">
        <v>45831</v>
      </c>
      <c r="C4983" s="2">
        <v>45831.405833333331</v>
      </c>
      <c r="D4983" t="s">
        <v>38</v>
      </c>
      <c r="E4983" t="s">
        <v>16</v>
      </c>
      <c r="F4983" t="s">
        <v>17</v>
      </c>
      <c r="G4983" t="s">
        <v>51</v>
      </c>
      <c r="H4983" t="s">
        <v>54</v>
      </c>
      <c r="I4983" t="s">
        <v>45</v>
      </c>
      <c r="J4983" t="s">
        <v>46</v>
      </c>
      <c r="K4983">
        <v>8</v>
      </c>
      <c r="L4983">
        <v>9.74</v>
      </c>
      <c r="M4983">
        <v>3.6</v>
      </c>
      <c r="N4983" t="s">
        <v>22</v>
      </c>
      <c r="O4983" t="str">
        <f t="shared" si="77"/>
        <v>Yes</v>
      </c>
    </row>
    <row r="4984" spans="1:15" x14ac:dyDescent="0.25">
      <c r="A4984" t="s">
        <v>5045</v>
      </c>
      <c r="B4984" s="1">
        <v>45691</v>
      </c>
      <c r="C4984" s="2">
        <v>45691.863749999997</v>
      </c>
      <c r="D4984" t="s">
        <v>24</v>
      </c>
      <c r="E4984" t="s">
        <v>32</v>
      </c>
      <c r="F4984" t="s">
        <v>80</v>
      </c>
      <c r="G4984" t="s">
        <v>34</v>
      </c>
      <c r="H4984" t="s">
        <v>27</v>
      </c>
      <c r="I4984" t="s">
        <v>45</v>
      </c>
      <c r="J4984" t="s">
        <v>21</v>
      </c>
      <c r="K4984">
        <v>24</v>
      </c>
      <c r="L4984">
        <v>20.73</v>
      </c>
      <c r="M4984">
        <v>4.7</v>
      </c>
      <c r="N4984" t="s">
        <v>22</v>
      </c>
      <c r="O4984" t="str">
        <f t="shared" si="77"/>
        <v>No</v>
      </c>
    </row>
    <row r="4985" spans="1:15" x14ac:dyDescent="0.25">
      <c r="A4985" t="s">
        <v>5046</v>
      </c>
      <c r="B4985" s="1">
        <v>45730</v>
      </c>
      <c r="C4985" s="2">
        <v>45730.24291666667</v>
      </c>
      <c r="D4985" t="s">
        <v>38</v>
      </c>
      <c r="E4985" t="s">
        <v>25</v>
      </c>
      <c r="F4985" t="s">
        <v>48</v>
      </c>
      <c r="G4985" t="s">
        <v>51</v>
      </c>
      <c r="H4985" t="s">
        <v>44</v>
      </c>
      <c r="I4985" t="s">
        <v>45</v>
      </c>
      <c r="J4985" t="s">
        <v>21</v>
      </c>
      <c r="K4985">
        <v>8</v>
      </c>
      <c r="L4985">
        <v>5.83</v>
      </c>
      <c r="M4985">
        <v>3.2</v>
      </c>
      <c r="N4985" t="s">
        <v>22</v>
      </c>
      <c r="O4985" t="str">
        <f t="shared" si="77"/>
        <v>No</v>
      </c>
    </row>
    <row r="4986" spans="1:15" x14ac:dyDescent="0.25">
      <c r="A4986" t="s">
        <v>5047</v>
      </c>
      <c r="B4986" s="1">
        <v>45692</v>
      </c>
      <c r="C4986" s="2">
        <v>45692.946666666663</v>
      </c>
      <c r="D4986" t="s">
        <v>15</v>
      </c>
      <c r="E4986" t="s">
        <v>16</v>
      </c>
      <c r="F4986" t="s">
        <v>58</v>
      </c>
      <c r="G4986" t="s">
        <v>18</v>
      </c>
      <c r="H4986" t="s">
        <v>19</v>
      </c>
      <c r="I4986" t="s">
        <v>28</v>
      </c>
      <c r="J4986" t="s">
        <v>21</v>
      </c>
      <c r="K4986">
        <v>48</v>
      </c>
      <c r="L4986">
        <v>22.72</v>
      </c>
      <c r="M4986">
        <v>4.5999999999999996</v>
      </c>
      <c r="N4986" t="s">
        <v>22</v>
      </c>
      <c r="O4986" t="str">
        <f t="shared" si="77"/>
        <v>No</v>
      </c>
    </row>
    <row r="4987" spans="1:15" x14ac:dyDescent="0.25">
      <c r="A4987" t="s">
        <v>5048</v>
      </c>
      <c r="B4987" s="1">
        <v>45667</v>
      </c>
      <c r="C4987" s="2">
        <v>45667.213333333333</v>
      </c>
      <c r="D4987" t="s">
        <v>38</v>
      </c>
      <c r="E4987" t="s">
        <v>16</v>
      </c>
      <c r="F4987" t="s">
        <v>43</v>
      </c>
      <c r="G4987" t="s">
        <v>51</v>
      </c>
      <c r="H4987" t="s">
        <v>35</v>
      </c>
      <c r="I4987" t="s">
        <v>45</v>
      </c>
      <c r="J4987" t="s">
        <v>46</v>
      </c>
      <c r="K4987">
        <v>8</v>
      </c>
      <c r="L4987">
        <v>5.12</v>
      </c>
      <c r="M4987">
        <v>3.7</v>
      </c>
      <c r="N4987" t="s">
        <v>22</v>
      </c>
      <c r="O4987" t="str">
        <f t="shared" si="77"/>
        <v>No</v>
      </c>
    </row>
    <row r="4988" spans="1:15" x14ac:dyDescent="0.25">
      <c r="A4988" t="s">
        <v>5049</v>
      </c>
      <c r="B4988" s="1">
        <v>45832</v>
      </c>
      <c r="C4988" s="2">
        <v>45832.928738425922</v>
      </c>
      <c r="D4988" t="s">
        <v>15</v>
      </c>
      <c r="E4988" t="s">
        <v>32</v>
      </c>
      <c r="F4988" t="s">
        <v>64</v>
      </c>
      <c r="G4988" t="s">
        <v>18</v>
      </c>
      <c r="H4988" t="s">
        <v>44</v>
      </c>
      <c r="I4988" t="s">
        <v>45</v>
      </c>
      <c r="J4988" t="s">
        <v>46</v>
      </c>
      <c r="K4988">
        <v>48</v>
      </c>
      <c r="L4988">
        <v>22.29</v>
      </c>
      <c r="M4988">
        <v>5</v>
      </c>
      <c r="N4988" t="s">
        <v>22</v>
      </c>
      <c r="O4988" t="str">
        <f t="shared" si="77"/>
        <v>No</v>
      </c>
    </row>
    <row r="4989" spans="1:15" x14ac:dyDescent="0.25">
      <c r="A4989" t="s">
        <v>5050</v>
      </c>
      <c r="B4989" s="1">
        <v>45825</v>
      </c>
      <c r="C4989" s="2">
        <v>45825.267500000002</v>
      </c>
      <c r="D4989" t="s">
        <v>15</v>
      </c>
      <c r="E4989" t="s">
        <v>39</v>
      </c>
      <c r="F4989" t="s">
        <v>87</v>
      </c>
      <c r="G4989" t="s">
        <v>41</v>
      </c>
      <c r="H4989" t="s">
        <v>65</v>
      </c>
      <c r="I4989" t="s">
        <v>20</v>
      </c>
      <c r="J4989" t="s">
        <v>46</v>
      </c>
      <c r="K4989">
        <v>48</v>
      </c>
      <c r="L4989">
        <v>6.42</v>
      </c>
      <c r="M4989">
        <v>4.8</v>
      </c>
      <c r="N4989" t="s">
        <v>22</v>
      </c>
      <c r="O4989" t="str">
        <f t="shared" si="77"/>
        <v>No</v>
      </c>
    </row>
    <row r="4990" spans="1:15" x14ac:dyDescent="0.25">
      <c r="A4990" t="s">
        <v>5051</v>
      </c>
      <c r="B4990" s="1">
        <v>45826</v>
      </c>
      <c r="C4990" s="2">
        <v>45827.667916666665</v>
      </c>
      <c r="D4990" t="s">
        <v>15</v>
      </c>
      <c r="E4990" t="s">
        <v>45</v>
      </c>
      <c r="F4990" t="s">
        <v>112</v>
      </c>
      <c r="G4990" t="s">
        <v>56</v>
      </c>
      <c r="H4990" t="s">
        <v>54</v>
      </c>
      <c r="I4990" t="s">
        <v>36</v>
      </c>
      <c r="J4990" t="s">
        <v>21</v>
      </c>
      <c r="K4990">
        <v>48</v>
      </c>
      <c r="L4990">
        <v>40.03</v>
      </c>
      <c r="M4990">
        <v>3.6</v>
      </c>
      <c r="N4990" t="s">
        <v>61</v>
      </c>
      <c r="O4990" t="str">
        <f t="shared" si="77"/>
        <v>No</v>
      </c>
    </row>
    <row r="4991" spans="1:15" x14ac:dyDescent="0.25">
      <c r="A4991" t="s">
        <v>5052</v>
      </c>
      <c r="B4991" s="1">
        <v>45817</v>
      </c>
      <c r="C4991" s="2">
        <v>45819.673750000002</v>
      </c>
      <c r="D4991" t="s">
        <v>15</v>
      </c>
      <c r="E4991" t="s">
        <v>32</v>
      </c>
      <c r="F4991" t="s">
        <v>75</v>
      </c>
      <c r="G4991" t="s">
        <v>56</v>
      </c>
      <c r="H4991" t="s">
        <v>19</v>
      </c>
      <c r="I4991" t="s">
        <v>36</v>
      </c>
      <c r="J4991" t="s">
        <v>21</v>
      </c>
      <c r="K4991">
        <v>48</v>
      </c>
      <c r="L4991">
        <v>64.17</v>
      </c>
      <c r="M4991">
        <v>3.6</v>
      </c>
      <c r="N4991" t="s">
        <v>22</v>
      </c>
      <c r="O4991" t="str">
        <f t="shared" si="77"/>
        <v>Yes</v>
      </c>
    </row>
    <row r="4992" spans="1:15" x14ac:dyDescent="0.25">
      <c r="A4992" t="s">
        <v>5053</v>
      </c>
      <c r="B4992" s="1">
        <v>45775</v>
      </c>
      <c r="C4992" s="2">
        <v>45775.104583333334</v>
      </c>
      <c r="D4992" t="s">
        <v>38</v>
      </c>
      <c r="E4992" t="s">
        <v>32</v>
      </c>
      <c r="F4992" t="s">
        <v>80</v>
      </c>
      <c r="G4992" t="s">
        <v>56</v>
      </c>
      <c r="H4992" t="s">
        <v>27</v>
      </c>
      <c r="I4992" t="s">
        <v>28</v>
      </c>
      <c r="J4992" t="s">
        <v>21</v>
      </c>
      <c r="K4992">
        <v>8</v>
      </c>
      <c r="L4992">
        <v>2.5099999999999998</v>
      </c>
      <c r="M4992">
        <v>4.8</v>
      </c>
      <c r="N4992" t="s">
        <v>61</v>
      </c>
      <c r="O4992" t="str">
        <f t="shared" si="77"/>
        <v>No</v>
      </c>
    </row>
    <row r="4993" spans="1:15" x14ac:dyDescent="0.25">
      <c r="A4993" t="s">
        <v>5054</v>
      </c>
      <c r="B4993" s="1">
        <v>45752</v>
      </c>
      <c r="C4993" s="2">
        <v>45752.15625</v>
      </c>
      <c r="D4993" t="s">
        <v>31</v>
      </c>
      <c r="E4993" t="s">
        <v>32</v>
      </c>
      <c r="F4993" t="s">
        <v>75</v>
      </c>
      <c r="G4993" t="s">
        <v>18</v>
      </c>
      <c r="H4993" t="s">
        <v>35</v>
      </c>
      <c r="I4993" t="s">
        <v>20</v>
      </c>
      <c r="J4993" t="s">
        <v>46</v>
      </c>
      <c r="K4993">
        <v>4</v>
      </c>
      <c r="L4993">
        <v>3.75</v>
      </c>
      <c r="M4993">
        <v>3.6</v>
      </c>
      <c r="N4993" t="s">
        <v>22</v>
      </c>
      <c r="O4993" t="str">
        <f t="shared" si="77"/>
        <v>No</v>
      </c>
    </row>
    <row r="4994" spans="1:15" x14ac:dyDescent="0.25">
      <c r="A4994" t="s">
        <v>5055</v>
      </c>
      <c r="B4994" s="1">
        <v>45837</v>
      </c>
      <c r="C4994" s="2">
        <v>45837.171249999999</v>
      </c>
      <c r="D4994" t="s">
        <v>38</v>
      </c>
      <c r="E4994" t="s">
        <v>16</v>
      </c>
      <c r="F4994" t="s">
        <v>43</v>
      </c>
      <c r="G4994" t="s">
        <v>18</v>
      </c>
      <c r="H4994" t="s">
        <v>44</v>
      </c>
      <c r="I4994" t="s">
        <v>36</v>
      </c>
      <c r="J4994" t="s">
        <v>46</v>
      </c>
      <c r="K4994">
        <v>8</v>
      </c>
      <c r="L4994">
        <v>4.1100000000000003</v>
      </c>
      <c r="M4994">
        <v>4.8</v>
      </c>
      <c r="N4994" t="s">
        <v>22</v>
      </c>
      <c r="O4994" t="str">
        <f t="shared" si="77"/>
        <v>No</v>
      </c>
    </row>
    <row r="4995" spans="1:15" x14ac:dyDescent="0.25">
      <c r="A4995" t="s">
        <v>5056</v>
      </c>
      <c r="B4995" s="1">
        <v>45757</v>
      </c>
      <c r="C4995" s="2">
        <v>45757.669583333336</v>
      </c>
      <c r="D4995" t="s">
        <v>15</v>
      </c>
      <c r="E4995" t="s">
        <v>25</v>
      </c>
      <c r="F4995" t="s">
        <v>26</v>
      </c>
      <c r="G4995" t="s">
        <v>34</v>
      </c>
      <c r="H4995" t="s">
        <v>54</v>
      </c>
      <c r="I4995" t="s">
        <v>36</v>
      </c>
      <c r="J4995" t="s">
        <v>29</v>
      </c>
      <c r="K4995">
        <v>48</v>
      </c>
      <c r="L4995">
        <v>16.07</v>
      </c>
      <c r="M4995">
        <v>5</v>
      </c>
      <c r="N4995" t="s">
        <v>22</v>
      </c>
      <c r="O4995" t="str">
        <f t="shared" ref="O4995:O5001" si="78">IF(L4995&gt;K4995,"Yes","No")</f>
        <v>No</v>
      </c>
    </row>
    <row r="4996" spans="1:15" x14ac:dyDescent="0.25">
      <c r="A4996" t="s">
        <v>5057</v>
      </c>
      <c r="B4996" s="1">
        <v>45774</v>
      </c>
      <c r="C4996" s="2">
        <v>45774.021249999998</v>
      </c>
      <c r="D4996" t="s">
        <v>38</v>
      </c>
      <c r="E4996" t="s">
        <v>16</v>
      </c>
      <c r="F4996" t="s">
        <v>17</v>
      </c>
      <c r="G4996" t="s">
        <v>18</v>
      </c>
      <c r="H4996" t="s">
        <v>35</v>
      </c>
      <c r="I4996" t="s">
        <v>36</v>
      </c>
      <c r="J4996" t="s">
        <v>21</v>
      </c>
      <c r="K4996">
        <v>8</v>
      </c>
      <c r="L4996">
        <v>0.51</v>
      </c>
      <c r="M4996">
        <v>5</v>
      </c>
      <c r="N4996" t="s">
        <v>22</v>
      </c>
      <c r="O4996" t="str">
        <f t="shared" si="78"/>
        <v>No</v>
      </c>
    </row>
    <row r="4997" spans="1:15" x14ac:dyDescent="0.25">
      <c r="A4997" t="s">
        <v>5058</v>
      </c>
      <c r="B4997" s="1">
        <v>45696</v>
      </c>
      <c r="C4997" s="2">
        <v>45696.284583333334</v>
      </c>
      <c r="D4997" t="s">
        <v>38</v>
      </c>
      <c r="E4997" t="s">
        <v>45</v>
      </c>
      <c r="F4997" t="s">
        <v>112</v>
      </c>
      <c r="G4997" t="s">
        <v>51</v>
      </c>
      <c r="H4997" t="s">
        <v>19</v>
      </c>
      <c r="I4997" t="s">
        <v>36</v>
      </c>
      <c r="J4997" t="s">
        <v>46</v>
      </c>
      <c r="K4997">
        <v>8</v>
      </c>
      <c r="L4997">
        <v>6.83</v>
      </c>
      <c r="M4997">
        <v>3.9</v>
      </c>
      <c r="N4997" t="s">
        <v>22</v>
      </c>
      <c r="O4997" t="str">
        <f t="shared" si="78"/>
        <v>No</v>
      </c>
    </row>
    <row r="4998" spans="1:15" x14ac:dyDescent="0.25">
      <c r="A4998" t="s">
        <v>5059</v>
      </c>
      <c r="B4998" s="1">
        <v>45793</v>
      </c>
      <c r="C4998" s="2">
        <v>45793.733749999999</v>
      </c>
      <c r="D4998" t="s">
        <v>24</v>
      </c>
      <c r="E4998" t="s">
        <v>39</v>
      </c>
      <c r="F4998" t="s">
        <v>78</v>
      </c>
      <c r="G4998" t="s">
        <v>18</v>
      </c>
      <c r="H4998" t="s">
        <v>65</v>
      </c>
      <c r="I4998" t="s">
        <v>36</v>
      </c>
      <c r="J4998" t="s">
        <v>46</v>
      </c>
      <c r="K4998">
        <v>24</v>
      </c>
      <c r="L4998">
        <v>17.61</v>
      </c>
      <c r="M4998">
        <v>5</v>
      </c>
      <c r="N4998" t="s">
        <v>22</v>
      </c>
      <c r="O4998" t="str">
        <f t="shared" si="78"/>
        <v>No</v>
      </c>
    </row>
    <row r="4999" spans="1:15" x14ac:dyDescent="0.25">
      <c r="A4999" t="s">
        <v>5060</v>
      </c>
      <c r="B4999" s="1">
        <v>45806</v>
      </c>
      <c r="C4999" s="2">
        <v>45806.209583333337</v>
      </c>
      <c r="D4999" t="s">
        <v>24</v>
      </c>
      <c r="E4999" t="s">
        <v>39</v>
      </c>
      <c r="F4999" t="s">
        <v>87</v>
      </c>
      <c r="G4999" t="s">
        <v>41</v>
      </c>
      <c r="H4999" t="s">
        <v>35</v>
      </c>
      <c r="I4999" t="s">
        <v>45</v>
      </c>
      <c r="J4999" t="s">
        <v>29</v>
      </c>
      <c r="K4999">
        <v>24</v>
      </c>
      <c r="L4999">
        <v>5.03</v>
      </c>
      <c r="M4999">
        <v>5</v>
      </c>
      <c r="N4999" t="s">
        <v>22</v>
      </c>
      <c r="O4999" t="str">
        <f t="shared" si="78"/>
        <v>No</v>
      </c>
    </row>
    <row r="5000" spans="1:15" x14ac:dyDescent="0.25">
      <c r="A5000" t="s">
        <v>5061</v>
      </c>
      <c r="B5000" s="1">
        <v>45780</v>
      </c>
      <c r="C5000" s="2">
        <v>45780.417083333334</v>
      </c>
      <c r="D5000" t="s">
        <v>24</v>
      </c>
      <c r="E5000" t="s">
        <v>32</v>
      </c>
      <c r="F5000" t="s">
        <v>64</v>
      </c>
      <c r="G5000" t="s">
        <v>41</v>
      </c>
      <c r="H5000" t="s">
        <v>44</v>
      </c>
      <c r="I5000" t="s">
        <v>36</v>
      </c>
      <c r="J5000" t="s">
        <v>46</v>
      </c>
      <c r="K5000">
        <v>24</v>
      </c>
      <c r="L5000">
        <v>10.01</v>
      </c>
      <c r="M5000">
        <v>3.8</v>
      </c>
      <c r="N5000" t="s">
        <v>61</v>
      </c>
      <c r="O5000" t="str">
        <f t="shared" si="78"/>
        <v>No</v>
      </c>
    </row>
    <row r="5001" spans="1:15" x14ac:dyDescent="0.25">
      <c r="A5001" t="s">
        <v>5062</v>
      </c>
      <c r="B5001" s="1">
        <v>45748</v>
      </c>
      <c r="C5001" s="2">
        <v>45749.021249999998</v>
      </c>
      <c r="D5001" t="s">
        <v>15</v>
      </c>
      <c r="E5001" t="s">
        <v>32</v>
      </c>
      <c r="F5001" t="s">
        <v>75</v>
      </c>
      <c r="G5001" t="s">
        <v>18</v>
      </c>
      <c r="H5001" t="s">
        <v>44</v>
      </c>
      <c r="I5001" t="s">
        <v>45</v>
      </c>
      <c r="J5001" t="s">
        <v>21</v>
      </c>
      <c r="K5001">
        <v>48</v>
      </c>
      <c r="L5001">
        <v>24.51</v>
      </c>
      <c r="M5001">
        <v>4.4000000000000004</v>
      </c>
      <c r="N5001" t="s">
        <v>22</v>
      </c>
      <c r="O5001" t="str">
        <f t="shared" si="78"/>
        <v>No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Arora</dc:creator>
  <cp:lastModifiedBy>HIMANI ARORA</cp:lastModifiedBy>
  <dcterms:created xsi:type="dcterms:W3CDTF">2026-09-22T18:15:09Z</dcterms:created>
  <dcterms:modified xsi:type="dcterms:W3CDTF">2026-09-22T18:15:11Z</dcterms:modified>
</cp:coreProperties>
</file>